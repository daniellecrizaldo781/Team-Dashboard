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25.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14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77.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31.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53.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44.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78.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am Log ins " sheetId="1" r:id="rId5"/>
    <sheet state="hidden" name="Team Info" sheetId="2" r:id="rId6"/>
    <sheet state="hidden" name="TEAM STATS" sheetId="3" r:id="rId7"/>
    <sheet state="visible" name="Daily and Weekly Call Stats" sheetId="4" r:id="rId8"/>
    <sheet state="visible" name="WEEKLY SCORECARD" sheetId="5" r:id="rId9"/>
    <sheet state="visible" name="Dan" sheetId="6" r:id="rId10"/>
    <sheet state="visible" name="Godwin" sheetId="7" r:id="rId11"/>
    <sheet state="visible" name="Candy" sheetId="8" r:id="rId12"/>
    <sheet state="visible" name="Claudette" sheetId="9" r:id="rId13"/>
    <sheet state="visible" name="Sofhia" sheetId="10" r:id="rId14"/>
    <sheet state="visible" name="Cherry" sheetId="11" r:id="rId15"/>
    <sheet state="visible" name="Lyra" sheetId="12" r:id="rId16"/>
    <sheet state="visible" name="Mikka" sheetId="13" r:id="rId17"/>
    <sheet state="visible" name="MONTHLY SCORECARD"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4">
      <text>
        <t xml:space="preserve">Missing 4 hrs from last week
</t>
      </text>
    </comment>
    <comment authorId="0" ref="B91">
      <text>
        <t xml:space="preserve">Missing 8 hrs 
</t>
      </text>
    </comment>
    <comment authorId="0" ref="B90">
      <text>
        <t xml:space="preserve">Missing 4 hrs from last week
</t>
      </text>
    </comment>
  </commentList>
</comments>
</file>

<file path=xl/sharedStrings.xml><?xml version="1.0" encoding="utf-8"?>
<sst xmlns="http://schemas.openxmlformats.org/spreadsheetml/2006/main" count="44919" uniqueCount="4335">
  <si>
    <t>SHIPHERO LOG IN CREDENTIALS</t>
  </si>
  <si>
    <t>Agent Name</t>
  </si>
  <si>
    <t>Email Address</t>
  </si>
  <si>
    <t>PASSWORD</t>
  </si>
  <si>
    <t>Dan Mae David</t>
  </si>
  <si>
    <t>teamdani8@outlook.com</t>
  </si>
  <si>
    <t>4ammedia</t>
  </si>
  <si>
    <t>Lyra Miclat</t>
  </si>
  <si>
    <t>WEEK: August 3,2026 - August 9,2026</t>
  </si>
  <si>
    <t>Daily Productivity Record</t>
  </si>
  <si>
    <t>Name of Agent</t>
  </si>
  <si>
    <t>Weekly Target</t>
  </si>
  <si>
    <t>Actual
Productivity</t>
  </si>
  <si>
    <t>Productivity %</t>
  </si>
  <si>
    <t>Final
Score</t>
  </si>
  <si>
    <t>teamdani1@proton.me</t>
  </si>
  <si>
    <t>Godwin Arellano</t>
  </si>
  <si>
    <t>teamdani2@proton.me</t>
  </si>
  <si>
    <t>Angel</t>
  </si>
  <si>
    <t>teamdani9@proton.me</t>
  </si>
  <si>
    <t>Contact Number</t>
  </si>
  <si>
    <t>Candy Laid</t>
  </si>
  <si>
    <t>Birthday</t>
  </si>
  <si>
    <t>teamdani4@proton.me</t>
  </si>
  <si>
    <t>Home Address</t>
  </si>
  <si>
    <t>TeamDani2025</t>
  </si>
  <si>
    <t>Baranggay</t>
  </si>
  <si>
    <t>Daniellel Mae David</t>
  </si>
  <si>
    <t>Municipality</t>
  </si>
  <si>
    <t>teamdani6@proton.me</t>
  </si>
  <si>
    <t>Province</t>
  </si>
  <si>
    <t>User062025</t>
  </si>
  <si>
    <t>Claudette Ibong</t>
  </si>
  <si>
    <t>Zip Code</t>
  </si>
  <si>
    <t>teamdani7@proton.me</t>
  </si>
  <si>
    <t>Landmark</t>
  </si>
  <si>
    <t>Danielle Ann Mari Crizaldo</t>
  </si>
  <si>
    <t>teamdani5@proton.me</t>
  </si>
  <si>
    <t>TeamDANI2025</t>
  </si>
  <si>
    <t>daniellecrizaldo781@gmail.com</t>
  </si>
  <si>
    <t xml:space="preserve">Joemica </t>
  </si>
  <si>
    <t>teamdani3@proton.me</t>
  </si>
  <si>
    <t>TeamDanielleNEW</t>
  </si>
  <si>
    <t>005</t>
  </si>
  <si>
    <t>Marahan 1</t>
  </si>
  <si>
    <t>Alfonso</t>
  </si>
  <si>
    <t>Cavite</t>
  </si>
  <si>
    <t>Droolymacaroni</t>
  </si>
  <si>
    <t>dnlldvd19@gmail.com</t>
  </si>
  <si>
    <t>ghodwinreasol@gmail.com</t>
  </si>
  <si>
    <t>laidcandy1@gmail.com</t>
  </si>
  <si>
    <t>OFF</t>
  </si>
  <si>
    <t>blueibong@gmail.com</t>
  </si>
  <si>
    <t>Sofhia Mae Santiago</t>
  </si>
  <si>
    <t>sofhiamae102099@gmail.com</t>
  </si>
  <si>
    <t>WEEK:January 26 ,2026 - February 1,2026</t>
  </si>
  <si>
    <t>Danielle David</t>
  </si>
  <si>
    <t>Godwin Reasol</t>
  </si>
  <si>
    <t>Sofhia Santiago</t>
  </si>
  <si>
    <t>Cherry 
Tubongbanua</t>
  </si>
  <si>
    <t>Week Ending</t>
  </si>
  <si>
    <t>Godwin Arellano Reasol</t>
  </si>
  <si>
    <t>WEEK: January 26 ,2026 - February 1,2026</t>
  </si>
  <si>
    <t>Cherry Rose Tubongbanua</t>
  </si>
  <si>
    <t>ATTENDANCE</t>
  </si>
  <si>
    <t>cherryrose201606@gmail.com</t>
  </si>
  <si>
    <t>WEEK: February 2 - February 8</t>
  </si>
  <si>
    <t>Daily Productivity</t>
  </si>
  <si>
    <t>NAME OF AGENT</t>
  </si>
  <si>
    <t>Hours Worked</t>
  </si>
  <si>
    <t>lyranacu1996@gmail.com</t>
  </si>
  <si>
    <t>Weekly Actual</t>
  </si>
  <si>
    <t>Joemica Carino</t>
  </si>
  <si>
    <t>joemica20@gmail.com</t>
  </si>
  <si>
    <t>Mary Claudette Ibong</t>
  </si>
  <si>
    <t>Hours Scheduled</t>
  </si>
  <si>
    <t>Attendance %</t>
  </si>
  <si>
    <t>% Productivity</t>
  </si>
  <si>
    <t>Final Score</t>
  </si>
  <si>
    <t>QUALITY</t>
  </si>
  <si>
    <t>Mon</t>
  </si>
  <si>
    <t>QA Score</t>
  </si>
  <si>
    <t>40</t>
  </si>
  <si>
    <t>39.90</t>
  </si>
  <si>
    <t>37.40</t>
  </si>
  <si>
    <t>Cherry Tubongbanua</t>
  </si>
  <si>
    <t>QA Max</t>
  </si>
  <si>
    <t>Weekly Call Stats</t>
  </si>
  <si>
    <t>Ringing 
Attempts</t>
  </si>
  <si>
    <t>Picked
Up</t>
  </si>
  <si>
    <t>Not Picked
Up</t>
  </si>
  <si>
    <t>Picked Up
Rate</t>
  </si>
  <si>
    <t>Danielle Mae David</t>
  </si>
  <si>
    <t>AHT</t>
  </si>
  <si>
    <t>Picked Up
Rate Score</t>
  </si>
  <si>
    <t>AHT
Score</t>
  </si>
  <si>
    <t>Quality %</t>
  </si>
  <si>
    <t>Week (November 10,2025 = November 16,2025)</t>
  </si>
  <si>
    <t>Ticket Link</t>
  </si>
  <si>
    <t>PRODUCTIVITY</t>
  </si>
  <si>
    <t>Date</t>
  </si>
  <si>
    <t>Shift</t>
  </si>
  <si>
    <t>Day</t>
  </si>
  <si>
    <t>SCORE</t>
  </si>
  <si>
    <t>Notes and Tagging(internal Note and
Sticky Note)</t>
  </si>
  <si>
    <t>COURTESY &amp; EMPATHY                
10%</t>
  </si>
  <si>
    <t>TONE OF VOICE &amp; 
ELOQUENCE
10%</t>
  </si>
  <si>
    <t>CALL CONTROL
15%</t>
  </si>
  <si>
    <t>VERIFICATION 
5%</t>
  </si>
  <si>
    <t>MID</t>
  </si>
  <si>
    <t>PROBING
10%</t>
  </si>
  <si>
    <t>MASTERY OF 
INFORMATION
15%</t>
  </si>
  <si>
    <t xml:space="preserve">   RESOLUTION                
30%</t>
  </si>
  <si>
    <t>AM</t>
  </si>
  <si>
    <t>Average</t>
  </si>
  <si>
    <t>NOTES</t>
  </si>
  <si>
    <r>
      <rPr>
        <rFont val="Arial, sans-serif"/>
        <color rgb="FF1155CC"/>
        <u/>
      </rPr>
      <t>https://horizondirect.gorgias.com/app/ticket/365280865</t>
    </r>
  </si>
  <si>
    <t>Team Assignment'</t>
  </si>
  <si>
    <t>Other Brands</t>
  </si>
  <si>
    <t>Oricle</t>
  </si>
  <si>
    <t>Call Target #</t>
  </si>
  <si>
    <t>Score per Metrics for Scorecard (Initial Productivity and QA Scores)</t>
  </si>
  <si>
    <t xml:space="preserve">What Does 30% Productivity Covers? </t>
  </si>
  <si>
    <r>
      <rPr>
        <rFont val="Arial"/>
        <b/>
        <color theme="1"/>
      </rPr>
      <t xml:space="preserve">QA JACKY
SCORE
</t>
    </r>
    <r>
      <rPr>
        <rFont val="Arial"/>
        <b/>
        <i/>
        <color theme="1"/>
      </rPr>
      <t>30%</t>
    </r>
  </si>
  <si>
    <r>
      <rPr>
        <rFont val="Arial"/>
        <b/>
        <color theme="1"/>
      </rPr>
      <t xml:space="preserve">QA TL
SCORE
</t>
    </r>
    <r>
      <rPr>
        <rFont val="Arial"/>
        <b/>
        <i/>
        <color theme="1"/>
      </rPr>
      <t>10%</t>
    </r>
  </si>
  <si>
    <t>Final QA
Score
40%</t>
  </si>
  <si>
    <t>Productivity
% (30%)</t>
  </si>
  <si>
    <t>FINAL
Productivity
Score</t>
  </si>
  <si>
    <t>1. Final Score from Daily Productivity Record</t>
  </si>
  <si>
    <t>Yes</t>
  </si>
  <si>
    <t>2. Picked Up Rate Score</t>
  </si>
  <si>
    <t>Total Call #</t>
  </si>
  <si>
    <t>144</t>
  </si>
  <si>
    <t>119</t>
  </si>
  <si>
    <t>137</t>
  </si>
  <si>
    <t>187</t>
  </si>
  <si>
    <t>171</t>
  </si>
  <si>
    <t>129</t>
  </si>
  <si>
    <t>Call Pick Up #</t>
  </si>
  <si>
    <t>141</t>
  </si>
  <si>
    <r>
      <rPr>
        <rFont val="Arial, sans-serif"/>
        <color rgb="FF1155CC"/>
        <u/>
      </rPr>
      <t>https://horizondirect.gorgias.com/app/ticket/365293163</t>
    </r>
  </si>
  <si>
    <t>131</t>
  </si>
  <si>
    <t>183</t>
  </si>
  <si>
    <t>169</t>
  </si>
  <si>
    <t>3.. AHT Score</t>
  </si>
  <si>
    <t>LWOP</t>
  </si>
  <si>
    <t xml:space="preserve">Great Call! </t>
  </si>
  <si>
    <t xml:space="preserve">Computation: </t>
  </si>
  <si>
    <r>
      <rPr>
        <rFont val="Arial, sans-serif"/>
        <color rgb="FF1155CC"/>
        <u/>
      </rPr>
      <t>https://horizondirect.gorgias.com/app/ticket/365299216</t>
    </r>
  </si>
  <si>
    <t>Pick Up %</t>
  </si>
  <si>
    <t>Final Productivity %</t>
  </si>
  <si>
    <t>(Final productivity Score + Picked Up Rate Score + AHT Score) /15 *.30</t>
  </si>
  <si>
    <t>Productivity Score</t>
  </si>
  <si>
    <t>(Final Productivity % / 30%) *10</t>
  </si>
  <si>
    <t>Faith Rivera</t>
  </si>
  <si>
    <t>https://horizondirect.gorgias.com/app/ticket/365420335</t>
  </si>
  <si>
    <t>Target Completion%</t>
  </si>
  <si>
    <t>Ringing
Attempts</t>
  </si>
  <si>
    <t>Picked Up</t>
  </si>
  <si>
    <t>https://horizondirect.gorgias.com/app/ticket/365427918</t>
  </si>
  <si>
    <t>AHT 
Rate Score</t>
  </si>
  <si>
    <t>WORK ETHIC (10 pts)</t>
  </si>
  <si>
    <t>Work Ethic Score</t>
  </si>
  <si>
    <t>https://horizondirect.gorgias.com/app/ticket/365435295</t>
  </si>
  <si>
    <t>10</t>
  </si>
  <si>
    <t>9.33</t>
  </si>
  <si>
    <t>8.77</t>
  </si>
  <si>
    <t>9.66</t>
  </si>
  <si>
    <t>8.93</t>
  </si>
  <si>
    <t>Work Ethic Max</t>
  </si>
  <si>
    <t>Work Ethic %</t>
  </si>
  <si>
    <r>
      <rPr>
        <rFont val="Arial, sans-serif"/>
        <color rgb="FF1155CC"/>
        <u/>
      </rPr>
      <t>https://horizondirect.gorgias.com/app/ticket/365572094</t>
    </r>
  </si>
  <si>
    <r>
      <rPr>
        <rFont val="Arial, sans-serif"/>
        <color rgb="FF1155CC"/>
        <u/>
      </rPr>
      <t>https://horizondirect.gorgias.com/app/ticket/365579851</t>
    </r>
  </si>
  <si>
    <t>INFRACTIONS (-10 pts)</t>
  </si>
  <si>
    <t>No</t>
  </si>
  <si>
    <t>Number of Infractions</t>
  </si>
  <si>
    <t>Audio is cutting in and out</t>
  </si>
  <si>
    <t>0</t>
  </si>
  <si>
    <r>
      <rPr>
        <rFont val="Arial, sans-serif"/>
        <color rgb="FF1155CC"/>
        <u/>
      </rPr>
      <t>https://horizondirect.gorgias.com/app/ticket/365598083</t>
    </r>
  </si>
  <si>
    <t>FINAL SCORE</t>
  </si>
  <si>
    <t>Attendance Weighted (25%)</t>
  </si>
  <si>
    <r>
      <rPr>
        <rFont val="Arial, sans-serif"/>
        <color rgb="FF1155CC"/>
        <u/>
      </rPr>
      <t>https://horizondirect.gorgias.com/app/ticket/365760549</t>
    </r>
  </si>
  <si>
    <t>Quality Weighted (35%)</t>
  </si>
  <si>
    <r>
      <rPr>
        <rFont val="Arial, sans-serif"/>
        <color rgb="FF1155CC"/>
        <u/>
      </rPr>
      <t>https://horizondirect.gorgias.com/app/ticket/365756404</t>
    </r>
  </si>
  <si>
    <t>Productivity Weighted (25%)</t>
  </si>
  <si>
    <r>
      <rPr>
        <rFont val="Arial, sans-serif"/>
        <color rgb="FF1155CC"/>
        <u/>
      </rPr>
      <t>https://horizondirect.gorgias.com/app/ticket/365764504</t>
    </r>
  </si>
  <si>
    <r>
      <rPr>
        <rFont val="Arial, sans-serif"/>
        <color rgb="FF1155CC"/>
        <u/>
      </rPr>
      <t>https://horizondirect.gorgias.com/app/ticket/365910768</t>
    </r>
  </si>
  <si>
    <t>Work Ethic Weighted (15%)</t>
  </si>
  <si>
    <t>Infractions Penalty</t>
  </si>
  <si>
    <r>
      <rPr>
        <rFont val="Arial, sans-serif"/>
        <color rgb="FF1155CC"/>
        <u/>
      </rPr>
      <t>https://horizondirect.gorgias.com/app/ticket/365929024</t>
    </r>
  </si>
  <si>
    <t>TOTAL SCORE (out of 100)</t>
  </si>
  <si>
    <r>
      <rPr>
        <rFont val="Arial, sans-serif"/>
        <color rgb="FF1155CC"/>
        <u/>
      </rPr>
      <t>https://horizondirect.gorgias.com/app/ticket/365929855</t>
    </r>
  </si>
  <si>
    <t>Danielle Crizaldo</t>
  </si>
  <si>
    <t>Overall %</t>
  </si>
  <si>
    <t>Final QA Score</t>
  </si>
  <si>
    <t>Team Initial Scorecard</t>
  </si>
  <si>
    <t>CSR NAME</t>
  </si>
  <si>
    <r>
      <rPr>
        <rFont val="Arial, sans-serif"/>
        <color rgb="FF1155CC"/>
        <u/>
      </rPr>
      <t>https://horizondirect.gorgias.com/app/ticket/365275117</t>
    </r>
  </si>
  <si>
    <t>Overall 
QA Spotcheck
40%</t>
  </si>
  <si>
    <t>QA Jacky
Spotcheck
30%</t>
  </si>
  <si>
    <t>TL 
Spotcheck
10%</t>
  </si>
  <si>
    <t>Productivity
30%</t>
  </si>
  <si>
    <t>PRODUCTIVITY 
AVERAGE</t>
  </si>
  <si>
    <t>TEAM RANKING</t>
  </si>
  <si>
    <t>Good</t>
  </si>
  <si>
    <t>Week (November 17,2025 = November 23,2025)</t>
  </si>
  <si>
    <t>Top Performer</t>
  </si>
  <si>
    <t>Low Performer</t>
  </si>
  <si>
    <t>COMMENTS/ISSUES</t>
  </si>
  <si>
    <t>https://horizondirect.gorgias.com/app/ticket/366228039</t>
  </si>
  <si>
    <t xml:space="preserve">-CSR struggles on searching fo the customer's target which prolongs the call. Aside from this, CSR failed to provide proper resolution on some call tickets </t>
  </si>
  <si>
    <r>
      <rPr>
        <rFont val="Arial, sans-serif"/>
        <color rgb="FF1155CC"/>
        <u/>
      </rPr>
      <t>https://horizondirect.gorgias.com/app/ticket/365304935</t>
    </r>
  </si>
  <si>
    <t xml:space="preserve">~```````````````````` </t>
  </si>
  <si>
    <t>WEEK: February 2 ,2026 - February 8,2026</t>
  </si>
  <si>
    <t>Great Call!</t>
  </si>
  <si>
    <t>https://horizondirect.gorgias.com/app/ticket/365273861</t>
  </si>
  <si>
    <t>https://horizondirect.gorgias.com/app/ticket/366227090</t>
  </si>
  <si>
    <t>https://horizondirect.gorgias.com/app/ticket/365409781</t>
  </si>
  <si>
    <t>https://horizondirect.gorgias.com/app/ticket/366225023</t>
  </si>
  <si>
    <r>
      <rPr>
        <rFont val="Arial, sans-serif"/>
        <color rgb="FF1155CC"/>
        <u/>
      </rPr>
      <t>https://horizondirect.gorgias.com/app/ticket/366386511</t>
    </r>
  </si>
  <si>
    <t>https://horizondirect.gorgias.com/app/ticket/365425188</t>
  </si>
  <si>
    <t>https://horizondirect.gorgias.com/app/ticket/365436011</t>
  </si>
  <si>
    <t>OT HOURS for Payroll</t>
  </si>
  <si>
    <t>Authorized OT</t>
  </si>
  <si>
    <r>
      <rPr>
        <rFont val="Arial, sans-serif"/>
        <color rgb="FF1155CC"/>
        <u/>
      </rPr>
      <t>https://horizondirect.gorgias.com/app/ticket/365615019</t>
    </r>
  </si>
  <si>
    <r>
      <rPr>
        <rFont val="Arial, sans-serif"/>
        <color rgb="FF1155CC"/>
        <u/>
      </rPr>
      <t>https://horizondirect.gorgias.com/app/ticket/366399804</t>
    </r>
  </si>
  <si>
    <t>Tue</t>
  </si>
  <si>
    <t>Wed</t>
  </si>
  <si>
    <t>Thu</t>
  </si>
  <si>
    <r>
      <rPr>
        <rFont val="Arial, sans-serif"/>
        <color rgb="FF1155CC"/>
        <u/>
      </rPr>
      <t>https://horizondirect.gorgias.com/app/ticket/365619325</t>
    </r>
  </si>
  <si>
    <t>Fri</t>
  </si>
  <si>
    <t>Sat</t>
  </si>
  <si>
    <t>Sun</t>
  </si>
  <si>
    <r>
      <rPr>
        <rFont val="Arial, sans-serif"/>
        <color rgb="FF1155CC"/>
        <u/>
      </rPr>
      <t>https://horizondirect.gorgias.com/app/ticket/366418406</t>
    </r>
  </si>
  <si>
    <t>https://horizondirect.gorgias.com/app/ticket/366564073</t>
  </si>
  <si>
    <t xml:space="preserve">CSR failed to callback cx to finish troubleshooting </t>
  </si>
  <si>
    <r>
      <rPr>
        <rFont val="Arial, sans-serif"/>
        <color rgb="FF1155CC"/>
        <u/>
      </rPr>
      <t>https://horizondirect.gorgias.com/app/ticket/365580302</t>
    </r>
  </si>
  <si>
    <t>https://horizondirect.gorgias.com/app/ticket/366561198</t>
  </si>
  <si>
    <r>
      <rPr>
        <rFont val="Arial, sans-serif"/>
        <color rgb="FF1155CC"/>
        <u/>
      </rPr>
      <t>https://horizondirect.gorgias.com/app/ticket/365757849</t>
    </r>
  </si>
  <si>
    <t>https://horizondirect.gorgias.com/app/ticket/366550105</t>
  </si>
  <si>
    <r>
      <rPr>
        <rFont val="Arial, sans-serif"/>
        <color rgb="FF1155CC"/>
        <u/>
      </rPr>
      <t>https://horizondirect.gorgias.com/app/ticket/365760327</t>
    </r>
  </si>
  <si>
    <r>
      <rPr>
        <rFont val="Arial, sans-serif"/>
        <color rgb="FF1155CC"/>
        <u/>
      </rPr>
      <t>https://horizondirect.gorgias.com/app/ticket/366682740</t>
    </r>
  </si>
  <si>
    <r>
      <rPr>
        <rFont val="Arial, sans-serif"/>
        <color rgb="FF1155CC"/>
        <u/>
      </rPr>
      <t>https://horizondirect.gorgias.com/app/ticket/365766146</t>
    </r>
  </si>
  <si>
    <t>WEEK: February 9 - February 15</t>
  </si>
  <si>
    <r>
      <rPr>
        <rFont val="Arial, sans-serif"/>
        <color rgb="FF1155CC"/>
        <u/>
      </rPr>
      <t>https://horizondirect.gorgias.com/app/ticket/365864906</t>
    </r>
  </si>
  <si>
    <r>
      <rPr>
        <rFont val="Arial, sans-serif"/>
        <color rgb="FF1155CC"/>
        <u/>
      </rPr>
      <t>https://horizondirect.gorgias.com/app/ticket/366704846</t>
    </r>
  </si>
  <si>
    <r>
      <rPr>
        <rFont val="Arial, sans-serif"/>
        <color rgb="FF1155CC"/>
        <u/>
      </rPr>
      <t>https://horizondirect.gorgias.com/app/ticket/365882712</t>
    </r>
  </si>
  <si>
    <t>Though the call got disconnected - csr managed to callback cx immediately</t>
  </si>
  <si>
    <r>
      <rPr>
        <rFont val="Arial, sans-serif"/>
        <color rgb="FF1155CC"/>
        <u/>
      </rPr>
      <t>https://horizondirect.gorgias.com/app/ticket/366714906</t>
    </r>
  </si>
  <si>
    <t>130</t>
  </si>
  <si>
    <r>
      <rPr>
        <rFont val="Arial, sans-serif"/>
        <color rgb="FF1155CC"/>
        <u/>
      </rPr>
      <t>https://horizondirect.gorgias.com/app/ticket/365898226</t>
    </r>
  </si>
  <si>
    <t>155</t>
  </si>
  <si>
    <t>178</t>
  </si>
  <si>
    <t>90</t>
  </si>
  <si>
    <t>172</t>
  </si>
  <si>
    <r>
      <rPr>
        <rFont val="Arial, sans-serif"/>
        <color rgb="FF1155CC"/>
        <u/>
      </rPr>
      <t>https://horizondirect.gorgias.com/app/ticket/366733769</t>
    </r>
  </si>
  <si>
    <t>126</t>
  </si>
  <si>
    <t>154</t>
  </si>
  <si>
    <t>174</t>
  </si>
  <si>
    <t>180</t>
  </si>
  <si>
    <t>89</t>
  </si>
  <si>
    <t>A</t>
  </si>
  <si>
    <r>
      <rPr>
        <rFont val="Arial, sans-serif"/>
        <color rgb="FF1155CC"/>
        <u/>
      </rPr>
      <t>https://horizondirect.gorgias.com/app/ticket/366753226</t>
    </r>
  </si>
  <si>
    <r>
      <rPr>
        <rFont val="Arial, sans-serif"/>
        <color rgb="FF1155CC"/>
        <u/>
      </rPr>
      <t>https://horizondirect.gorgias.com/app/ticket/366910235</t>
    </r>
  </si>
  <si>
    <t>https://horizondirect.gorgias.com/app/ticket/366242705</t>
  </si>
  <si>
    <t>https://horizondirect.gorgias.com/app/ticket/366232329</t>
  </si>
  <si>
    <t>Week (November 24,2025 = November 30,2025)</t>
  </si>
  <si>
    <t>9.45</t>
  </si>
  <si>
    <t>9.85</t>
  </si>
  <si>
    <t>Notes and Tagging(internal Note and
Sticky Note)
5%</t>
  </si>
  <si>
    <t xml:space="preserve">CSR was able to offer alternatives to customer </t>
  </si>
  <si>
    <t>https://horizondirect.gorgias.com/app/ticket/366227158</t>
  </si>
  <si>
    <t>COURTESY &amp; EMPATHY                
15%</t>
  </si>
  <si>
    <t>TONE OF VOICE &amp; 
ELOQUENCE
15%</t>
  </si>
  <si>
    <t xml:space="preserve">   RESOLUTION                
20%</t>
  </si>
  <si>
    <r>
      <rPr>
        <rFont val="Arial, sans-serif"/>
        <color rgb="FF1155CC"/>
        <u/>
      </rPr>
      <t>https://horizondirect.gorgias.com/app/ticket/367220619</t>
    </r>
  </si>
  <si>
    <r>
      <rPr>
        <rFont val="Arial, sans-serif"/>
        <color rgb="FF1155CC"/>
        <u/>
      </rPr>
      <t>https://horizondirect.gorgias.com/app/ticket/366376091</t>
    </r>
  </si>
  <si>
    <r>
      <rPr>
        <rFont val="Arial, sans-serif"/>
        <color rgb="FF1155CC"/>
        <u/>
      </rPr>
      <t>https://horizondirect.gorgias.com/app/ticket/366402087</t>
    </r>
  </si>
  <si>
    <t>TRAINING</t>
  </si>
  <si>
    <r>
      <rPr>
        <rFont val="Arial, sans-serif"/>
        <color rgb="FF1155CC"/>
        <u/>
      </rPr>
      <t>https://horizondirect.gorgias.com/app/ticket/367230382</t>
    </r>
  </si>
  <si>
    <r>
      <rPr>
        <rFont val="Arial, sans-serif"/>
        <color rgb="FF1155CC"/>
        <u/>
      </rPr>
      <t>https://horizondirect.gorgias.com/app/ticket/366413838</t>
    </r>
  </si>
  <si>
    <r>
      <rPr>
        <rFont val="Arial, sans-serif"/>
        <color rgb="FF1155CC"/>
        <u/>
      </rPr>
      <t>https://horizondirect.gorgias.com/app/ticket/367244037</t>
    </r>
  </si>
  <si>
    <t>https://horizondirect.gorgias.com/app/ticket/367429596</t>
  </si>
  <si>
    <t>https://horizondirect.gorgias.com/app/ticket/366553900</t>
  </si>
  <si>
    <t>https://horizondirect.gorgias.com/app/ticket/367419614</t>
  </si>
  <si>
    <t>https://horizondirect.gorgias.com/app/ticket/366444768</t>
  </si>
  <si>
    <t>https://horizondirect.gorgias.com/app/ticket/366433751</t>
  </si>
  <si>
    <r>
      <rPr>
        <rFont val="Arial, sans-serif"/>
        <color rgb="FF1155CC"/>
        <u/>
      </rPr>
      <t>https://horizondirect.gorgias.com/app/ticket/366702350</t>
    </r>
  </si>
  <si>
    <t>WEEK: February 9 ,2026 - February 15,2026</t>
  </si>
  <si>
    <r>
      <rPr>
        <rFont val="Arial, sans-serif"/>
        <color rgb="FF1155CC"/>
        <u/>
      </rPr>
      <t>https://horizondirect.gorgias.com/app/ticket/366711814</t>
    </r>
  </si>
  <si>
    <r>
      <rPr>
        <rFont val="Arial, sans-serif"/>
        <color rgb="FF1155CC"/>
        <u/>
      </rPr>
      <t>https://horizondirect.gorgias.com/app/ticket/366728064</t>
    </r>
  </si>
  <si>
    <t>https://horizondirect.gorgias.com/app/ticket/367421524</t>
  </si>
  <si>
    <r>
      <rPr>
        <rFont val="Arial, sans-serif"/>
        <color rgb="FF1155CC"/>
        <u/>
      </rPr>
      <t>https://horizondirect.gorgias.com/app/ticket/366845116</t>
    </r>
  </si>
  <si>
    <r>
      <rPr>
        <rFont val="Arial, sans-serif"/>
        <color rgb="FF1155CC"/>
        <u/>
      </rPr>
      <t>https://horizondirect.gorgias.com/app/ticket/366852407</t>
    </r>
  </si>
  <si>
    <r>
      <rPr>
        <rFont val="Arial, sans-serif"/>
        <color rgb="FF1155CC"/>
        <u/>
      </rPr>
      <t>https://horizondirect.gorgias.com/app/ticket/367595705</t>
    </r>
  </si>
  <si>
    <r>
      <rPr>
        <rFont val="Arial, sans-serif"/>
        <color rgb="FF1155CC"/>
        <u/>
      </rPr>
      <t>https://horizondirect.gorgias.com/app/ticket/367626029</t>
    </r>
  </si>
  <si>
    <r>
      <rPr>
        <rFont val="Arial, sans-serif"/>
        <color rgb="FF1155CC"/>
        <u/>
      </rPr>
      <t>https://horizondirect.gorgias.com/app/ticket/366866689</t>
    </r>
  </si>
  <si>
    <r>
      <rPr>
        <rFont val="Arial, sans-serif"/>
        <color rgb="FF1155CC"/>
        <u/>
      </rPr>
      <t>https://horizondirect.gorgias.com/app/ticket/367746415</t>
    </r>
  </si>
  <si>
    <r>
      <rPr>
        <rFont val="Arial, sans-serif"/>
        <color rgb="FF1155CC"/>
        <u/>
      </rPr>
      <t>https://horizondirect.gorgias.com/app/ticket/367750258</t>
    </r>
  </si>
  <si>
    <r>
      <rPr>
        <rFont val="Arial, sans-serif"/>
        <color rgb="FF1155CC"/>
        <u/>
      </rPr>
      <t>https://horizondirect.gorgias.com/app/ticket/367751139</t>
    </r>
  </si>
  <si>
    <r>
      <rPr>
        <rFont val="Arial, sans-serif"/>
        <color rgb="FF1155CC"/>
        <u/>
      </rPr>
      <t>https://horizondirect.gorgias.com/app/ticket/367215196</t>
    </r>
  </si>
  <si>
    <r>
      <rPr>
        <rFont val="Arial, sans-serif"/>
        <color rgb="FF1155CC"/>
        <u/>
      </rPr>
      <t>https://horizondirect.gorgias.com/app/ticket/367752140</t>
    </r>
  </si>
  <si>
    <r>
      <rPr>
        <rFont val="Arial, sans-serif"/>
        <color rgb="FF1155CC"/>
        <u/>
      </rPr>
      <t>https://horizondirect.gorgias.com/app/ticket/368011544</t>
    </r>
  </si>
  <si>
    <r>
      <rPr>
        <rFont val="Arial, sans-serif"/>
        <color rgb="FF1155CC"/>
        <u/>
      </rPr>
      <t>https://horizondirect.gorgias.com/app/ticket/367231058</t>
    </r>
  </si>
  <si>
    <r>
      <rPr>
        <rFont val="Arial, sans-serif"/>
        <color rgb="FF1155CC"/>
        <u/>
      </rPr>
      <t>https://horizondirect.gorgias.com/app/ticket/367245134</t>
    </r>
  </si>
  <si>
    <t>https://horizondirect.gorgias.com/app/ticket/367424637</t>
  </si>
  <si>
    <t>78</t>
  </si>
  <si>
    <t>138</t>
  </si>
  <si>
    <t>151</t>
  </si>
  <si>
    <t>163</t>
  </si>
  <si>
    <t>140</t>
  </si>
  <si>
    <t>30</t>
  </si>
  <si>
    <t>76</t>
  </si>
  <si>
    <t>136</t>
  </si>
  <si>
    <t>147</t>
  </si>
  <si>
    <t>118</t>
  </si>
  <si>
    <t>161</t>
  </si>
  <si>
    <r>
      <rPr>
        <rFont val="Arial, sans-serif"/>
        <color rgb="FF1155CC"/>
        <u/>
      </rPr>
      <t>https://horizondirect.gorgias.com/app/ticket/368017467</t>
    </r>
  </si>
  <si>
    <t>139</t>
  </si>
  <si>
    <t>https://horizondirect.gorgias.com/app/ticket/367413343</t>
  </si>
  <si>
    <t>https://horizondirect.gorgias.com/app/ticket/367404055</t>
  </si>
  <si>
    <r>
      <rPr>
        <rFont val="Arial, sans-serif"/>
        <color rgb="FF1155CC"/>
        <u/>
      </rPr>
      <t>https://horizondirect.gorgias.com/app/ticket/368019648</t>
    </r>
  </si>
  <si>
    <r>
      <rPr>
        <rFont val="Arial, sans-serif"/>
        <color rgb="FF1155CC"/>
        <u/>
      </rPr>
      <t>https://horizondirect.gorgias.com/app/ticket/367571459</t>
    </r>
  </si>
  <si>
    <r>
      <rPr>
        <rFont val="Arial, sans-serif"/>
        <color rgb="FF1155CC"/>
        <u/>
      </rPr>
      <t>https://horizondirect.gorgias.com/app/ticket/367578982</t>
    </r>
  </si>
  <si>
    <r>
      <rPr>
        <rFont val="Arial, sans-serif"/>
        <color rgb="FF1155CC"/>
        <u/>
      </rPr>
      <t>https://horizondirect.gorgias.com/app/ticket/367595032</t>
    </r>
  </si>
  <si>
    <t>Week (December 1 ,2025 = December 7,2025)</t>
  </si>
  <si>
    <r>
      <rPr>
        <rFont val="Arial, sans-serif"/>
        <color rgb="FF1155CC"/>
        <u/>
      </rPr>
      <t>https://horizondirect.gorgias.com/app/ticket/367764919</t>
    </r>
  </si>
  <si>
    <r>
      <rPr>
        <rFont val="Arial, sans-serif"/>
        <color rgb="FF1155CC"/>
        <u/>
      </rPr>
      <t>https://horizondirect.gorgias.com/app/ticket/367768283</t>
    </r>
  </si>
  <si>
    <t>TONE OF VOICE &amp; 
ELOQUENCE
20%</t>
  </si>
  <si>
    <t>PROBING
5%</t>
  </si>
  <si>
    <t>https://horizondirect.gorgias.com/app/ticket/368472406</t>
  </si>
  <si>
    <r>
      <rPr>
        <rFont val="Arial, sans-serif"/>
        <color rgb="FF1155CC"/>
        <u/>
      </rPr>
      <t>https://horizondirect.gorgias.com/app/ticket/367770772</t>
    </r>
  </si>
  <si>
    <t>https://horizondirect.gorgias.com/app/ticket/367934168</t>
  </si>
  <si>
    <t>https://horizondirect.gorgias.com/app/ticket/367928127</t>
  </si>
  <si>
    <t>https://horizondirect.gorgias.com/app/ticket/367930611</t>
  </si>
  <si>
    <t>https://horizondirect.gorgias.com/app/ticket/368469917</t>
  </si>
  <si>
    <t>https://horizondirect.gorgias.com/app/ticket/368468081</t>
  </si>
  <si>
    <t>LYRA ATTENDANCE</t>
  </si>
  <si>
    <t>Total Work Hours</t>
  </si>
  <si>
    <r>
      <rPr>
        <rFont val="Arial, sans-serif"/>
        <color rgb="FF1155CC"/>
        <u/>
      </rPr>
      <t>https://horizondirect.gorgias.com/app/ticket/368675354</t>
    </r>
  </si>
  <si>
    <t>https://horizondirect.gorgias.com/app/ticket/368499829</t>
  </si>
  <si>
    <t>WEEK: February 16 - February 22</t>
  </si>
  <si>
    <r>
      <rPr>
        <rFont val="Arial, sans-serif"/>
        <color rgb="FF1155CC"/>
        <u/>
      </rPr>
      <t>https://horizondirect.gorgias.com/app/ticket/368678123</t>
    </r>
  </si>
  <si>
    <r>
      <rPr>
        <rFont val="Arial, sans-serif"/>
        <color rgb="FF1155CC"/>
        <u/>
      </rPr>
      <t>https://horizondirect.gorgias.com/app/ticket/368680103</t>
    </r>
  </si>
  <si>
    <t>https://horizondirect.gorgias.com/app/ticket/368497600</t>
  </si>
  <si>
    <t>https://horizondirect.gorgias.com/app/ticket/368493993</t>
  </si>
  <si>
    <r>
      <rPr>
        <rFont val="Arial, sans-serif"/>
        <color rgb="FF1155CC"/>
        <u/>
      </rPr>
      <t>https://horizondirect.gorgias.com/app/ticket/368818347</t>
    </r>
  </si>
  <si>
    <t xml:space="preserve">CSR should've offered to reprocess the order while on the call to make sure the cx will avail the 2.0  </t>
  </si>
  <si>
    <r>
      <rPr>
        <rFont val="Arial, sans-serif"/>
        <color rgb="FF1155CC"/>
        <u/>
      </rPr>
      <t>https://horizondirect.gorgias.com/app/ticket/368651476</t>
    </r>
  </si>
  <si>
    <r>
      <rPr>
        <rFont val="Arial, sans-serif"/>
        <color rgb="FF1155CC"/>
        <u/>
      </rPr>
      <t>https://horizondirect.gorgias.com/app/ticket/368829070</t>
    </r>
  </si>
  <si>
    <r>
      <rPr>
        <rFont val="Arial, sans-serif"/>
        <color rgb="FF1155CC"/>
        <u/>
      </rPr>
      <t>https://horizondirect.gorgias.com/app/ticket/368660855</t>
    </r>
  </si>
  <si>
    <r>
      <rPr>
        <rFont val="Arial, sans-serif"/>
        <color rgb="FF1155CC"/>
        <u/>
      </rPr>
      <t>https://horizondirect.gorgias.com/app/ticket/368700742</t>
    </r>
  </si>
  <si>
    <r>
      <rPr>
        <rFont val="Arial, sans-serif"/>
        <color rgb="FF1155CC"/>
        <u/>
      </rPr>
      <t>https://horizondirect.gorgias.com/app/ticket/368831055</t>
    </r>
  </si>
  <si>
    <r>
      <rPr>
        <rFont val="Arial, sans-serif"/>
        <color rgb="FF1155CC"/>
        <u/>
      </rPr>
      <t>https://horizondirect.gorgias.com/app/ticket/368995174</t>
    </r>
  </si>
  <si>
    <r>
      <rPr>
        <rFont val="Arial, sans-serif"/>
        <color rgb="FF1155CC"/>
        <u/>
      </rPr>
      <t>https://horizondirect.gorgias.com/app/ticket/369000225</t>
    </r>
  </si>
  <si>
    <r>
      <rPr>
        <rFont val="Arial, sans-serif"/>
        <color rgb="FF1155CC"/>
        <u/>
      </rPr>
      <t>https://horizondirect.gorgias.com/app/ticket/369075487</t>
    </r>
  </si>
  <si>
    <t>WEEK: February 16 ,2026 - February 22,2026</t>
  </si>
  <si>
    <r>
      <rPr>
        <rFont val="Arial, sans-serif"/>
        <color rgb="FF1155CC"/>
        <u/>
      </rPr>
      <t>https://horizondirect.gorgias.com/app/ticket/369002651</t>
    </r>
  </si>
  <si>
    <r>
      <rPr>
        <rFont val="Arial, sans-serif"/>
        <color rgb="FF1155CC"/>
        <u/>
      </rPr>
      <t>https://horizondirect.gorgias.com/app/ticket/369078688</t>
    </r>
  </si>
  <si>
    <t>https://horizondirect.gorgias.com/app/ticket/369000225</t>
  </si>
  <si>
    <r>
      <rPr>
        <rFont val="Arial, sans-serif"/>
        <color rgb="FF1155CC"/>
        <u/>
      </rPr>
      <t>https://horizondirect.gorgias.com/app/ticket/369221160</t>
    </r>
  </si>
  <si>
    <t>WEEK: February 16 ,2026 - February 23,2026</t>
  </si>
  <si>
    <r>
      <rPr>
        <rFont val="Arial, sans-serif"/>
        <color rgb="FF1155CC"/>
        <u/>
      </rPr>
      <t>https://horizondirect.gorgias.com/app/ticket/369224995</t>
    </r>
  </si>
  <si>
    <r>
      <rPr>
        <rFont val="Arial, sans-serif"/>
        <color rgb="FF1155CC"/>
        <u/>
      </rPr>
      <t>https://horizondirect.gorgias.com/app/ticket/369089846</t>
    </r>
  </si>
  <si>
    <t>https://horizondirect.gorgias.com/app/ticket/369496027</t>
  </si>
  <si>
    <r>
      <rPr>
        <rFont val="Arial, sans-serif"/>
        <color rgb="FF1155CC"/>
        <u/>
      </rPr>
      <t>https://horizondirect.gorgias.com/app/ticket/369365824</t>
    </r>
  </si>
  <si>
    <t>Should've offered 50% refund since it is an international order</t>
  </si>
  <si>
    <t>https://horizondirect.gorgias.com/app/ticket/369502961</t>
  </si>
  <si>
    <r>
      <rPr>
        <rFont val="Arial, sans-serif"/>
        <color rgb="FF1155CC"/>
        <u/>
      </rPr>
      <t>https://horizondirect.gorgias.com/app/ticket/369370982</t>
    </r>
  </si>
  <si>
    <r>
      <rPr>
        <rFont val="Arial, sans-serif"/>
        <color rgb="FF1155CC"/>
        <u/>
      </rPr>
      <t>https://horizondirect.gorgias.com/app/ticket/369383165</t>
    </r>
  </si>
  <si>
    <t>https://horizondirect.gorgias.com/app/ticket/369509541</t>
  </si>
  <si>
    <t>Week (December 8 ,2025 = December 14,2025)</t>
  </si>
  <si>
    <r>
      <rPr>
        <rFont val="Arial, sans-serif"/>
        <color rgb="FF1155CC"/>
        <u/>
      </rPr>
      <t>https://horizondirect.gorgias.com/app/ticket/369648140</t>
    </r>
  </si>
  <si>
    <r>
      <rPr>
        <rFont val="Arial, sans-serif"/>
        <color rgb="FF1155CC"/>
        <u/>
      </rPr>
      <t>https://horizondirect.gorgias.com/app/ticket/369660386</t>
    </r>
  </si>
  <si>
    <r>
      <rPr>
        <rFont val="Arial, sans-serif"/>
        <color rgb="FF1155CC"/>
        <u/>
      </rPr>
      <t>https://horizondirect.gorgias.com/app/ticket/369655526</t>
    </r>
  </si>
  <si>
    <r>
      <rPr>
        <rFont val="Arial, sans-serif"/>
        <color rgb="FF1155CC"/>
        <u/>
      </rPr>
      <t>https://horizondirect.gorgias.com/app/ticket/369664381</t>
    </r>
  </si>
  <si>
    <t>https://horizondirect.gorgias.com/app/ticket/369901960</t>
  </si>
  <si>
    <t>https://horizondirect.gorgias.com/app/ticket/369883511</t>
  </si>
  <si>
    <r>
      <rPr>
        <rFont val="Arial, sans-serif"/>
        <color rgb="FF1155CC"/>
        <u/>
      </rPr>
      <t>https://horizondirect.gorgias.com/app/ticket/369669847</t>
    </r>
  </si>
  <si>
    <t>https://horizondirect.gorgias.com/app/ticket/369870149</t>
  </si>
  <si>
    <r>
      <rPr>
        <rFont val="Arial, sans-serif"/>
        <color rgb="FF1155CC"/>
        <u/>
      </rPr>
      <t>https://horizondirect.gorgias.com/app/ticket/369685794</t>
    </r>
  </si>
  <si>
    <t>https://horizondirect.gorgias.com/app/ticket/370079604</t>
  </si>
  <si>
    <t>https://horizondirect.gorgias.com/app/ticket/369864637</t>
  </si>
  <si>
    <t>https://horizondirect.gorgias.com/app/ticket/370090617</t>
  </si>
  <si>
    <t>https://horizondirect.gorgias.com/app/ticket/369879193</t>
  </si>
  <si>
    <t>https://horizondirect.gorgias.com/app/ticket/370096309</t>
  </si>
  <si>
    <r>
      <rPr>
        <rFont val="Arial, sans-serif"/>
        <color rgb="FF1155CC"/>
        <u/>
      </rPr>
      <t>https://horizondirect.gorgias.com/app/ticket/370229406</t>
    </r>
  </si>
  <si>
    <t>https://horizondirect.gorgias.com/app/ticket/369886217</t>
  </si>
  <si>
    <r>
      <rPr>
        <rFont val="Arial, sans-serif"/>
        <color rgb="FF1155CC"/>
        <u/>
      </rPr>
      <t>https://horizondirect.gorgias.com/app/ticket/370280221</t>
    </r>
  </si>
  <si>
    <r>
      <rPr>
        <rFont val="Arial, sans-serif"/>
        <color rgb="FF1155CC"/>
        <u/>
      </rPr>
      <t>https://horizondirect.gorgias.com/app/ticket/370286996</t>
    </r>
  </si>
  <si>
    <t>108</t>
  </si>
  <si>
    <t>166</t>
  </si>
  <si>
    <t>https://horizondirect.gorgias.com/app/ticket/370440589</t>
  </si>
  <si>
    <t>153</t>
  </si>
  <si>
    <t>120</t>
  </si>
  <si>
    <t>99</t>
  </si>
  <si>
    <t>106</t>
  </si>
  <si>
    <t>165</t>
  </si>
  <si>
    <t>https://horizondirect.gorgias.com/app/ticket/370442322</t>
  </si>
  <si>
    <t>https://horizondirect.gorgias.com/app/ticket/370454068</t>
  </si>
  <si>
    <t>https://horizondirect.gorgias.com/app/ticket/370078599</t>
  </si>
  <si>
    <t>https://horizondirect.gorgias.com/app/ticket/370080773</t>
  </si>
  <si>
    <t>98</t>
  </si>
  <si>
    <t>Week (December 15 ,2025 = December 21,2025)</t>
  </si>
  <si>
    <t>https://horizondirect.gorgias.com/app/ticket/370107875</t>
  </si>
  <si>
    <t>https://horizondirect.gorgias.com/app/ticket/370828342</t>
  </si>
  <si>
    <r>
      <rPr>
        <rFont val="Arial, sans-serif"/>
        <color rgb="FF1155CC"/>
        <u/>
      </rPr>
      <t>https://horizondirect.gorgias.com/app/ticket/370210260</t>
    </r>
  </si>
  <si>
    <t>https://horizondirect.gorgias.com/app/ticket/370841136</t>
  </si>
  <si>
    <r>
      <rPr>
        <rFont val="Arial, sans-serif"/>
        <color rgb="FF1155CC"/>
        <u/>
      </rPr>
      <t>https://horizondirect.gorgias.com/app/ticket/370252371</t>
    </r>
  </si>
  <si>
    <t>https://horizondirect.gorgias.com/app/ticket/370851321</t>
  </si>
  <si>
    <t>https://horizondirect.gorgias.com/app/ticket/370980479</t>
  </si>
  <si>
    <t>https://horizondirect.gorgias.com/app/ticket/370988430</t>
  </si>
  <si>
    <t>https://horizondirect.gorgias.com/app/ticket/371000738</t>
  </si>
  <si>
    <r>
      <rPr>
        <rFont val="Arial, sans-serif"/>
        <color rgb="FF1155CC"/>
        <u/>
      </rPr>
      <t>https://horizondirect.gorgias.com/app/ticket/370260317</t>
    </r>
  </si>
  <si>
    <t>https://horizondirect.gorgias.com/app/ticket/371155848</t>
  </si>
  <si>
    <t>https://horizondirect.gorgias.com/app/ticket/371163740</t>
  </si>
  <si>
    <t>https://horizondirect.gorgias.com/app/ticket/370417260</t>
  </si>
  <si>
    <t>https://horizondirect.gorgias.com/app/ticket/371170052</t>
  </si>
  <si>
    <t>https://horizondirect.gorgias.com/app/ticket/370428588</t>
  </si>
  <si>
    <r>
      <rPr>
        <rFont val="Arial, sans-serif"/>
        <color rgb="FF1155CC"/>
        <u/>
      </rPr>
      <t>https://horizondirect.gorgias.com/app/ticket/371308145</t>
    </r>
  </si>
  <si>
    <r>
      <rPr>
        <rFont val="Arial, sans-serif"/>
        <color rgb="FF1155CC"/>
        <u/>
      </rPr>
      <t>https://horizondirect.gorgias.com/app/ticket/371317483</t>
    </r>
  </si>
  <si>
    <t>https://horizondirect.gorgias.com/app/ticket/370451917</t>
  </si>
  <si>
    <r>
      <rPr>
        <rFont val="Arial, sans-serif"/>
        <color rgb="FF1155CC"/>
        <u/>
      </rPr>
      <t>https://horizondirect.gorgias.com/app/ticket/371328406</t>
    </r>
  </si>
  <si>
    <t xml:space="preserve">Sounds muffled at the start </t>
  </si>
  <si>
    <r>
      <rPr>
        <rFont val="Arial, sans-serif"/>
        <color rgb="FF1155CC"/>
        <u/>
      </rPr>
      <t>https://horizondirect.gorgias.com/app/ticket/371449923</t>
    </r>
  </si>
  <si>
    <r>
      <rPr>
        <rFont val="Arial, sans-serif"/>
        <color rgb="FF1155CC"/>
        <u/>
      </rPr>
      <t>https://horizondirect.gorgias.com/app/ticket/371462354</t>
    </r>
  </si>
  <si>
    <r>
      <rPr>
        <rFont val="Arial, sans-serif"/>
        <color rgb="FF1155CC"/>
        <u/>
      </rPr>
      <t>https://horizondirect.gorgias.com/app/ticket/371475027</t>
    </r>
  </si>
  <si>
    <t>https://horizondirect.gorgias.com/app/ticket/370986260</t>
  </si>
  <si>
    <t>WEEK: February 23 - March 1, 2026</t>
  </si>
  <si>
    <t>Week (December 22 ,2025 = December 28,2025)</t>
  </si>
  <si>
    <t>https://horizondirect.gorgias.com/app/ticket/371865405</t>
  </si>
  <si>
    <t>https://horizondirect.gorgias.com/app/ticket/370991586</t>
  </si>
  <si>
    <t>https://horizondirect.gorgias.com/app/ticket/371002401</t>
  </si>
  <si>
    <t>https://horizondirect.gorgias.com/app/ticket/371176650</t>
  </si>
  <si>
    <t>https://horizondirect.gorgias.com/app/ticket/371156687</t>
  </si>
  <si>
    <t>https://horizondirect.gorgias.com/app/ticket/371876851</t>
  </si>
  <si>
    <t>https://horizondirect.gorgias.com/app/ticket/371165755</t>
  </si>
  <si>
    <t>https://horizondirect.gorgias.com/app/ticket/371880249</t>
  </si>
  <si>
    <t>Absent</t>
  </si>
  <si>
    <t>https://horizondirect.gorgias.com/app/ticket/372004622</t>
  </si>
  <si>
    <t>WEEK: February 23 ,2026 - March 1,2026</t>
  </si>
  <si>
    <t>https://horizondirect.gorgias.com/app/ticket/372006388</t>
  </si>
  <si>
    <t>https://horizondirect.gorgias.com/app/ticket/372029376</t>
  </si>
  <si>
    <t>HOLIDAY</t>
  </si>
  <si>
    <r>
      <rPr>
        <rFont val="Arial, sans-serif"/>
        <color rgb="FF1155CC"/>
        <u/>
      </rPr>
      <t>https://horizondirect.gorgias.com/app/ticket/371516536</t>
    </r>
  </si>
  <si>
    <r>
      <rPr>
        <rFont val="Arial, sans-serif"/>
        <color rgb="FF1155CC"/>
        <u/>
      </rPr>
      <t>https://horizondirect.gorgias.com/app/ticket/372209300</t>
    </r>
  </si>
  <si>
    <r>
      <rPr>
        <rFont val="Arial, sans-serif"/>
        <color rgb="FF1155CC"/>
        <u/>
      </rPr>
      <t>https://horizondirect.gorgias.com/app/ticket/371516951</t>
    </r>
  </si>
  <si>
    <r>
      <rPr>
        <rFont val="Arial, sans-serif"/>
        <color rgb="FF1155CC"/>
        <u/>
      </rPr>
      <t>https://horizondirect.gorgias.com/app/ticket/372216857</t>
    </r>
  </si>
  <si>
    <r>
      <rPr>
        <rFont val="Arial, sans-serif"/>
        <color rgb="FF1155CC"/>
        <u/>
      </rPr>
      <t>https://horizondirect.gorgias.com/app/ticket/371522776</t>
    </r>
  </si>
  <si>
    <r>
      <rPr>
        <rFont val="Arial, sans-serif"/>
        <color rgb="FF1155CC"/>
        <u/>
      </rPr>
      <t>https://horizondirect.gorgias.com/app/ticket/371688878</t>
    </r>
  </si>
  <si>
    <r>
      <rPr>
        <rFont val="Arial, sans-serif"/>
        <color rgb="FF1155CC"/>
        <u/>
      </rPr>
      <t>https://horizondirect.gorgias.com/app/ticket/372222792</t>
    </r>
  </si>
  <si>
    <r>
      <rPr>
        <rFont val="Arial, sans-serif"/>
        <color rgb="FF1155CC"/>
        <u/>
      </rPr>
      <t>https://horizondirect.gorgias.com/app/ticket/371690435</t>
    </r>
  </si>
  <si>
    <t>https://horizondirect.gorgias.com/app/ticket/372342924</t>
  </si>
  <si>
    <r>
      <rPr>
        <rFont val="Arial, sans-serif"/>
        <color rgb="FF1155CC"/>
        <u/>
      </rPr>
      <t>https://horizondirect.gorgias.com/app/ticket/371693711</t>
    </r>
  </si>
  <si>
    <t>https://horizondirect.gorgias.com/app/ticket/372350818</t>
  </si>
  <si>
    <t>https://horizondirect.gorgias.com/app/ticket/372356167</t>
  </si>
  <si>
    <t>https://horizondirect.gorgias.com/app/ticket/371837097</t>
  </si>
  <si>
    <t>Week (December 29 ,2025 = January 4,2025)</t>
  </si>
  <si>
    <t>https://horizondirect.gorgias.com/app/ticket/372694487</t>
  </si>
  <si>
    <t>https://horizondirect.gorgias.com/app/ticket/371846297</t>
  </si>
  <si>
    <t>https://horizondirect.gorgias.com/app/ticket/372704197</t>
  </si>
  <si>
    <t>121</t>
  </si>
  <si>
    <t>116</t>
  </si>
  <si>
    <t>145</t>
  </si>
  <si>
    <t>127</t>
  </si>
  <si>
    <t>150</t>
  </si>
  <si>
    <t>102</t>
  </si>
  <si>
    <t>https://horizondirect.gorgias.com/app/ticket/371875525</t>
  </si>
  <si>
    <t>https://horizondirect.gorgias.com/app/ticket/372708537</t>
  </si>
  <si>
    <t>123</t>
  </si>
  <si>
    <t>149</t>
  </si>
  <si>
    <t>100</t>
  </si>
  <si>
    <t>https://horizondirect.gorgias.com/app/ticket/372007215</t>
  </si>
  <si>
    <t>https://horizondirect.gorgias.com/app/ticket/372012582</t>
  </si>
  <si>
    <r>
      <rPr>
        <rFont val="Arial, sans-serif"/>
        <color rgb="FF1155CC"/>
        <u/>
      </rPr>
      <t>https://horizondirect.gorgias.com/app/ticket/373044209</t>
    </r>
  </si>
  <si>
    <r>
      <rPr>
        <rFont val="Arial, sans-serif"/>
        <color rgb="FF1155CC"/>
        <u/>
      </rPr>
      <t>https://horizondirect.gorgias.com/app/ticket/373058596</t>
    </r>
  </si>
  <si>
    <t>https://horizondirect.gorgias.com/app/ticket/372024386</t>
  </si>
  <si>
    <r>
      <rPr>
        <rFont val="Arial, sans-serif"/>
        <color rgb="FF1155CC"/>
        <u/>
      </rPr>
      <t>https://horizondirect.gorgias.com/app/ticket/373071087</t>
    </r>
  </si>
  <si>
    <r>
      <rPr>
        <rFont val="Arial, sans-serif"/>
        <color rgb="FF1155CC"/>
        <u/>
      </rPr>
      <t>https://horizondirect.gorgias.com/app/ticket/372135421</t>
    </r>
  </si>
  <si>
    <r>
      <rPr>
        <rFont val="Arial, sans-serif"/>
        <color rgb="FF1155CC"/>
        <u/>
      </rPr>
      <t>https://horizondirect.gorgias.com/app/ticket/373169530</t>
    </r>
  </si>
  <si>
    <r>
      <rPr>
        <rFont val="Arial, sans-serif"/>
        <color rgb="FF1155CC"/>
        <u/>
      </rPr>
      <t>https://horizondirect.gorgias.com/app/ticket/372135847</t>
    </r>
  </si>
  <si>
    <r>
      <rPr>
        <rFont val="Arial, sans-serif"/>
        <color rgb="FF1155CC"/>
        <u/>
      </rPr>
      <t>https://horizondirect.gorgias.com/app/ticket/373172685</t>
    </r>
  </si>
  <si>
    <r>
      <rPr>
        <rFont val="Arial, sans-serif"/>
        <color rgb="FF1155CC"/>
        <u/>
      </rPr>
      <t>https://horizondirect.gorgias.com/app/ticket/372136301</t>
    </r>
  </si>
  <si>
    <r>
      <rPr>
        <rFont val="Arial, sans-serif"/>
        <color rgb="FF1155CC"/>
        <u/>
      </rPr>
      <t>https://horizondirect.gorgias.com/app/ticket/373178396</t>
    </r>
  </si>
  <si>
    <t>https://horizondirect.gorgias.com/app/ticket/373385393</t>
  </si>
  <si>
    <t>https://horizondirect.gorgias.com/app/ticket/373389211</t>
  </si>
  <si>
    <t>https://horizondirect.gorgias.com/app/ticket/373393522</t>
  </si>
  <si>
    <t>https://horizondirect.gorgias.com/app/ticket/372543746</t>
  </si>
  <si>
    <t xml:space="preserve">Week (January 5 -11,2026) </t>
  </si>
  <si>
    <t>WEEK: March 2 - March 8, 2026</t>
  </si>
  <si>
    <t>https://horizondirect.gorgias.com/app/ticket/372547794</t>
  </si>
  <si>
    <r>
      <rPr>
        <rFont val="Arial, sans-serif"/>
        <color rgb="FF1155CC"/>
        <u/>
      </rPr>
      <t>https://horizondirect.gorgias.com/app/ticket/373515852</t>
    </r>
  </si>
  <si>
    <t>https://horizondirect.gorgias.com/app/ticket/372549434</t>
  </si>
  <si>
    <r>
      <rPr>
        <rFont val="Arial, sans-serif"/>
        <color rgb="FF1155CC"/>
        <u/>
      </rPr>
      <t>https://horizondirect.gorgias.com/app/ticket/373543725</t>
    </r>
  </si>
  <si>
    <r>
      <rPr>
        <rFont val="Arial, sans-serif"/>
        <color rgb="FF1155CC"/>
        <u/>
      </rPr>
      <t>https://horizondirect.gorgias.com/app/ticket/373551895</t>
    </r>
  </si>
  <si>
    <r>
      <rPr>
        <rFont val="Arial, sans-serif"/>
        <color rgb="FF1155CC"/>
        <u/>
      </rPr>
      <t>https://horizondirect.gorgias.com/app/ticket/373641922</t>
    </r>
  </si>
  <si>
    <t>https://horizondirect.gorgias.com/app/ticket/372691432</t>
  </si>
  <si>
    <r>
      <rPr>
        <rFont val="Arial, sans-serif"/>
        <color rgb="FF1155CC"/>
        <u/>
      </rPr>
      <t>https://horizondirect.gorgias.com/app/ticket/373645857</t>
    </r>
  </si>
  <si>
    <t>Unauthorized offline hours on AC during OT Shift - this falls under negligence</t>
  </si>
  <si>
    <r>
      <rPr>
        <rFont val="Arial, sans-serif"/>
        <color rgb="FF1155CC"/>
        <u/>
      </rPr>
      <t>https://horizondirect.gorgias.com/app/ticket/373650734</t>
    </r>
  </si>
  <si>
    <r>
      <rPr>
        <rFont val="Arial, sans-serif"/>
        <color rgb="FF1155CC"/>
        <u/>
      </rPr>
      <t>https://horizondirect.gorgias.com/app/ticket/373812867</t>
    </r>
  </si>
  <si>
    <t>WEEK: March 2 ,2026 - March 8,2026</t>
  </si>
  <si>
    <r>
      <rPr>
        <rFont val="Arial, sans-serif"/>
        <color rgb="FF1155CC"/>
        <u/>
      </rPr>
      <t>https://horizondirect.gorgias.com/app/ticket/373820543</t>
    </r>
  </si>
  <si>
    <t>Joemica
Carino</t>
  </si>
  <si>
    <t>WEEK: March 2 ,2026 - March 9,2026</t>
  </si>
  <si>
    <t xml:space="preserve">Warranty should've been offered before getting the card details  | Did not include Country, orde ID and refund amount in tagging </t>
  </si>
  <si>
    <r>
      <rPr>
        <rFont val="Arial, sans-serif"/>
        <color rgb="FF1155CC"/>
        <u/>
      </rPr>
      <t>https://horizondirect.gorgias.com/app/ticket/373832016</t>
    </r>
  </si>
  <si>
    <t>https://horizondirect.gorgias.com/app/ticket/372697695</t>
  </si>
  <si>
    <r>
      <rPr>
        <rFont val="Arial, sans-serif"/>
        <color rgb="FF1155CC"/>
        <u/>
      </rPr>
      <t>https://horizondirect.gorgias.com/app/ticket/373961234</t>
    </r>
  </si>
  <si>
    <r>
      <rPr>
        <rFont val="Arial, sans-serif"/>
        <color rgb="FF1155CC"/>
        <u/>
      </rPr>
      <t>https://horizondirect.gorgias.com/app/ticket/373965227</t>
    </r>
  </si>
  <si>
    <t>https://horizondirect.gorgias.com/app/ticket/372700440</t>
  </si>
  <si>
    <r>
      <rPr>
        <rFont val="Arial, sans-serif"/>
        <color rgb="FF1155CC"/>
        <u/>
      </rPr>
      <t>https://horizondirect.gorgias.com/app/ticket/373974382</t>
    </r>
  </si>
  <si>
    <r>
      <rPr>
        <rFont val="Arial, sans-serif"/>
        <color rgb="FF1155CC"/>
        <u/>
      </rPr>
      <t>https://horizondirect.gorgias.com/app/ticket/374090684</t>
    </r>
  </si>
  <si>
    <r>
      <rPr>
        <rFont val="Arial, sans-serif"/>
        <color rgb="FF1155CC"/>
        <u/>
      </rPr>
      <t>https://horizondirect.gorgias.com/app/ticket/374097740</t>
    </r>
  </si>
  <si>
    <t>Joamica Carino</t>
  </si>
  <si>
    <r>
      <rPr>
        <rFont val="Arial, sans-serif"/>
        <color rgb="FF1155CC"/>
        <u/>
      </rPr>
      <t>https://horizondirect.gorgias.com/app/ticket/374120227</t>
    </r>
  </si>
  <si>
    <t xml:space="preserve">Week (January 12 -18,2026) </t>
  </si>
  <si>
    <r>
      <rPr>
        <rFont val="Arial, sans-serif"/>
        <color rgb="FF1155CC"/>
        <u/>
      </rPr>
      <t>https://horizondirect.gorgias.com/app/ticket/373054696</t>
    </r>
  </si>
  <si>
    <t>https://horizondirect.gorgias.com/app/ticket/374445570</t>
  </si>
  <si>
    <r>
      <rPr>
        <rFont val="Arial, sans-serif"/>
        <color rgb="FF1155CC"/>
        <u/>
      </rPr>
      <t>https://horizondirect.gorgias.com/app/ticket/373063696</t>
    </r>
  </si>
  <si>
    <t>https://horizondirect.gorgias.com/app/ticket/374449094</t>
  </si>
  <si>
    <t>https://horizondirect.gorgias.com/app/ticket/374458344</t>
  </si>
  <si>
    <r>
      <rPr>
        <rFont val="Arial, sans-serif"/>
        <color rgb="FF1155CC"/>
        <u/>
      </rPr>
      <t>https://horizondirect.gorgias.com/app/ticket/373074767</t>
    </r>
  </si>
  <si>
    <r>
      <rPr>
        <rFont val="Arial, sans-serif"/>
        <color rgb="FF1155CC"/>
        <u/>
      </rPr>
      <t>https://horizondirect.gorgias.com/app/ticket/374535778</t>
    </r>
  </si>
  <si>
    <r>
      <rPr>
        <rFont val="Arial, sans-serif"/>
        <color rgb="FF1155CC"/>
        <u/>
      </rPr>
      <t>https://horizondirect.gorgias.com/app/ticket/373220070</t>
    </r>
  </si>
  <si>
    <r>
      <rPr>
        <rFont val="Arial, sans-serif"/>
        <color rgb="FF1155CC"/>
        <u/>
      </rPr>
      <t>https://horizondirect.gorgias.com/app/ticket/374559975</t>
    </r>
  </si>
  <si>
    <r>
      <rPr>
        <rFont val="Arial, sans-serif"/>
        <color rgb="FF1155CC"/>
        <u/>
      </rPr>
      <t>https://horizondirect.gorgias.com/app/ticket/373223642</t>
    </r>
  </si>
  <si>
    <r>
      <rPr>
        <rFont val="Arial, sans-serif"/>
        <color rgb="FF1155CC"/>
        <u/>
      </rPr>
      <t>https://horizondirect.gorgias.com/app/ticket/374573744</t>
    </r>
  </si>
  <si>
    <t>Incomplete internal note - Should've included email address and channe l</t>
  </si>
  <si>
    <r>
      <rPr>
        <rFont val="Arial, sans-serif"/>
        <color rgb="FF1155CC"/>
        <u/>
      </rPr>
      <t>https://horizondirect.gorgias.com/app/ticket/374674197</t>
    </r>
  </si>
  <si>
    <r>
      <rPr>
        <rFont val="Arial, sans-serif"/>
        <color rgb="FF1155CC"/>
        <u/>
      </rPr>
      <t>https://horizondirect.gorgias.com/app/ticket/373233387</t>
    </r>
  </si>
  <si>
    <t>168</t>
  </si>
  <si>
    <r>
      <rPr>
        <rFont val="Arial, sans-serif"/>
        <color rgb="FF1155CC"/>
        <u/>
      </rPr>
      <t>https://horizondirect.gorgias.com/app/ticket/374688631</t>
    </r>
  </si>
  <si>
    <t>15</t>
  </si>
  <si>
    <t>111</t>
  </si>
  <si>
    <t>https://horizondirect.gorgias.com/app/ticket/373391404</t>
  </si>
  <si>
    <t>152</t>
  </si>
  <si>
    <t>112</t>
  </si>
  <si>
    <t>179</t>
  </si>
  <si>
    <t>101</t>
  </si>
  <si>
    <r>
      <rPr>
        <rFont val="Arial, sans-serif"/>
        <color rgb="FF1155CC"/>
        <u/>
      </rPr>
      <t>https://horizondirect.gorgias.com/app/ticket/374699624</t>
    </r>
  </si>
  <si>
    <r>
      <rPr>
        <rFont val="Arial, sans-serif"/>
        <color rgb="FF1155CC"/>
        <u/>
      </rPr>
      <t>https://horizondirect.gorgias.com/app/ticket/374817964</t>
    </r>
  </si>
  <si>
    <r>
      <rPr>
        <rFont val="Arial, sans-serif"/>
        <color rgb="FF1155CC"/>
        <u/>
      </rPr>
      <t>https://horizondirect.gorgias.com/app/ticket/374835791</t>
    </r>
  </si>
  <si>
    <t>https://horizondirect.gorgias.com/app/ticket/373394305</t>
  </si>
  <si>
    <r>
      <rPr>
        <rFont val="Arial, sans-serif"/>
        <color rgb="FF1155CC"/>
        <u/>
      </rPr>
      <t>https://horizondirect.gorgias.com/app/ticket/374852963</t>
    </r>
  </si>
  <si>
    <t>https://horizondirect.gorgias.com/app/ticket/373396383</t>
  </si>
  <si>
    <t>https://horizondirect.gorgias.com/app/ticket/374985547</t>
  </si>
  <si>
    <t>https://horizondirect.gorgias.com/app/ticket/374988726</t>
  </si>
  <si>
    <t>https://horizondirect.gorgias.com/app/ticket/374993380</t>
  </si>
  <si>
    <t xml:space="preserve">Week (January 19 -25,2026) </t>
  </si>
  <si>
    <r>
      <rPr>
        <rFont val="Arial, sans-serif"/>
        <color rgb="FF1155CC"/>
        <u/>
      </rPr>
      <t>https://horizondirect.gorgias.com/app/ticket/373512909</t>
    </r>
  </si>
  <si>
    <r>
      <rPr>
        <rFont val="Arial, sans-serif"/>
        <color rgb="FF1155CC"/>
        <u/>
      </rPr>
      <t>https://horizondirect.gorgias.com/app/ticket/375248329</t>
    </r>
  </si>
  <si>
    <r>
      <rPr>
        <rFont val="Arial, sans-serif"/>
        <color rgb="FF1155CC"/>
        <u/>
      </rPr>
      <t>https://horizondirect.gorgias.com/app/ticket/373518825</t>
    </r>
  </si>
  <si>
    <r>
      <rPr>
        <rFont val="Arial, sans-serif"/>
        <color rgb="FF1155CC"/>
        <u/>
      </rPr>
      <t>https://horizondirect.gorgias.com/app/ticket/375249694</t>
    </r>
  </si>
  <si>
    <r>
      <rPr>
        <rFont val="Arial, sans-serif"/>
        <color rgb="FF1155CC"/>
        <u/>
      </rPr>
      <t>https://horizondirect.gorgias.com/app/ticket/375253676</t>
    </r>
  </si>
  <si>
    <r>
      <rPr>
        <rFont val="Arial, sans-serif"/>
        <color rgb="FF1155CC"/>
        <u/>
      </rPr>
      <t>https://horizondirect.gorgias.com/app/ticket/373519631</t>
    </r>
  </si>
  <si>
    <t>https://horizondirect.gorgias.com/app/ticket/375443881</t>
  </si>
  <si>
    <t>https://horizondirect.gorgias.com/app/ticket/375440638</t>
  </si>
  <si>
    <r>
      <rPr>
        <rFont val="Arial, sans-serif"/>
        <color rgb="FF1155CC"/>
        <u/>
      </rPr>
      <t>https://horizondirect.gorgias.com/app/ticket/373658738</t>
    </r>
  </si>
  <si>
    <t>https://horizondirect.gorgias.com/app/ticket/375446066</t>
  </si>
  <si>
    <r>
      <rPr>
        <rFont val="Arial, sans-serif"/>
        <color rgb="FF1155CC"/>
        <u/>
      </rPr>
      <t>https://horizondirect.gorgias.com/app/ticket/375530670</t>
    </r>
  </si>
  <si>
    <r>
      <rPr>
        <rFont val="Arial, sans-serif"/>
        <color rgb="FF1155CC"/>
        <u/>
      </rPr>
      <t>https://horizondirect.gorgias.com/app/ticket/373664619</t>
    </r>
  </si>
  <si>
    <r>
      <rPr>
        <rFont val="Arial, sans-serif"/>
        <color rgb="FF1155CC"/>
        <u/>
      </rPr>
      <t>https://horizondirect.gorgias.com/app/ticket/375543179</t>
    </r>
  </si>
  <si>
    <r>
      <rPr>
        <rFont val="Arial, sans-serif"/>
        <color rgb="FF1155CC"/>
        <u/>
      </rPr>
      <t>https://horizondirect.gorgias.com/app/ticket/373668664</t>
    </r>
  </si>
  <si>
    <t>TRIAL STAGE</t>
  </si>
  <si>
    <t>WEEK: March 9 ,2026 - March 15,2026</t>
  </si>
  <si>
    <r>
      <rPr>
        <rFont val="Arial, sans-serif"/>
        <color rgb="FF1155CC"/>
        <u/>
      </rPr>
      <t>https://horizondirect.gorgias.com/app/ticket/375549828</t>
    </r>
  </si>
  <si>
    <r>
      <rPr>
        <rFont val="Arial, sans-serif"/>
        <color rgb="FF1155CC"/>
        <u/>
      </rPr>
      <t>https://horizondirect.gorgias.com/app/ticket/373811598</t>
    </r>
  </si>
  <si>
    <r>
      <rPr>
        <rFont val="Arial, sans-serif"/>
        <color rgb="FF1155CC"/>
        <u/>
      </rPr>
      <t>https://horizondirect.gorgias.com/app/ticket/375694128</t>
    </r>
  </si>
  <si>
    <r>
      <rPr>
        <rFont val="Arial, sans-serif"/>
        <color rgb="FF1155CC"/>
        <u/>
      </rPr>
      <t>https://horizondirect.gorgias.com/app/ticket/373820345</t>
    </r>
  </si>
  <si>
    <r>
      <rPr>
        <rFont val="Arial, sans-serif"/>
        <color rgb="FF1155CC"/>
        <u/>
      </rPr>
      <t>https://horizondirect.gorgias.com/app/ticket/375699782</t>
    </r>
  </si>
  <si>
    <r>
      <rPr>
        <rFont val="Arial, sans-serif"/>
        <color rgb="FF1155CC"/>
        <u/>
      </rPr>
      <t>https://horizondirect.gorgias.com/app/ticket/373822214</t>
    </r>
  </si>
  <si>
    <r>
      <rPr>
        <rFont val="Arial, sans-serif"/>
        <color rgb="FF1155CC"/>
        <u/>
      </rPr>
      <t>https://horizondirect.gorgias.com/app/ticket/375714434</t>
    </r>
  </si>
  <si>
    <t>https://horizondirect.gorgias.com/app/ticket/376001944</t>
  </si>
  <si>
    <t>https://horizondirect.gorgias.com/app/ticket/376007766</t>
  </si>
  <si>
    <t>https://horizondirect.gorgias.com/app/ticket/375741759</t>
  </si>
  <si>
    <r>
      <rPr>
        <rFont val="Arial, sans-serif"/>
        <color rgb="FF1155CC"/>
        <u/>
      </rPr>
      <t>https://horizondirect.gorgias.com/app/ticket/373989945</t>
    </r>
  </si>
  <si>
    <t>WEEK: March 9 - March 15, 2026</t>
  </si>
  <si>
    <t xml:space="preserve">Week (January 26 -Feb 1 ,2026) </t>
  </si>
  <si>
    <r>
      <rPr>
        <rFont val="Arial, sans-serif"/>
        <color rgb="FF1155CC"/>
        <u/>
      </rPr>
      <t>https://horizondirect.gorgias.com/app/ticket/373997381</t>
    </r>
  </si>
  <si>
    <r>
      <rPr>
        <rFont val="Arial, sans-serif"/>
        <color rgb="FF1155CC"/>
        <u/>
      </rPr>
      <t>https://horizondirect.gorgias.com/app/ticket/376138360</t>
    </r>
  </si>
  <si>
    <r>
      <rPr>
        <rFont val="Arial, sans-serif"/>
        <color rgb="FF1155CC"/>
        <u/>
      </rPr>
      <t>https://horizondirect.gorgias.com/app/ticket/373998640</t>
    </r>
  </si>
  <si>
    <r>
      <rPr>
        <rFont val="Arial, sans-serif"/>
        <color rgb="FF1155CC"/>
        <u/>
      </rPr>
      <t>https://horizondirect.gorgias.com/app/ticket/374141832</t>
    </r>
  </si>
  <si>
    <r>
      <rPr>
        <rFont val="Arial, sans-serif"/>
        <color rgb="FF1155CC"/>
        <u/>
      </rPr>
      <t>https://horizondirect.gorgias.com/app/ticket/376157694</t>
    </r>
  </si>
  <si>
    <r>
      <rPr>
        <rFont val="Arial, sans-serif"/>
        <color rgb="FF1155CC"/>
        <u/>
      </rPr>
      <t>https://horizondirect.gorgias.com/app/ticket/374142467</t>
    </r>
  </si>
  <si>
    <r>
      <rPr>
        <rFont val="Arial, sans-serif"/>
        <color rgb="FF1155CC"/>
        <u/>
      </rPr>
      <t>https://horizondirect.gorgias.com/app/ticket/374145599</t>
    </r>
  </si>
  <si>
    <r>
      <rPr>
        <rFont val="Arial, sans-serif"/>
        <color rgb="FF1155CC"/>
        <u/>
      </rPr>
      <t>https://horizondirect.gorgias.com/app/ticket/376159903</t>
    </r>
  </si>
  <si>
    <r>
      <rPr>
        <rFont val="Arial, sans-serif"/>
        <color rgb="FF1155CC"/>
        <u/>
      </rPr>
      <t>https://horizondirect.gorgias.com/app/ticket/376406393</t>
    </r>
  </si>
  <si>
    <r>
      <rPr>
        <rFont val="Arial, sans-serif"/>
        <color rgb="FF1155CC"/>
        <u/>
      </rPr>
      <t>https://horizondirect.gorgias.com/app/ticket/376420605</t>
    </r>
  </si>
  <si>
    <r>
      <rPr>
        <rFont val="Arial, sans-serif"/>
        <color rgb="FF1155CC"/>
        <u/>
      </rPr>
      <t>https://horizondirect.gorgias.com/app/ticket/376443595</t>
    </r>
  </si>
  <si>
    <t>156</t>
  </si>
  <si>
    <t>94</t>
  </si>
  <si>
    <t>72</t>
  </si>
  <si>
    <t>https://horizondirect.gorgias.com/app/ticket/374436138</t>
  </si>
  <si>
    <t>93</t>
  </si>
  <si>
    <r>
      <rPr>
        <rFont val="Arial, sans-serif"/>
        <color rgb="FF1155CC"/>
        <u/>
      </rPr>
      <t>https://horizondirect.gorgias.com/app/ticket/376546923</t>
    </r>
  </si>
  <si>
    <t>70</t>
  </si>
  <si>
    <r>
      <rPr>
        <rFont val="Arial, sans-serif"/>
        <color rgb="FF1155CC"/>
        <u/>
      </rPr>
      <t>https://horizondirect.gorgias.com/app/ticket/376578399</t>
    </r>
  </si>
  <si>
    <t>https://horizondirect.gorgias.com/app/ticket/374435012</t>
  </si>
  <si>
    <t>https://horizondirect.gorgias.com/app/ticket/374442872</t>
  </si>
  <si>
    <r>
      <rPr>
        <rFont val="Arial, sans-serif"/>
        <color rgb="FF1155CC"/>
        <u/>
      </rPr>
      <t>https://horizondirect.gorgias.com/app/ticket/376601462</t>
    </r>
  </si>
  <si>
    <r>
      <rPr>
        <rFont val="Arial, sans-serif"/>
        <color rgb="FF1155CC"/>
        <u/>
      </rPr>
      <t>https://horizondirect.gorgias.com/app/ticket/374539824</t>
    </r>
  </si>
  <si>
    <r>
      <rPr>
        <rFont val="Arial, sans-serif"/>
        <color rgb="FF1155CC"/>
        <u/>
      </rPr>
      <t>https://horizondirect.gorgias.com/app/ticket/374541596</t>
    </r>
  </si>
  <si>
    <r>
      <rPr>
        <rFont val="Arial, sans-serif"/>
        <color rgb="FF1155CC"/>
        <u/>
      </rPr>
      <t>https://horizondirect.gorgias.com/app/ticket/375587923</t>
    </r>
  </si>
  <si>
    <r>
      <rPr>
        <rFont val="Arial, sans-serif"/>
        <color rgb="FF1155CC"/>
        <u/>
      </rPr>
      <t>https://horizondirect.gorgias.com/app/ticket/375674914</t>
    </r>
  </si>
  <si>
    <r>
      <rPr>
        <rFont val="Arial, sans-serif"/>
        <color rgb="FF1155CC"/>
        <u/>
      </rPr>
      <t>https://horizondirect.gorgias.com/app/ticket/375691534</t>
    </r>
  </si>
  <si>
    <t>CSR sometimes sounds like he's butting in or cutting cx off</t>
  </si>
  <si>
    <r>
      <rPr>
        <rFont val="Arial, sans-serif"/>
        <color rgb="FF1155CC"/>
        <u/>
      </rPr>
      <t>https://horizondirect.gorgias.com/app/ticket/376882273</t>
    </r>
  </si>
  <si>
    <r>
      <rPr>
        <rFont val="Arial, sans-serif"/>
        <color rgb="FF1155CC"/>
        <u/>
      </rPr>
      <t>https://horizondirect.gorgias.com/app/ticket/374542799</t>
    </r>
  </si>
  <si>
    <r>
      <rPr>
        <rFont val="Arial, sans-serif"/>
        <color rgb="FF1155CC"/>
        <u/>
      </rPr>
      <t>https://horizondirect.gorgias.com/app/ticket/376895287</t>
    </r>
  </si>
  <si>
    <r>
      <rPr>
        <rFont val="Arial, sans-serif"/>
        <color rgb="FF1155CC"/>
        <u/>
      </rPr>
      <t>https://horizondirect.gorgias.com/app/ticket/374696728</t>
    </r>
  </si>
  <si>
    <r>
      <rPr>
        <rFont val="Arial, sans-serif"/>
        <color rgb="FF1155CC"/>
        <u/>
      </rPr>
      <t>https://horizondirect.gorgias.com/app/ticket/376914708</t>
    </r>
  </si>
  <si>
    <r>
      <rPr>
        <rFont val="Arial, sans-serif"/>
        <color rgb="FF1155CC"/>
        <u/>
      </rPr>
      <t>https://horizondirect.gorgias.com/app/ticket/374709197</t>
    </r>
  </si>
  <si>
    <t xml:space="preserve">Week (Feb 2 -Feb 8,2026) </t>
  </si>
  <si>
    <r>
      <rPr>
        <rFont val="Arial, sans-serif"/>
        <color rgb="FF1155CC"/>
        <u/>
      </rPr>
      <t>https://horizondirect.gorgias.com/app/ticket/377025045</t>
    </r>
  </si>
  <si>
    <r>
      <rPr>
        <rFont val="Arial, sans-serif"/>
        <color rgb="FF1155CC"/>
        <u/>
      </rPr>
      <t>https://horizondirect.gorgias.com/app/ticket/374733872</t>
    </r>
  </si>
  <si>
    <r>
      <rPr>
        <rFont val="Arial, sans-serif"/>
        <color rgb="FF1155CC"/>
        <u/>
      </rPr>
      <t>https://horizondirect.gorgias.com/app/ticket/374919450</t>
    </r>
  </si>
  <si>
    <r>
      <rPr>
        <rFont val="Arial, sans-serif"/>
        <color rgb="FF1155CC"/>
        <u/>
      </rPr>
      <t>https://horizondirect.gorgias.com/app/ticket/377048962</t>
    </r>
  </si>
  <si>
    <r>
      <rPr>
        <rFont val="Arial, sans-serif"/>
        <color rgb="FF1155CC"/>
        <u/>
      </rPr>
      <t>https://horizondirect.gorgias.com/app/ticket/374919941</t>
    </r>
  </si>
  <si>
    <r>
      <rPr>
        <rFont val="Arial, sans-serif"/>
        <color rgb="FF1155CC"/>
        <u/>
      </rPr>
      <t>https://horizondirect.gorgias.com/app/ticket/377076442</t>
    </r>
  </si>
  <si>
    <r>
      <rPr>
        <rFont val="Arial, sans-serif"/>
        <color rgb="FF1155CC"/>
        <u/>
      </rPr>
      <t>https://horizondirect.gorgias.com/app/ticket/374920186</t>
    </r>
  </si>
  <si>
    <t>https://horizondirect.gorgias.com/app/ticket/377213958</t>
  </si>
  <si>
    <t>WEEK: March 16 ,2026 - March 22,2026</t>
  </si>
  <si>
    <t>https://horizondirect.gorgias.com/app/ticket/377215846</t>
  </si>
  <si>
    <t>https://horizondirect.gorgias.com/app/ticket/377220369</t>
  </si>
  <si>
    <r>
      <rPr>
        <rFont val="Arial, sans-serif"/>
        <color rgb="FF1155CC"/>
        <u/>
      </rPr>
      <t>https://horizondirect.gorgias.com/app/ticket/377343439</t>
    </r>
  </si>
  <si>
    <t>https://horizondirect.gorgias.com/app/ticket/375153368</t>
  </si>
  <si>
    <r>
      <rPr>
        <rFont val="Arial, sans-serif"/>
        <color rgb="FF1155CC"/>
        <u/>
      </rPr>
      <t>https://horizondirect.gorgias.com/app/ticket/377360240</t>
    </r>
  </si>
  <si>
    <r>
      <rPr>
        <rFont val="Arial, sans-serif"/>
        <color rgb="FF1155CC"/>
        <u/>
      </rPr>
      <t>https://horizondirect.gorgias.com/app/ticket/377367337</t>
    </r>
  </si>
  <si>
    <t>https://horizondirect.gorgias.com/app/ticket/375160622</t>
  </si>
  <si>
    <r>
      <rPr>
        <rFont val="Arial, sans-serif"/>
        <color rgb="FF1155CC"/>
        <u/>
      </rPr>
      <t>https://horizondirect.gorgias.com/app/ticket/377471764</t>
    </r>
  </si>
  <si>
    <r>
      <rPr>
        <rFont val="Arial, sans-serif"/>
        <color rgb="FF1155CC"/>
        <u/>
      </rPr>
      <t>https://horizondirect.gorgias.com/app/ticket/377491678</t>
    </r>
  </si>
  <si>
    <t>https://horizondirect.gorgias.com/app/ticket/375167384</t>
  </si>
  <si>
    <r>
      <rPr>
        <rFont val="Arial, sans-serif"/>
        <color rgb="FF1155CC"/>
        <u/>
      </rPr>
      <t>https://horizondirect.gorgias.com/app/ticket/377506297</t>
    </r>
  </si>
  <si>
    <r>
      <rPr>
        <rFont val="Arial, sans-serif"/>
        <color rgb="FF1155CC"/>
        <u/>
      </rPr>
      <t>https://horizondirect.gorgias.com/app/ticket/377615452</t>
    </r>
  </si>
  <si>
    <r>
      <rPr>
        <rFont val="Arial, sans-serif"/>
        <color rgb="FF1155CC"/>
        <u/>
      </rPr>
      <t>https://horizondirect.gorgias.com/app/ticket/377626704</t>
    </r>
  </si>
  <si>
    <r>
      <rPr>
        <rFont val="Arial, sans-serif"/>
        <color rgb="FF1155CC"/>
        <u/>
      </rPr>
      <t>https://horizondirect.gorgias.com/app/ticket/377641825</t>
    </r>
  </si>
  <si>
    <t>https://horizondirect.gorgias.com/app/ticket/375299503</t>
  </si>
  <si>
    <t xml:space="preserve">Week (Feb 9 -Feb 15,2026) </t>
  </si>
  <si>
    <t>https://horizondirect.gorgias.com/app/ticket/375292716</t>
  </si>
  <si>
    <r>
      <rPr>
        <rFont val="Arial, sans-serif"/>
        <color rgb="FF1155CC"/>
        <u/>
      </rPr>
      <t>https://horizondirect.gorgias.com/app/ticket/377914881</t>
    </r>
  </si>
  <si>
    <r>
      <rPr>
        <rFont val="Arial, sans-serif"/>
        <color rgb="FF1155CC"/>
        <u/>
      </rPr>
      <t>https://horizondirect.gorgias.com/app/ticket/377941573</t>
    </r>
  </si>
  <si>
    <r>
      <rPr>
        <rFont val="Arial, sans-serif"/>
        <color rgb="FF1155CC"/>
        <u/>
      </rPr>
      <t>https://horizondirect.gorgias.com/app/ticket/377973066</t>
    </r>
  </si>
  <si>
    <r>
      <rPr>
        <rFont val="Arial, sans-serif"/>
        <color rgb="FF1155CC"/>
        <u/>
      </rPr>
      <t>https://horizondirect.gorgias.com/app/ticket/378075747</t>
    </r>
  </si>
  <si>
    <r>
      <rPr>
        <rFont val="Arial, sans-serif"/>
        <color rgb="FF1155CC"/>
        <u/>
      </rPr>
      <t>https://horizondirect.gorgias.com/app/ticket/378091761</t>
    </r>
  </si>
  <si>
    <t>https://horizondirect.gorgias.com/app/ticket/375324164</t>
  </si>
  <si>
    <r>
      <rPr>
        <rFont val="Arial, sans-serif"/>
        <color rgb="FF1155CC"/>
        <u/>
      </rPr>
      <t>https://horizondirect.gorgias.com/app/ticket/378109027</t>
    </r>
  </si>
  <si>
    <r>
      <rPr>
        <rFont val="Arial, sans-serif"/>
        <color rgb="FF1155CC"/>
        <u/>
      </rPr>
      <t>https://horizondirect.gorgias.com/app/ticket/378249366</t>
    </r>
  </si>
  <si>
    <t>https://horizondirect.gorgias.com/app/ticket/375434525</t>
  </si>
  <si>
    <r>
      <rPr>
        <rFont val="Arial, sans-serif"/>
        <color rgb="FF1155CC"/>
        <u/>
      </rPr>
      <t>https://horizondirect.gorgias.com/app/ticket/378266570</t>
    </r>
  </si>
  <si>
    <t>https://horizondirect.gorgias.com/app/ticket/375432011</t>
  </si>
  <si>
    <t>162</t>
  </si>
  <si>
    <t>110</t>
  </si>
  <si>
    <t>74</t>
  </si>
  <si>
    <r>
      <rPr>
        <rFont val="Arial, sans-serif"/>
        <color rgb="FF1155CC"/>
        <u/>
      </rPr>
      <t>https://horizondirect.gorgias.com/app/ticket/378279194</t>
    </r>
  </si>
  <si>
    <t>WEEK: March 16 - March 22, 2026</t>
  </si>
  <si>
    <t>133</t>
  </si>
  <si>
    <t>109</t>
  </si>
  <si>
    <t>87</t>
  </si>
  <si>
    <t>159</t>
  </si>
  <si>
    <t>86</t>
  </si>
  <si>
    <r>
      <rPr>
        <rFont val="Arial, sans-serif"/>
        <color rgb="FF1155CC"/>
        <u/>
      </rPr>
      <t>https://horizondirect.gorgias.com/app/ticket/378386900</t>
    </r>
  </si>
  <si>
    <t>https://horizondirect.gorgias.com/app/ticket/375440210</t>
  </si>
  <si>
    <r>
      <rPr>
        <rFont val="Arial, sans-serif"/>
        <color rgb="FF1155CC"/>
        <u/>
      </rPr>
      <t>https://horizondirect.gorgias.com/app/ticket/378401559</t>
    </r>
  </si>
  <si>
    <t>ABSENT</t>
  </si>
  <si>
    <r>
      <rPr>
        <rFont val="Arial, sans-serif"/>
        <color rgb="FF1155CC"/>
        <u/>
      </rPr>
      <t>https://horizondirect.gorgias.com/app/ticket/378410789</t>
    </r>
  </si>
  <si>
    <r>
      <rPr>
        <rFont val="Arial, sans-serif"/>
        <color rgb="FF1155CC"/>
        <u/>
      </rPr>
      <t>https://horizondirect.gorgias.com/app/ticket/378521632</t>
    </r>
  </si>
  <si>
    <r>
      <rPr>
        <rFont val="Arial, sans-serif"/>
        <color rgb="FF1155CC"/>
        <u/>
      </rPr>
      <t>https://horizondirect.gorgias.com/app/ticket/378542136</t>
    </r>
  </si>
  <si>
    <r>
      <rPr>
        <rFont val="Arial, sans-serif"/>
        <color rgb="FF1155CC"/>
        <u/>
      </rPr>
      <t>https://horizondirect.gorgias.com/app/ticket/378548536</t>
    </r>
  </si>
  <si>
    <t>WITH MEDCERT</t>
  </si>
  <si>
    <t xml:space="preserve">Week (Feb 16 -Feb 22,2026) </t>
  </si>
  <si>
    <t>https://horizondirect.gorgias.com/app/ticket/376024177</t>
  </si>
  <si>
    <t>https://horizondirect.gorgias.com/app/ticket/378857666</t>
  </si>
  <si>
    <t>https://horizondirect.gorgias.com/app/ticket/376025146</t>
  </si>
  <si>
    <t>https://horizondirect.gorgias.com/app/ticket/376025882</t>
  </si>
  <si>
    <r>
      <rPr>
        <rFont val="Arial, sans-serif"/>
        <color rgb="FF1155CC"/>
        <u/>
      </rPr>
      <t>https://horizondirect.gorgias.com/app/ticket/378838191</t>
    </r>
  </si>
  <si>
    <t>WEEK: March 23 ,2026 - March 29,2026</t>
  </si>
  <si>
    <r>
      <rPr>
        <rFont val="Arial, sans-serif"/>
        <color rgb="FF1155CC"/>
        <u/>
      </rPr>
      <t>https://horizondirect.gorgias.com/app/ticket/378852796</t>
    </r>
  </si>
  <si>
    <r>
      <rPr>
        <rFont val="Arial, sans-serif"/>
        <color rgb="FF1155CC"/>
        <u/>
      </rPr>
      <t>https://horizondirect.gorgias.com/app/ticket/378962303</t>
    </r>
  </si>
  <si>
    <r>
      <rPr>
        <rFont val="Arial, sans-serif"/>
        <color rgb="FF1155CC"/>
        <u/>
      </rPr>
      <t>https://horizondirect.gorgias.com/app/ticket/376139506</t>
    </r>
  </si>
  <si>
    <r>
      <rPr>
        <rFont val="Arial, sans-serif"/>
        <color rgb="FF1155CC"/>
        <u/>
      </rPr>
      <t>https://horizondirect.gorgias.com/app/ticket/378977237</t>
    </r>
  </si>
  <si>
    <r>
      <rPr>
        <rFont val="Arial, sans-serif"/>
        <color rgb="FF1155CC"/>
        <u/>
      </rPr>
      <t>https://horizondirect.gorgias.com/app/ticket/378991688</t>
    </r>
  </si>
  <si>
    <r>
      <rPr>
        <rFont val="Arial, sans-serif"/>
        <color rgb="FF1155CC"/>
        <u/>
      </rPr>
      <t>https://horizondirect.gorgias.com/app/ticket/376150123</t>
    </r>
  </si>
  <si>
    <r>
      <rPr>
        <rFont val="Arial"/>
        <color rgb="FF1155CC"/>
        <u/>
      </rPr>
      <t>https://horizondirect.gorgias.com/app/ticket/379093957</t>
    </r>
  </si>
  <si>
    <r>
      <rPr>
        <rFont val="Arial, sans-serif"/>
        <color rgb="FF1155CC"/>
        <u/>
      </rPr>
      <t>https://horizondirect.gorgias.com/app/ticket/376155617</t>
    </r>
  </si>
  <si>
    <r>
      <rPr>
        <rFont val="Arial"/>
        <color rgb="FF1155CC"/>
        <u/>
      </rPr>
      <t>https://horizondirect.gorgias.com/app/ticket/379105752</t>
    </r>
  </si>
  <si>
    <t>https://horizondirect.gorgias.com/app/ticket/376299200</t>
  </si>
  <si>
    <r>
      <rPr>
        <rFont val="Arial"/>
        <color rgb="FF1155CC"/>
        <u/>
      </rPr>
      <t>https://horizondirect.gorgias.com/app/ticket/379125117</t>
    </r>
  </si>
  <si>
    <r>
      <rPr>
        <rFont val="Arial, sans-serif"/>
        <color rgb="FF1155CC"/>
        <u/>
      </rPr>
      <t>https://horizondirect.gorgias.com/app/ticket/379241073</t>
    </r>
  </si>
  <si>
    <t>https://horizondirect.gorgias.com/app/ticket/376315285</t>
  </si>
  <si>
    <r>
      <rPr>
        <rFont val="Arial, sans-serif"/>
        <color rgb="FF1155CC"/>
        <u/>
      </rPr>
      <t>https://horizondirect.gorgias.com/app/ticket/379255378</t>
    </r>
  </si>
  <si>
    <r>
      <rPr>
        <rFont val="Arial, sans-serif"/>
        <color rgb="FF1155CC"/>
        <u/>
      </rPr>
      <t>https://horizondirect.gorgias.com/app/ticket/379257584</t>
    </r>
  </si>
  <si>
    <t>https://horizondirect.gorgias.com/app/ticket/376317268</t>
  </si>
  <si>
    <r>
      <rPr>
        <rFont val="Arial, sans-serif"/>
        <color rgb="FF1155CC"/>
        <u/>
      </rPr>
      <t>https://horizondirect.gorgias.com/app/ticket/379346136</t>
    </r>
  </si>
  <si>
    <r>
      <rPr>
        <rFont val="Arial, sans-serif"/>
        <color rgb="FF1155CC"/>
        <u/>
      </rPr>
      <t>https://horizondirect.gorgias.com/app/ticket/376420817</t>
    </r>
  </si>
  <si>
    <r>
      <rPr>
        <rFont val="Arial, sans-serif"/>
        <color rgb="FF1155CC"/>
        <u/>
      </rPr>
      <t>https://horizondirect.gorgias.com/app/ticket/379363887</t>
    </r>
  </si>
  <si>
    <t>135</t>
  </si>
  <si>
    <t>122</t>
  </si>
  <si>
    <t>103</t>
  </si>
  <si>
    <r>
      <rPr>
        <rFont val="Arial, sans-serif"/>
        <color rgb="FF1155CC"/>
        <u/>
      </rPr>
      <t>https://horizondirect.gorgias.com/app/ticket/376440152</t>
    </r>
  </si>
  <si>
    <t>143</t>
  </si>
  <si>
    <r>
      <rPr>
        <rFont val="Arial, sans-serif"/>
        <color rgb="FF1155CC"/>
        <u/>
      </rPr>
      <t>https://horizondirect.gorgias.com/app/ticket/379371681</t>
    </r>
  </si>
  <si>
    <t>160</t>
  </si>
  <si>
    <t>69</t>
  </si>
  <si>
    <r>
      <rPr>
        <rFont val="Arial, sans-serif"/>
        <color rgb="FF1155CC"/>
        <u/>
      </rPr>
      <t>https://horizondirect.gorgias.com/app/ticket/376446539</t>
    </r>
  </si>
  <si>
    <t xml:space="preserve">Week (Feb 23 - March 1 ,2026) </t>
  </si>
  <si>
    <r>
      <rPr>
        <rFont val="Arial, sans-serif"/>
        <color rgb="FF1155CC"/>
        <u/>
      </rPr>
      <t>https://horizondirect.gorgias.com/app/ticket/376582394</t>
    </r>
  </si>
  <si>
    <r>
      <rPr>
        <rFont val="Arial, sans-serif"/>
        <color rgb="FF1155CC"/>
        <u/>
      </rPr>
      <t>https://horizondirect.gorgias.com/app/ticket/379666693</t>
    </r>
  </si>
  <si>
    <r>
      <rPr>
        <rFont val="Arial, sans-serif"/>
        <color rgb="FF1155CC"/>
        <u/>
      </rPr>
      <t>https://horizondirect.gorgias.com/app/ticket/376606812</t>
    </r>
  </si>
  <si>
    <r>
      <rPr>
        <rFont val="Arial, sans-serif"/>
        <color rgb="FF1155CC"/>
        <u/>
      </rPr>
      <t>https://horizondirect.gorgias.com/app/ticket/379683910</t>
    </r>
  </si>
  <si>
    <r>
      <rPr>
        <rFont val="Arial, sans-serif"/>
        <color rgb="FF1155CC"/>
        <u/>
      </rPr>
      <t>https://horizondirect.gorgias.com/app/ticket/376610435</t>
    </r>
  </si>
  <si>
    <r>
      <rPr>
        <rFont val="Arial, sans-serif"/>
        <color rgb="FF1155CC"/>
        <u/>
      </rPr>
      <t>https://horizondirect.gorgias.com/app/ticket/379704389</t>
    </r>
  </si>
  <si>
    <r>
      <rPr>
        <rFont val="Arial, sans-serif"/>
        <color rgb="FF1155CC"/>
        <u/>
      </rPr>
      <t>https://horizondirect.gorgias.com/app/ticket/376748022</t>
    </r>
  </si>
  <si>
    <r>
      <rPr>
        <rFont val="Arial, sans-serif"/>
        <color rgb="FF1155CC"/>
        <u/>
      </rPr>
      <t>https://horizondirect.gorgias.com/app/ticket/379795315</t>
    </r>
  </si>
  <si>
    <r>
      <rPr>
        <rFont val="Arial, sans-serif"/>
        <color rgb="FF1155CC"/>
        <u/>
      </rPr>
      <t>https://horizondirect.gorgias.com/app/ticket/379807195</t>
    </r>
  </si>
  <si>
    <r>
      <rPr>
        <rFont val="Arial, sans-serif"/>
        <color rgb="FF1155CC"/>
        <u/>
      </rPr>
      <t>https://horizondirect.gorgias.com/app/ticket/379842679</t>
    </r>
  </si>
  <si>
    <r>
      <rPr>
        <rFont val="Arial, sans-serif"/>
        <color rgb="FF1155CC"/>
        <u/>
      </rPr>
      <t>https://horizondirect.gorgias.com/app/ticket/379941119</t>
    </r>
  </si>
  <si>
    <r>
      <rPr>
        <rFont val="Arial, sans-serif"/>
        <color rgb="FF1155CC"/>
        <u/>
      </rPr>
      <t>https://horizondirect.gorgias.com/app/ticket/376754694</t>
    </r>
  </si>
  <si>
    <r>
      <rPr>
        <rFont val="Arial, sans-serif"/>
        <color rgb="FF1155CC"/>
        <u/>
      </rPr>
      <t>https://horizondirect.gorgias.com/app/ticket/379957388</t>
    </r>
  </si>
  <si>
    <t>https://horizondirect.gorgias.com/app/ticket/376755979</t>
  </si>
  <si>
    <r>
      <rPr>
        <rFont val="Arial, sans-serif"/>
        <color rgb="FF1155CC"/>
        <u/>
      </rPr>
      <t>https://horizondirect.gorgias.com/app/ticket/379972789</t>
    </r>
  </si>
  <si>
    <r>
      <rPr>
        <rFont val="Arial, sans-serif"/>
        <color rgb="FF1155CC"/>
        <u/>
      </rPr>
      <t>https://horizondirect.gorgias.com/app/ticket/380232784</t>
    </r>
  </si>
  <si>
    <r>
      <rPr>
        <rFont val="Arial, sans-serif"/>
        <color rgb="FF1155CC"/>
        <u/>
      </rPr>
      <t>https://horizondirect.gorgias.com/app/ticket/380247114</t>
    </r>
  </si>
  <si>
    <r>
      <rPr>
        <rFont val="Arial, sans-serif"/>
        <color rgb="FF1155CC"/>
        <u/>
      </rPr>
      <t>https://horizondirect.gorgias.com/app/ticket/377037727</t>
    </r>
  </si>
  <si>
    <r>
      <rPr>
        <rFont val="Arial, sans-serif"/>
        <color rgb="FF1155CC"/>
        <u/>
      </rPr>
      <t>https://horizondirect.gorgias.com/app/ticket/380274515</t>
    </r>
  </si>
  <si>
    <r>
      <rPr>
        <rFont val="Arial, sans-serif"/>
        <color rgb="FF1155CC"/>
        <u/>
      </rPr>
      <t>https://horizondirect.gorgias.com/app/ticket/380438038</t>
    </r>
  </si>
  <si>
    <r>
      <rPr>
        <rFont val="Arial, sans-serif"/>
        <color rgb="FF1155CC"/>
        <u/>
      </rPr>
      <t>https://horizondirect.gorgias.com/app/ticket/377048701</t>
    </r>
  </si>
  <si>
    <r>
      <rPr>
        <rFont val="Arial, sans-serif"/>
        <color rgb="FF1155CC"/>
        <u/>
      </rPr>
      <t>https://horizondirect.gorgias.com/app/ticket/380446363</t>
    </r>
  </si>
  <si>
    <t>WEEK: March 30 ,2026 - April 5,2026</t>
  </si>
  <si>
    <t>WEEK: March 23 - March 29, 2026</t>
  </si>
  <si>
    <r>
      <rPr>
        <rFont val="Arial, sans-serif"/>
        <color rgb="FF1155CC"/>
        <u/>
      </rPr>
      <t>https://horizondirect.gorgias.com/app/ticket/380460652</t>
    </r>
  </si>
  <si>
    <t xml:space="preserve">Week (March 2-  March 8 ,2026) </t>
  </si>
  <si>
    <r>
      <rPr>
        <rFont val="Arial, sans-serif"/>
        <color rgb="FF1155CC"/>
        <u/>
      </rPr>
      <t>https://horizondirect.gorgias.com/app/ticket/377054485</t>
    </r>
  </si>
  <si>
    <r>
      <rPr>
        <rFont val="Arial, sans-serif"/>
        <color rgb="FF1155CC"/>
        <u/>
      </rPr>
      <t>https://horizondirect.gorgias.com/app/ticket/380550279</t>
    </r>
  </si>
  <si>
    <t>https://horizondirect.gorgias.com/app/ticket/377208545</t>
  </si>
  <si>
    <r>
      <rPr>
        <rFont val="Arial, sans-serif"/>
        <color rgb="FF1155CC"/>
        <u/>
      </rPr>
      <t>https://horizondirect.gorgias.com/app/ticket/380588308</t>
    </r>
  </si>
  <si>
    <t>https://horizondirect.gorgias.com/app/ticket/377213627</t>
  </si>
  <si>
    <r>
      <rPr>
        <rFont val="Arial, sans-serif"/>
        <color rgb="FF1155CC"/>
        <u/>
      </rPr>
      <t>https://horizondirect.gorgias.com/app/ticket/380591791</t>
    </r>
  </si>
  <si>
    <t>https://horizondirect.gorgias.com/app/ticket/377216327</t>
  </si>
  <si>
    <r>
      <rPr>
        <rFont val="Arial, sans-serif"/>
        <color rgb="FF1155CC"/>
        <u/>
      </rPr>
      <t>https://horizondirect.gorgias.com/app/ticket/380691093</t>
    </r>
  </si>
  <si>
    <r>
      <rPr>
        <rFont val="Arial, sans-serif"/>
        <color rgb="FF1155CC"/>
        <u/>
      </rPr>
      <t>https://horizondirect.gorgias.com/app/ticket/377360601</t>
    </r>
  </si>
  <si>
    <r>
      <rPr>
        <rFont val="Arial, sans-serif"/>
        <color rgb="FF1155CC"/>
        <u/>
      </rPr>
      <t>https://horizondirect.gorgias.com/app/ticket/380702021</t>
    </r>
  </si>
  <si>
    <r>
      <rPr>
        <rFont val="Arial, sans-serif"/>
        <color rgb="FF1155CC"/>
        <u/>
      </rPr>
      <t>https://horizondirect.gorgias.com/app/ticket/377367720</t>
    </r>
  </si>
  <si>
    <r>
      <rPr>
        <rFont val="Arial, sans-serif"/>
        <color rgb="FF1155CC"/>
        <u/>
      </rPr>
      <t>https://horizondirect.gorgias.com/app/ticket/380717735</t>
    </r>
  </si>
  <si>
    <r>
      <rPr>
        <rFont val="Arial, sans-serif"/>
        <color rgb="FF1155CC"/>
        <u/>
      </rPr>
      <t>https://horizondirect.gorgias.com/app/ticket/377377957</t>
    </r>
  </si>
  <si>
    <r>
      <rPr>
        <rFont val="Arial, sans-serif"/>
        <color rgb="FF1155CC"/>
        <u/>
      </rPr>
      <t>https://horizondirect.gorgias.com/app/ticket/380834307</t>
    </r>
  </si>
  <si>
    <r>
      <rPr>
        <rFont val="Arial, sans-serif"/>
        <color rgb="FF1155CC"/>
        <u/>
      </rPr>
      <t>https://horizondirect.gorgias.com/app/ticket/377499453</t>
    </r>
  </si>
  <si>
    <r>
      <rPr>
        <rFont val="Arial, sans-serif"/>
        <color rgb="FF1155CC"/>
        <u/>
      </rPr>
      <t>https://horizondirect.gorgias.com/app/ticket/380840591</t>
    </r>
  </si>
  <si>
    <r>
      <rPr>
        <rFont val="Arial, sans-serif"/>
        <color rgb="FF1155CC"/>
        <u/>
      </rPr>
      <t>https://horizondirect.gorgias.com/app/ticket/380848197</t>
    </r>
  </si>
  <si>
    <r>
      <rPr>
        <rFont val="Arial, sans-serif"/>
        <color rgb="FF1155CC"/>
        <u/>
      </rPr>
      <t>https://horizondirect.gorgias.com/app/ticket/380980704</t>
    </r>
  </si>
  <si>
    <r>
      <rPr>
        <rFont val="Arial, sans-serif"/>
        <color rgb="FF1155CC"/>
        <u/>
      </rPr>
      <t>https://horizondirect.gorgias.com/app/ticket/380988135</t>
    </r>
  </si>
  <si>
    <r>
      <rPr>
        <rFont val="Arial, sans-serif"/>
        <color rgb="FF1155CC"/>
        <u/>
      </rPr>
      <t>https://horizondirect.gorgias.com/app/ticket/377505218</t>
    </r>
  </si>
  <si>
    <r>
      <rPr>
        <rFont val="Arial, sans-serif"/>
        <color rgb="FF1155CC"/>
        <u/>
      </rPr>
      <t>https://horizondirect.gorgias.com/app/ticket/380990891</t>
    </r>
  </si>
  <si>
    <r>
      <rPr>
        <rFont val="Arial, sans-serif"/>
        <color rgb="FF1155CC"/>
        <u/>
      </rPr>
      <t>https://horizondirect.gorgias.com/app/ticket/381143550</t>
    </r>
  </si>
  <si>
    <r>
      <rPr>
        <rFont val="Arial, sans-serif"/>
        <color rgb="FF1155CC"/>
        <u/>
      </rPr>
      <t>https://horizondirect.gorgias.com/app/ticket/377534388</t>
    </r>
  </si>
  <si>
    <r>
      <rPr>
        <rFont val="Arial, sans-serif"/>
        <color rgb="FF1155CC"/>
        <u/>
      </rPr>
      <t>https://horizondirect.gorgias.com/app/ticket/381147500</t>
    </r>
  </si>
  <si>
    <r>
      <rPr>
        <rFont val="Arial, sans-serif"/>
        <color rgb="FF1155CC"/>
        <u/>
      </rPr>
      <t>https://horizondirect.gorgias.com/app/ticket/377675113</t>
    </r>
  </si>
  <si>
    <t>105</t>
  </si>
  <si>
    <t>114</t>
  </si>
  <si>
    <t>67</t>
  </si>
  <si>
    <t>107</t>
  </si>
  <si>
    <t>85</t>
  </si>
  <si>
    <t>79</t>
  </si>
  <si>
    <t>66</t>
  </si>
  <si>
    <r>
      <rPr>
        <rFont val="Arial, sans-serif"/>
        <color rgb="FF1155CC"/>
        <u/>
      </rPr>
      <t>https://horizondirect.gorgias.com/app/ticket/381149967</t>
    </r>
  </si>
  <si>
    <r>
      <rPr>
        <rFont val="Arial, sans-serif"/>
        <color rgb="FF1155CC"/>
        <u/>
      </rPr>
      <t>https://horizondirect.gorgias.com/app/ticket/377685704</t>
    </r>
  </si>
  <si>
    <t xml:space="preserve">Week (March 9-  March 15 ,2026) </t>
  </si>
  <si>
    <r>
      <rPr>
        <rFont val="Arial, sans-serif"/>
        <color rgb="FF1155CC"/>
        <u/>
      </rPr>
      <t>https://horizondirect.gorgias.com/app/ticket/377692855</t>
    </r>
  </si>
  <si>
    <r>
      <rPr>
        <rFont val="Arial, sans-serif"/>
        <color rgb="FF1155CC"/>
        <u/>
      </rPr>
      <t>https://horizondirect.gorgias.com/app/ticket/381498050</t>
    </r>
  </si>
  <si>
    <r>
      <rPr>
        <rFont val="Arial, sans-serif"/>
        <color rgb="FF1155CC"/>
        <u/>
      </rPr>
      <t>https://horizondirect.gorgias.com/app/ticket/381509535</t>
    </r>
  </si>
  <si>
    <r>
      <rPr>
        <rFont val="Arial, sans-serif"/>
        <color rgb="FF1155CC"/>
        <u/>
      </rPr>
      <t>https://horizondirect.gorgias.com/app/ticket/377943096</t>
    </r>
  </si>
  <si>
    <r>
      <rPr>
        <rFont val="Arial, sans-serif"/>
        <color rgb="FF1155CC"/>
        <u/>
      </rPr>
      <t>https://horizondirect.gorgias.com/app/ticket/381514094</t>
    </r>
  </si>
  <si>
    <r>
      <rPr>
        <rFont val="Arial, sans-serif"/>
        <color rgb="FF1155CC"/>
        <u/>
      </rPr>
      <t>https://horizondirect.gorgias.com/app/ticket/381609382</t>
    </r>
  </si>
  <si>
    <r>
      <rPr>
        <rFont val="Arial, sans-serif"/>
        <color rgb="FF1155CC"/>
        <u/>
      </rPr>
      <t>https://horizondirect.gorgias.com/app/ticket/377949965</t>
    </r>
  </si>
  <si>
    <r>
      <rPr>
        <rFont val="Arial, sans-serif"/>
        <color rgb="FF1155CC"/>
        <u/>
      </rPr>
      <t>https://horizondirect.gorgias.com/app/ticket/381623259</t>
    </r>
  </si>
  <si>
    <r>
      <rPr>
        <rFont val="Arial, sans-serif"/>
        <color rgb="FF1155CC"/>
        <u/>
      </rPr>
      <t>https://horizondirect.gorgias.com/app/ticket/377969278</t>
    </r>
  </si>
  <si>
    <r>
      <rPr>
        <rFont val="Arial, sans-serif"/>
        <color rgb="FF1155CC"/>
        <u/>
      </rPr>
      <t>https://horizondirect.gorgias.com/app/ticket/381665567</t>
    </r>
  </si>
  <si>
    <r>
      <rPr>
        <rFont val="Arial, sans-serif"/>
        <color rgb="FF1155CC"/>
        <u/>
      </rPr>
      <t>https://horizondirect.gorgias.com/app/ticket/381767290</t>
    </r>
  </si>
  <si>
    <r>
      <rPr>
        <rFont val="Arial, sans-serif"/>
        <color rgb="FF1155CC"/>
        <u/>
      </rPr>
      <t>https://horizondirect.gorgias.com/app/ticket/378109778</t>
    </r>
  </si>
  <si>
    <r>
      <rPr>
        <rFont val="Arial, sans-serif"/>
        <color rgb="FF1155CC"/>
        <u/>
      </rPr>
      <t>https://horizondirect.gorgias.com/app/ticket/381780808</t>
    </r>
  </si>
  <si>
    <r>
      <rPr>
        <rFont val="Arial, sans-serif"/>
        <color rgb="FF1155CC"/>
        <u/>
      </rPr>
      <t>https://horizondirect.gorgias.com/app/ticket/381797442</t>
    </r>
  </si>
  <si>
    <r>
      <rPr>
        <rFont val="Arial, sans-serif"/>
        <color rgb="FF1155CC"/>
        <u/>
      </rPr>
      <t>https://horizondirect.gorgias.com/app/ticket/378113297</t>
    </r>
  </si>
  <si>
    <r>
      <rPr>
        <rFont val="Arial, sans-serif"/>
        <color rgb="FF1155CC"/>
        <u/>
      </rPr>
      <t>https://horizondirect.gorgias.com/app/ticket/381874350</t>
    </r>
  </si>
  <si>
    <r>
      <rPr>
        <rFont val="Arial, sans-serif"/>
        <color rgb="FF1155CC"/>
        <u/>
      </rPr>
      <t>https://horizondirect.gorgias.com/app/ticket/378123810</t>
    </r>
  </si>
  <si>
    <r>
      <rPr>
        <rFont val="Arial, sans-serif"/>
        <color rgb="FF1155CC"/>
        <u/>
      </rPr>
      <t>https://horizondirect.gorgias.com/app/ticket/381878669</t>
    </r>
  </si>
  <si>
    <r>
      <rPr>
        <rFont val="Arial, sans-serif"/>
        <color rgb="FF1155CC"/>
        <u/>
      </rPr>
      <t>https://horizondirect.gorgias.com/app/ticket/381892868</t>
    </r>
  </si>
  <si>
    <t>https://horizondirect.gorgias.com/app/ticket/382218847</t>
  </si>
  <si>
    <r>
      <rPr>
        <rFont val="Arial, sans-serif"/>
        <color rgb="FF1155CC"/>
        <u/>
      </rPr>
      <t>https://horizondirect.gorgias.com/app/ticket/378396112</t>
    </r>
  </si>
  <si>
    <t>https://horizondirect.gorgias.com/app/ticket/382222681</t>
  </si>
  <si>
    <r>
      <rPr>
        <rFont val="Arial, sans-serif"/>
        <color rgb="FF1155CC"/>
        <u/>
      </rPr>
      <t>https://horizondirect.gorgias.com/app/ticket/378401622</t>
    </r>
  </si>
  <si>
    <t>WEEK: April 6 ,2026 - April 12,2026</t>
  </si>
  <si>
    <t>https://horizondirect.gorgias.com/app/ticket/382232079</t>
  </si>
  <si>
    <t xml:space="preserve">Week (March 16-  March 22 ,2026) </t>
  </si>
  <si>
    <r>
      <rPr>
        <rFont val="Arial, sans-serif"/>
        <color rgb="FF1155CC"/>
        <u/>
      </rPr>
      <t>https://horizondirect.gorgias.com/app/ticket/378423243</t>
    </r>
  </si>
  <si>
    <r>
      <rPr>
        <rFont val="Arial, sans-serif"/>
        <color rgb="FF1155CC"/>
        <u/>
      </rPr>
      <t>https://horizondirect.gorgias.com/app/ticket/382533133</t>
    </r>
  </si>
  <si>
    <r>
      <rPr>
        <rFont val="Arial, sans-serif"/>
        <color rgb="FF1155CC"/>
        <u/>
      </rPr>
      <t>https://horizondirect.gorgias.com/app/ticket/378572079</t>
    </r>
  </si>
  <si>
    <r>
      <rPr>
        <rFont val="Arial, sans-serif"/>
        <color rgb="FF1155CC"/>
        <u/>
      </rPr>
      <t>https://horizondirect.gorgias.com/app/ticket/382532539</t>
    </r>
  </si>
  <si>
    <r>
      <rPr>
        <rFont val="Arial, sans-serif"/>
        <color rgb="FF1155CC"/>
        <u/>
      </rPr>
      <t>https://horizondirect.gorgias.com/app/ticket/378586468</t>
    </r>
  </si>
  <si>
    <r>
      <rPr>
        <rFont val="Arial, sans-serif"/>
        <color rgb="FF1155CC"/>
        <u/>
      </rPr>
      <t>https://horizondirect.gorgias.com/app/ticket/382533133</t>
    </r>
  </si>
  <si>
    <r>
      <rPr>
        <rFont val="Arial, sans-serif"/>
        <color rgb="FF1155CC"/>
        <u/>
      </rPr>
      <t>https://horizondirect.gorgias.com/app/ticket/378587905</t>
    </r>
  </si>
  <si>
    <t>https://horizondirect.gorgias.com/app/ticket/382730665</t>
  </si>
  <si>
    <t>https://horizondirect.gorgias.com/app/ticket/382733747</t>
  </si>
  <si>
    <t>https://horizondirect.gorgias.com/app/ticket/382735057</t>
  </si>
  <si>
    <r>
      <rPr>
        <rFont val="Arial, sans-serif"/>
        <color rgb="FF1155CC"/>
        <u/>
      </rPr>
      <t>https://horizondirect.gorgias.com/app/ticket/378839596</t>
    </r>
  </si>
  <si>
    <r>
      <rPr>
        <rFont val="Arial, sans-serif"/>
        <color rgb="FF1155CC"/>
        <u/>
      </rPr>
      <t>https://horizondirect.gorgias.com/app/ticket/382825451</t>
    </r>
  </si>
  <si>
    <r>
      <rPr>
        <rFont val="Arial, sans-serif"/>
        <color rgb="FF1155CC"/>
        <u/>
      </rPr>
      <t>https://horizondirect.gorgias.com/app/ticket/382847319</t>
    </r>
  </si>
  <si>
    <t>WEEK: March 30-  April 5 ,2026</t>
  </si>
  <si>
    <r>
      <rPr>
        <rFont val="Arial, sans-serif"/>
        <color rgb="FF1155CC"/>
        <u/>
      </rPr>
      <t>https://horizondirect.gorgias.com/app/ticket/378851700</t>
    </r>
  </si>
  <si>
    <r>
      <rPr>
        <rFont val="Arial, sans-serif"/>
        <color rgb="FF1155CC"/>
        <u/>
      </rPr>
      <t>https://horizondirect.gorgias.com/app/ticket/378867613</t>
    </r>
  </si>
  <si>
    <r>
      <rPr>
        <rFont val="Arial, sans-serif"/>
        <color rgb="FF1155CC"/>
        <u/>
      </rPr>
      <t>https://horizondirect.gorgias.com/app/ticket/382872301</t>
    </r>
  </si>
  <si>
    <r>
      <rPr>
        <rFont val="Arial, sans-serif"/>
        <color rgb="FF1155CC"/>
        <u/>
      </rPr>
      <t>https://horizondirect.gorgias.com/app/ticket/378984027</t>
    </r>
  </si>
  <si>
    <r>
      <rPr>
        <rFont val="Arial, sans-serif"/>
        <color rgb="FF1155CC"/>
        <u/>
      </rPr>
      <t>https://horizondirect.gorgias.com/app/ticket/382975476</t>
    </r>
  </si>
  <si>
    <r>
      <rPr>
        <rFont val="Arial, sans-serif"/>
        <color rgb="FF1155CC"/>
        <u/>
      </rPr>
      <t>https://horizondirect.gorgias.com/app/ticket/378995803</t>
    </r>
  </si>
  <si>
    <r>
      <rPr>
        <rFont val="Arial, sans-serif"/>
        <color rgb="FF1155CC"/>
        <u/>
      </rPr>
      <t>https://horizondirect.gorgias.com/app/ticket/382987374</t>
    </r>
  </si>
  <si>
    <r>
      <rPr>
        <rFont val="Arial, sans-serif"/>
        <color rgb="FF1155CC"/>
        <u/>
      </rPr>
      <t>https://horizondirect.gorgias.com/app/ticket/379008115</t>
    </r>
  </si>
  <si>
    <r>
      <rPr>
        <rFont val="Arial, sans-serif"/>
        <color rgb="FF1155CC"/>
        <u/>
      </rPr>
      <t>https://horizondirect.gorgias.com/app/ticket/383010069</t>
    </r>
  </si>
  <si>
    <r>
      <rPr>
        <rFont val="Arial, sans-serif"/>
        <color rgb="FF1155CC"/>
        <u/>
      </rPr>
      <t>https://horizondirect.gorgias.com/app/ticket/379151204</t>
    </r>
  </si>
  <si>
    <r>
      <rPr>
        <rFont val="Arial, sans-serif"/>
        <color rgb="FF1155CC"/>
        <u/>
      </rPr>
      <t>https://horizondirect.gorgias.com/app/ticket/379151766</t>
    </r>
  </si>
  <si>
    <r>
      <rPr>
        <rFont val="Arial, sans-serif"/>
        <color rgb="FF1155CC"/>
        <u/>
      </rPr>
      <t>https://horizondirect.gorgias.com/app/ticket/383101179</t>
    </r>
  </si>
  <si>
    <r>
      <rPr>
        <rFont val="Arial, sans-serif"/>
        <color rgb="FF1155CC"/>
        <u/>
      </rPr>
      <t>https://horizondirect.gorgias.com/app/ticket/379154142</t>
    </r>
  </si>
  <si>
    <r>
      <rPr>
        <rFont val="Arial, sans-serif"/>
        <color rgb="FF1155CC"/>
        <u/>
      </rPr>
      <t>https://horizondirect.gorgias.com/app/ticket/383112370</t>
    </r>
  </si>
  <si>
    <r>
      <rPr>
        <rFont val="Arial, sans-serif"/>
        <color rgb="FF1155CC"/>
        <u/>
      </rPr>
      <t>https://horizondirect.gorgias.com/app/ticket/379247029</t>
    </r>
  </si>
  <si>
    <r>
      <rPr>
        <rFont val="Arial, sans-serif"/>
        <color rgb="FF1155CC"/>
        <u/>
      </rPr>
      <t>https://horizondirect.gorgias.com/app/ticket/383115654</t>
    </r>
  </si>
  <si>
    <r>
      <rPr>
        <rFont val="Arial, sans-serif"/>
        <color rgb="FF1155CC"/>
        <u/>
      </rPr>
      <t>https://horizondirect.gorgias.com/app/ticket/379270727</t>
    </r>
  </si>
  <si>
    <t>60</t>
  </si>
  <si>
    <t>68</t>
  </si>
  <si>
    <r>
      <rPr>
        <rFont val="Arial, sans-serif"/>
        <color rgb="FF1155CC"/>
        <u/>
      </rPr>
      <t>https://horizondirect.gorgias.com/app/ticket/379279138</t>
    </r>
  </si>
  <si>
    <t>148</t>
  </si>
  <si>
    <t>59</t>
  </si>
  <si>
    <t>134</t>
  </si>
  <si>
    <t>96</t>
  </si>
  <si>
    <t xml:space="preserve">Week (March 23-  March 29 ,2026) </t>
  </si>
  <si>
    <r>
      <rPr>
        <rFont val="Arial, sans-serif"/>
        <color rgb="FF1155CC"/>
        <u/>
      </rPr>
      <t>https://horizondirect.gorgias.com/app/ticket/383434696</t>
    </r>
  </si>
  <si>
    <r>
      <rPr>
        <rFont val="Arial, sans-serif"/>
        <color rgb="FF1155CC"/>
        <u/>
      </rPr>
      <t>https://horizondirect.gorgias.com/app/ticket/379561174</t>
    </r>
  </si>
  <si>
    <r>
      <rPr>
        <rFont val="Arial, sans-serif"/>
        <color rgb="FF1155CC"/>
        <u/>
      </rPr>
      <t>https://horizondirect.gorgias.com/app/ticket/379575446</t>
    </r>
  </si>
  <si>
    <r>
      <rPr>
        <rFont val="Arial, sans-serif"/>
        <color rgb="FF1155CC"/>
        <u/>
      </rPr>
      <t>https://horizondirect.gorgias.com/app/ticket/383437542</t>
    </r>
  </si>
  <si>
    <r>
      <rPr>
        <rFont val="Arial, sans-serif"/>
        <color rgb="FF1155CC"/>
        <u/>
      </rPr>
      <t>https://horizondirect.gorgias.com/app/ticket/379584443</t>
    </r>
  </si>
  <si>
    <r>
      <rPr>
        <rFont val="Arial, sans-serif"/>
        <color rgb="FF1155CC"/>
        <u/>
      </rPr>
      <t>https://horizondirect.gorgias.com/app/ticket/383443520</t>
    </r>
  </si>
  <si>
    <t>https://horizondirect.gorgias.com/app/ticket/383581963</t>
  </si>
  <si>
    <t>https://horizondirect.gorgias.com/app/ticket/383553108</t>
  </si>
  <si>
    <t>https://horizondirect.gorgias.com/app/ticket/383544368</t>
  </si>
  <si>
    <r>
      <rPr>
        <rFont val="Arial, sans-serif"/>
        <color rgb="FF1155CC"/>
        <u/>
      </rPr>
      <t>https://horizondirect.gorgias.com/app/ticket/379720545</t>
    </r>
  </si>
  <si>
    <r>
      <rPr>
        <rFont val="Arial, sans-serif"/>
        <color rgb="FF1155CC"/>
        <u/>
      </rPr>
      <t>https://horizondirect.gorgias.com/app/ticket/383690301</t>
    </r>
  </si>
  <si>
    <r>
      <rPr>
        <rFont val="Arial, sans-serif"/>
        <color rgb="FF1155CC"/>
        <u/>
      </rPr>
      <t>https://horizondirect.gorgias.com/app/ticket/383707716</t>
    </r>
  </si>
  <si>
    <r>
      <rPr>
        <rFont val="Arial, sans-serif"/>
        <color rgb="FF1155CC"/>
        <u/>
      </rPr>
      <t>https://horizondirect.gorgias.com/app/ticket/383728664</t>
    </r>
  </si>
  <si>
    <r>
      <rPr>
        <rFont val="Arial, sans-serif"/>
        <color rgb="FF1155CC"/>
        <u/>
      </rPr>
      <t>https://horizondirect.gorgias.com/app/ticket/379721167</t>
    </r>
  </si>
  <si>
    <r>
      <rPr>
        <rFont val="Arial, sans-serif"/>
        <color rgb="FF1155CC"/>
        <u/>
      </rPr>
      <t>https://horizondirect.gorgias.com/app/ticket/383821271</t>
    </r>
  </si>
  <si>
    <r>
      <rPr>
        <rFont val="Arial, sans-serif"/>
        <color rgb="FF1155CC"/>
        <u/>
      </rPr>
      <t>https://horizondirect.gorgias.com/app/ticket/379726758</t>
    </r>
  </si>
  <si>
    <r>
      <rPr>
        <rFont val="Arial, sans-serif"/>
        <color rgb="FF1155CC"/>
        <u/>
      </rPr>
      <t>https://horizondirect.gorgias.com/app/ticket/383835099</t>
    </r>
  </si>
  <si>
    <r>
      <rPr>
        <rFont val="Arial, sans-serif"/>
        <color rgb="FF1155CC"/>
        <u/>
      </rPr>
      <t>https://horizondirect.gorgias.com/app/ticket/379819617</t>
    </r>
  </si>
  <si>
    <r>
      <rPr>
        <rFont val="Arial, sans-serif"/>
        <color rgb="FF1155CC"/>
        <u/>
      </rPr>
      <t>https://horizondirect.gorgias.com/app/ticket/383842352</t>
    </r>
  </si>
  <si>
    <r>
      <rPr>
        <rFont val="Arial, sans-serif"/>
        <color rgb="FF1155CC"/>
        <u/>
      </rPr>
      <t>https://horizondirect.gorgias.com/app/ticket/379834293</t>
    </r>
  </si>
  <si>
    <r>
      <rPr>
        <rFont val="Arial, sans-serif"/>
        <color rgb="FF1155CC"/>
        <u/>
      </rPr>
      <t>https://horizondirect.gorgias.com/app/ticket/383962279</t>
    </r>
  </si>
  <si>
    <r>
      <rPr>
        <rFont val="Arial, sans-serif"/>
        <color rgb="FF1155CC"/>
        <u/>
      </rPr>
      <t>https://horizondirect.gorgias.com/app/ticket/383973703</t>
    </r>
  </si>
  <si>
    <r>
      <rPr>
        <rFont val="Arial, sans-serif"/>
        <color rgb="FF1155CC"/>
        <u/>
      </rPr>
      <t>https://horizondirect.gorgias.com/app/ticket/379844322</t>
    </r>
  </si>
  <si>
    <r>
      <rPr>
        <rFont val="Arial, sans-serif"/>
        <color rgb="FF1155CC"/>
        <u/>
      </rPr>
      <t>https://horizondirect.gorgias.com/app/ticket/383990906</t>
    </r>
  </si>
  <si>
    <r>
      <rPr>
        <rFont val="Arial, sans-serif"/>
        <color rgb="FF1155CC"/>
        <u/>
      </rPr>
      <t>https://horizondirect.gorgias.com/app/ticket/379966022</t>
    </r>
  </si>
  <si>
    <r>
      <rPr>
        <rFont val="Arial, sans-serif"/>
        <color rgb="FF1155CC"/>
        <u/>
      </rPr>
      <t>https://horizondirect.gorgias.com/app/ticket/379975052</t>
    </r>
  </si>
  <si>
    <t xml:space="preserve">Week (March 30-  April 5 ,2026) </t>
  </si>
  <si>
    <r>
      <rPr>
        <rFont val="Arial, sans-serif"/>
        <color rgb="FF1155CC"/>
        <u/>
      </rPr>
      <t>https://horizondirect.gorgias.com/app/ticket/379975364</t>
    </r>
  </si>
  <si>
    <r>
      <rPr>
        <rFont val="Arial, sans-serif"/>
        <color rgb="FF1155CC"/>
        <u/>
      </rPr>
      <t>https://horizondirect.gorgias.com/app/ticket/384296669</t>
    </r>
  </si>
  <si>
    <r>
      <rPr>
        <rFont val="Arial, sans-serif"/>
        <color rgb="FF1155CC"/>
        <u/>
      </rPr>
      <t>https://horizondirect.gorgias.com/app/ticket/380130770</t>
    </r>
  </si>
  <si>
    <r>
      <rPr>
        <rFont val="Arial, sans-serif"/>
        <color rgb="FF1155CC"/>
        <u/>
      </rPr>
      <t>https://horizondirect.gorgias.com/app/ticket/384301857</t>
    </r>
  </si>
  <si>
    <r>
      <rPr>
        <rFont val="Arial, sans-serif"/>
        <color rgb="FF1155CC"/>
        <u/>
      </rPr>
      <t>https://horizondirect.gorgias.com/app/ticket/380134642</t>
    </r>
  </si>
  <si>
    <r>
      <rPr>
        <rFont val="Arial, sans-serif"/>
        <color rgb="FF1155CC"/>
        <u/>
      </rPr>
      <t>https://horizondirect.gorgias.com/app/ticket/384317752</t>
    </r>
  </si>
  <si>
    <r>
      <rPr>
        <rFont val="Arial, sans-serif"/>
        <color rgb="FF1155CC"/>
        <u/>
      </rPr>
      <t>https://horizondirect.gorgias.com/app/ticket/380151229</t>
    </r>
  </si>
  <si>
    <r>
      <rPr>
        <rFont val="Arial, sans-serif"/>
        <color rgb="FF1155CC"/>
        <u/>
      </rPr>
      <t>https://horizondirect.gorgias.com/app/ticket/384412162</t>
    </r>
  </si>
  <si>
    <r>
      <rPr>
        <rFont val="Arial, sans-serif"/>
        <color rgb="FF1155CC"/>
        <u/>
      </rPr>
      <t>https://horizondirect.gorgias.com/app/ticket/380289654</t>
    </r>
  </si>
  <si>
    <r>
      <rPr>
        <rFont val="Arial, sans-serif"/>
        <color rgb="FF1155CC"/>
        <u/>
      </rPr>
      <t>https://horizondirect.gorgias.com/app/ticket/384420335</t>
    </r>
  </si>
  <si>
    <r>
      <rPr>
        <rFont val="Arial, sans-serif"/>
        <color rgb="FF1155CC"/>
        <u/>
      </rPr>
      <t>https://horizondirect.gorgias.com/app/ticket/380299591</t>
    </r>
  </si>
  <si>
    <r>
      <rPr>
        <rFont val="Arial, sans-serif"/>
        <color rgb="FF1155CC"/>
        <u/>
      </rPr>
      <t>https://horizondirect.gorgias.com/app/ticket/384427564</t>
    </r>
  </si>
  <si>
    <t>WEEK: April 13 ,2026 - April 19,2026</t>
  </si>
  <si>
    <r>
      <rPr>
        <rFont val="Arial, sans-serif"/>
        <color rgb="FF1155CC"/>
        <u/>
      </rPr>
      <t>https://horizondirect.gorgias.com/app/ticket/380306933</t>
    </r>
  </si>
  <si>
    <r>
      <rPr>
        <rFont val="Arial, sans-serif"/>
        <color rgb="FF1155CC"/>
        <u/>
      </rPr>
      <t>https://horizondirect.gorgias.com/app/ticket/384567772</t>
    </r>
  </si>
  <si>
    <r>
      <rPr>
        <rFont val="Arial, sans-serif"/>
        <color rgb="FF1155CC"/>
        <u/>
      </rPr>
      <t>https://horizondirect.gorgias.com/app/ticket/384573861</t>
    </r>
  </si>
  <si>
    <r>
      <rPr>
        <rFont val="Arial, sans-serif"/>
        <color rgb="FF1155CC"/>
        <u/>
      </rPr>
      <t>https://horizondirect.gorgias.com/app/ticket/384585990</t>
    </r>
  </si>
  <si>
    <r>
      <rPr>
        <rFont val="Arial, sans-serif"/>
        <color rgb="FF1155CC"/>
        <u/>
      </rPr>
      <t>https://horizondirect.gorgias.com/app/ticket/384693319</t>
    </r>
  </si>
  <si>
    <r>
      <rPr>
        <rFont val="Arial, sans-serif"/>
        <color rgb="FF1155CC"/>
        <u/>
      </rPr>
      <t>https://horizondirect.gorgias.com/app/ticket/384708432</t>
    </r>
  </si>
  <si>
    <r>
      <rPr>
        <rFont val="Arial, sans-serif"/>
        <color rgb="FF1155CC"/>
        <u/>
      </rPr>
      <t>https://horizondirect.gorgias.com/app/ticket/380575181</t>
    </r>
  </si>
  <si>
    <r>
      <rPr>
        <rFont val="Arial, sans-serif"/>
        <color rgb="FF1155CC"/>
        <u/>
      </rPr>
      <t>https://horizondirect.gorgias.com/app/ticket/384728106</t>
    </r>
  </si>
  <si>
    <r>
      <rPr>
        <rFont val="Arial, sans-serif"/>
        <color rgb="FF1155CC"/>
        <u/>
      </rPr>
      <t>https://horizondirect.gorgias.com/app/ticket/384822699</t>
    </r>
  </si>
  <si>
    <r>
      <rPr>
        <rFont val="Arial, sans-serif"/>
        <color rgb="FF1155CC"/>
        <u/>
      </rPr>
      <t>https://horizondirect.gorgias.com/app/ticket/380586866</t>
    </r>
  </si>
  <si>
    <r>
      <rPr>
        <rFont val="Arial, sans-serif"/>
        <color rgb="FF1155CC"/>
        <u/>
      </rPr>
      <t>https://horizondirect.gorgias.com/app/ticket/384833067</t>
    </r>
  </si>
  <si>
    <r>
      <rPr>
        <rFont val="Arial, sans-serif"/>
        <color rgb="FF1155CC"/>
        <u/>
      </rPr>
      <t>https://horizondirect.gorgias.com/app/ticket/380595823</t>
    </r>
  </si>
  <si>
    <r>
      <rPr>
        <rFont val="Arial, sans-serif"/>
        <color rgb="FF1155CC"/>
        <u/>
      </rPr>
      <t>https://horizondirect.gorgias.com/app/ticket/384839981</t>
    </r>
  </si>
  <si>
    <r>
      <rPr>
        <rFont val="Arial, sans-serif"/>
        <color rgb="FF1155CC"/>
        <u/>
      </rPr>
      <t>https://horizondirect.gorgias.com/app/ticket/380724248</t>
    </r>
  </si>
  <si>
    <t xml:space="preserve">Week (April 5-  April 12 ,2026) </t>
  </si>
  <si>
    <r>
      <rPr>
        <rFont val="Arial, sans-serif"/>
        <color rgb="FF1155CC"/>
        <u/>
      </rPr>
      <t>https://horizondirect.gorgias.com/app/ticket/380734156</t>
    </r>
  </si>
  <si>
    <r>
      <rPr>
        <rFont val="Arial, sans-serif"/>
        <color rgb="FF1155CC"/>
        <u/>
      </rPr>
      <t>https://horizondirect.gorgias.com/app/ticket/385140663</t>
    </r>
  </si>
  <si>
    <t>WEEK: April 6-  April 12 ,2026</t>
  </si>
  <si>
    <r>
      <rPr>
        <rFont val="Arial, sans-serif"/>
        <color rgb="FF1155CC"/>
        <u/>
      </rPr>
      <t>https://horizondirect.gorgias.com/app/ticket/385155786</t>
    </r>
  </si>
  <si>
    <r>
      <rPr>
        <rFont val="Arial, sans-serif"/>
        <color rgb="FF1155CC"/>
        <u/>
      </rPr>
      <t>https://horizondirect.gorgias.com/app/ticket/385170691</t>
    </r>
  </si>
  <si>
    <r>
      <rPr>
        <rFont val="Arial, sans-serif"/>
        <color rgb="FF1155CC"/>
        <u/>
      </rPr>
      <t>https://horizondirect.gorgias.com/app/ticket/380739712</t>
    </r>
  </si>
  <si>
    <r>
      <rPr>
        <rFont val="Arial, sans-serif"/>
        <color rgb="FF1155CC"/>
        <u/>
      </rPr>
      <t>https://horizondirect.gorgias.com/app/ticket/385287467</t>
    </r>
  </si>
  <si>
    <t>https://horizondirect.gorgias.com/app/ticket/380889149</t>
  </si>
  <si>
    <r>
      <rPr>
        <rFont val="Arial, sans-serif"/>
        <color rgb="FF1155CC"/>
        <u/>
      </rPr>
      <t>https://horizondirect.gorgias.com/app/ticket/385308470</t>
    </r>
  </si>
  <si>
    <t>https://horizondirect.gorgias.com/app/ticket/380891466</t>
  </si>
  <si>
    <t>104</t>
  </si>
  <si>
    <t>75</t>
  </si>
  <si>
    <r>
      <rPr>
        <rFont val="Arial, sans-serif"/>
        <color rgb="FF1155CC"/>
        <u/>
      </rPr>
      <t>https://horizondirect.gorgias.com/app/ticket/385323845</t>
    </r>
  </si>
  <si>
    <t>88</t>
  </si>
  <si>
    <t>https://horizondirect.gorgias.com/app/ticket/380898051</t>
  </si>
  <si>
    <r>
      <rPr>
        <rFont val="Arial, sans-serif"/>
        <color rgb="FF1155CC"/>
        <u/>
      </rPr>
      <t>https://horizondirect.gorgias.com/app/ticket/385449499</t>
    </r>
  </si>
  <si>
    <r>
      <rPr>
        <rFont val="Arial, sans-serif"/>
        <color rgb="FF1155CC"/>
        <u/>
      </rPr>
      <t>https://horizondirect.gorgias.com/app/ticket/381046037</t>
    </r>
  </si>
  <si>
    <r>
      <rPr>
        <rFont val="Arial, sans-serif"/>
        <color rgb="FF1155CC"/>
        <u/>
      </rPr>
      <t>https://horizondirect.gorgias.com/app/ticket/385462454</t>
    </r>
  </si>
  <si>
    <r>
      <rPr>
        <rFont val="Arial, sans-serif"/>
        <color rgb="FF1155CC"/>
        <u/>
      </rPr>
      <t>https://horizondirect.gorgias.com/app/ticket/381066613</t>
    </r>
  </si>
  <si>
    <r>
      <rPr>
        <rFont val="Arial, sans-serif"/>
        <color rgb="FF1155CC"/>
        <u/>
      </rPr>
      <t>https://horizondirect.gorgias.com/app/ticket/385467099</t>
    </r>
  </si>
  <si>
    <r>
      <rPr>
        <rFont val="Arial, sans-serif"/>
        <color rgb="FF1155CC"/>
        <u/>
      </rPr>
      <t>https://horizondirect.gorgias.com/app/ticket/381077267</t>
    </r>
  </si>
  <si>
    <r>
      <rPr>
        <rFont val="Arial, sans-serif"/>
        <color rgb="FF1155CC"/>
        <u/>
      </rPr>
      <t>https://horizondirect.gorgias.com/app/ticket/385593742</t>
    </r>
  </si>
  <si>
    <r>
      <rPr>
        <rFont val="Arial, sans-serif"/>
        <color rgb="FF1155CC"/>
        <u/>
      </rPr>
      <t>https://horizondirect.gorgias.com/app/ticket/385598246</t>
    </r>
  </si>
  <si>
    <r>
      <rPr>
        <rFont val="Arial, sans-serif"/>
        <color rgb="FF1155CC"/>
        <u/>
      </rPr>
      <t>https://horizondirect.gorgias.com/app/ticket/385613685</t>
    </r>
  </si>
  <si>
    <t>https://horizondirect.gorgias.com/app/ticket/381356709</t>
  </si>
  <si>
    <t>https://horizondirect.gorgias.com/app/ticket/385770602</t>
  </si>
  <si>
    <t>https://horizondirect.gorgias.com/app/ticket/381357082</t>
  </si>
  <si>
    <t>https://horizondirect.gorgias.com/app/ticket/385766551</t>
  </si>
  <si>
    <t>https://horizondirect.gorgias.com/app/ticket/381360171</t>
  </si>
  <si>
    <t>https://horizondirect.gorgias.com/app/ticket/385753898</t>
  </si>
  <si>
    <t xml:space="preserve">Week (April 13-  April 19 ,2026) </t>
  </si>
  <si>
    <r>
      <rPr>
        <rFont val="Arial, sans-serif"/>
        <color rgb="FF1155CC"/>
        <u/>
      </rPr>
      <t>https://horizondirect.gorgias.com/app/ticket/386042448</t>
    </r>
  </si>
  <si>
    <r>
      <rPr>
        <rFont val="Arial, sans-serif"/>
        <color rgb="FF1155CC"/>
        <u/>
      </rPr>
      <t>https://horizondirect.gorgias.com/app/ticket/381481880</t>
    </r>
  </si>
  <si>
    <r>
      <rPr>
        <rFont val="Arial, sans-serif"/>
        <color rgb="FF1155CC"/>
        <u/>
      </rPr>
      <t>https://horizondirect.gorgias.com/app/ticket/386054359</t>
    </r>
  </si>
  <si>
    <r>
      <rPr>
        <rFont val="Arial, sans-serif"/>
        <color rgb="FF1155CC"/>
        <u/>
      </rPr>
      <t>https://horizondirect.gorgias.com/app/ticket/381491866</t>
    </r>
  </si>
  <si>
    <r>
      <rPr>
        <rFont val="Arial, sans-serif"/>
        <color rgb="FF1155CC"/>
        <u/>
      </rPr>
      <t>https://horizondirect.gorgias.com/app/ticket/381506591</t>
    </r>
  </si>
  <si>
    <r>
      <rPr>
        <rFont val="Arial, sans-serif"/>
        <color rgb="FF1155CC"/>
        <u/>
      </rPr>
      <t>https://horizondirect.gorgias.com/app/ticket/386057301</t>
    </r>
  </si>
  <si>
    <t>WEEK: April 20 ,2026 - April 26,2026</t>
  </si>
  <si>
    <r>
      <rPr>
        <rFont val="Arial, sans-serif"/>
        <color rgb="FF1155CC"/>
        <u/>
      </rPr>
      <t>https://horizondirect.gorgias.com/app/ticket/386194722</t>
    </r>
  </si>
  <si>
    <t>https://horizondirect.gorgias.com/app/ticket/381656412</t>
  </si>
  <si>
    <r>
      <rPr>
        <rFont val="Arial, sans-serif"/>
        <color rgb="FF1155CC"/>
        <u/>
      </rPr>
      <t>https://horizondirect.gorgias.com/app/ticket/386203451</t>
    </r>
  </si>
  <si>
    <t>https://horizondirect.gorgias.com/app/ticket/381658622</t>
  </si>
  <si>
    <r>
      <rPr>
        <rFont val="Arial, sans-serif"/>
        <color rgb="FF1155CC"/>
        <u/>
      </rPr>
      <t>https://horizondirect.gorgias.com/app/ticket/386222664</t>
    </r>
  </si>
  <si>
    <r>
      <rPr>
        <rFont val="Arial, sans-serif"/>
        <color rgb="FF1155CC"/>
        <u/>
      </rPr>
      <t>https://horizondirect.gorgias.com/app/ticket/386335240</t>
    </r>
  </si>
  <si>
    <r>
      <rPr>
        <rFont val="Arial, sans-serif"/>
        <color rgb="FF1155CC"/>
        <u/>
      </rPr>
      <t>https://horizondirect.gorgias.com/app/ticket/386336941</t>
    </r>
  </si>
  <si>
    <t>https://horizondirect.gorgias.com/app/ticket/381671905</t>
  </si>
  <si>
    <r>
      <rPr>
        <rFont val="Arial, sans-serif"/>
        <color rgb="FF1155CC"/>
        <u/>
      </rPr>
      <t>https://horizondirect.gorgias.com/app/ticket/386342792</t>
    </r>
  </si>
  <si>
    <r>
      <rPr>
        <rFont val="Arial, sans-serif"/>
        <color rgb="FF1155CC"/>
        <u/>
      </rPr>
      <t>https://horizondirect.gorgias.com/app/ticket/381776939</t>
    </r>
  </si>
  <si>
    <r>
      <rPr>
        <rFont val="Arial, sans-serif"/>
        <color rgb="FF1155CC"/>
        <u/>
      </rPr>
      <t>https://horizondirect.gorgias.com/app/ticket/386476284</t>
    </r>
  </si>
  <si>
    <r>
      <rPr>
        <rFont val="Arial, sans-serif"/>
        <color rgb="FF1155CC"/>
        <u/>
      </rPr>
      <t>https://horizondirect.gorgias.com/app/ticket/381780723</t>
    </r>
  </si>
  <si>
    <r>
      <rPr>
        <rFont val="Arial, sans-serif"/>
        <color rgb="FF1155CC"/>
        <u/>
      </rPr>
      <t>https://horizondirect.gorgias.com/app/ticket/386485689</t>
    </r>
  </si>
  <si>
    <r>
      <rPr>
        <rFont val="Arial, sans-serif"/>
        <color rgb="FF1155CC"/>
        <u/>
      </rPr>
      <t>https://horizondirect.gorgias.com/app/ticket/386490706</t>
    </r>
  </si>
  <si>
    <r>
      <rPr>
        <rFont val="Arial, sans-serif"/>
        <color rgb="FF1155CC"/>
        <u/>
      </rPr>
      <t>https://horizondirect.gorgias.com/app/ticket/381788618</t>
    </r>
  </si>
  <si>
    <r>
      <rPr>
        <rFont val="Arial, sans-serif"/>
        <color rgb="FF1155CC"/>
        <u/>
      </rPr>
      <t>https://horizondirect.gorgias.com/app/ticket/386630457</t>
    </r>
  </si>
  <si>
    <r>
      <rPr>
        <rFont val="Arial, sans-serif"/>
        <color rgb="FF1155CC"/>
        <u/>
      </rPr>
      <t>https://horizondirect.gorgias.com/app/ticket/381911782</t>
    </r>
  </si>
  <si>
    <r>
      <rPr>
        <rFont val="Arial, sans-serif"/>
        <color rgb="FF1155CC"/>
        <u/>
      </rPr>
      <t>https://horizondirect.gorgias.com/app/ticket/386651567</t>
    </r>
  </si>
  <si>
    <r>
      <rPr>
        <rFont val="Arial, sans-serif"/>
        <color rgb="FF1155CC"/>
        <u/>
      </rPr>
      <t>https://horizondirect.gorgias.com/app/ticket/381919426</t>
    </r>
  </si>
  <si>
    <r>
      <rPr>
        <rFont val="Arial, sans-serif"/>
        <color rgb="FF1155CC"/>
        <u/>
      </rPr>
      <t>https://horizondirect.gorgias.com/app/ticket/386660419</t>
    </r>
  </si>
  <si>
    <r>
      <rPr>
        <rFont val="Arial, sans-serif"/>
        <color rgb="FF1155CC"/>
        <u/>
      </rPr>
      <t>https://horizondirect.gorgias.com/app/ticket/381923650</t>
    </r>
  </si>
  <si>
    <t xml:space="preserve">Week (April 20-  April 26 ,2026) </t>
  </si>
  <si>
    <r>
      <rPr>
        <rFont val="Arial, sans-serif"/>
        <color rgb="FF1155CC"/>
        <u/>
      </rPr>
      <t>https://horizondirect.gorgias.com/app/ticket/382244658</t>
    </r>
  </si>
  <si>
    <t>650-633-9961</t>
  </si>
  <si>
    <r>
      <rPr>
        <rFont val="Arial, sans-serif"/>
        <color rgb="FF1155CC"/>
        <u/>
      </rPr>
      <t>https://horizondirect.gorgias.com/app/ticket/382256196</t>
    </r>
  </si>
  <si>
    <r>
      <rPr>
        <rFont val="Arial, sans-serif"/>
        <color rgb="FF1155CC"/>
        <u/>
      </rPr>
      <t>https://horizondirect.gorgias.com/app/ticket/382258746</t>
    </r>
  </si>
  <si>
    <t>914-629-5742</t>
  </si>
  <si>
    <t>92</t>
  </si>
  <si>
    <t>307-575-3992</t>
  </si>
  <si>
    <t>83</t>
  </si>
  <si>
    <t>62</t>
  </si>
  <si>
    <t>CAb375ac259c262ed8814f51dedb829ddc</t>
  </si>
  <si>
    <r>
      <rPr>
        <rFont val="Arial, sans-serif"/>
        <color rgb="FF1155CC"/>
        <u/>
      </rPr>
      <t>https://horizondirect.gorgias.com/app/ticket/382606345</t>
    </r>
  </si>
  <si>
    <t>CAddb52a151589a89f663570401f8872a7</t>
  </si>
  <si>
    <t>CA83e507bbf15d611da67303ed427f1d22</t>
  </si>
  <si>
    <t>CA3f3357acbfc852bca168a67e567a35ac</t>
  </si>
  <si>
    <r>
      <rPr>
        <rFont val="Arial, sans-serif"/>
        <color rgb="FF1155CC"/>
        <u/>
      </rPr>
      <t>https://horizondirect.gorgias.com/app/ticket/382607946</t>
    </r>
  </si>
  <si>
    <t>CA7830ec3dc6e6d4de9c71a257d37900e6</t>
  </si>
  <si>
    <r>
      <rPr>
        <rFont val="Arial, sans-serif"/>
        <color rgb="FF1155CC"/>
        <u/>
      </rPr>
      <t>https://horizondirect.gorgias.com/app/ticket/382536959</t>
    </r>
  </si>
  <si>
    <t>CA3baa719d7a15987810b86d8163f65971</t>
  </si>
  <si>
    <t>https://horizondirect.gorgias.com/app/ticket/382740654</t>
  </si>
  <si>
    <t>CA6ddc807b9c233ae8fbe5396312615cb7</t>
  </si>
  <si>
    <t>https://horizondirect.gorgias.com/app/ticket/382742926</t>
  </si>
  <si>
    <t>CAdf71ffda56032020503dcb5ec8335f2a</t>
  </si>
  <si>
    <t>CA80d504c76ed20f7e4954de7d97540ee8</t>
  </si>
  <si>
    <t>https://horizondirect.gorgias.com/app/ticket/382752946</t>
  </si>
  <si>
    <r>
      <rPr>
        <rFont val="Arial, sans-serif"/>
        <color rgb="FF1155CC"/>
        <u/>
      </rPr>
      <t>https://horizondirect.gorgias.com/app/ticket/382854097</t>
    </r>
  </si>
  <si>
    <t>CAfc06e51e7abeaad62e6880f8470edcc0</t>
  </si>
  <si>
    <r>
      <rPr>
        <rFont val="Arial, sans-serif"/>
        <color rgb="FF1155CC"/>
        <u/>
      </rPr>
      <t>https://horizondirect.gorgias.com/app/ticket/382862264</t>
    </r>
  </si>
  <si>
    <t>CA5f3439a4fdff1187f5b321424fa14853</t>
  </si>
  <si>
    <t>WEEK: April 13-  April 19 ,2026</t>
  </si>
  <si>
    <t>CAa4cbc27dcca4c4bfad955f78f567f4f9</t>
  </si>
  <si>
    <r>
      <rPr>
        <rFont val="Arial, sans-serif"/>
        <color rgb="FF1155CC"/>
        <u/>
      </rPr>
      <t>https://horizondirect.gorgias.com/app/ticket/382869972</t>
    </r>
  </si>
  <si>
    <t xml:space="preserve">Week (April 27 -  May 3 ,2026) </t>
  </si>
  <si>
    <r>
      <rPr>
        <rFont val="Arial, sans-serif"/>
        <color rgb="FF1155CC"/>
        <u/>
      </rPr>
      <t>https://horizondirect.gorgias.com/app/ticket/387849262</t>
    </r>
  </si>
  <si>
    <r>
      <rPr>
        <rFont val="Arial, sans-serif"/>
        <color rgb="FF1155CC"/>
        <u/>
      </rPr>
      <t>https://horizondirect.gorgias.com/app/ticket/383002767</t>
    </r>
  </si>
  <si>
    <r>
      <rPr>
        <rFont val="Arial, sans-serif"/>
        <color rgb="FF1155CC"/>
        <u/>
      </rPr>
      <t>https://horizondirect.gorgias.com/app/ticket/387858730</t>
    </r>
  </si>
  <si>
    <r>
      <rPr>
        <rFont val="Arial, sans-serif"/>
        <color rgb="FF1155CC"/>
        <u/>
      </rPr>
      <t>https://horizondirect.gorgias.com/app/ticket/383010770</t>
    </r>
  </si>
  <si>
    <r>
      <rPr>
        <rFont val="Arial, sans-serif"/>
        <color rgb="FF1155CC"/>
        <u/>
      </rPr>
      <t>https://horizondirect.gorgias.com/app/ticket/387874093</t>
    </r>
  </si>
  <si>
    <t>https://horizondirect.gorgias.com/app/ticket/383018771</t>
  </si>
  <si>
    <t>WEEK: April 27 ,2026 - May 3,2026</t>
  </si>
  <si>
    <t>CAa64e6705ca695a02408b06e2b5523299</t>
  </si>
  <si>
    <r>
      <rPr>
        <rFont val="Arial, sans-serif"/>
        <color rgb="FF1155CC"/>
        <u/>
      </rPr>
      <t>https://horizondirect.gorgias.com/app/ticket/383131656</t>
    </r>
  </si>
  <si>
    <t>CA4d82c8900029123d9320b656472fa115</t>
  </si>
  <si>
    <r>
      <rPr>
        <rFont val="Arial, sans-serif"/>
        <color rgb="FF1155CC"/>
        <u/>
      </rPr>
      <t>https://horizondirect.gorgias.com/app/ticket/383145300</t>
    </r>
  </si>
  <si>
    <t>CA1d4e21995a1b7c9748229c813c77c69b</t>
  </si>
  <si>
    <r>
      <rPr>
        <rFont val="Arial, sans-serif"/>
        <color rgb="FF1155CC"/>
        <u/>
      </rPr>
      <t>https://horizondirect.gorgias.com/app/ticket/383161864</t>
    </r>
  </si>
  <si>
    <t>CA321fbd09a0937a42098288d56099b39a</t>
  </si>
  <si>
    <t>CA710eba8300efa1c1ef159be32fb1a2d0</t>
  </si>
  <si>
    <t>CA5c6a35e2c8548ed020d03b53c40ed604</t>
  </si>
  <si>
    <t>CAe9d21801040cf90f892e18a1528ef791</t>
  </si>
  <si>
    <t>CA2302c79643979c82c0d40b1f35841177</t>
  </si>
  <si>
    <r>
      <rPr>
        <rFont val="Arial, sans-serif"/>
        <color rgb="FF1155CC"/>
        <u/>
      </rPr>
      <t>https://horizondirect.gorgias.com/app/ticket/383439909</t>
    </r>
  </si>
  <si>
    <t>CAe4d1b4f41d5d824bcda0d30f9396fb23</t>
  </si>
  <si>
    <t>CA125c4073c2e0002cbbf765b7493e6106</t>
  </si>
  <si>
    <r>
      <rPr>
        <rFont val="Arial, sans-serif"/>
        <color rgb="FF1155CC"/>
        <u/>
      </rPr>
      <t>https://horizondirect.gorgias.com/app/ticket/383443889</t>
    </r>
  </si>
  <si>
    <r>
      <rPr>
        <rFont val="Arial, sans-serif"/>
        <color rgb="FF1155CC"/>
        <u/>
      </rPr>
      <t>https://horizondirect.gorgias.com/app/ticket/383451855</t>
    </r>
  </si>
  <si>
    <t>CA8b980912b05794266c17b257c2229734</t>
  </si>
  <si>
    <t>CA8d04cd04e0d722ff9017823a81a2345a</t>
  </si>
  <si>
    <t>https://horizondirect.gorgias.com/app/ticket/383576028</t>
  </si>
  <si>
    <t>https://horizondirect.gorgias.com/app/ticket/383587132</t>
  </si>
  <si>
    <t xml:space="preserve">Week (May 4 -  May 10,2026) </t>
  </si>
  <si>
    <t>CAbfee02e116b771e6da55e7a5051dd528</t>
  </si>
  <si>
    <t>124</t>
  </si>
  <si>
    <t>CA2286108c637e6b6fb9f0848567073808</t>
  </si>
  <si>
    <t>91</t>
  </si>
  <si>
    <t>95</t>
  </si>
  <si>
    <t>132</t>
  </si>
  <si>
    <t>https://horizondirect.gorgias.com/app/ticket/383595257</t>
  </si>
  <si>
    <t>CA7243141ec20096176cc18332999580b9</t>
  </si>
  <si>
    <r>
      <rPr>
        <rFont val="Arial, sans-serif"/>
        <color rgb="FF1155CC"/>
        <u/>
      </rPr>
      <t>https://horizondirect.gorgias.com/app/ticket/383712241</t>
    </r>
  </si>
  <si>
    <t>CAce805be74e7ea2e79ea7ebd90f5b42e3</t>
  </si>
  <si>
    <t>CA29a0119a9fce6b7b39af563e34f03a07</t>
  </si>
  <si>
    <t>CA463e6da27cafd11f7597db1f3dbb9035</t>
  </si>
  <si>
    <r>
      <rPr>
        <rFont val="Arial, sans-serif"/>
        <color rgb="FF1155CC"/>
        <u/>
      </rPr>
      <t>https://horizondirect.gorgias.com/app/ticket/383728886</t>
    </r>
  </si>
  <si>
    <t>CAa9efe6902beba4c13c83a3dc3e3ce6a0</t>
  </si>
  <si>
    <r>
      <rPr>
        <rFont val="Arial, sans-serif"/>
        <color rgb="FF1155CC"/>
        <u/>
      </rPr>
      <t>https://horizondirect.gorgias.com/app/ticket/383741046</t>
    </r>
  </si>
  <si>
    <t>CA930d5bd10173cd70d6e70e878139c111</t>
  </si>
  <si>
    <r>
      <rPr>
        <rFont val="Arial, sans-serif"/>
        <color rgb="FF1155CC"/>
        <u/>
      </rPr>
      <t>https://horizondirect.gorgias.com/app/ticket/383857754</t>
    </r>
  </si>
  <si>
    <t>CAdec4cf9899f923d64ba2cf33e441b783</t>
  </si>
  <si>
    <r>
      <rPr>
        <rFont val="Arial, sans-serif"/>
        <color rgb="FF1155CC"/>
        <u/>
      </rPr>
      <t>https://horizondirect.gorgias.com/app/ticket/383871537</t>
    </r>
  </si>
  <si>
    <t>CAa3c4bda819bfb002c1c818b9d38e1d28</t>
  </si>
  <si>
    <r>
      <rPr>
        <rFont val="Arial, sans-serif"/>
        <color rgb="FF1155CC"/>
        <u/>
      </rPr>
      <t>https://horizondirect.gorgias.com/app/ticket/383883159</t>
    </r>
  </si>
  <si>
    <t>CA56f47620d89fc76c7b3d56a8f8206d4e</t>
  </si>
  <si>
    <r>
      <rPr>
        <rFont val="Arial, sans-serif"/>
        <color rgb="FF1155CC"/>
        <u/>
      </rPr>
      <t>https://horizondirect.gorgias.com/app/ticket/383995394</t>
    </r>
  </si>
  <si>
    <t>CA8db0af70952840df730460e63bd65ad8</t>
  </si>
  <si>
    <t>CA3deb1819f33c9bd76026bb00a770d097</t>
  </si>
  <si>
    <r>
      <rPr>
        <rFont val="Arial, sans-serif"/>
        <color rgb="FF1155CC"/>
        <u/>
      </rPr>
      <t>https://horizondirect.gorgias.com/app/ticket/384004944</t>
    </r>
  </si>
  <si>
    <t>CAea2a8900c1d202fec3f31125233e959e</t>
  </si>
  <si>
    <t>CA8aacfd56b385c0e4f56298ab2e7ba98e</t>
  </si>
  <si>
    <r>
      <rPr>
        <rFont val="Arial, sans-serif"/>
        <color rgb="FF1155CC"/>
        <u/>
      </rPr>
      <t>https://horizondirect.gorgias.com/app/ticket/383984676</t>
    </r>
  </si>
  <si>
    <t xml:space="preserve">Week (May 11 -  May 17,2026) </t>
  </si>
  <si>
    <t>CA1f5d3f4565052adb9c09e7c858f92e12</t>
  </si>
  <si>
    <t>CAfbda47846de5cfedeebbaef6e59f12a4</t>
  </si>
  <si>
    <t>https://horizondirect.gorgias.com/app/ticket/384461932</t>
  </si>
  <si>
    <t>CA5266ab44dbc45b84868622b17c5643d0</t>
  </si>
  <si>
    <t>CA1ad61ef4de333f235c47944fb40195cd</t>
  </si>
  <si>
    <t>https://horizondirect.gorgias.com/app/ticket/384462252</t>
  </si>
  <si>
    <t>CA2a70db45cb690372a8d304e55ab6ac07</t>
  </si>
  <si>
    <t>WEEK: May 4 ,2026 - May 10,2026</t>
  </si>
  <si>
    <t>CA4034fa7e71c17a5c942275c6a069f324</t>
  </si>
  <si>
    <t>CA977de8e0e329e29bd57a156681a55fd8</t>
  </si>
  <si>
    <t>https://horizondirect.gorgias.com/app/ticket/384463394</t>
  </si>
  <si>
    <t>CAc9b90c72649676307ddc6e30e9961bc4</t>
  </si>
  <si>
    <r>
      <rPr>
        <rFont val="Arial, sans-serif"/>
        <color rgb="FF1155CC"/>
        <u/>
      </rPr>
      <t>https://horizondirect.gorgias.com/app/ticket/384588739</t>
    </r>
  </si>
  <si>
    <t>CAa702ba1db94c3762bc27458c584ce83a</t>
  </si>
  <si>
    <r>
      <rPr>
        <rFont val="Arial, sans-serif"/>
        <color rgb="FF1155CC"/>
        <u/>
      </rPr>
      <t>https://horizondirect.gorgias.com/app/ticket/384594329</t>
    </r>
  </si>
  <si>
    <r>
      <rPr>
        <rFont val="Arial, sans-serif"/>
        <color rgb="FF1155CC"/>
        <u/>
      </rPr>
      <t>https://horizondirect.gorgias.com/app/ticket/384600318</t>
    </r>
  </si>
  <si>
    <r>
      <rPr>
        <rFont val="Arial, sans-serif"/>
        <color rgb="FF1155CC"/>
        <u/>
      </rPr>
      <t>https://horizondirect.gorgias.com/app/ticket/384731126</t>
    </r>
  </si>
  <si>
    <r>
      <rPr>
        <rFont val="Arial, sans-serif"/>
        <color rgb="FF1155CC"/>
        <u/>
      </rPr>
      <t>https://horizondirect.gorgias.com/app/ticket/384736097</t>
    </r>
  </si>
  <si>
    <t>WEEK: April 20-  April 26 ,2026</t>
  </si>
  <si>
    <r>
      <rPr>
        <rFont val="Arial, sans-serif"/>
        <color rgb="FF1155CC"/>
        <u/>
      </rPr>
      <t>https://horizondirect.gorgias.com/app/ticket/384747060</t>
    </r>
  </si>
  <si>
    <t xml:space="preserve">Week (May 18 -  May 24,2026) </t>
  </si>
  <si>
    <r>
      <rPr>
        <rFont val="Arial, sans-serif"/>
        <color rgb="FF1155CC"/>
        <u/>
      </rPr>
      <t>https://horizondirect.gorgias.com/app/ticket/384854012</t>
    </r>
  </si>
  <si>
    <t>CA7c2a3f30a9299ab8f96a4d5e1da3895e</t>
  </si>
  <si>
    <r>
      <rPr>
        <rFont val="Arial, sans-serif"/>
        <color rgb="FF1155CC"/>
        <u/>
      </rPr>
      <t>https://horizondirect.gorgias.com/app/ticket/384868139</t>
    </r>
  </si>
  <si>
    <t>CA05925dc903ad6c0058303332ccdbfa6f</t>
  </si>
  <si>
    <r>
      <rPr>
        <rFont val="Arial, sans-serif"/>
        <color rgb="FF1155CC"/>
        <u/>
      </rPr>
      <t>https://horizondirect.gorgias.com/app/ticket/384869814</t>
    </r>
  </si>
  <si>
    <t>CA2b3b514b82f1c6a00a9fdd8935f9ca43</t>
  </si>
  <si>
    <t>CAada8a76e0229ed3472d90cf339770747</t>
  </si>
  <si>
    <t>CAa2bc32cf39879038b0731f836d3f468f</t>
  </si>
  <si>
    <t>CAe56e4e0633eedf5226847a04352b00de</t>
  </si>
  <si>
    <t>CA439ed72a27d46a51b8866028c3149a7d</t>
  </si>
  <si>
    <t>63</t>
  </si>
  <si>
    <t>CA1b808ce8e0d660093786dc70e8e70545</t>
  </si>
  <si>
    <t>49</t>
  </si>
  <si>
    <t>61</t>
  </si>
  <si>
    <t>47</t>
  </si>
  <si>
    <t>CA61f7e0b7949361b2b7a618ece7d312f5</t>
  </si>
  <si>
    <t>https://horizondirect.gorgias.com/app/ticket/385168461</t>
  </si>
  <si>
    <r>
      <rPr>
        <rFont val="Arial, sans-serif"/>
        <color rgb="FF1155CC"/>
        <u/>
      </rPr>
      <t>https://4ammedia.zendesk.com/agent/tickets/144666</t>
    </r>
  </si>
  <si>
    <r>
      <rPr>
        <rFont val="Arial, sans-serif"/>
        <color rgb="FF1155CC"/>
        <u/>
      </rPr>
      <t>https://4ammedia.zendesk.com/agent/tickets/144733</t>
    </r>
  </si>
  <si>
    <r>
      <rPr>
        <rFont val="Arial, sans-serif"/>
        <color rgb="FF1155CC"/>
        <u/>
      </rPr>
      <t>https://4ammedia.zendesk.com/agent/tickets/145057</t>
    </r>
  </si>
  <si>
    <r>
      <rPr>
        <rFont val="Arial, sans-serif"/>
        <color rgb="FF1155CC"/>
        <u/>
      </rPr>
      <t>https://4ammedia.zendesk.com/agent/tickets/145971</t>
    </r>
  </si>
  <si>
    <r>
      <rPr>
        <rFont val="Arial, sans-serif"/>
        <color rgb="FF1155CC"/>
        <u/>
      </rPr>
      <t>https://horizondirect.gorgias.com/app/ticket/385177030</t>
    </r>
  </si>
  <si>
    <r>
      <rPr>
        <rFont val="Arial, sans-serif"/>
        <color rgb="FF1155CC"/>
        <u/>
      </rPr>
      <t>https://4ammedia.zendesk.com/agent/tickets/146179</t>
    </r>
  </si>
  <si>
    <r>
      <rPr>
        <rFont val="Arial, sans-serif"/>
        <color rgb="FF1155CC"/>
        <u/>
      </rPr>
      <t>https://horizondirect.gorgias.com/app/ticket/385185354</t>
    </r>
  </si>
  <si>
    <r>
      <rPr>
        <rFont val="Arial, sans-serif"/>
        <color rgb="FF1155CC"/>
        <u/>
      </rPr>
      <t>https://4ammedia.zendesk.com/agent/tickets/146236</t>
    </r>
  </si>
  <si>
    <t>https://horizondirect.gorgias.com/app/ticket/385359237</t>
  </si>
  <si>
    <t xml:space="preserve">Week (May 25 -  May 31,2026) </t>
  </si>
  <si>
    <t>https://horizondirect.gorgias.com/app/ticket/385352418</t>
  </si>
  <si>
    <r>
      <rPr>
        <rFont val="Arial, sans-serif"/>
        <color rgb="FF1155CC"/>
        <u/>
      </rPr>
      <t>https://4ammedia.zendesk.com/agent/tickets/149146</t>
    </r>
  </si>
  <si>
    <t>https://horizondirect.gorgias.com/app/ticket/385351463</t>
  </si>
  <si>
    <r>
      <rPr>
        <rFont val="Arial, sans-serif"/>
        <color rgb="FF1155CC"/>
        <u/>
      </rPr>
      <t>https://4ammedia.zendesk.com/agent/tickets/149297</t>
    </r>
  </si>
  <si>
    <t>https://horizondirect.gorgias.com/app/ticket/385770727</t>
  </si>
  <si>
    <r>
      <rPr>
        <rFont val="Arial, sans-serif"/>
        <color rgb="FF1155CC"/>
        <u/>
      </rPr>
      <t>https://4ammedia.zendesk.com/agent/tickets/149442</t>
    </r>
  </si>
  <si>
    <t>https://horizondirect.gorgias.com/app/ticket/385767517</t>
  </si>
  <si>
    <r>
      <rPr>
        <rFont val="Arial, sans-serif"/>
        <color rgb="FF1155CC"/>
        <u/>
      </rPr>
      <t>https://4ammedia.zendesk.com/agent/tickets/150606</t>
    </r>
  </si>
  <si>
    <r>
      <rPr>
        <rFont val="Arial, sans-serif"/>
        <color rgb="FF1155CC"/>
        <u/>
      </rPr>
      <t>https://4ammedia.zendesk.com/agent/tickets/150785</t>
    </r>
  </si>
  <si>
    <r>
      <rPr>
        <rFont val="Arial, sans-serif"/>
        <color rgb="FF1155CC"/>
        <u/>
      </rPr>
      <t>https://4ammedia.zendesk.com/agent/tickets/151012</t>
    </r>
  </si>
  <si>
    <t>https://horizondirect.gorgias.com/app/ticket/385762320</t>
  </si>
  <si>
    <r>
      <rPr>
        <rFont val="Arial, sans-serif"/>
        <color rgb="FF1155CC"/>
        <u/>
      </rPr>
      <t>https://4ammedia.zendesk.com/agent/tickets/152061</t>
    </r>
  </si>
  <si>
    <t>https://horizondirect.gorgias.com/app/ticket/385853692</t>
  </si>
  <si>
    <r>
      <rPr>
        <rFont val="Arial, sans-serif"/>
        <color rgb="FF1155CC"/>
        <u/>
      </rPr>
      <t>https://4ammedia.zendesk.com/agent/tickets/152326</t>
    </r>
  </si>
  <si>
    <t>https://horizondirect.gorgias.com/app/ticket/385852795</t>
  </si>
  <si>
    <t>WEEK: May 11 ,2026 - May 17,2026</t>
  </si>
  <si>
    <r>
      <rPr>
        <rFont val="Arial, sans-serif"/>
        <color rgb="FF1155CC"/>
        <u/>
      </rPr>
      <t>https://4ammedia.zendesk.com/agent/tickets/152698</t>
    </r>
  </si>
  <si>
    <r>
      <rPr>
        <rFont val="Arial, sans-serif"/>
        <color rgb="FF1155CC"/>
        <u/>
      </rPr>
      <t>https://4ammedia.zendesk.com/agent/tickets/157687</t>
    </r>
  </si>
  <si>
    <t>https://horizondirect.gorgias.com/app/ticket/385852429</t>
  </si>
  <si>
    <r>
      <rPr>
        <rFont val="Arial, sans-serif"/>
        <color rgb="FF1155CC"/>
        <u/>
      </rPr>
      <t>https://4ammedia.zendesk.com/agent/tickets/157710</t>
    </r>
  </si>
  <si>
    <r>
      <rPr>
        <rFont val="Arial, sans-serif"/>
        <color rgb="FF1155CC"/>
        <u/>
      </rPr>
      <t>https://horizondirect.gorgias.com/app/ticket/385945753</t>
    </r>
  </si>
  <si>
    <r>
      <rPr>
        <rFont val="Arial, sans-serif"/>
        <color rgb="FF1155CC"/>
        <u/>
      </rPr>
      <t>https://4ammedia.zendesk.com/agent/tickets/157727</t>
    </r>
  </si>
  <si>
    <r>
      <rPr>
        <rFont val="Arial, sans-serif"/>
        <color rgb="FF1155CC"/>
        <u/>
      </rPr>
      <t>https://horizondirect.gorgias.com/app/ticket/385959799</t>
    </r>
  </si>
  <si>
    <r>
      <rPr>
        <rFont val="Arial, sans-serif"/>
        <color rgb="FF1155CC"/>
        <u/>
      </rPr>
      <t>https://horizondirect.gorgias.com/app/ticket/385933230</t>
    </r>
  </si>
  <si>
    <t xml:space="preserve">Week (June 1 -  June 7,2026) </t>
  </si>
  <si>
    <r>
      <rPr>
        <rFont val="Arial, sans-serif"/>
        <color rgb="FF1155CC"/>
        <u/>
      </rPr>
      <t>https://horizondirect.gorgias.com/app/ticket/386072232</t>
    </r>
  </si>
  <si>
    <r>
      <rPr>
        <rFont val="Arial, sans-serif"/>
        <color rgb="FF1155CC"/>
        <u/>
      </rPr>
      <t>https://4ammedia.zendesk.com/agent/tickets/158929</t>
    </r>
  </si>
  <si>
    <r>
      <rPr>
        <rFont val="Arial, sans-serif"/>
        <color rgb="FF1155CC"/>
        <u/>
      </rPr>
      <t>https://4ammedia.zendesk.com/agent/tickets/159032</t>
    </r>
  </si>
  <si>
    <r>
      <rPr>
        <rFont val="Arial, sans-serif"/>
        <color rgb="FF1155CC"/>
        <u/>
      </rPr>
      <t>https://4ammedia.zendesk.com/agent/tickets/159118</t>
    </r>
  </si>
  <si>
    <r>
      <rPr>
        <rFont val="Arial, sans-serif"/>
        <color rgb="FF1155CC"/>
        <u/>
      </rPr>
      <t>https://4ammedia.zendesk.com/agent/tickets/160676</t>
    </r>
  </si>
  <si>
    <r>
      <rPr>
        <rFont val="Arial, sans-serif"/>
        <color rgb="FF1155CC"/>
        <u/>
      </rPr>
      <t>https://horizondirect.gorgias.com/app/ticket/386078498</t>
    </r>
  </si>
  <si>
    <r>
      <rPr>
        <rFont val="Arial, sans-serif"/>
        <color rgb="FF1155CC"/>
        <u/>
      </rPr>
      <t>https://4ammedia.zendesk.com/agent/tickets/160795</t>
    </r>
  </si>
  <si>
    <r>
      <rPr>
        <rFont val="Arial, sans-serif"/>
        <color rgb="FF1155CC"/>
        <u/>
      </rPr>
      <t>https://horizondirect.gorgias.com/app/ticket/386089006</t>
    </r>
  </si>
  <si>
    <r>
      <rPr>
        <rFont val="Arial, sans-serif"/>
        <color rgb="FF1155CC"/>
        <u/>
      </rPr>
      <t>https://4ammedia.zendesk.com/agent/tickets/160908</t>
    </r>
  </si>
  <si>
    <r>
      <rPr>
        <rFont val="Arial, sans-serif"/>
        <color rgb="FF1155CC"/>
        <u/>
      </rPr>
      <t>https://4ammedia.zendesk.com/agent/tickets/162260</t>
    </r>
  </si>
  <si>
    <t>https://horizondirect.gorgias.com/app/ticket/386236068</t>
  </si>
  <si>
    <r>
      <rPr>
        <rFont val="Arial, sans-serif"/>
        <color rgb="FF1155CC"/>
        <u/>
      </rPr>
      <t>https://4ammedia.zendesk.com/agent/tickets/162352</t>
    </r>
  </si>
  <si>
    <t>https://horizondirect.gorgias.com/app/ticket/386234884</t>
  </si>
  <si>
    <r>
      <rPr>
        <rFont val="Arial, sans-serif"/>
        <color rgb="FF1155CC"/>
        <u/>
      </rPr>
      <t>https://4ammedia.zendesk.com/agent/tickets/162433</t>
    </r>
  </si>
  <si>
    <r>
      <rPr>
        <rFont val="Arial, sans-serif"/>
        <color rgb="FF1155CC"/>
        <u/>
      </rPr>
      <t>https://4ammedia.zendesk.com/agent/tickets/163919</t>
    </r>
  </si>
  <si>
    <t>65</t>
  </si>
  <si>
    <t>50</t>
  </si>
  <si>
    <t>https://horizondirect.gorgias.com/app/ticket/386230712</t>
  </si>
  <si>
    <t>71</t>
  </si>
  <si>
    <r>
      <rPr>
        <rFont val="Arial, sans-serif"/>
        <color rgb="FF1155CC"/>
        <u/>
      </rPr>
      <t>https://4ammedia.zendesk.com/agent/tickets/163972</t>
    </r>
  </si>
  <si>
    <r>
      <rPr>
        <rFont val="Arial, sans-serif"/>
        <color rgb="FF1155CC"/>
        <u/>
      </rPr>
      <t>https://horizondirect.gorgias.com/app/ticket/386376801</t>
    </r>
  </si>
  <si>
    <r>
      <rPr>
        <rFont val="Arial, sans-serif"/>
        <color rgb="FF1155CC"/>
        <u/>
      </rPr>
      <t>https://4ammedia.zendesk.com/agent/tickets/164040</t>
    </r>
  </si>
  <si>
    <r>
      <rPr>
        <rFont val="Arial, sans-serif"/>
        <color rgb="FF1155CC"/>
        <u/>
      </rPr>
      <t>https://horizondirect.gorgias.com/app/ticket/386391367</t>
    </r>
  </si>
  <si>
    <r>
      <rPr>
        <rFont val="Arial, sans-serif"/>
        <color rgb="FF1155CC"/>
        <u/>
      </rPr>
      <t>https://4ammedia.zendesk.com/agent/tickets/165282</t>
    </r>
  </si>
  <si>
    <r>
      <rPr>
        <rFont val="Arial, sans-serif"/>
        <color rgb="FF1155CC"/>
        <u/>
      </rPr>
      <t>https://4ammedia.zendesk.com/agent/tickets/165414</t>
    </r>
  </si>
  <si>
    <r>
      <rPr>
        <rFont val="Arial, sans-serif"/>
        <color rgb="FF1155CC"/>
        <u/>
      </rPr>
      <t>https://horizondirect.gorgias.com/app/ticket/386371722</t>
    </r>
  </si>
  <si>
    <r>
      <rPr>
        <rFont val="Arial, sans-serif"/>
        <color rgb="FF1155CC"/>
        <u/>
      </rPr>
      <t>https://4ammedia.zendesk.com/agent/tickets/165644</t>
    </r>
  </si>
  <si>
    <t>WEEK: April 27-  May 3,2026</t>
  </si>
  <si>
    <t xml:space="preserve">Week (June 8 -  June 14,2026) </t>
  </si>
  <si>
    <r>
      <rPr>
        <rFont val="Arial, sans-serif"/>
        <color rgb="FF1155CC"/>
        <u/>
      </rPr>
      <t>https://4ammedia.zendesk.com/agent/tickets/169333</t>
    </r>
  </si>
  <si>
    <r>
      <rPr>
        <rFont val="Arial, sans-serif"/>
        <color rgb="FF1155CC"/>
        <u/>
      </rPr>
      <t>https://4ammedia.zendesk.com/agent/tickets/169521</t>
    </r>
  </si>
  <si>
    <r>
      <rPr>
        <rFont val="Arial, sans-serif"/>
        <color rgb="FF1155CC"/>
        <u/>
      </rPr>
      <t>https://horizondirect.gorgias.com/app/ticket/386519509</t>
    </r>
  </si>
  <si>
    <r>
      <rPr>
        <rFont val="Arial, sans-serif"/>
        <color rgb="FF1155CC"/>
        <u/>
      </rPr>
      <t>https://4ammedia.zendesk.com/agent/tickets/169615</t>
    </r>
  </si>
  <si>
    <r>
      <rPr>
        <rFont val="Arial, sans-serif"/>
        <color rgb="FF1155CC"/>
        <u/>
      </rPr>
      <t>https://4ammedia.zendesk.com/agent/tickets/171498</t>
    </r>
  </si>
  <si>
    <r>
      <rPr>
        <rFont val="Arial, sans-serif"/>
        <color rgb="FF1155CC"/>
        <u/>
      </rPr>
      <t>https://horizondirect.gorgias.com/app/ticket/386525671</t>
    </r>
  </si>
  <si>
    <r>
      <rPr>
        <rFont val="Arial, sans-serif"/>
        <color rgb="FF1155CC"/>
        <u/>
      </rPr>
      <t>https://4ammedia.zendesk.com/agent/tickets/171585</t>
    </r>
  </si>
  <si>
    <r>
      <rPr>
        <rFont val="Arial, sans-serif"/>
        <color rgb="FF1155CC"/>
        <u/>
      </rPr>
      <t>https://4ammedia.zendesk.com/agent/tickets/171816</t>
    </r>
  </si>
  <si>
    <r>
      <rPr>
        <rFont val="Arial, sans-serif"/>
        <color rgb="FF1155CC"/>
        <u/>
      </rPr>
      <t>https://horizondirect.gorgias.com/app/ticket/386526135</t>
    </r>
  </si>
  <si>
    <r>
      <rPr>
        <rFont val="Arial, sans-serif"/>
        <color rgb="FF1155CC"/>
        <u/>
      </rPr>
      <t>https://4ammedia.zendesk.com/agent/tickets/172924</t>
    </r>
  </si>
  <si>
    <r>
      <rPr>
        <rFont val="Arial, sans-serif"/>
        <color rgb="FF1155CC"/>
        <u/>
      </rPr>
      <t>https://4ammedia.zendesk.com/agent/tickets/173195</t>
    </r>
  </si>
  <si>
    <r>
      <rPr>
        <rFont val="Arial, sans-serif"/>
        <color rgb="FF1155CC"/>
        <u/>
      </rPr>
      <t>https://4ammedia.zendesk.com/agent/tickets/173390</t>
    </r>
  </si>
  <si>
    <t>https://horizondirect.gorgias.com/app/ticket/386671902</t>
  </si>
  <si>
    <t>WEEK: May 18,2026 - May 24,2026</t>
  </si>
  <si>
    <r>
      <rPr>
        <rFont val="Arial, sans-serif"/>
        <color rgb="FF1155CC"/>
        <u/>
      </rPr>
      <t>https://4ammedia.zendesk.com/agent/tickets/174476</t>
    </r>
  </si>
  <si>
    <r>
      <rPr>
        <rFont val="Arial, sans-serif"/>
        <color rgb="FF1155CC"/>
        <u/>
      </rPr>
      <t>https://4ammedia.zendesk.com/agent/tickets/174731</t>
    </r>
  </si>
  <si>
    <t>https://horizondirect.gorgias.com/app/ticket/386672007</t>
  </si>
  <si>
    <r>
      <rPr>
        <rFont val="Arial, sans-serif"/>
        <color rgb="FF1155CC"/>
        <u/>
      </rPr>
      <t>https://4ammedia.zendesk.com/agent/tickets/174845</t>
    </r>
  </si>
  <si>
    <r>
      <rPr>
        <rFont val="Arial, sans-serif"/>
        <color rgb="FF1155CC"/>
        <u/>
      </rPr>
      <t>https://4ammedia.zendesk.com/agent/tickets/175589</t>
    </r>
  </si>
  <si>
    <t>https://horizondirect.gorgias.com/app/ticket/386672849</t>
  </si>
  <si>
    <r>
      <rPr>
        <rFont val="Arial, sans-serif"/>
        <color rgb="FF1155CC"/>
        <u/>
      </rPr>
      <t>https://4ammedia.zendesk.com/agent/tickets/175785</t>
    </r>
  </si>
  <si>
    <r>
      <rPr>
        <rFont val="Arial, sans-serif"/>
        <color rgb="FF1155CC"/>
        <u/>
      </rPr>
      <t>https://4ammedia.zendesk.com/agent/tickets/175839</t>
    </r>
  </si>
  <si>
    <t xml:space="preserve">Week (June 15 -  June 21,2026) </t>
  </si>
  <si>
    <t>EXEMPTED</t>
  </si>
  <si>
    <t>CA17673bbbc0bf4a155e6a2fbe9a1c4c2d</t>
  </si>
  <si>
    <t>64</t>
  </si>
  <si>
    <t>CA62df893ea30215f28dd86c19532fe1c2</t>
  </si>
  <si>
    <t>54</t>
  </si>
  <si>
    <t>52</t>
  </si>
  <si>
    <t>CA08c239c68a0b45f20eb91f42b46ccbf8</t>
  </si>
  <si>
    <t xml:space="preserve">Week (June 22 -  June 28,2026) </t>
  </si>
  <si>
    <r>
      <rPr>
        <rFont val="Arial, sans-serif"/>
        <color rgb="FF1155CC"/>
        <u/>
      </rPr>
      <t>https://4ammedia.zendesk.com/agent/tickets/189365</t>
    </r>
  </si>
  <si>
    <t>CAb6e35e963cb662d94fc73a9b5e98028c</t>
  </si>
  <si>
    <r>
      <rPr>
        <rFont val="Arial, sans-serif"/>
        <color rgb="FF1155CC"/>
        <u/>
      </rPr>
      <t>https://4ammedia.zendesk.com/agent/tickets/189945</t>
    </r>
  </si>
  <si>
    <t>CAde986c956a5c13fd2d543773d970c01f</t>
  </si>
  <si>
    <r>
      <rPr>
        <rFont val="Arial, sans-serif"/>
        <color rgb="FF1155CC"/>
        <u/>
      </rPr>
      <t>https://4ammedia.zendesk.com/agent/tickets/190070</t>
    </r>
  </si>
  <si>
    <t>CA9a367a6475daa614565d64481e77724b</t>
  </si>
  <si>
    <t>https://assets.aircall.io/calls/3894264959/recording/info</t>
  </si>
  <si>
    <t>https://assets.aircall.io/calls/3893574514/recording/info</t>
  </si>
  <si>
    <t>CA7f70dd7f65575e9090eefdf5d195b1ab</t>
  </si>
  <si>
    <t>https://assets.aircall.io/calls/3893256556/recording/info</t>
  </si>
  <si>
    <r>
      <rPr>
        <rFont val="Arial, sans-serif"/>
        <color rgb="FF1155CC"/>
        <u/>
      </rPr>
      <t>https://4ammedia.zendesk.com/agent/tickets/193301</t>
    </r>
  </si>
  <si>
    <t>CAc5a756a3726dbbb81d6f1cd8556544ee</t>
  </si>
  <si>
    <r>
      <rPr>
        <rFont val="Arial, sans-serif"/>
        <color rgb="FF1155CC"/>
        <u/>
      </rPr>
      <t>https://4ammedia.zendesk.com/agent/tickets/193526</t>
    </r>
  </si>
  <si>
    <r>
      <rPr>
        <rFont val="Arial, sans-serif"/>
        <color rgb="FF1155CC"/>
        <u/>
      </rPr>
      <t>https://4ammedia.zendesk.com/agent/tickets/193578</t>
    </r>
  </si>
  <si>
    <t>CA4c5903f1d050213a6427d753c21e5a3c</t>
  </si>
  <si>
    <r>
      <rPr>
        <rFont val="Arial, sans-serif"/>
        <color rgb="FF1155CC"/>
        <u/>
      </rPr>
      <t>https://4ammedia.zendesk.com/agent/tickets/194623</t>
    </r>
  </si>
  <si>
    <r>
      <rPr>
        <rFont val="Arial, sans-serif"/>
        <color rgb="FF1155CC"/>
        <u/>
      </rPr>
      <t>https://4ammedia.zendesk.com/agent/tickets/194668</t>
    </r>
  </si>
  <si>
    <t>WEEK: May 25,2026 - May 31,2026</t>
  </si>
  <si>
    <r>
      <rPr>
        <rFont val="Arial, sans-serif"/>
        <color rgb="FF1155CC"/>
        <u/>
      </rPr>
      <t>https://4ammedia.zendesk.com/agent/tickets/194867</t>
    </r>
  </si>
  <si>
    <r>
      <rPr>
        <rFont val="Arial, sans-serif"/>
        <color rgb="FF1155CC"/>
        <u/>
      </rPr>
      <t>https://4ammedia.zendesk.com/agent/tickets/196397</t>
    </r>
  </si>
  <si>
    <r>
      <rPr>
        <rFont val="Arial, sans-serif"/>
        <color rgb="FF1155CC"/>
        <u/>
      </rPr>
      <t>https://4ammedia.zendesk.com/agent/tickets/196493</t>
    </r>
  </si>
  <si>
    <t>WEEK: May 4-  May 10,2026</t>
  </si>
  <si>
    <r>
      <rPr>
        <rFont val="Arial, sans-serif"/>
        <color rgb="FF1155CC"/>
        <u/>
      </rPr>
      <t>https://4ammedia.zendesk.com/agent/tickets/196611</t>
    </r>
  </si>
  <si>
    <t>https://horizondirect.gorgias.com/app/ticket/387577668</t>
  </si>
  <si>
    <t xml:space="preserve">Week (June 29 -  July 5,2026) </t>
  </si>
  <si>
    <r>
      <rPr>
        <rFont val="Arial, sans-serif"/>
        <color rgb="FF1155CC"/>
        <u/>
      </rPr>
      <t>https://4ammedia.zendesk.com/agent/tickets/199812</t>
    </r>
  </si>
  <si>
    <r>
      <rPr>
        <rFont val="Arial, sans-serif"/>
        <color rgb="FF1155CC"/>
        <u/>
      </rPr>
      <t>https://4ammedia.zendesk.com/agent/tickets/199970</t>
    </r>
  </si>
  <si>
    <t>https://horizondirect.gorgias.com/app/ticket/387577864</t>
  </si>
  <si>
    <r>
      <rPr>
        <rFont val="Arial, sans-serif"/>
        <color rgb="FF1155CC"/>
        <u/>
      </rPr>
      <t>https://4ammedia.zendesk.com/agent/tickets/200554</t>
    </r>
  </si>
  <si>
    <r>
      <rPr>
        <rFont val="Arial, sans-serif"/>
        <color rgb="FF1155CC"/>
        <u/>
      </rPr>
      <t>https://4ammedia.zendesk.com/agent/tickets/201735</t>
    </r>
  </si>
  <si>
    <r>
      <rPr>
        <rFont val="Arial, sans-serif"/>
        <color rgb="FF1155CC"/>
        <u/>
      </rPr>
      <t>https://4ammedia.zendesk.com/agent/tickets/201865</t>
    </r>
  </si>
  <si>
    <r>
      <rPr>
        <rFont val="Arial, sans-serif"/>
        <color rgb="FF1155CC"/>
        <u/>
      </rPr>
      <t>https://4ammedia.zendesk.com/agent/tickets/202003</t>
    </r>
  </si>
  <si>
    <t>https://horizondirect.gorgias.com/app/ticket/387586367</t>
  </si>
  <si>
    <r>
      <rPr>
        <rFont val="Arial, sans-serif"/>
        <color rgb="FF1155CC"/>
        <u/>
      </rPr>
      <t>https://4ammedia.zendesk.com/agent/tickets/204083</t>
    </r>
  </si>
  <si>
    <r>
      <rPr>
        <rFont val="Arial, sans-serif"/>
        <color rgb="FF1155CC"/>
        <u/>
      </rPr>
      <t>https://4ammedia.zendesk.com/agent/tickets/204402</t>
    </r>
  </si>
  <si>
    <r>
      <rPr>
        <rFont val="Arial, sans-serif"/>
        <color rgb="FF1155CC"/>
        <u/>
      </rPr>
      <t>https://4ammedia.zendesk.com/agent/tickets/204651</t>
    </r>
  </si>
  <si>
    <r>
      <rPr>
        <rFont val="Arial, sans-serif"/>
        <color rgb="FF1155CC"/>
        <u/>
      </rPr>
      <t>https://horizondirect.gorgias.com/app/ticket/387646147</t>
    </r>
  </si>
  <si>
    <r>
      <rPr>
        <rFont val="Arial, sans-serif"/>
        <color rgb="FF1155CC"/>
        <u/>
      </rPr>
      <t>https://4ammedia.zendesk.com/agent/tickets/206208</t>
    </r>
  </si>
  <si>
    <r>
      <rPr>
        <rFont val="Arial, sans-serif"/>
        <color rgb="FF1155CC"/>
        <u/>
      </rPr>
      <t>https://4ammedia.zendesk.com/agent/tickets/206518</t>
    </r>
  </si>
  <si>
    <r>
      <rPr>
        <rFont val="Arial, sans-serif"/>
        <color rgb="FF1155CC"/>
        <u/>
      </rPr>
      <t>https://4ammedia.zendesk.com/agent/tickets/206577</t>
    </r>
  </si>
  <si>
    <r>
      <rPr>
        <rFont val="Arial, sans-serif"/>
        <color rgb="FF1155CC"/>
        <u/>
      </rPr>
      <t>https://horizondirect.gorgias.com/app/ticket/387655358</t>
    </r>
  </si>
  <si>
    <t>82</t>
  </si>
  <si>
    <t>57</t>
  </si>
  <si>
    <r>
      <rPr>
        <rFont val="Arial, sans-serif"/>
        <color rgb="FF1155CC"/>
        <u/>
      </rPr>
      <t>https://4ammedia.zendesk.com/agent/tickets/207710</t>
    </r>
  </si>
  <si>
    <t>73</t>
  </si>
  <si>
    <t>55</t>
  </si>
  <si>
    <r>
      <rPr>
        <rFont val="Arial, sans-serif"/>
        <color rgb="FF1155CC"/>
        <u/>
      </rPr>
      <t>https://horizondirect.gorgias.com/app/ticket/387670980</t>
    </r>
  </si>
  <si>
    <t>157</t>
  </si>
  <si>
    <r>
      <rPr>
        <rFont val="Arial, sans-serif"/>
        <color rgb="FF1155CC"/>
        <u/>
      </rPr>
      <t>https://4ammedia.zendesk.com/agent/tickets/207765</t>
    </r>
  </si>
  <si>
    <r>
      <rPr>
        <rFont val="Arial, sans-serif"/>
        <color rgb="FF1155CC"/>
        <u/>
      </rPr>
      <t>https://4ammedia.zendesk.com/agent/tickets/207818</t>
    </r>
  </si>
  <si>
    <t xml:space="preserve">Week (July 6, -  July 12,2026) </t>
  </si>
  <si>
    <r>
      <rPr>
        <rFont val="Arial, sans-serif"/>
        <color rgb="FF1155CC"/>
        <u/>
      </rPr>
      <t>https://4ammedia.zendesk.com/agent/tickets/211208</t>
    </r>
  </si>
  <si>
    <r>
      <rPr>
        <rFont val="Arial, sans-serif"/>
        <color rgb="FF1155CC"/>
        <u/>
      </rPr>
      <t>https://horizondirect.gorgias.com/app/ticket/387865464</t>
    </r>
  </si>
  <si>
    <r>
      <rPr>
        <rFont val="Arial, sans-serif"/>
        <color rgb="FF1155CC"/>
        <u/>
      </rPr>
      <t>https://4ammedia.zendesk.com/agent/tickets/211657</t>
    </r>
  </si>
  <si>
    <r>
      <rPr>
        <rFont val="Arial, sans-serif"/>
        <color rgb="FF1155CC"/>
        <u/>
      </rPr>
      <t>https://4ammedia.zendesk.com/agent/tickets/211927</t>
    </r>
  </si>
  <si>
    <r>
      <rPr>
        <rFont val="Arial, sans-serif"/>
        <color rgb="FF1155CC"/>
        <u/>
      </rPr>
      <t>https://4ammedia.zendesk.com/agent/tickets/213555</t>
    </r>
  </si>
  <si>
    <r>
      <rPr>
        <rFont val="Arial, sans-serif"/>
        <color rgb="FF1155CC"/>
        <u/>
      </rPr>
      <t>https://4ammedia.zendesk.com/agent/tickets/213856</t>
    </r>
  </si>
  <si>
    <r>
      <rPr>
        <rFont val="Arial, sans-serif"/>
        <color rgb="FF1155CC"/>
        <u/>
      </rPr>
      <t>https://horizondirect.gorgias.com/app/ticket/387873140</t>
    </r>
  </si>
  <si>
    <r>
      <rPr>
        <rFont val="Arial, sans-serif"/>
        <color rgb="FF1155CC"/>
        <u/>
      </rPr>
      <t>https://4ammedia.zendesk.com/agent/tickets/213942</t>
    </r>
  </si>
  <si>
    <r>
      <rPr>
        <rFont val="Arial, sans-serif"/>
        <color rgb="FF1155CC"/>
        <u/>
      </rPr>
      <t>https://horizondirect.gorgias.com/app/ticket/387881682</t>
    </r>
  </si>
  <si>
    <r>
      <rPr>
        <rFont val="Arial, sans-serif"/>
        <color rgb="FF1155CC"/>
        <u/>
      </rPr>
      <t>https://4ammedia.zendesk.com/agent/tickets/215797</t>
    </r>
  </si>
  <si>
    <r>
      <rPr>
        <rFont val="Arial, sans-serif"/>
        <color rgb="FF1155CC"/>
        <u/>
      </rPr>
      <t>https://4ammedia.zendesk.com/agent/tickets/215985</t>
    </r>
  </si>
  <si>
    <r>
      <rPr>
        <rFont val="Arial, sans-serif"/>
        <color rgb="FF1155CC"/>
        <u/>
      </rPr>
      <t>https://4ammedia.zendesk.com/agent/tickets/120124</t>
    </r>
  </si>
  <si>
    <r>
      <rPr>
        <rFont val="Arial, sans-serif"/>
        <color rgb="FF1155CC"/>
        <u/>
      </rPr>
      <t>https://4ammedia.zendesk.com/agent/tickets/216070</t>
    </r>
  </si>
  <si>
    <r>
      <rPr>
        <rFont val="Arial, sans-serif"/>
        <color rgb="FF1155CC"/>
        <u/>
      </rPr>
      <t>https://4ammedia.zendesk.com/agent/tickets/120149</t>
    </r>
  </si>
  <si>
    <r>
      <rPr>
        <rFont val="Arial, sans-serif"/>
        <color rgb="FF1155CC"/>
        <u/>
      </rPr>
      <t>https://4ammedia.zendesk.com/agent/tickets/216995</t>
    </r>
  </si>
  <si>
    <r>
      <rPr>
        <rFont val="Arial, sans-serif"/>
        <color rgb="FF1155CC"/>
        <u/>
      </rPr>
      <t>https://4ammedia.zendesk.com/agent/tickets/217345</t>
    </r>
  </si>
  <si>
    <r>
      <rPr>
        <rFont val="Arial, sans-serif"/>
        <color rgb="FF1155CC"/>
        <u/>
      </rPr>
      <t>https://4ammedia.zendesk.com/agent/tickets/120183</t>
    </r>
  </si>
  <si>
    <r>
      <rPr>
        <rFont val="Arial, sans-serif"/>
        <color rgb="FF1155CC"/>
        <u/>
      </rPr>
      <t>https://4ammedia.zendesk.com/agent/tickets/217597</t>
    </r>
  </si>
  <si>
    <r>
      <rPr>
        <rFont val="Arial, sans-serif"/>
        <color rgb="FF1155CC"/>
        <u/>
      </rPr>
      <t>https://4ammedia.zendesk.com/agent/tickets/218944</t>
    </r>
  </si>
  <si>
    <r>
      <rPr>
        <rFont val="Arial, sans-serif"/>
        <color rgb="FF1155CC"/>
        <u/>
      </rPr>
      <t>https://4ammedia.zendesk.com/agent/tickets/121275</t>
    </r>
  </si>
  <si>
    <r>
      <rPr>
        <rFont val="Arial, sans-serif"/>
        <color rgb="FF1155CC"/>
        <u/>
      </rPr>
      <t>https://4ammedia.zendesk.com/agent/tickets/219063</t>
    </r>
  </si>
  <si>
    <r>
      <rPr>
        <rFont val="Arial, sans-serif"/>
        <color rgb="FF1155CC"/>
        <u/>
      </rPr>
      <t>https://4ammedia.zendesk.com/agent/tickets/121278</t>
    </r>
  </si>
  <si>
    <r>
      <rPr>
        <rFont val="Arial, sans-serif"/>
        <color rgb="FF1155CC"/>
        <u/>
      </rPr>
      <t>https://4ammedia.zendesk.com/agent/tickets/219416</t>
    </r>
  </si>
  <si>
    <t>WEEK: June 1,2026 - June 7,2026</t>
  </si>
  <si>
    <r>
      <rPr>
        <rFont val="Arial, sans-serif"/>
        <color rgb="FF1155CC"/>
        <u/>
      </rPr>
      <t>https://4ammedia.zendesk.com/agent/tickets/121330</t>
    </r>
  </si>
  <si>
    <t xml:space="preserve">Week (July 13, -  July 19,2026) </t>
  </si>
  <si>
    <t>CA9f9ada16c3589344e0e1bb5eb08c6a80</t>
  </si>
  <si>
    <r>
      <rPr>
        <rFont val="Arial"/>
        <color rgb="FF1155CC"/>
        <u/>
      </rPr>
      <t>https://4ammedia.zendesk.com/agent/tickets/223595</t>
    </r>
  </si>
  <si>
    <t>CA437b8b7bf2e55e118e659ebd810606fe</t>
  </si>
  <si>
    <r>
      <rPr>
        <rFont val="Arial"/>
        <color rgb="FF1155CC"/>
        <u/>
      </rPr>
      <t>https://4ammedia.zendesk.com/agent/tickets/224343</t>
    </r>
  </si>
  <si>
    <t>CA65148e7fcff39d7270331205fb4fb7ba</t>
  </si>
  <si>
    <r>
      <rPr>
        <rFont val="Arial"/>
        <color rgb="FF1155CC"/>
        <u/>
      </rPr>
      <t>https://4ammedia.zendesk.com/agent/tickets/224486</t>
    </r>
  </si>
  <si>
    <t>CA9535853f25182e0ca0887ed755304594</t>
  </si>
  <si>
    <r>
      <rPr>
        <rFont val="Arial, sans-serif"/>
        <color rgb="FF1155CC"/>
        <u/>
      </rPr>
      <t>https://4ammedia.zendesk.com/agent/tickets/226136</t>
    </r>
  </si>
  <si>
    <r>
      <rPr>
        <rFont val="Arial, sans-serif"/>
        <color rgb="FF1155CC"/>
        <u/>
      </rPr>
      <t>https://4ammedia.zendesk.com/agent/tickets/226291</t>
    </r>
  </si>
  <si>
    <r>
      <rPr>
        <rFont val="Arial, sans-serif"/>
        <color rgb="FF1155CC"/>
        <u/>
      </rPr>
      <t>https://4ammedia.zendesk.com/agent/tickets/226607</t>
    </r>
  </si>
  <si>
    <r>
      <rPr>
        <rFont val="Arial, sans-serif"/>
        <color rgb="FF1155CC"/>
        <u/>
      </rPr>
      <t>https://4ammedia.zendesk.com/agent/tickets/228198</t>
    </r>
  </si>
  <si>
    <r>
      <rPr>
        <rFont val="Arial, sans-serif"/>
        <color rgb="FF1155CC"/>
        <u/>
      </rPr>
      <t>https://4ammedia.zendesk.com/agent/tickets/228419</t>
    </r>
  </si>
  <si>
    <t>CA7358bf03b4ad3b3749b4a9ded6b529c7</t>
  </si>
  <si>
    <r>
      <rPr>
        <rFont val="Arial, sans-serif"/>
        <color rgb="FF1155CC"/>
        <u/>
      </rPr>
      <t>https://4ammedia.zendesk.com/agent/tickets/228441</t>
    </r>
  </si>
  <si>
    <r>
      <rPr>
        <rFont val="Arial, sans-serif"/>
        <color rgb="FF1155CC"/>
        <u/>
      </rPr>
      <t>https://4ammedia.zendesk.com/agent/tickets/229821</t>
    </r>
  </si>
  <si>
    <t>CAda1a76de594dd837b98cb17c38fd549f</t>
  </si>
  <si>
    <r>
      <rPr>
        <rFont val="Arial, sans-serif"/>
        <color rgb="FF1155CC"/>
        <u/>
      </rPr>
      <t>https://4ammedia.zendesk.com/agent/tickets/230130</t>
    </r>
  </si>
  <si>
    <r>
      <rPr>
        <rFont val="Arial, sans-serif"/>
        <color rgb="FF1155CC"/>
        <u/>
      </rPr>
      <t>https://4ammedia.zendesk.com/agent/tickets/230168</t>
    </r>
  </si>
  <si>
    <r>
      <rPr>
        <rFont val="Arial, sans-serif"/>
        <color rgb="FF1155CC"/>
        <u/>
      </rPr>
      <t>https://4ammedia.zendesk.com/agent/tickets/232134</t>
    </r>
  </si>
  <si>
    <r>
      <rPr>
        <rFont val="Arial, sans-serif"/>
        <color rgb="FF1155CC"/>
        <u/>
      </rPr>
      <t>https://4ammedia.zendesk.com/agent/tickets/232323</t>
    </r>
  </si>
  <si>
    <r>
      <rPr>
        <rFont val="Arial, sans-serif"/>
        <color rgb="FF1155CC"/>
        <u/>
      </rPr>
      <t>https://4ammedia.zendesk.com/agent/tickets/232457</t>
    </r>
  </si>
  <si>
    <t>WEEK: May 11-  May 17,2026</t>
  </si>
  <si>
    <t>CAc2efd2fd71b39b5c7f55a371a8d5b471</t>
  </si>
  <si>
    <t xml:space="preserve">Week (July 20, -  July 26,2026) </t>
  </si>
  <si>
    <r>
      <rPr>
        <rFont val="Arial, sans-serif"/>
        <color rgb="FF1155CC"/>
        <u/>
      </rPr>
      <t>https://4ammedia.zendesk.com/agent/tickets/236232</t>
    </r>
  </si>
  <si>
    <t>84</t>
  </si>
  <si>
    <r>
      <rPr>
        <rFont val="Arial, sans-serif"/>
        <color rgb="FF1155CC"/>
        <u/>
      </rPr>
      <t>https://4ammedia.zendesk.com/agent/tickets/236317</t>
    </r>
  </si>
  <si>
    <t>170</t>
  </si>
  <si>
    <r>
      <rPr>
        <rFont val="Arial, sans-serif"/>
        <color rgb="FF1155CC"/>
        <u/>
      </rPr>
      <t>https://4ammedia.zendesk.com/agent/tickets/236484</t>
    </r>
  </si>
  <si>
    <r>
      <rPr>
        <rFont val="Arial, sans-serif"/>
        <color rgb="FF1155CC"/>
        <u/>
      </rPr>
      <t>https://4ammedia.zendesk.com/agent/tickets/238404</t>
    </r>
  </si>
  <si>
    <t>CA487ecf6703d439a1ef34619f26a6540c</t>
  </si>
  <si>
    <r>
      <rPr>
        <rFont val="Arial, sans-serif"/>
        <color rgb="FF1155CC"/>
        <u/>
      </rPr>
      <t>https://4ammedia.zendesk.com/agent/tickets/238524</t>
    </r>
  </si>
  <si>
    <t>CA9ef610feb4bc87fd32a55acafb26574d</t>
  </si>
  <si>
    <r>
      <rPr>
        <rFont val="Arial, sans-serif"/>
        <color rgb="FF1155CC"/>
        <u/>
      </rPr>
      <t>https://4ammedia.zendesk.com/agent/tickets/238723</t>
    </r>
  </si>
  <si>
    <r>
      <rPr>
        <rFont val="Arial, sans-serif"/>
        <color rgb="FF1155CC"/>
        <u/>
      </rPr>
      <t>https://4ammedia.zendesk.com/agent/tickets/241119</t>
    </r>
  </si>
  <si>
    <r>
      <rPr>
        <rFont val="Arial, sans-serif"/>
        <color rgb="FF1155CC"/>
        <u/>
      </rPr>
      <t>https://4ammedia.zendesk.com/agent/tickets/241250</t>
    </r>
  </si>
  <si>
    <r>
      <rPr>
        <rFont val="Arial, sans-serif"/>
        <color rgb="FF1155CC"/>
        <u/>
      </rPr>
      <t>https://4ammedia.zendesk.com/agent/tickets/241481</t>
    </r>
  </si>
  <si>
    <r>
      <rPr>
        <rFont val="Arial, sans-serif"/>
        <color rgb="FF1155CC"/>
        <u/>
      </rPr>
      <t>https://4ammedia.zendesk.com/agent/tickets/243006</t>
    </r>
  </si>
  <si>
    <t>CA13871d3e3282d08d20ecc3c1b5fb3548</t>
  </si>
  <si>
    <r>
      <rPr>
        <rFont val="Arial, sans-serif"/>
        <color rgb="FF1155CC"/>
        <u/>
      </rPr>
      <t>https://4ammedia.zendesk.com/agent/tickets/243358</t>
    </r>
  </si>
  <si>
    <r>
      <rPr>
        <rFont val="Arial, sans-serif"/>
        <color rgb="FF1155CC"/>
        <u/>
      </rPr>
      <t>https://4ammedia.zendesk.com/agent/tickets/243437</t>
    </r>
  </si>
  <si>
    <r>
      <rPr>
        <rFont val="Arial, sans-serif"/>
        <color rgb="FF1155CC"/>
        <u/>
      </rPr>
      <t>https://4ammedia.zendesk.com/agent/tickets/245585</t>
    </r>
  </si>
  <si>
    <t>CAc7f420e7144661fe51027d6f401f6b30</t>
  </si>
  <si>
    <r>
      <rPr>
        <rFont val="Arial, sans-serif"/>
        <color rgb="FF1155CC"/>
        <u/>
      </rPr>
      <t>https://4ammedia.zendesk.com/agent/tickets/245653</t>
    </r>
  </si>
  <si>
    <r>
      <rPr>
        <rFont val="Arial, sans-serif"/>
        <color rgb="FF1155CC"/>
        <u/>
      </rPr>
      <t>https://4ammedia.zendesk.com/agent/tickets/245726</t>
    </r>
  </si>
  <si>
    <t>CA1b90fdb8049cae9ca39f643ae7defeb2</t>
  </si>
  <si>
    <t>CA2cde9a77594e7b0dc81930dd76919152</t>
  </si>
  <si>
    <t xml:space="preserve">Week (July 27, -  Aug 2,2026) </t>
  </si>
  <si>
    <r>
      <rPr>
        <rFont val="Arial, sans-serif"/>
        <color rgb="FF1155CC"/>
        <u/>
      </rPr>
      <t>https://4ammedia.zendesk.com/agent/tickets/247831</t>
    </r>
  </si>
  <si>
    <t>CAc1eb85b8f6a79eacd47113268cc94f88</t>
  </si>
  <si>
    <t>CA1361b18c841f4bcb165a9c12455dd812</t>
  </si>
  <si>
    <t>WEEK: June 8,2026 - June 14,2026</t>
  </si>
  <si>
    <t>CA0952851ddcd244a2e035195df3ff8c8e</t>
  </si>
  <si>
    <t>CA7ab85dc8adc9cd927caf1988c541bc4d</t>
  </si>
  <si>
    <r>
      <rPr>
        <rFont val="Arial, sans-serif"/>
        <color rgb="FF1155CC"/>
        <u/>
      </rPr>
      <t>https://4ammedia.zendesk.com/agent/tickets/249356</t>
    </r>
  </si>
  <si>
    <t>CA6a49f72a662217c70e198c408f03a838</t>
  </si>
  <si>
    <r>
      <rPr>
        <rFont val="Arial, sans-serif"/>
        <color rgb="FF1155CC"/>
        <u/>
      </rPr>
      <t>https://4ammedia.zendesk.com/agent/tickets/249531</t>
    </r>
  </si>
  <si>
    <t>CA8ee2613701d37aed6202a5e1d3cd5ba3</t>
  </si>
  <si>
    <r>
      <rPr>
        <rFont val="Arial, sans-serif"/>
        <color rgb="FF1155CC"/>
        <u/>
      </rPr>
      <t>https://4ammedia.zendesk.com/agent/tickets/251980</t>
    </r>
  </si>
  <si>
    <t>CAe94e028fd27cf2c97c99aac3fea179aa</t>
  </si>
  <si>
    <r>
      <rPr>
        <rFont val="Arial, sans-serif"/>
        <color rgb="FF1155CC"/>
        <u/>
      </rPr>
      <t>https://4ammedia.zendesk.com/agent/tickets/252411</t>
    </r>
  </si>
  <si>
    <r>
      <rPr>
        <rFont val="Arial, sans-serif"/>
        <color rgb="FF1155CC"/>
        <u/>
      </rPr>
      <t>https://4ammedia.zendesk.com/agent/tickets/252497</t>
    </r>
  </si>
  <si>
    <t>CAa60cc0bfda3f3a284a3248f6b5498ffb</t>
  </si>
  <si>
    <r>
      <rPr>
        <rFont val="Arial"/>
        <color rgb="FF1155CC"/>
        <u/>
      </rPr>
      <t>https://4ammedia.zendesk.com/agent/tickets/253885</t>
    </r>
  </si>
  <si>
    <r>
      <rPr>
        <rFont val="Arial"/>
        <color rgb="FF1155CC"/>
        <u/>
      </rPr>
      <t>https://4ammedia.zendesk.com/agent/tickets/254070</t>
    </r>
  </si>
  <si>
    <r>
      <rPr>
        <rFont val="Arial"/>
        <color rgb="FF1155CC"/>
        <u/>
      </rPr>
      <t>https://4ammedia.zendesk.com/agent/tickets/254145</t>
    </r>
  </si>
  <si>
    <r>
      <rPr>
        <rFont val="Arial, sans-serif"/>
        <color rgb="FF1155CC"/>
        <u/>
      </rPr>
      <t>https://4ammedia.zendesk.com/agent/tickets/256360</t>
    </r>
  </si>
  <si>
    <t>CA47b7a50ebdb7156879e3045ed250c7e9</t>
  </si>
  <si>
    <r>
      <rPr>
        <rFont val="Arial, sans-serif"/>
        <color rgb="FF1155CC"/>
        <u/>
      </rPr>
      <t>https://4ammedia.zendesk.com/agent/tickets/256474</t>
    </r>
  </si>
  <si>
    <r>
      <rPr>
        <rFont val="Arial, sans-serif"/>
        <color rgb="FF1155CC"/>
        <u/>
      </rPr>
      <t>https://4ammedia.zendesk.com/agent/tickets/256580</t>
    </r>
  </si>
  <si>
    <t>CA11fc133a9c890fdb647e91099c3cd312</t>
  </si>
  <si>
    <t xml:space="preserve">Week (Aug 3, -  Aug 9,2026) </t>
  </si>
  <si>
    <t>CA23752a3c5edf5b1f8033bc95529596e5</t>
  </si>
  <si>
    <r>
      <rPr>
        <rFont val="Arial, sans-serif"/>
        <color rgb="FF1155CC"/>
        <u/>
      </rPr>
      <t>https://4ammedia.zendesk.com/agent/tickets/262381</t>
    </r>
  </si>
  <si>
    <t>CAe9c4292c6558403500ec8fc90b1f5694</t>
  </si>
  <si>
    <r>
      <rPr>
        <rFont val="Arial, sans-serif"/>
        <color rgb="FF1155CC"/>
        <u/>
      </rPr>
      <t>https://4ammedia.zendesk.com/agent/tickets/262604</t>
    </r>
  </si>
  <si>
    <t>CA3df15bf6ac86676e4696043c42eab644</t>
  </si>
  <si>
    <r>
      <rPr>
        <rFont val="Arial, sans-serif"/>
        <color rgb="FF1155CC"/>
        <u/>
      </rPr>
      <t>https://4ammedia.zendesk.com/agent/tickets/262925</t>
    </r>
  </si>
  <si>
    <r>
      <rPr>
        <rFont val="Arial, sans-serif"/>
        <color rgb="FF1155CC"/>
        <u/>
      </rPr>
      <t>https://4ammedia.zendesk.com/agent/tickets/265328</t>
    </r>
  </si>
  <si>
    <t>CA90d52aa88f4865e860f97f4961c8a64a</t>
  </si>
  <si>
    <r>
      <rPr>
        <rFont val="Arial, sans-serif"/>
        <color rgb="FF1155CC"/>
        <u/>
      </rPr>
      <t>https://4ammedia.zendesk.com/agent/tickets/265718</t>
    </r>
  </si>
  <si>
    <t>CAd3165b6bc6e2ab25f2c1d3a929bd0c3e</t>
  </si>
  <si>
    <r>
      <rPr>
        <rFont val="Arial, sans-serif"/>
        <color rgb="FF1155CC"/>
        <u/>
      </rPr>
      <t>https://4ammedia.zendesk.com/agent/tickets/265930</t>
    </r>
  </si>
  <si>
    <r>
      <rPr>
        <rFont val="Arial, sans-serif"/>
        <color rgb="FF1155CC"/>
        <u/>
      </rPr>
      <t>https://4ammedia.zendesk.com/agent/tickets/267443</t>
    </r>
  </si>
  <si>
    <t>CA5d6a35f9e3bb0febb3b354548bc4e7c7</t>
  </si>
  <si>
    <r>
      <rPr>
        <rFont val="Arial, sans-serif"/>
        <color rgb="FF1155CC"/>
        <u/>
      </rPr>
      <t>https://4ammedia.zendesk.com/agent/tickets/267753</t>
    </r>
  </si>
  <si>
    <r>
      <rPr>
        <rFont val="Arial, sans-serif"/>
        <color rgb="FF1155CC"/>
        <u/>
      </rPr>
      <t>https://4ammedia.zendesk.com/agent/tickets/267888</t>
    </r>
  </si>
  <si>
    <t>CA4f0305812b4097fd562fcdcdbf8fa949</t>
  </si>
  <si>
    <r>
      <rPr>
        <rFont val="Arial, sans-serif"/>
        <color rgb="FF1155CC"/>
        <u/>
      </rPr>
      <t>https://4ammedia.zendesk.com/agent/tickets/269172</t>
    </r>
  </si>
  <si>
    <t>CA0d6b7e406e8d4b692a5bbf4d4f91706d</t>
  </si>
  <si>
    <r>
      <rPr>
        <rFont val="Arial, sans-serif"/>
        <color rgb="FF1155CC"/>
        <u/>
      </rPr>
      <t>https://4ammedia.zendesk.com/agent/tickets/269233</t>
    </r>
  </si>
  <si>
    <r>
      <rPr>
        <rFont val="Arial, sans-serif"/>
        <color rgb="FF1155CC"/>
        <u/>
      </rPr>
      <t>https://4ammedia.zendesk.com/agent/tickets/269399</t>
    </r>
  </si>
  <si>
    <r>
      <rPr>
        <rFont val="Arial, sans-serif"/>
        <color rgb="FF1155CC"/>
        <u/>
      </rPr>
      <t>https://4ammedia.zendesk.com/agent/tickets/271578</t>
    </r>
  </si>
  <si>
    <r>
      <rPr>
        <rFont val="Arial, sans-serif"/>
        <color rgb="FF1155CC"/>
        <u/>
      </rPr>
      <t>https://4ammedia.zendesk.com/agent/tickets/271790</t>
    </r>
  </si>
  <si>
    <t>CA19e5120c4949ae78168417f014cb3ddc</t>
  </si>
  <si>
    <r>
      <rPr>
        <rFont val="Arial, sans-serif"/>
        <color rgb="FF1155CC"/>
        <u/>
      </rPr>
      <t>https://4ammedia.zendesk.com/agent/tickets/271870</t>
    </r>
  </si>
  <si>
    <t>CA0b83d1d6e9b5c62f69b3a6a6d7a19986</t>
  </si>
  <si>
    <t>CA4ae7a0be3d1772fab25c58f1c838f84a</t>
  </si>
  <si>
    <t>CA512544670979951ba493d0dc75d6d142</t>
  </si>
  <si>
    <t>WEEK: June 15,2026 - June 21,2026</t>
  </si>
  <si>
    <t>WEEK: May 18-  May 24,2026</t>
  </si>
  <si>
    <t>CAb597137382baca409f65b4858a919bc7</t>
  </si>
  <si>
    <r>
      <rPr>
        <rFont val="Arial, sans-serif"/>
        <color rgb="FF1155CC"/>
        <u/>
      </rPr>
      <t>https://4ammedia.zendesk.com/agent/tickets/142249</t>
    </r>
  </si>
  <si>
    <r>
      <rPr>
        <rFont val="Arial, sans-serif"/>
        <color rgb="FF1155CC"/>
        <u/>
      </rPr>
      <t>https://4ammedia.zendesk.com/agent/tickets/142267</t>
    </r>
  </si>
  <si>
    <r>
      <rPr>
        <rFont val="Arial, sans-serif"/>
        <color rgb="FF1155CC"/>
        <u/>
      </rPr>
      <t>https://4ammedia.zendesk.com/agent/tickets/142432</t>
    </r>
  </si>
  <si>
    <r>
      <rPr>
        <rFont val="Arial, sans-serif"/>
        <color rgb="FF1155CC"/>
        <u/>
      </rPr>
      <t>https://4ammedia.zendesk.com/agent/tickets/143760</t>
    </r>
  </si>
  <si>
    <r>
      <rPr>
        <rFont val="Arial, sans-serif"/>
        <color rgb="FF1155CC"/>
        <u/>
      </rPr>
      <t>https://4ammedia.zendesk.com/agent/tickets/143818</t>
    </r>
  </si>
  <si>
    <r>
      <rPr>
        <rFont val="Arial, sans-serif"/>
        <color rgb="FF1155CC"/>
        <u/>
      </rPr>
      <t>https://4ammedia.zendesk.com/agent/tickets/143864</t>
    </r>
  </si>
  <si>
    <r>
      <rPr>
        <rFont val="Arial, sans-serif"/>
        <color rgb="FF1155CC"/>
        <u/>
      </rPr>
      <t>https://4ammedia.zendesk.com/agent/tickets/145301</t>
    </r>
  </si>
  <si>
    <r>
      <rPr>
        <rFont val="Arial, sans-serif"/>
        <color rgb="FF1155CC"/>
        <u/>
      </rPr>
      <t>https://4ammedia.zendesk.com/agent/tickets/145322</t>
    </r>
  </si>
  <si>
    <r>
      <rPr>
        <rFont val="Arial, sans-serif"/>
        <color rgb="FF1155CC"/>
        <u/>
      </rPr>
      <t>https://4ammedia.zendesk.com/agent/tickets/145335</t>
    </r>
  </si>
  <si>
    <r>
      <rPr>
        <rFont val="Arial"/>
        <color rgb="FF1155CC"/>
        <u/>
      </rPr>
      <t>https://4ammedia.zendesk.com/agent/tickets/146388</t>
    </r>
  </si>
  <si>
    <r>
      <rPr>
        <rFont val="Arial"/>
        <color rgb="FF1155CC"/>
        <u/>
      </rPr>
      <t>https://4ammedia.zendesk.com/agent/tickets/146639</t>
    </r>
  </si>
  <si>
    <t>https://horizondirect.gorgias.com/app/ticket/372817247</t>
  </si>
  <si>
    <r>
      <rPr>
        <rFont val="Arial"/>
        <color rgb="FF1155CC"/>
        <u/>
      </rPr>
      <t>https://4ammedia.zendesk.com/agent/tickets/146658</t>
    </r>
  </si>
  <si>
    <t>lwop</t>
  </si>
  <si>
    <t>https://horizondirect.gorgias.com/app/ticket/372841367</t>
  </si>
  <si>
    <t>https://horizondirect.gorgias.com/app/ticket/372840072</t>
  </si>
  <si>
    <t>81</t>
  </si>
  <si>
    <t>37</t>
  </si>
  <si>
    <t>58</t>
  </si>
  <si>
    <t>77</t>
  </si>
  <si>
    <t>https://horizondirect.gorgias.com/app/ticket/372939879</t>
  </si>
  <si>
    <t>36</t>
  </si>
  <si>
    <r>
      <rPr>
        <rFont val="Arial, sans-serif"/>
        <color rgb="FF1155CC"/>
        <u/>
      </rPr>
      <t>https://4ammedia.zendesk.com/agent/tickets/149462</t>
    </r>
  </si>
  <si>
    <r>
      <rPr>
        <rFont val="Arial, sans-serif"/>
        <color rgb="FF1155CC"/>
        <u/>
      </rPr>
      <t>https://4ammedia.zendesk.com/agent/tickets/149527</t>
    </r>
  </si>
  <si>
    <t>https://horizondirect.gorgias.com/app/ticket/372943850</t>
  </si>
  <si>
    <r>
      <rPr>
        <rFont val="Arial, sans-serif"/>
        <color rgb="FF1155CC"/>
        <u/>
      </rPr>
      <t>https://4ammedia.zendesk.com/agent/tickets/149688</t>
    </r>
  </si>
  <si>
    <t>https://horizondirect.gorgias.com/app/ticket/372944062</t>
  </si>
  <si>
    <r>
      <rPr>
        <rFont val="Arial, sans-serif"/>
        <color rgb="FF1155CC"/>
        <u/>
      </rPr>
      <t>https://4ammedia.zendesk.com/agent/tickets/150857</t>
    </r>
  </si>
  <si>
    <t>https://horizondirect.gorgias.com/app/ticket/373065821</t>
  </si>
  <si>
    <r>
      <rPr>
        <rFont val="Arial, sans-serif"/>
        <color rgb="FF1155CC"/>
        <u/>
      </rPr>
      <t>https://4ammedia.zendesk.com/agent/tickets/150970</t>
    </r>
  </si>
  <si>
    <t>https://horizondirect.gorgias.com/app/ticket/373076650</t>
  </si>
  <si>
    <r>
      <rPr>
        <rFont val="Arial, sans-serif"/>
        <color rgb="FF1155CC"/>
        <u/>
      </rPr>
      <t>https://4ammedia.zendesk.com/agent/tickets/151127</t>
    </r>
  </si>
  <si>
    <t>https://horizondirect.gorgias.com/app/ticket/373258193</t>
  </si>
  <si>
    <r>
      <rPr>
        <rFont val="Arial, sans-serif"/>
        <color rgb="FF1155CC"/>
        <u/>
      </rPr>
      <t>https://4ammedia.zendesk.com/agent/tickets/152406</t>
    </r>
  </si>
  <si>
    <r>
      <rPr>
        <rFont val="Arial, sans-serif"/>
        <color rgb="FF1155CC"/>
        <u/>
      </rPr>
      <t>https://4ammedia.zendesk.com/agent/tickets/152645</t>
    </r>
  </si>
  <si>
    <t>https://horizondirect.gorgias.com/app/ticket/373273396</t>
  </si>
  <si>
    <r>
      <rPr>
        <rFont val="Arial, sans-serif"/>
        <color rgb="FF1155CC"/>
        <u/>
      </rPr>
      <t>https://4ammedia.zendesk.com/agent/tickets/152842</t>
    </r>
  </si>
  <si>
    <r>
      <rPr>
        <rFont val="Arial, sans-serif"/>
        <color rgb="FF1155CC"/>
        <u/>
      </rPr>
      <t>https://4ammedia.zendesk.com/agent/tickets/154158</t>
    </r>
  </si>
  <si>
    <t>https://horizondirect.gorgias.com/app/ticket/373287906</t>
  </si>
  <si>
    <t>https://horizondirect.gorgias.com/app/ticket/373296799</t>
  </si>
  <si>
    <t>https://horizondirect.gorgias.com/app/ticket/373366122</t>
  </si>
  <si>
    <r>
      <rPr>
        <rFont val="Arial, sans-serif"/>
        <color rgb="FF1155CC"/>
        <u/>
      </rPr>
      <t>https://4ammedia.zendesk.com/agent/tickets/154354</t>
    </r>
  </si>
  <si>
    <t>https://horizondirect.gorgias.com/app/ticket/373369440</t>
  </si>
  <si>
    <r>
      <rPr>
        <rFont val="Arial, sans-serif"/>
        <color rgb="FF1155CC"/>
        <u/>
      </rPr>
      <t>https://4ammedia.zendesk.com/agent/tickets/154414</t>
    </r>
  </si>
  <si>
    <t>https://horizondirect.gorgias.com/app/ticket/373375070</t>
  </si>
  <si>
    <r>
      <rPr>
        <rFont val="Arial, sans-serif"/>
        <color rgb="FF1155CC"/>
        <u/>
      </rPr>
      <t>https://4ammedia.zendesk.com/agent/tickets/155675</t>
    </r>
  </si>
  <si>
    <r>
      <rPr>
        <rFont val="Arial, sans-serif"/>
        <color rgb="FF1155CC"/>
        <u/>
      </rPr>
      <t>https://4ammedia.zendesk.com/agent/tickets/155772</t>
    </r>
  </si>
  <si>
    <r>
      <rPr>
        <rFont val="Arial, sans-serif"/>
        <color rgb="FF1155CC"/>
        <u/>
      </rPr>
      <t>https://4ammedia.zendesk.com/agent/tickets/155913</t>
    </r>
  </si>
  <si>
    <t>https://horizondirect.gorgias.com/app/ticket/373793885</t>
  </si>
  <si>
    <t>https://horizondirect.gorgias.com/app/ticket/373807464</t>
  </si>
  <si>
    <r>
      <rPr>
        <rFont val="Arial, sans-serif"/>
        <color rgb="FF1155CC"/>
        <u/>
      </rPr>
      <t>https://4ammedia.zendesk.com/agent/tickets/159272</t>
    </r>
  </si>
  <si>
    <t>https://horizondirect.gorgias.com/app/ticket/373816305</t>
  </si>
  <si>
    <t>WEEK: May 25-  May 31,2026</t>
  </si>
  <si>
    <t>https://horizondirect.gorgias.com/app/ticket/373936392</t>
  </si>
  <si>
    <t>https://horizondirect.gorgias.com/app/ticket/373971247</t>
  </si>
  <si>
    <t>https://horizondirect.gorgias.com/app/ticket/373976407</t>
  </si>
  <si>
    <r>
      <rPr>
        <rFont val="Arial, sans-serif"/>
        <color rgb="FF1155CC"/>
        <u/>
      </rPr>
      <t>https://4ammedia.zendesk.com/agent/tickets/159473</t>
    </r>
  </si>
  <si>
    <t>WEEK: June 22,2026 - June 28,2026</t>
  </si>
  <si>
    <t>https://horizondirect.gorgias.com/app/ticket/374068798</t>
  </si>
  <si>
    <r>
      <rPr>
        <rFont val="Arial, sans-serif"/>
        <color rgb="FF1155CC"/>
        <u/>
      </rPr>
      <t>https://4ammedia.zendesk.com/agent/tickets/159624</t>
    </r>
  </si>
  <si>
    <t>https://horizondirect.gorgias.com/app/ticket/374088261</t>
  </si>
  <si>
    <r>
      <rPr>
        <rFont val="Arial, sans-serif"/>
        <color rgb="FF1155CC"/>
        <u/>
      </rPr>
      <t>https://4ammedia.zendesk.com/agent/tickets/160971</t>
    </r>
  </si>
  <si>
    <t>https://horizondirect.gorgias.com/app/ticket/374097420</t>
  </si>
  <si>
    <t>https://horizondirect.gorgias.com/app/ticket/374191068</t>
  </si>
  <si>
    <r>
      <rPr>
        <rFont val="Arial, sans-serif"/>
        <color rgb="FF1155CC"/>
        <u/>
      </rPr>
      <t>https://4ammedia.zendesk.com/agent/tickets/161233</t>
    </r>
  </si>
  <si>
    <t>https://horizondirect.gorgias.com/app/ticket/374199429</t>
  </si>
  <si>
    <r>
      <rPr>
        <rFont val="Arial, sans-serif"/>
        <color rgb="FF1155CC"/>
        <u/>
      </rPr>
      <t>https://4ammedia.zendesk.com/agent/tickets/161370</t>
    </r>
  </si>
  <si>
    <t>https://horizondirect.gorgias.com/app/ticket/374203235</t>
  </si>
  <si>
    <r>
      <rPr>
        <rFont val="Arial, sans-serif"/>
        <color rgb="FF1155CC"/>
        <u/>
      </rPr>
      <t>https://4ammedia.zendesk.com/agent/tickets/162649</t>
    </r>
  </si>
  <si>
    <r>
      <rPr>
        <rFont val="Arial, sans-serif"/>
        <color rgb="FF1155CC"/>
        <u/>
      </rPr>
      <t>https://4ammedia.zendesk.com/agent/tickets/162665</t>
    </r>
  </si>
  <si>
    <t>https://horizondirect.gorgias.com/app/ticket/374444277</t>
  </si>
  <si>
    <r>
      <rPr>
        <rFont val="Arial, sans-serif"/>
        <color rgb="FF1155CC"/>
        <u/>
      </rPr>
      <t>https://4ammedia.zendesk.com/agent/tickets/162686</t>
    </r>
  </si>
  <si>
    <r>
      <rPr>
        <rFont val="Arial, sans-serif"/>
        <color rgb="FF1155CC"/>
        <u/>
      </rPr>
      <t>https://4ammedia.zendesk.com/agent/tickets/164534</t>
    </r>
  </si>
  <si>
    <t>https://horizondirect.gorgias.com/app/ticket/374447498</t>
  </si>
  <si>
    <r>
      <rPr>
        <rFont val="Arial, sans-serif"/>
        <color rgb="FF1155CC"/>
        <u/>
      </rPr>
      <t>https://4ammedia.zendesk.com/agent/tickets/164637</t>
    </r>
  </si>
  <si>
    <t>https://horizondirect.gorgias.com/app/ticket/374452139</t>
  </si>
  <si>
    <t>https://horizondirect.gorgias.com/app/ticket/374685431</t>
  </si>
  <si>
    <t>https://horizondirect.gorgias.com/app/ticket/374695493</t>
  </si>
  <si>
    <t>https://horizondirect.gorgias.com/app/ticket/374721971</t>
  </si>
  <si>
    <r>
      <rPr>
        <rFont val="Arial, sans-serif"/>
        <color rgb="FF1155CC"/>
        <u/>
      </rPr>
      <t>https://4ammedia.zendesk.com/agent/tickets/164655</t>
    </r>
  </si>
  <si>
    <t>https://horizondirect.gorgias.com/app/ticket/374833822</t>
  </si>
  <si>
    <r>
      <rPr>
        <rFont val="Arial, sans-serif"/>
        <color rgb="FF1155CC"/>
        <u/>
      </rPr>
      <t>https://4ammedia.zendesk.com/agent/tickets/165718</t>
    </r>
  </si>
  <si>
    <t>https://horizondirect.gorgias.com/app/ticket/374852000</t>
  </si>
  <si>
    <t>Too much dead air</t>
  </si>
  <si>
    <t>https://horizondirect.gorgias.com/app/ticket/374864450</t>
  </si>
  <si>
    <t>https://horizondirect.gorgias.com/app/ticket/374973490</t>
  </si>
  <si>
    <r>
      <rPr>
        <rFont val="Arial, sans-serif"/>
        <color rgb="FF1155CC"/>
        <u/>
      </rPr>
      <t>https://4ammedia.zendesk.com/agent/tickets/166065</t>
    </r>
  </si>
  <si>
    <t>https://horizondirect.gorgias.com/app/ticket/374986067</t>
  </si>
  <si>
    <r>
      <rPr>
        <rFont val="Arial, sans-serif"/>
        <color rgb="FF1155CC"/>
        <u/>
      </rPr>
      <t>https://4ammedia.zendesk.com/agent/tickets/166144</t>
    </r>
  </si>
  <si>
    <t>https://horizondirect.gorgias.com/app/ticket/374994237</t>
  </si>
  <si>
    <t>https://horizondirect.gorgias.com/app/ticket/375065017</t>
  </si>
  <si>
    <t>https://horizondirect.gorgias.com/app/ticket/375055484</t>
  </si>
  <si>
    <r>
      <rPr>
        <rFont val="Arial, sans-serif"/>
        <color rgb="FF1155CC"/>
        <u/>
      </rPr>
      <t>https://4ammedia.zendesk.com/agent/tickets/173249</t>
    </r>
  </si>
  <si>
    <t>113</t>
  </si>
  <si>
    <t>https://horizondirect.gorgias.com/app/ticket/375083846</t>
  </si>
  <si>
    <t>80</t>
  </si>
  <si>
    <r>
      <rPr>
        <rFont val="Arial, sans-serif"/>
        <color rgb="FF1155CC"/>
        <u/>
      </rPr>
      <t>https://4ammedia.zendesk.com/agent/tickets/173337</t>
    </r>
  </si>
  <si>
    <t>https://horizondirect.gorgias.com/app/ticket/375315828</t>
  </si>
  <si>
    <t>https://horizondirect.gorgias.com/app/ticket/375318227</t>
  </si>
  <si>
    <r>
      <rPr>
        <rFont val="Arial, sans-serif"/>
        <color rgb="FF1155CC"/>
        <u/>
      </rPr>
      <t>https://4ammedia.zendesk.com/agent/tickets/173417</t>
    </r>
  </si>
  <si>
    <t>https://horizondirect.gorgias.com/app/ticket/375322164</t>
  </si>
  <si>
    <r>
      <rPr>
        <rFont val="Arial, sans-serif"/>
        <color rgb="FF1155CC"/>
        <u/>
      </rPr>
      <t>https://4ammedia.zendesk.com/agent/tickets/174886</t>
    </r>
  </si>
  <si>
    <t>https://horizondirect.gorgias.com/app/ticket/375552940</t>
  </si>
  <si>
    <r>
      <rPr>
        <rFont val="Arial, sans-serif"/>
        <color rgb="FF1155CC"/>
        <u/>
      </rPr>
      <t>https://4ammedia.zendesk.com/agent/tickets/175081</t>
    </r>
  </si>
  <si>
    <t>https://horizondirect.gorgias.com/app/ticket/375572060</t>
  </si>
  <si>
    <r>
      <rPr>
        <rFont val="Arial, sans-serif"/>
        <color rgb="FF1155CC"/>
        <u/>
      </rPr>
      <t>https://4ammedia.zendesk.com/agent/tickets/175100</t>
    </r>
  </si>
  <si>
    <t>https://horizondirect.gorgias.com/app/ticket/375600657</t>
  </si>
  <si>
    <r>
      <rPr>
        <rFont val="Arial, sans-serif"/>
        <color rgb="FF1155CC"/>
        <u/>
      </rPr>
      <t>https://4ammedia.zendesk.com/agent/tickets/176200</t>
    </r>
  </si>
  <si>
    <r>
      <rPr>
        <rFont val="Arial, sans-serif"/>
        <color rgb="FF1155CC"/>
        <u/>
      </rPr>
      <t>https://4ammedia.zendesk.com/agent/tickets/176268</t>
    </r>
  </si>
  <si>
    <t>https://horizondirect.gorgias.com/app/ticket/375679797</t>
  </si>
  <si>
    <r>
      <rPr>
        <rFont val="Arial, sans-serif"/>
        <color rgb="FF1155CC"/>
        <u/>
      </rPr>
      <t>https://4ammedia.zendesk.com/agent/tickets/176285</t>
    </r>
  </si>
  <si>
    <t>https://horizondirect.gorgias.com/app/ticket/375693786</t>
  </si>
  <si>
    <r>
      <rPr>
        <rFont val="Arial, sans-serif"/>
        <color rgb="FF1155CC"/>
        <u/>
      </rPr>
      <t>https://4ammedia.zendesk.com/agent/tickets/177121</t>
    </r>
  </si>
  <si>
    <t>https://horizondirect.gorgias.com/app/ticket/375713128</t>
  </si>
  <si>
    <r>
      <rPr>
        <rFont val="Arial, sans-serif"/>
        <color rgb="FF1155CC"/>
        <u/>
      </rPr>
      <t>https://4ammedia.zendesk.com/agent/tickets/177193</t>
    </r>
  </si>
  <si>
    <t>https://horizondirect.gorgias.com/app/ticket/375859661</t>
  </si>
  <si>
    <r>
      <rPr>
        <rFont val="Arial, sans-serif"/>
        <color rgb="FF1155CC"/>
        <u/>
      </rPr>
      <t>https://4ammedia.zendesk.com/agent/tickets/177222</t>
    </r>
  </si>
  <si>
    <t>https://horizondirect.gorgias.com/app/ticket/375864517</t>
  </si>
  <si>
    <r>
      <rPr>
        <rFont val="Arial, sans-serif"/>
        <color rgb="FF1155CC"/>
        <u/>
      </rPr>
      <t>https://4ammedia.zendesk.com/agent/tickets/178279</t>
    </r>
  </si>
  <si>
    <t>https://horizondirect.gorgias.com/app/ticket/375865210</t>
  </si>
  <si>
    <t>WEEK: June 29,2026 - July 5,2026</t>
  </si>
  <si>
    <t>https://horizondirect.gorgias.com/app/ticket/375939477</t>
  </si>
  <si>
    <r>
      <rPr>
        <rFont val="Arial, sans-serif"/>
        <color rgb="FF1155CC"/>
        <u/>
      </rPr>
      <t>https://4ammedia.zendesk.com/agent/tickets/178335</t>
    </r>
  </si>
  <si>
    <r>
      <rPr>
        <rFont val="Arial, sans-serif"/>
        <color rgb="FF1155CC"/>
        <u/>
      </rPr>
      <t>https://4ammedia.zendesk.com/agent/tickets/178345</t>
    </r>
  </si>
  <si>
    <t>https://horizondirect.gorgias.com/app/ticket/375948150</t>
  </si>
  <si>
    <t>https://horizondirect.gorgias.com/app/ticket/375953098</t>
  </si>
  <si>
    <t>https://horizondirect.gorgias.com/app/ticket/376125636</t>
  </si>
  <si>
    <t>https://horizondirect.gorgias.com/app/ticket/376154520</t>
  </si>
  <si>
    <t>https://horizondirect.gorgias.com/app/ticket/376169910</t>
  </si>
  <si>
    <t>https://horizondirect.gorgias.com/app/ticket/376413213</t>
  </si>
  <si>
    <t>https://horizondirect.gorgias.com/app/ticket/376442201</t>
  </si>
  <si>
    <t>There are some dead air - CSR should've highlighted that the higher the quantity the higher the discount they will be able to avail</t>
  </si>
  <si>
    <t>https://horizondirect.gorgias.com/app/ticket/376454329</t>
  </si>
  <si>
    <t>https://horizondirect.gorgias.com/app/ticket/376555963</t>
  </si>
  <si>
    <t>https://horizondirect.gorgias.com/app/ticket/376582117</t>
  </si>
  <si>
    <t>https://horizondirect.gorgias.com/app/ticket/376604754</t>
  </si>
  <si>
    <t>https://horizondirect.gorgias.com/app/ticket/376706218</t>
  </si>
  <si>
    <t>WEEK: June 1-  June 5,2026</t>
  </si>
  <si>
    <t>https://horizondirect.gorgias.com/app/ticket/376710128</t>
  </si>
  <si>
    <t>https://horizondirect.gorgias.com/app/ticket/376719555</t>
  </si>
  <si>
    <t>https://horizondirect.gorgias.com/app/ticket/376804541</t>
  </si>
  <si>
    <t>https://horizondirect.gorgias.com/app/ticket/376810679</t>
  </si>
  <si>
    <t>https://horizondirect.gorgias.com/app/ticket/376814575</t>
  </si>
  <si>
    <r>
      <rPr>
        <rFont val="Arial, sans-serif"/>
        <color rgb="FF1155CC"/>
        <u/>
      </rPr>
      <t>https://4ammedia.zendesk.com/agent/tickets/189720</t>
    </r>
  </si>
  <si>
    <t>https://horizondirect.gorgias.com/app/ticket/377017272</t>
  </si>
  <si>
    <r>
      <rPr>
        <rFont val="Arial, sans-serif"/>
        <color rgb="FF1155CC"/>
        <u/>
      </rPr>
      <t>https://4ammedia.zendesk.com/agent/tickets/189948</t>
    </r>
  </si>
  <si>
    <t>30 day MBG starts at the day of delivery</t>
  </si>
  <si>
    <t>https://horizondirect.gorgias.com/app/ticket/377022793</t>
  </si>
  <si>
    <r>
      <rPr>
        <rFont val="Arial, sans-serif"/>
        <color rgb="FF1155CC"/>
        <u/>
      </rPr>
      <t>https://4ammedia.zendesk.com/agent/tickets/190107</t>
    </r>
  </si>
  <si>
    <t>https://horizondirect.gorgias.com/app/ticket/377025035</t>
  </si>
  <si>
    <r>
      <rPr>
        <rFont val="Arial, sans-serif"/>
        <color rgb="FF1155CC"/>
        <u/>
      </rPr>
      <t>https://4ammedia.zendesk.com/agent/tickets/193614</t>
    </r>
  </si>
  <si>
    <r>
      <rPr>
        <rFont val="Arial, sans-serif"/>
        <color rgb="FF1155CC"/>
        <u/>
      </rPr>
      <t>https://4ammedia.zendesk.com/agent/tickets/193651</t>
    </r>
  </si>
  <si>
    <r>
      <rPr>
        <rFont val="Arial, sans-serif"/>
        <color rgb="FF1155CC"/>
        <u/>
      </rPr>
      <t>https://4ammedia.zendesk.com/agent/tickets/193747</t>
    </r>
  </si>
  <si>
    <t>https://horizondirect.gorgias.com/app/ticket/377328835</t>
  </si>
  <si>
    <r>
      <rPr>
        <rFont val="Arial, sans-serif"/>
        <color rgb="FF1155CC"/>
        <u/>
      </rPr>
      <t>https://4ammedia.zendesk.com/agent/tickets/194834</t>
    </r>
  </si>
  <si>
    <t>https://horizondirect.gorgias.com/app/ticket/377340882</t>
  </si>
  <si>
    <r>
      <rPr>
        <rFont val="Arial, sans-serif"/>
        <color rgb="FF1155CC"/>
        <u/>
      </rPr>
      <t>https://4ammedia.zendesk.com/agent/tickets/194861</t>
    </r>
  </si>
  <si>
    <t>https://horizondirect.gorgias.com/app/ticket/377362528</t>
  </si>
  <si>
    <r>
      <rPr>
        <rFont val="Arial, sans-serif"/>
        <color rgb="FF1155CC"/>
        <u/>
      </rPr>
      <t>https://4ammedia.zendesk.com/agent/tickets/194917</t>
    </r>
  </si>
  <si>
    <t>https://horizondirect.gorgias.com/app/ticket/377502551</t>
  </si>
  <si>
    <r>
      <rPr>
        <rFont val="Arial, sans-serif"/>
        <color rgb="FF1155CC"/>
        <u/>
      </rPr>
      <t>https://4ammedia.zendesk.com/agent/tickets/196370</t>
    </r>
  </si>
  <si>
    <t>https://horizondirect.gorgias.com/app/ticket/377519946</t>
  </si>
  <si>
    <t>https://horizondirect.gorgias.com/app/ticket/377523751</t>
  </si>
  <si>
    <r>
      <rPr>
        <rFont val="Arial, sans-serif"/>
        <color rgb="FF1155CC"/>
        <u/>
      </rPr>
      <t>https://4ammedia.zendesk.com/agent/tickets/196563</t>
    </r>
  </si>
  <si>
    <t>WEEK: July 6,2026 - July 12,2026</t>
  </si>
  <si>
    <t>https://horizondirect.gorgias.com/app/ticket/377637544</t>
  </si>
  <si>
    <t>https://horizondirect.gorgias.com/app/ticket/377647783</t>
  </si>
  <si>
    <t>https://horizondirect.gorgias.com/app/ticket/377659582</t>
  </si>
  <si>
    <r>
      <rPr>
        <rFont val="Arial, sans-serif"/>
        <color rgb="FF1155CC"/>
        <u/>
      </rPr>
      <t>https://4ammedia.zendesk.com/agent/tickets/196688</t>
    </r>
  </si>
  <si>
    <t xml:space="preserve">CSR has too much background noises </t>
  </si>
  <si>
    <t>https://horizondirect.gorgias.com/app/ticket/377757391</t>
  </si>
  <si>
    <t>We not proactively offer $5 coupon</t>
  </si>
  <si>
    <r>
      <rPr>
        <rFont val="Arial, sans-serif"/>
        <color rgb="FF1155CC"/>
        <u/>
      </rPr>
      <t>https://4ammedia.zendesk.com/agent/tickets/197782</t>
    </r>
  </si>
  <si>
    <t>https://horizondirect.gorgias.com/app/ticket/377743159</t>
  </si>
  <si>
    <r>
      <rPr>
        <rFont val="Arial, sans-serif"/>
        <color rgb="FF1155CC"/>
        <u/>
      </rPr>
      <t>https://4ammedia.zendesk.com/agent/tickets/197838</t>
    </r>
  </si>
  <si>
    <t>https://horizondirect.gorgias.com/app/ticket/377745243</t>
  </si>
  <si>
    <r>
      <rPr>
        <rFont val="Arial, sans-serif"/>
        <color rgb="FF1155CC"/>
        <u/>
      </rPr>
      <t>https://4ammedia.zendesk.com/agent/tickets/197951</t>
    </r>
  </si>
  <si>
    <t>https://horizondirect.gorgias.com/app/ticket/377919410</t>
  </si>
  <si>
    <t>https://horizondirect.gorgias.com/app/ticket/377938791</t>
  </si>
  <si>
    <t>https://horizondirect.gorgias.com/app/ticket/377974092</t>
  </si>
  <si>
    <r>
      <rPr>
        <rFont val="Arial, sans-serif"/>
        <color rgb="FF1155CC"/>
        <u/>
      </rPr>
      <t>https://4ammedia.zendesk.com/agent/tickets/200699</t>
    </r>
  </si>
  <si>
    <t>https://horizondirect.gorgias.com/app/ticket/378230703</t>
  </si>
  <si>
    <t>https://horizondirect.gorgias.com/app/ticket/378253952</t>
  </si>
  <si>
    <r>
      <rPr>
        <rFont val="Arial, sans-serif"/>
        <color rgb="FF1155CC"/>
        <u/>
      </rPr>
      <t>https://4ammedia.zendesk.com/agent/tickets/200783</t>
    </r>
  </si>
  <si>
    <t>https://horizondirect.gorgias.com/app/ticket/378266648</t>
  </si>
  <si>
    <r>
      <rPr>
        <rFont val="Arial, sans-serif"/>
        <color rgb="FF1155CC"/>
        <u/>
      </rPr>
      <t>https://4ammedia.zendesk.com/agent/tickets/200926</t>
    </r>
  </si>
  <si>
    <t>https://horizondirect.gorgias.com/app/ticket/378382814</t>
  </si>
  <si>
    <r>
      <rPr>
        <rFont val="Arial, sans-serif"/>
        <color rgb="FF1155CC"/>
        <u/>
      </rPr>
      <t>https://4ammedia.zendesk.com/agent/tickets/202514</t>
    </r>
  </si>
  <si>
    <t>https://horizondirect.gorgias.com/app/ticket/378397317</t>
  </si>
  <si>
    <r>
      <rPr>
        <rFont val="Arial, sans-serif"/>
        <color rgb="FF1155CC"/>
        <u/>
      </rPr>
      <t>https://4ammedia.zendesk.com/agent/tickets/202645</t>
    </r>
  </si>
  <si>
    <t>https://horizondirect.gorgias.com/app/ticket/378413528</t>
  </si>
  <si>
    <t>142</t>
  </si>
  <si>
    <t>https://horizondirect.gorgias.com/app/ticket/378520513</t>
  </si>
  <si>
    <t>146</t>
  </si>
  <si>
    <t>https://horizondirect.gorgias.com/app/ticket/378538448</t>
  </si>
  <si>
    <r>
      <rPr>
        <rFont val="Arial, sans-serif"/>
        <color rgb="FF1155CC"/>
        <u/>
      </rPr>
      <t>https://4ammedia.zendesk.com/agent/tickets/202684</t>
    </r>
  </si>
  <si>
    <t>https://horizondirect.gorgias.com/app/ticket/378552634</t>
  </si>
  <si>
    <r>
      <rPr>
        <rFont val="Arial, sans-serif"/>
        <color rgb="FF1155CC"/>
        <u/>
      </rPr>
      <t>https://4ammedia.zendesk.com/agent/tickets/204444</t>
    </r>
  </si>
  <si>
    <t>https://horizondirect.gorgias.com/app/ticket/378631637</t>
  </si>
  <si>
    <r>
      <rPr>
        <rFont val="Arial, sans-serif"/>
        <color rgb="FF1155CC"/>
        <u/>
      </rPr>
      <t>https://4ammedia.zendesk.com/agent/tickets/204622</t>
    </r>
  </si>
  <si>
    <t>https://horizondirect.gorgias.com/app/ticket/378642226</t>
  </si>
  <si>
    <r>
      <rPr>
        <rFont val="Arial, sans-serif"/>
        <color rgb="FF1155CC"/>
        <u/>
      </rPr>
      <t>https://4ammedia.zendesk.com/agent/tickets/204680</t>
    </r>
  </si>
  <si>
    <t>https://horizondirect.gorgias.com/app/ticket/378654697</t>
  </si>
  <si>
    <r>
      <rPr>
        <rFont val="Arial, sans-serif"/>
        <color rgb="FF1155CC"/>
        <u/>
      </rPr>
      <t>https://4ammedia.zendesk.com/agent/tickets/206850</t>
    </r>
  </si>
  <si>
    <r>
      <rPr>
        <rFont val="Arial, sans-serif"/>
        <color rgb="FF1155CC"/>
        <u/>
      </rPr>
      <t>https://4ammedia.zendesk.com/agent/tickets/206915</t>
    </r>
  </si>
  <si>
    <t>https://horizondirect.gorgias.com/app/ticket/378813068</t>
  </si>
  <si>
    <r>
      <rPr>
        <rFont val="Arial, sans-serif"/>
        <color rgb="FF1155CC"/>
        <u/>
      </rPr>
      <t>https://4ammedia.zendesk.com/agent/tickets/206926</t>
    </r>
  </si>
  <si>
    <t>https://horizondirect.gorgias.com/app/ticket/378834355</t>
  </si>
  <si>
    <t>https://horizondirect.gorgias.com/app/ticket/378857905</t>
  </si>
  <si>
    <r>
      <rPr>
        <rFont val="Arial, sans-serif"/>
        <color rgb="FF1155CC"/>
        <u/>
      </rPr>
      <t>https://4ammedia.zendesk.com/agent/tickets/208219</t>
    </r>
  </si>
  <si>
    <t>https://horizondirect.gorgias.com/app/ticket/379110270</t>
  </si>
  <si>
    <r>
      <rPr>
        <rFont val="Arial, sans-serif"/>
        <color rgb="FF1155CC"/>
        <u/>
      </rPr>
      <t>https://4ammedia.zendesk.com/agent/tickets/208275</t>
    </r>
  </si>
  <si>
    <t>https://horizondirect.gorgias.com/app/ticket/379121959</t>
  </si>
  <si>
    <r>
      <rPr>
        <rFont val="Arial, sans-serif"/>
        <color rgb="FF1155CC"/>
        <u/>
      </rPr>
      <t>https://4ammedia.zendesk.com/agent/tickets/208385</t>
    </r>
  </si>
  <si>
    <t>CSR sounds like she is just whispering</t>
  </si>
  <si>
    <t>https://horizondirect.gorgias.com/app/ticket/379123901</t>
  </si>
  <si>
    <t>WEEK: June 8-  June 14,2026</t>
  </si>
  <si>
    <t>CSR voice is too low and sounds like it lacks energy</t>
  </si>
  <si>
    <t>https://horizondirect.gorgias.com/app/ticket/379257504</t>
  </si>
  <si>
    <t>https://horizondirect.gorgias.com/app/ticket/379270887</t>
  </si>
  <si>
    <t>https://horizondirect.gorgias.com/app/ticket/379278021</t>
  </si>
  <si>
    <t>WEEK: July 13,2026 - July 19,2026</t>
  </si>
  <si>
    <r>
      <rPr>
        <rFont val="Arial, sans-serif"/>
        <color rgb="FF1155CC"/>
        <u/>
      </rPr>
      <t>https://4ammedia.zendesk.com/agent/tickets/211886</t>
    </r>
  </si>
  <si>
    <t>https://horizondirect.gorgias.com/app/ticket/379370232</t>
  </si>
  <si>
    <t>https://horizondirect.gorgias.com/app/ticket/379384401</t>
  </si>
  <si>
    <r>
      <rPr>
        <rFont val="Arial, sans-serif"/>
        <color rgb="FF1155CC"/>
        <u/>
      </rPr>
      <t>https://4ammedia.zendesk.com/agent/tickets/212102</t>
    </r>
  </si>
  <si>
    <t>https://horizondirect.gorgias.com/app/ticket/379391398</t>
  </si>
  <si>
    <r>
      <rPr>
        <rFont val="Arial, sans-serif"/>
        <color rgb="FF1155CC"/>
        <u/>
      </rPr>
      <t>https://4ammedia.zendesk.com/agent/tickets/212359</t>
    </r>
  </si>
  <si>
    <t>https://horizondirect.gorgias.com/app/ticket/379477365</t>
  </si>
  <si>
    <t>https://horizondirect.gorgias.com/app/ticket/379485186</t>
  </si>
  <si>
    <t>https://horizondirect.gorgias.com/app/ticket/379493083</t>
  </si>
  <si>
    <r>
      <rPr>
        <rFont val="Arial, sans-serif"/>
        <color rgb="FF1155CC"/>
        <u/>
      </rPr>
      <t>https://4ammedia.zendesk.com/agent/tickets/213864</t>
    </r>
  </si>
  <si>
    <r>
      <rPr>
        <rFont val="Arial, sans-serif"/>
        <color rgb="FF1155CC"/>
        <u/>
      </rPr>
      <t>https://4ammedia.zendesk.com/agent/tickets/213999</t>
    </r>
  </si>
  <si>
    <t>https://horizondirect.gorgias.com/app/ticket/379664574</t>
  </si>
  <si>
    <r>
      <rPr>
        <rFont val="Arial, sans-serif"/>
        <color rgb="FF1155CC"/>
        <u/>
      </rPr>
      <t>https://4ammedia.zendesk.com/agent/tickets/214389</t>
    </r>
  </si>
  <si>
    <t>https://horizondirect.gorgias.com/app/ticket/379702199</t>
  </si>
  <si>
    <r>
      <rPr>
        <rFont val="Arial, sans-serif"/>
        <color rgb="FF1155CC"/>
        <u/>
      </rPr>
      <t>https://4ammedia.zendesk.com/agent/tickets/215731</t>
    </r>
  </si>
  <si>
    <t>https://horizondirect.gorgias.com/app/ticket/379705116</t>
  </si>
  <si>
    <r>
      <rPr>
        <rFont val="Arial, sans-serif"/>
        <color rgb="FF1155CC"/>
        <u/>
      </rPr>
      <t>https://4ammedia.zendesk.com/agent/tickets/215937</t>
    </r>
  </si>
  <si>
    <t>https://horizondirect.gorgias.com/app/ticket/379937369</t>
  </si>
  <si>
    <t>https://horizondirect.gorgias.com/app/ticket/379953104</t>
  </si>
  <si>
    <r>
      <rPr>
        <rFont val="Arial, sans-serif"/>
        <color rgb="FF1155CC"/>
        <u/>
      </rPr>
      <t>https://4ammedia.zendesk.com/agent/tickets/215976</t>
    </r>
  </si>
  <si>
    <t>CSR did not state the reason of cancellation request</t>
  </si>
  <si>
    <t>https://horizondirect.gorgias.com/app/ticket/379976295</t>
  </si>
  <si>
    <r>
      <rPr>
        <rFont val="Arial, sans-serif"/>
        <color rgb="FF1155CC"/>
        <u/>
      </rPr>
      <t>https://4ammedia.zendesk.com/agent/tickets/217776</t>
    </r>
  </si>
  <si>
    <t>https://horizondirect.gorgias.com/app/ticket/380104307</t>
  </si>
  <si>
    <r>
      <rPr>
        <rFont val="Arial, sans-serif"/>
        <color rgb="FF1155CC"/>
        <u/>
      </rPr>
      <t>https://4ammedia.zendesk.com/agent/tickets/217908</t>
    </r>
  </si>
  <si>
    <t>https://horizondirect.gorgias.com/app/ticket/380110741</t>
  </si>
  <si>
    <r>
      <rPr>
        <rFont val="Arial, sans-serif"/>
        <color rgb="FF1155CC"/>
        <u/>
      </rPr>
      <t>https://4ammedia.zendesk.com/agent/tickets/218017</t>
    </r>
  </si>
  <si>
    <t>https://horizondirect.gorgias.com/app/ticket/380126759</t>
  </si>
  <si>
    <r>
      <rPr>
        <rFont val="Arial, sans-serif"/>
        <color rgb="FF1155CC"/>
        <u/>
      </rPr>
      <t>https://4ammedia.zendesk.com/agent/tickets/219526</t>
    </r>
  </si>
  <si>
    <t>https://horizondirect.gorgias.com/app/ticket/380236241</t>
  </si>
  <si>
    <t>125</t>
  </si>
  <si>
    <t>115</t>
  </si>
  <si>
    <r>
      <rPr>
        <rFont val="Arial, sans-serif"/>
        <color rgb="FF1155CC"/>
        <u/>
      </rPr>
      <t>https://4ammedia.zendesk.com/agent/tickets/219612</t>
    </r>
  </si>
  <si>
    <t>https://horizondirect.gorgias.com/app/ticket/380244159</t>
  </si>
  <si>
    <t>https://horizondirect.gorgias.com/app/ticket/380264880</t>
  </si>
  <si>
    <r>
      <rPr>
        <rFont val="Arial, sans-serif"/>
        <color rgb="FF1155CC"/>
        <u/>
      </rPr>
      <t>https://4ammedia.zendesk.com/agent/tickets/219749</t>
    </r>
  </si>
  <si>
    <t>https://horizondirect.gorgias.com/app/ticket/380331131</t>
  </si>
  <si>
    <t>https://horizondirect.gorgias.com/app/ticket/380343174</t>
  </si>
  <si>
    <t>https://horizondirect.gorgias.com/app/ticket/380346765</t>
  </si>
  <si>
    <t>https://horizondirect.gorgias.com/app/ticket/380549197</t>
  </si>
  <si>
    <r>
      <rPr>
        <rFont val="Arial, sans-serif"/>
        <color rgb="FF1155CC"/>
        <u/>
      </rPr>
      <t>https://4ammedia.zendesk.com/agent/tickets/224286</t>
    </r>
  </si>
  <si>
    <t>https://horizondirect.gorgias.com/app/ticket/380563594</t>
  </si>
  <si>
    <t>https://horizondirect.gorgias.com/app/ticket/380596521</t>
  </si>
  <si>
    <r>
      <rPr>
        <rFont val="Arial, sans-serif"/>
        <color rgb="FF1155CC"/>
        <u/>
      </rPr>
      <t>https://4ammedia.zendesk.com/agent/tickets/224667</t>
    </r>
  </si>
  <si>
    <t>https://horizondirect.gorgias.com/app/ticket/380885090</t>
  </si>
  <si>
    <r>
      <rPr>
        <rFont val="Arial, sans-serif"/>
        <color rgb="FF1155CC"/>
        <u/>
      </rPr>
      <t>https://4ammedia.zendesk.com/agent/tickets/224692</t>
    </r>
  </si>
  <si>
    <t>https://horizondirect.gorgias.com/app/ticket/380886329</t>
  </si>
  <si>
    <t>https://horizondirect.gorgias.com/app/ticket/380883250</t>
  </si>
  <si>
    <r>
      <rPr>
        <rFont val="Arial, sans-serif"/>
        <color rgb="FF1155CC"/>
        <u/>
      </rPr>
      <t>https://4ammedia.zendesk.com/agent/tickets/227009</t>
    </r>
  </si>
  <si>
    <t>https://horizondirect.gorgias.com/app/ticket/380973164</t>
  </si>
  <si>
    <t>https://horizondirect.gorgias.com/app/ticket/380980837</t>
  </si>
  <si>
    <r>
      <rPr>
        <rFont val="Arial, sans-serif"/>
        <color rgb="FF1155CC"/>
        <u/>
      </rPr>
      <t>https://4ammedia.zendesk.com/agent/tickets/227026</t>
    </r>
  </si>
  <si>
    <t>https://horizondirect.gorgias.com/app/ticket/380987410</t>
  </si>
  <si>
    <t>https://horizondirect.gorgias.com/app/ticket/381117554</t>
  </si>
  <si>
    <r>
      <rPr>
        <rFont val="Arial, sans-serif"/>
        <color rgb="FF1155CC"/>
        <u/>
      </rPr>
      <t>https://4ammedia.zendesk.com/agent/tickets/227041</t>
    </r>
  </si>
  <si>
    <t>https://horizondirect.gorgias.com/app/ticket/381125155</t>
  </si>
  <si>
    <t>WEEK: July 20,2026 - July 26,2026</t>
  </si>
  <si>
    <r>
      <rPr>
        <rFont val="Arial, sans-serif"/>
        <color rgb="FF1155CC"/>
        <u/>
      </rPr>
      <t>https://4ammedia.zendesk.com/agent/tickets/228642</t>
    </r>
  </si>
  <si>
    <t>https://horizondirect.gorgias.com/app/ticket/381125294</t>
  </si>
  <si>
    <r>
      <rPr>
        <rFont val="Arial, sans-serif"/>
        <color rgb="FF1155CC"/>
        <u/>
      </rPr>
      <t>https://4ammedia.zendesk.com/agent/tickets/228813</t>
    </r>
  </si>
  <si>
    <t>Long dead air, CSR should've ended the call few seconds from one minute since she is not getting any response from theother line</t>
  </si>
  <si>
    <t>https://horizondirect.gorgias.com/app/ticket/381167771</t>
  </si>
  <si>
    <t>https://horizondirect.gorgias.com/app/ticket/381215775</t>
  </si>
  <si>
    <t>https://horizondirect.gorgias.com/app/ticket/381223380</t>
  </si>
  <si>
    <r>
      <rPr>
        <rFont val="Arial, sans-serif"/>
        <color rgb="FF1155CC"/>
        <u/>
      </rPr>
      <t>https://4ammedia.zendesk.com/agent/tickets/228944</t>
    </r>
  </si>
  <si>
    <r>
      <rPr>
        <rFont val="Arial, sans-serif"/>
        <color rgb="FF1155CC"/>
        <u/>
      </rPr>
      <t>https://4ammedia.zendesk.com/agent/tickets/230672</t>
    </r>
  </si>
  <si>
    <t>https://horizondirect.gorgias.com/app/ticket/381459903</t>
  </si>
  <si>
    <t>https://horizondirect.gorgias.com/app/ticket/381468828</t>
  </si>
  <si>
    <t>https://horizondirect.gorgias.com/app/ticket/381495421</t>
  </si>
  <si>
    <t xml:space="preserve">Call lacks energy and csr lacks proper acknowledgement which causes some slight deadair  - Order can be pull out immediately using the name of the customer but CSR failed to check the order immediately Cx was constantly providing the amount charged and that she has already sent back the item, but CSR failed to acknowledge which results her to ask it again. Call should've not reached 17mins </t>
  </si>
  <si>
    <t>https://horizondirect.gorgias.com/app/ticket/381755418</t>
  </si>
  <si>
    <r>
      <rPr>
        <rFont val="Arial, sans-serif"/>
        <color rgb="FF1155CC"/>
        <u/>
      </rPr>
      <t>https://4ammedia.zendesk.com/agent/tickets/230808</t>
    </r>
  </si>
  <si>
    <t>https://horizondirect.gorgias.com/app/ticket/381769610</t>
  </si>
  <si>
    <t>WEEK: June 15-  June 21,2026</t>
  </si>
  <si>
    <t>https://horizondirect.gorgias.com/app/ticket/381785937</t>
  </si>
  <si>
    <r>
      <rPr>
        <rFont val="Arial, sans-serif"/>
        <color rgb="FF1155CC"/>
        <u/>
      </rPr>
      <t>https://4ammedia.zendesk.com/agent/tickets/230885</t>
    </r>
  </si>
  <si>
    <t>https://horizondirect.gorgias.com/app/ticket/381918768</t>
  </si>
  <si>
    <t>https://horizondirect.gorgias.com/app/ticket/381925969</t>
  </si>
  <si>
    <t>https://horizondirect.gorgias.com/app/ticket/381935428</t>
  </si>
  <si>
    <t>https://horizondirect.gorgias.com/app/ticket/382196058</t>
  </si>
  <si>
    <r>
      <rPr>
        <rFont val="Arial, sans-serif"/>
        <color rgb="FF1155CC"/>
        <u/>
      </rPr>
      <t>https://4ammedia.zendesk.com/agent/tickets/232294</t>
    </r>
  </si>
  <si>
    <t>https://horizondirect.gorgias.com/app/ticket/382210037</t>
  </si>
  <si>
    <t>175</t>
  </si>
  <si>
    <t>https://horizondirect.gorgias.com/app/ticket/382225899</t>
  </si>
  <si>
    <r>
      <rPr>
        <rFont val="Arial, sans-serif"/>
        <color rgb="FF1155CC"/>
        <u/>
      </rPr>
      <t>https://4ammedia.zendesk.com/agent/tickets/232416</t>
    </r>
  </si>
  <si>
    <t>158</t>
  </si>
  <si>
    <t>97</t>
  </si>
  <si>
    <t>https://horizondirect.gorgias.com/app/ticket/382280930</t>
  </si>
  <si>
    <t>https://horizondirect.gorgias.com/app/ticket/382293780</t>
  </si>
  <si>
    <r>
      <rPr>
        <rFont val="Arial, sans-serif"/>
        <color rgb="FF1155CC"/>
        <u/>
      </rPr>
      <t>https://4ammedia.zendesk.com/agent/tickets/232550</t>
    </r>
  </si>
  <si>
    <t xml:space="preserve">No number escalated on the sales sheet. CSR should've tried to reprocess the order </t>
  </si>
  <si>
    <t>https://horizondirect.gorgias.com/app/ticket/382298102</t>
  </si>
  <si>
    <t>https://horizondirect.gorgias.com/app/ticket/382536616</t>
  </si>
  <si>
    <r>
      <rPr>
        <rFont val="Arial, sans-serif"/>
        <color rgb="FF1155CC"/>
        <u/>
      </rPr>
      <t>https://4ammedia.zendesk.com/agent/tickets/237008</t>
    </r>
  </si>
  <si>
    <t>https://horizondirect.gorgias.com/app/ticket/382555853</t>
  </si>
  <si>
    <t>https://horizondirect.gorgias.com/app/ticket/382565600</t>
  </si>
  <si>
    <t>https://horizondirect.gorgias.com/app/ticket/382836329</t>
  </si>
  <si>
    <r>
      <rPr>
        <rFont val="Arial, sans-serif"/>
        <color rgb="FF1155CC"/>
        <u/>
      </rPr>
      <t>https://4ammedia.zendesk.com/agent/tickets/237202</t>
    </r>
  </si>
  <si>
    <t>https://horizondirect.gorgias.com/app/ticket/382850428</t>
  </si>
  <si>
    <t>https://horizondirect.gorgias.com/app/ticket/382864985</t>
  </si>
  <si>
    <r>
      <rPr>
        <rFont val="Arial, sans-serif"/>
        <color rgb="FF1155CC"/>
        <u/>
      </rPr>
      <t>https://4ammedia.zendesk.com/agent/tickets/237280</t>
    </r>
  </si>
  <si>
    <r>
      <rPr>
        <rFont val="Arial, sans-serif"/>
        <color rgb="FF1155CC"/>
        <u/>
      </rPr>
      <t>https://4ammedia.zendesk.com/agent/tickets/239606</t>
    </r>
  </si>
  <si>
    <t>https://horizondirect.gorgias.com/app/ticket/382993655</t>
  </si>
  <si>
    <r>
      <rPr>
        <rFont val="Arial, sans-serif"/>
        <color rgb="FF1155CC"/>
        <u/>
      </rPr>
      <t>https://4ammedia.zendesk.com/agent/tickets/239679</t>
    </r>
  </si>
  <si>
    <t>https://horizondirect.gorgias.com/app/ticket/383018562</t>
  </si>
  <si>
    <r>
      <rPr>
        <rFont val="Arial, sans-serif"/>
        <color rgb="FF1155CC"/>
        <u/>
      </rPr>
      <t>https://4ammedia.zendesk.com/agent/tickets/239705</t>
    </r>
  </si>
  <si>
    <t>https://horizondirect.gorgias.com/app/ticket/383025373</t>
  </si>
  <si>
    <t>WEEK: July 27,2026 - August 2,2026</t>
  </si>
  <si>
    <t>https://horizondirect.gorgias.com/app/ticket/383119965</t>
  </si>
  <si>
    <r>
      <rPr>
        <rFont val="Arial, sans-serif"/>
        <color rgb="FF1155CC"/>
        <u/>
      </rPr>
      <t>https://4ammedia.zendesk.com/agent/tickets/241183</t>
    </r>
  </si>
  <si>
    <t>https://horizondirect.gorgias.com/app/ticket/383132812</t>
  </si>
  <si>
    <t>https://horizondirect.gorgias.com/app/ticket/383134816</t>
  </si>
  <si>
    <t>https://horizondirect.gorgias.com/app/ticket/383238762</t>
  </si>
  <si>
    <t>No shipping email sent</t>
  </si>
  <si>
    <t>https://horizondirect.gorgias.com/app/ticket/383234832</t>
  </si>
  <si>
    <r>
      <rPr>
        <rFont val="Arial, sans-serif"/>
        <color rgb="FF1155CC"/>
        <u/>
      </rPr>
      <t>https://4ammedia.zendesk.com/agent/tickets/241251</t>
    </r>
  </si>
  <si>
    <t>https://horizondirect.gorgias.com/app/ticket/383244538</t>
  </si>
  <si>
    <r>
      <rPr>
        <rFont val="Arial, sans-serif"/>
        <color rgb="FF1155CC"/>
        <u/>
      </rPr>
      <t>https://4ammedia.zendesk.com/agent/tickets/241382</t>
    </r>
  </si>
  <si>
    <r>
      <rPr>
        <rFont val="Arial, sans-serif"/>
        <color rgb="FF1155CC"/>
        <u/>
      </rPr>
      <t>https://4ammedia.zendesk.com/agent/tickets/243111</t>
    </r>
  </si>
  <si>
    <t>https://horizondirect.gorgias.com/app/ticket/383414246</t>
  </si>
  <si>
    <r>
      <rPr>
        <rFont val="Arial, sans-serif"/>
        <color rgb="FF1155CC"/>
        <u/>
      </rPr>
      <t>https://4ammedia.zendesk.com/agent/tickets/243182</t>
    </r>
  </si>
  <si>
    <r>
      <rPr>
        <rFont val="Arial, sans-serif"/>
        <color rgb="FF1155CC"/>
        <u/>
      </rPr>
      <t>https://4ammedia.zendesk.com/agent/tickets/243211</t>
    </r>
  </si>
  <si>
    <t>https://horizondirect.gorgias.com/app/ticket/383431983</t>
  </si>
  <si>
    <r>
      <rPr>
        <rFont val="Arial, sans-serif"/>
        <color rgb="FF1155CC"/>
        <u/>
      </rPr>
      <t>https://4ammedia.zendesk.com/agent/tickets/245506</t>
    </r>
  </si>
  <si>
    <t>https://horizondirect.gorgias.com/app/ticket/383452259</t>
  </si>
  <si>
    <t>https://horizondirect.gorgias.com/app/ticket/383695407</t>
  </si>
  <si>
    <r>
      <rPr>
        <rFont val="Arial, sans-serif"/>
        <color rgb="FF1155CC"/>
        <u/>
      </rPr>
      <t>https://4ammedia.zendesk.com/agent/tickets/245639</t>
    </r>
  </si>
  <si>
    <t>https://horizondirect.gorgias.com/app/ticket/383724789</t>
  </si>
  <si>
    <r>
      <rPr>
        <rFont val="Arial, sans-serif"/>
        <color rgb="FF1155CC"/>
        <u/>
      </rPr>
      <t>https://4ammedia.zendesk.com/agent/tickets/245709</t>
    </r>
  </si>
  <si>
    <t>https://horizondirect.gorgias.com/app/ticket/383730364</t>
  </si>
  <si>
    <t>https://horizondirect.gorgias.com/app/ticket/383838337</t>
  </si>
  <si>
    <t>https://horizondirect.gorgias.com/app/ticket/383850698</t>
  </si>
  <si>
    <t>https://horizondirect.gorgias.com/app/ticket/383857037</t>
  </si>
  <si>
    <t>196</t>
  </si>
  <si>
    <t>195</t>
  </si>
  <si>
    <t>https://horizondirect.gorgias.com/app/ticket/383974905</t>
  </si>
  <si>
    <t>188</t>
  </si>
  <si>
    <t>https://horizondirect.gorgias.com/app/ticket/383978663</t>
  </si>
  <si>
    <r>
      <rPr>
        <rFont val="Arial, sans-serif"/>
        <color rgb="FF1155CC"/>
        <u/>
      </rPr>
      <t>https://4ammedia.zendesk.com/agent/tickets/250140</t>
    </r>
  </si>
  <si>
    <t>https://horizondirect.gorgias.com/app/ticket/383987252</t>
  </si>
  <si>
    <t>https://horizondirect.gorgias.com/app/ticket/384082059</t>
  </si>
  <si>
    <r>
      <rPr>
        <rFont val="Arial, sans-serif"/>
        <color rgb="FF1155CC"/>
        <u/>
      </rPr>
      <t>https://4ammedia.zendesk.com/agent/tickets/250346</t>
    </r>
  </si>
  <si>
    <t>https://horizondirect.gorgias.com/app/ticket/384096661</t>
  </si>
  <si>
    <r>
      <rPr>
        <rFont val="Arial, sans-serif"/>
        <color rgb="FF1155CC"/>
        <u/>
      </rPr>
      <t>https://4ammedia.zendesk.com/agent/tickets/250375</t>
    </r>
  </si>
  <si>
    <t>https://horizondirect.gorgias.com/app/ticket/384098522</t>
  </si>
  <si>
    <r>
      <rPr>
        <rFont val="Arial, sans-serif"/>
        <color rgb="FF1155CC"/>
        <u/>
      </rPr>
      <t>https://4ammedia.zendesk.com/agent/tickets/252375</t>
    </r>
  </si>
  <si>
    <r>
      <rPr>
        <rFont val="Arial, sans-serif"/>
        <color rgb="FF1155CC"/>
        <u/>
      </rPr>
      <t>https://4ammedia.zendesk.com/agent/tickets/252480</t>
    </r>
  </si>
  <si>
    <t>https://horizondirect.gorgias.com/app/ticket/384566111</t>
  </si>
  <si>
    <r>
      <rPr>
        <rFont val="Arial, sans-serif"/>
        <color rgb="FF1155CC"/>
        <u/>
      </rPr>
      <t>https://4ammedia.zendesk.com/agent/tickets/252489</t>
    </r>
  </si>
  <si>
    <t>https://horizondirect.gorgias.com/app/ticket/384568222</t>
  </si>
  <si>
    <r>
      <rPr>
        <rFont val="Arial, sans-serif"/>
        <color rgb="FF1155CC"/>
        <u/>
      </rPr>
      <t>https://4ammedia.zendesk.com/agent/tickets/254509</t>
    </r>
  </si>
  <si>
    <t>https://horizondirect.gorgias.com/app/ticket/384611168</t>
  </si>
  <si>
    <r>
      <rPr>
        <rFont val="Arial, sans-serif"/>
        <color rgb="FF1155CC"/>
        <u/>
      </rPr>
      <t>https://4ammedia.zendesk.com/agent/tickets/254705</t>
    </r>
  </si>
  <si>
    <t>https://horizondirect.gorgias.com/app/ticket/384713693</t>
  </si>
  <si>
    <r>
      <rPr>
        <rFont val="Arial, sans-serif"/>
        <color rgb="FF1155CC"/>
        <u/>
      </rPr>
      <t>https://4ammedia.zendesk.com/agent/tickets/254848</t>
    </r>
  </si>
  <si>
    <t>WEEK: June 22-  June 28,2026</t>
  </si>
  <si>
    <t>https://horizondirect.gorgias.com/app/ticket/384728038</t>
  </si>
  <si>
    <r>
      <rPr>
        <rFont val="Arial, sans-serif"/>
        <color rgb="FF1155CC"/>
        <u/>
      </rPr>
      <t>https://4ammedia.zendesk.com/agent/tickets/256155</t>
    </r>
  </si>
  <si>
    <t>https://horizondirect.gorgias.com/app/ticket/384742538</t>
  </si>
  <si>
    <t>https://horizondirect.gorgias.com/app/ticket/384833636</t>
  </si>
  <si>
    <t>https://horizondirect.gorgias.com/app/ticket/384841836</t>
  </si>
  <si>
    <t>https://horizondirect.gorgias.com/app/ticket/384853567</t>
  </si>
  <si>
    <r>
      <rPr>
        <rFont val="Arial, sans-serif"/>
        <color rgb="FF1155CC"/>
        <u/>
      </rPr>
      <t>https://4ammedia.zendesk.com/agent/tickets/256208</t>
    </r>
  </si>
  <si>
    <t>https://horizondirect.gorgias.com/app/ticket/384942475</t>
  </si>
  <si>
    <r>
      <rPr>
        <rFont val="Arial, sans-serif"/>
        <color rgb="FF1155CC"/>
        <u/>
      </rPr>
      <t>https://4ammedia.zendesk.com/agent/tickets/256468</t>
    </r>
  </si>
  <si>
    <t>https://horizondirect.gorgias.com/app/ticket/384949992</t>
  </si>
  <si>
    <r>
      <rPr>
        <rFont val="Arial, sans-serif"/>
        <color rgb="FF1155CC"/>
        <u/>
      </rPr>
      <t>https://4ammedia.zendesk.com/agent/tickets/258703</t>
    </r>
  </si>
  <si>
    <t>https://horizondirect.gorgias.com/app/ticket/384957840</t>
  </si>
  <si>
    <r>
      <rPr>
        <rFont val="Arial, sans-serif"/>
        <color rgb="FF1155CC"/>
        <u/>
      </rPr>
      <t>https://4ammedia.zendesk.com/agent/tickets/258745</t>
    </r>
  </si>
  <si>
    <t>https://horizondirect.gorgias.com/app/ticket/385053749</t>
  </si>
  <si>
    <r>
      <rPr>
        <rFont val="Arial, sans-serif"/>
        <color rgb="FF1155CC"/>
        <u/>
      </rPr>
      <t>https://4ammedia.zendesk.com/agent/tickets/258778</t>
    </r>
  </si>
  <si>
    <t>https://horizondirect.gorgias.com/app/ticket/385059768</t>
  </si>
  <si>
    <t>https://horizondirect.gorgias.com/app/ticket/385064490</t>
  </si>
  <si>
    <t xml:space="preserve">CSR should've called back cx </t>
  </si>
  <si>
    <r>
      <rPr>
        <rFont val="Arial, sans-serif"/>
        <color rgb="FF1155CC"/>
        <u/>
      </rPr>
      <t>https://4ammedia.zendesk.com/agent/tickets/263704</t>
    </r>
  </si>
  <si>
    <t>https://horizondirect.gorgias.com/app/ticket/385167734</t>
  </si>
  <si>
    <r>
      <rPr>
        <rFont val="Arial, sans-serif"/>
        <color rgb="FF1155CC"/>
        <u/>
      </rPr>
      <t>https://4ammedia.zendesk.com/agent/tickets/263960</t>
    </r>
  </si>
  <si>
    <t>https://horizondirect.gorgias.com/app/ticket/385176515</t>
  </si>
  <si>
    <t>https://horizondirect.gorgias.com/app/ticket/385191675</t>
  </si>
  <si>
    <t>https://horizondirect.gorgias.com/app/ticket/385452458</t>
  </si>
  <si>
    <t>https://horizondirect.gorgias.com/app/ticket/385456054</t>
  </si>
  <si>
    <r>
      <rPr>
        <rFont val="Arial, sans-serif"/>
        <color rgb="FF1155CC"/>
        <u/>
      </rPr>
      <t>https://4ammedia.zendesk.com/agent/tickets/264061</t>
    </r>
  </si>
  <si>
    <t>https://horizondirect.gorgias.com/app/ticket/385462394</t>
  </si>
  <si>
    <r>
      <rPr>
        <rFont val="Arial, sans-serif"/>
        <color rgb="FF1155CC"/>
        <u/>
      </rPr>
      <t>https://4ammedia.zendesk.com/agent/tickets/266030</t>
    </r>
  </si>
  <si>
    <t>https://horizondirect.gorgias.com/app/ticket/385602630</t>
  </si>
  <si>
    <t>https://horizondirect.gorgias.com/app/ticket/385606499</t>
  </si>
  <si>
    <r>
      <rPr>
        <rFont val="Arial, sans-serif"/>
        <color rgb="FF1155CC"/>
        <u/>
      </rPr>
      <t>https://4ammedia.zendesk.com/agent/tickets/266363</t>
    </r>
  </si>
  <si>
    <t>https://horizondirect.gorgias.com/app/ticket/385609511</t>
  </si>
  <si>
    <r>
      <rPr>
        <rFont val="Arial, sans-serif"/>
        <color rgb="FF1155CC"/>
        <u/>
      </rPr>
      <t>https://4ammedia.zendesk.com/agent/tickets/266418</t>
    </r>
  </si>
  <si>
    <t>https://horizondirect.gorgias.com/app/ticket/385868646</t>
  </si>
  <si>
    <r>
      <rPr>
        <rFont val="Arial, sans-serif"/>
        <color rgb="FF1155CC"/>
        <u/>
      </rPr>
      <t>https://4ammedia.zendesk.com/agent/tickets/267920</t>
    </r>
  </si>
  <si>
    <t>https://horizondirect.gorgias.com/app/ticket/385863467</t>
  </si>
  <si>
    <t>https://horizondirect.gorgias.com/app/ticket/385862285</t>
  </si>
  <si>
    <r>
      <rPr>
        <rFont val="Arial, sans-serif"/>
        <color rgb="FF1155CC"/>
        <u/>
      </rPr>
      <t>https://4ammedia.zendesk.com/agent/tickets/268016</t>
    </r>
  </si>
  <si>
    <t>https://horizondirect.gorgias.com/app/ticket/385946687</t>
  </si>
  <si>
    <t>https://horizondirect.gorgias.com/app/ticket/385952513</t>
  </si>
  <si>
    <r>
      <rPr>
        <rFont val="Arial, sans-serif"/>
        <color rgb="FF1155CC"/>
        <u/>
      </rPr>
      <t>https://4ammedia.zendesk.com/agent/tickets/268066</t>
    </r>
  </si>
  <si>
    <t>https://horizondirect.gorgias.com/app/ticket/385953826</t>
  </si>
  <si>
    <r>
      <rPr>
        <rFont val="Arial, sans-serif"/>
        <color rgb="FF1155CC"/>
        <u/>
      </rPr>
      <t>https://4ammedia.zendesk.com/agent/tickets/270012</t>
    </r>
  </si>
  <si>
    <r>
      <rPr>
        <rFont val="Arial, sans-serif"/>
        <color rgb="FF1155CC"/>
        <u/>
      </rPr>
      <t>https://4ammedia.zendesk.com/agent/tickets/270169</t>
    </r>
  </si>
  <si>
    <t>https://horizondirect.gorgias.com/app/ticket/386063674</t>
  </si>
  <si>
    <r>
      <rPr>
        <rFont val="Arial, sans-serif"/>
        <color rgb="FF1155CC"/>
        <u/>
      </rPr>
      <t>https://4ammedia.zendesk.com/agent/tickets/270176</t>
    </r>
  </si>
  <si>
    <r>
      <rPr>
        <rFont val="Arial, sans-serif"/>
        <color rgb="FF1155CC"/>
        <u/>
      </rPr>
      <t>https://4ammedia.zendesk.com/agent/tickets/271080</t>
    </r>
  </si>
  <si>
    <t>https://horizondirect.gorgias.com/app/ticket/386071497</t>
  </si>
  <si>
    <r>
      <rPr>
        <rFont val="Arial, sans-serif"/>
        <color rgb="FF1155CC"/>
        <u/>
      </rPr>
      <t>https://4ammedia.zendesk.com/agent/tickets/271192</t>
    </r>
  </si>
  <si>
    <t>https://horizondirect.gorgias.com/app/ticket/386072148</t>
  </si>
  <si>
    <r>
      <rPr>
        <rFont val="Arial, sans-serif"/>
        <color rgb="FF1155CC"/>
        <u/>
      </rPr>
      <t>https://4ammedia.zendesk.com/agent/tickets/271253</t>
    </r>
  </si>
  <si>
    <t>https://horizondirect.gorgias.com/app/ticket/386235088</t>
  </si>
  <si>
    <t>https://horizondirect.gorgias.com/app/ticket/386236185</t>
  </si>
  <si>
    <t>https://horizondirect.gorgias.com/app/ticket/386238286</t>
  </si>
  <si>
    <t>https://horizondirect.gorgias.com/app/ticket/386484746</t>
  </si>
  <si>
    <t>https://horizondirect.gorgias.com/app/ticket/386489908</t>
  </si>
  <si>
    <t>https://horizondirect.gorgias.com/app/ticket/386490726</t>
  </si>
  <si>
    <t>https://horizondirect.gorgias.com/app/ticket/386661972</t>
  </si>
  <si>
    <t>https://horizondirect.gorgias.com/app/ticket/386663635</t>
  </si>
  <si>
    <t>https://horizondirect.gorgias.com/app/ticket/386665317</t>
  </si>
  <si>
    <t>https://horizondirect.gorgias.com/app/ticket/386732168</t>
  </si>
  <si>
    <t>https://horizondirect.gorgias.com/app/ticket/386743169</t>
  </si>
  <si>
    <t>https://horizondirect.gorgias.com/app/ticket/386755558</t>
  </si>
  <si>
    <t>WEEK: June 29-  July 4,2026</t>
  </si>
  <si>
    <t>https://horizondirect.gorgias.com/app/ticket/386968779</t>
  </si>
  <si>
    <t>https://horizondirect.gorgias.com/app/ticket/386977245</t>
  </si>
  <si>
    <t>https://horizondirect.gorgias.com/app/ticket/386979471</t>
  </si>
  <si>
    <t>CAb12c67b674a610d62bda9e491593dd2d</t>
  </si>
  <si>
    <t>CAcb3e75fb163d80c0cf8d584fc1685b50</t>
  </si>
  <si>
    <t>CA05c3f05276ead55aceb5b3f8177e95f5</t>
  </si>
  <si>
    <t>CAa1ab1ad386eb7e4208a8467182bdd8c7</t>
  </si>
  <si>
    <r>
      <rPr>
        <rFont val="Arial, sans-serif"/>
        <color rgb="FF1155CC"/>
        <u/>
      </rPr>
      <t>https://horizondirect.gorgias.com/app/ticket/365248556</t>
    </r>
  </si>
  <si>
    <t>CA6c9d40b2b466f8ec1669b525cd7f96b9</t>
  </si>
  <si>
    <t>CAfbfc7c183d02ebb654046aa48ede2fbc</t>
  </si>
  <si>
    <t>https://horizondirect.gorgias.com/app/ticket/387577782</t>
  </si>
  <si>
    <t>https://horizondirect.gorgias.com/app/ticket/387579404</t>
  </si>
  <si>
    <t>https://horizondirect.gorgias.com/app/ticket/387581346</t>
  </si>
  <si>
    <r>
      <rPr>
        <rFont val="Arial, sans-serif"/>
        <color rgb="FF1155CC"/>
        <u/>
      </rPr>
      <t>https://horizondirect.gorgias.com/app/ticket/365267099</t>
    </r>
  </si>
  <si>
    <t>https://horizondirect.gorgias.com/app/ticket/387642098</t>
  </si>
  <si>
    <t>https://horizondirect.gorgias.com/app/ticket/387650866</t>
  </si>
  <si>
    <r>
      <rPr>
        <rFont val="Arial, sans-serif"/>
        <color rgb="FF1155CC"/>
        <u/>
      </rPr>
      <t>https://horizondirect.gorgias.com/app/ticket/365286864</t>
    </r>
  </si>
  <si>
    <t>Note is not accurate, it wasn't the same as the call flow</t>
  </si>
  <si>
    <t>https://horizondirect.gorgias.com/app/ticket/365432798</t>
  </si>
  <si>
    <t>https://horizondirect.gorgias.com/app/ticket/387856678</t>
  </si>
  <si>
    <t>https://horizondirect.gorgias.com/app/ticket/365447131</t>
  </si>
  <si>
    <t>For Supcall</t>
  </si>
  <si>
    <t>https://horizondirect.gorgias.com/app/ticket/365443784</t>
  </si>
  <si>
    <t>https://horizondirect.gorgias.com/app/ticket/387862349</t>
  </si>
  <si>
    <r>
      <rPr>
        <rFont val="Arial, sans-serif"/>
        <color rgb="FF1155CC"/>
        <u/>
      </rPr>
      <t>https://horizondirect.gorgias.com/app/ticket/365572322</t>
    </r>
  </si>
  <si>
    <t>https://horizondirect.gorgias.com/app/ticket/387866711</t>
  </si>
  <si>
    <t>CSR did not ask cx to try and clean the charging box</t>
  </si>
  <si>
    <r>
      <rPr>
        <rFont val="Arial, sans-serif"/>
        <color rgb="FF1155CC"/>
        <u/>
      </rPr>
      <t>https://horizondirect.gorgias.com/app/ticket/365592219</t>
    </r>
  </si>
  <si>
    <t>https://4ammedia.zendesk.com/agent/tickets/119981</t>
  </si>
  <si>
    <r>
      <rPr>
        <rFont val="Arial, sans-serif"/>
        <color rgb="FF1155CC"/>
        <u/>
      </rPr>
      <t>https://horizondirect.gorgias.com/app/ticket/365578981</t>
    </r>
  </si>
  <si>
    <t>CAbca0b700df9f2369d608b3fe3cd25069</t>
  </si>
  <si>
    <t>CA370fcc9f5f3232dd5db4ad8baafa24cf</t>
  </si>
  <si>
    <t>CA067226ff67579149c5d91337a31572d4</t>
  </si>
  <si>
    <r>
      <rPr>
        <rFont val="Arial, sans-serif"/>
        <color rgb="FF1155CC"/>
        <u/>
      </rPr>
      <t>https://horizondirect.gorgias.com/app/ticket/365726835</t>
    </r>
  </si>
  <si>
    <t>CAb17740a04702648161b3652c00791de7</t>
  </si>
  <si>
    <r>
      <rPr>
        <rFont val="Arial, sans-serif"/>
        <color rgb="FF1155CC"/>
        <u/>
      </rPr>
      <t>https://horizondirect.gorgias.com/app/ticket/365746513</t>
    </r>
  </si>
  <si>
    <t>CAb1ba47cd3b9f5cb5b8f09a82217105c2</t>
  </si>
  <si>
    <t>https://horizondirect.gorgias.com/app/ticket/365268424</t>
  </si>
  <si>
    <t>CA3d78baf343c0370c49462c5549600184</t>
  </si>
  <si>
    <r>
      <rPr>
        <rFont val="Arial, sans-serif"/>
        <color rgb="FF1155CC"/>
        <u/>
      </rPr>
      <t>https://horizondirect.gorgias.com/app/ticket/365741522</t>
    </r>
  </si>
  <si>
    <t>CAeeb0b4942816ee47deb799f4752368e3</t>
  </si>
  <si>
    <r>
      <rPr>
        <rFont val="Arial, sans-serif"/>
        <color rgb="FF1155CC"/>
        <u/>
      </rPr>
      <t>https://horizondirect.gorgias.com/app/ticket/365841651</t>
    </r>
  </si>
  <si>
    <t>CA4f437e83b3deee365e196f61fc264940</t>
  </si>
  <si>
    <r>
      <rPr>
        <rFont val="Arial, sans-serif"/>
        <color rgb="FF1155CC"/>
        <u/>
      </rPr>
      <t>https://horizondirect.gorgias.com/app/ticket/365869518</t>
    </r>
  </si>
  <si>
    <t>CAd7ded1e6fffac1809cb0bd8616dea59c</t>
  </si>
  <si>
    <t>https://horizondirect.gorgias.com/app/ticket/365274132</t>
  </si>
  <si>
    <r>
      <rPr>
        <rFont val="Arial, sans-serif"/>
        <color rgb="FF1155CC"/>
        <u/>
      </rPr>
      <t>https://horizondirect.gorgias.com/app/ticket/365892597</t>
    </r>
  </si>
  <si>
    <t>https://horizondirect.gorgias.com/app/ticket/365322492</t>
  </si>
  <si>
    <t>https://horizondirect.gorgias.com/app/ticket/365430389</t>
  </si>
  <si>
    <t>CA1e988c68947a1b9f361e3075c7f95f37</t>
  </si>
  <si>
    <t>https://horizondirect.gorgias.com/app/ticket/366238767</t>
  </si>
  <si>
    <t>https://horizondirect.gorgias.com/app/ticket/365439659</t>
  </si>
  <si>
    <t>CA0e9b721fc397628c0ec0524dcf2296eb</t>
  </si>
  <si>
    <t>https://horizondirect.gorgias.com/app/ticket/365445937</t>
  </si>
  <si>
    <t>CA51dd74743cbb6e9fc1e94d97d557e03e</t>
  </si>
  <si>
    <t>https://horizondirect.gorgias.com/app/ticket/366227938</t>
  </si>
  <si>
    <t>https://horizondirect.gorgias.com/app/ticket/365719346</t>
  </si>
  <si>
    <t>CA6ac5f549a6a945ba28568770dd6909ae</t>
  </si>
  <si>
    <t>CA8e168383d828eb36a71a0992ff5fa714</t>
  </si>
  <si>
    <t>CX's order can be easily searched using their name</t>
  </si>
  <si>
    <t>https://horizondirect.gorgias.com/app/ticket/365725962</t>
  </si>
  <si>
    <t>CA5d9f0c44dd1c93fa8163c88cdbd1a3aa</t>
  </si>
  <si>
    <t>https://horizondirect.gorgias.com/app/ticket/366226219</t>
  </si>
  <si>
    <t>CA2409adaf5dd7cf278bea24d238c32cfe</t>
  </si>
  <si>
    <t>https://horizondirect.gorgias.com/app/ticket/365729806</t>
  </si>
  <si>
    <t>CA5283d24f0b5b7b927add97413680c854</t>
  </si>
  <si>
    <t xml:space="preserve">Hearing aid only works for people who are diagnosed with mild to moderate hearing loss. This won't help people reduce hearing ringing sounds </t>
  </si>
  <si>
    <t>https://horizondirect.gorgias.com/app/ticket/366427322</t>
  </si>
  <si>
    <t>https://horizondirect.gorgias.com/app/ticket/365847635</t>
  </si>
  <si>
    <t>CA4e3a2ef8037e8b791146d75aaa949644</t>
  </si>
  <si>
    <t>https://horizondirect.gorgias.com/app/ticket/366418018</t>
  </si>
  <si>
    <t>CAe67bfe3ae60839decb9ca3544e6c22ee</t>
  </si>
  <si>
    <t>https://horizondirect.gorgias.com/app/ticket/365892453</t>
  </si>
  <si>
    <t>CA6c15038dcb2cfebdf33ae5a190bef365</t>
  </si>
  <si>
    <t>https://horizondirect.gorgias.com/app/ticket/366407627</t>
  </si>
  <si>
    <t>CAc57fc7f4588462a26ca6dd50ccd7064e</t>
  </si>
  <si>
    <t>https://horizondirect.gorgias.com/app/ticket/366567760</t>
  </si>
  <si>
    <t>CAb1663285a52e5a1c63a70a071ef006a5</t>
  </si>
  <si>
    <t>https://horizondirect.gorgias.com/app/ticket/365900311</t>
  </si>
  <si>
    <t>https://horizondirect.gorgias.com/app/ticket/366555327</t>
  </si>
  <si>
    <t>CA352993f746121dd55488c31451afdaed</t>
  </si>
  <si>
    <t>https://horizondirect.gorgias.com/app/ticket/365989363</t>
  </si>
  <si>
    <t>WEEK: July 6-  July 12,2026</t>
  </si>
  <si>
    <t>https://horizondirect.gorgias.com/app/ticket/366546603</t>
  </si>
  <si>
    <r>
      <rPr>
        <rFont val="Arial, sans-serif"/>
        <color rgb="FF1155CC"/>
        <u/>
      </rPr>
      <t>https://horizondirect.gorgias.com/app/ticket/366698931</t>
    </r>
  </si>
  <si>
    <t>https://horizondirect.gorgias.com/app/ticket/365976775</t>
  </si>
  <si>
    <t>CAb6fbd090d1b4374176dcd44202674f81</t>
  </si>
  <si>
    <t xml:space="preserve">Audio quality not good at the start and there has been some dead air </t>
  </si>
  <si>
    <r>
      <rPr>
        <rFont val="Arial, sans-serif"/>
        <color rgb="FF1155CC"/>
        <u/>
      </rPr>
      <t>https://horizondirect.gorgias.com/app/ticket/366704656</t>
    </r>
  </si>
  <si>
    <t>https://horizondirect.gorgias.com/app/ticket/365972285</t>
  </si>
  <si>
    <r>
      <rPr>
        <rFont val="Arial, sans-serif"/>
        <color rgb="FF1155CC"/>
        <u/>
      </rPr>
      <t>https://horizondirect.gorgias.com/app/ticket/366711334</t>
    </r>
  </si>
  <si>
    <t>CA763c217f46beb7f93a741e76ddf92e28</t>
  </si>
  <si>
    <t>CA1e1ca6a42243591a1a4e5eb96e5216c0</t>
  </si>
  <si>
    <r>
      <rPr>
        <rFont val="Arial, sans-serif"/>
        <color rgb="FF1155CC"/>
        <u/>
      </rPr>
      <t>https://horizondirect.gorgias.com/app/ticket/366855846</t>
    </r>
  </si>
  <si>
    <t>CA3020ba2f10e99be28774ecdd315e51a0</t>
  </si>
  <si>
    <t>https://horizondirect.gorgias.com/app/ticket/366246653</t>
  </si>
  <si>
    <r>
      <rPr>
        <rFont val="Arial, sans-serif"/>
        <color rgb="FF1155CC"/>
        <u/>
      </rPr>
      <t>https://horizondirect.gorgias.com/app/ticket/366862453</t>
    </r>
  </si>
  <si>
    <t>CA0f8f303cf5c72f23509de32b87f8cb11</t>
  </si>
  <si>
    <r>
      <rPr>
        <rFont val="Arial, sans-serif"/>
        <color rgb="FF1155CC"/>
        <u/>
      </rPr>
      <t>https://horizondirect.gorgias.com/app/ticket/366878982</t>
    </r>
  </si>
  <si>
    <t>CAd04aa50d001d48ca838832be630e15d6</t>
  </si>
  <si>
    <t>CAb6c02c986e85ebdd88b55b0c665ef606</t>
  </si>
  <si>
    <t>https://horizondirect.gorgias.com/app/ticket/366242167</t>
  </si>
  <si>
    <t>CAaf7061c015a3be644cd39c33c0dc8b38</t>
  </si>
  <si>
    <t>CA8459649bee264c22b1cd0eb9ff718f2c</t>
  </si>
  <si>
    <r>
      <rPr>
        <rFont val="Arial, sans-serif"/>
        <color rgb="FF1155CC"/>
        <u/>
      </rPr>
      <t>https://horizondirect.gorgias.com/app/ticket/367197947</t>
    </r>
  </si>
  <si>
    <t>https://horizondirect.gorgias.com/app/ticket/366228738</t>
  </si>
  <si>
    <t>CA9310bf45719303047384c47f6b202ce9</t>
  </si>
  <si>
    <t>https://horizondirect.gorgias.com/app/ticket/366412138</t>
  </si>
  <si>
    <t>CAd77794bcb258551437a714a695043d2a</t>
  </si>
  <si>
    <t>CAc60ed55a63a1069417246e0d42bc2a31</t>
  </si>
  <si>
    <t>CA4ac9b428fb857e1d2b66bd1af7ab5086</t>
  </si>
  <si>
    <r>
      <rPr>
        <rFont val="Arial, sans-serif"/>
        <color rgb="FF1155CC"/>
        <u/>
      </rPr>
      <t>https://horizondirect.gorgias.com/app/ticket/367231040</t>
    </r>
  </si>
  <si>
    <t>CA553ea82f464fa6a92b5ad3107255e92f</t>
  </si>
  <si>
    <t xml:space="preserve">Billing address should be updated as well </t>
  </si>
  <si>
    <r>
      <rPr>
        <rFont val="Arial, sans-serif"/>
        <color rgb="FF1155CC"/>
        <u/>
      </rPr>
      <t>https://horizondirect.gorgias.com/app/ticket/367248020</t>
    </r>
  </si>
  <si>
    <t>CAcf2b1a1452c54df94b44dba0f66b1b17</t>
  </si>
  <si>
    <t>https://horizondirect.gorgias.com/app/ticket/366393817</t>
  </si>
  <si>
    <t>https://horizondirect.gorgias.com/app/ticket/367429567</t>
  </si>
  <si>
    <t>https://horizondirect.gorgias.com/app/ticket/366251073</t>
  </si>
  <si>
    <t>CAd1fbd0ff85f87583dc2c3ce9f894e125</t>
  </si>
  <si>
    <t>https://horizondirect.gorgias.com/app/ticket/366441349</t>
  </si>
  <si>
    <t>https://horizondirect.gorgias.com/app/ticket/366428290</t>
  </si>
  <si>
    <t>CA8cec98141fb1e47ccbc5f4b39a4a0628</t>
  </si>
  <si>
    <t>https://horizondirect.gorgias.com/app/ticket/367421903</t>
  </si>
  <si>
    <t>CA5eeeec091f6bf644eb5d7b4dcabd8f9e</t>
  </si>
  <si>
    <t>https://horizondirect.gorgias.com/app/ticket/367419430</t>
  </si>
  <si>
    <t>https://horizondirect.gorgias.com/app/ticket/366445264</t>
  </si>
  <si>
    <t>CA70e01ce5b909326ab5080842dbb7ea4f</t>
  </si>
  <si>
    <t>https://horizondirect.gorgias.com/app/ticket/366700920</t>
  </si>
  <si>
    <r>
      <rPr>
        <rFont val="Arial, sans-serif"/>
        <color rgb="FF1155CC"/>
        <u/>
      </rPr>
      <t>https://horizondirect.gorgias.com/app/ticket/367394929</t>
    </r>
  </si>
  <si>
    <t>CAbd558747d7ffcb4eb83032fe9e1f58f9</t>
  </si>
  <si>
    <t>CAe59b223ff4bfd5f883bed2e12098ada4</t>
  </si>
  <si>
    <t>https://horizondirect.gorgias.com/app/ticket/366705044</t>
  </si>
  <si>
    <r>
      <rPr>
        <rFont val="Arial, sans-serif"/>
        <color rgb="FF1155CC"/>
        <u/>
      </rPr>
      <t>https://horizondirect.gorgias.com/app/ticket/367399873</t>
    </r>
  </si>
  <si>
    <t>https://assets.aircall.io/calls/3794006651/recording</t>
  </si>
  <si>
    <t>https://horizondirect.gorgias.com/app/ticket/366718762</t>
  </si>
  <si>
    <r>
      <rPr>
        <rFont val="Arial, sans-serif"/>
        <color rgb="FF1155CC"/>
        <u/>
      </rPr>
      <t>https://horizondirect.gorgias.com/app/ticket/367401908</t>
    </r>
  </si>
  <si>
    <t>https://assets.aircall.io/calls/3794826742/recording</t>
  </si>
  <si>
    <t>https://horizondirect.gorgias.com/app/ticket/366868513</t>
  </si>
  <si>
    <r>
      <rPr>
        <rFont val="Arial, sans-serif"/>
        <color rgb="FF1155CC"/>
        <u/>
      </rPr>
      <t>https://horizondirect.gorgias.com/app/ticket/367729712</t>
    </r>
  </si>
  <si>
    <t>https://assets.aircall.io/calls/3794943096/recording</t>
  </si>
  <si>
    <t>https://assets.aircall.io/calls/3797959394/recording</t>
  </si>
  <si>
    <r>
      <rPr>
        <rFont val="Arial, sans-serif"/>
        <color rgb="FF1155CC"/>
        <u/>
      </rPr>
      <t>https://horizondirect.gorgias.com/app/ticket/367743666</t>
    </r>
  </si>
  <si>
    <t>https://assets.aircall.io/calls/3798096368/recording</t>
  </si>
  <si>
    <r>
      <rPr>
        <rFont val="Arial, sans-serif"/>
        <color rgb="FF1155CC"/>
        <u/>
      </rPr>
      <t>https://horizondirect.gorgias.com/app/ticket/367751172</t>
    </r>
  </si>
  <si>
    <t>https://assets.aircall.io/calls/3798380498/recording</t>
  </si>
  <si>
    <t>https://horizondirect.gorgias.com/app/ticket/366877460</t>
  </si>
  <si>
    <t>https://assets.aircall.io/calls/3799091556/recording</t>
  </si>
  <si>
    <t>https://assets.aircall.io/calls/3799239149/recording</t>
  </si>
  <si>
    <t>https://horizondirect.gorgias.com/app/ticket/366890872</t>
  </si>
  <si>
    <t>https://assets.aircall.io/calls/3799244312/recording</t>
  </si>
  <si>
    <t>https://4ammedia.zendesk.com/agent/tickets/149244</t>
  </si>
  <si>
    <t>https://horizondirect.gorgias.com/app/ticket/367223453</t>
  </si>
  <si>
    <t>https://4ammedia.zendesk.com/agent/tickets/149522</t>
  </si>
  <si>
    <t>https://4ammedia.zendesk.com/agent/tickets/149595</t>
  </si>
  <si>
    <t>https://horizondirect.gorgias.com/app/ticket/368489778</t>
  </si>
  <si>
    <t>https://horizondirect.gorgias.com/app/ticket/367240691</t>
  </si>
  <si>
    <t>https://4ammedia.zendesk.com/agent/tickets/150575</t>
  </si>
  <si>
    <t>https://4ammedia.zendesk.com/agent/tickets/150831</t>
  </si>
  <si>
    <t>CSR should've suggested to try a different battery for the product to work</t>
  </si>
  <si>
    <t>https://horizondirect.gorgias.com/app/ticket/367249906</t>
  </si>
  <si>
    <t>https://4ammedia.zendesk.com/agent/tickets/151126</t>
  </si>
  <si>
    <t>https://horizondirect.gorgias.com/app/ticket/367419642</t>
  </si>
  <si>
    <t>https://horizondirect.gorgias.com/app/ticket/368488763</t>
  </si>
  <si>
    <t>https://4ammedia.zendesk.com/agent/tickets/153836</t>
  </si>
  <si>
    <t>https://horizondirect.gorgias.com/app/ticket/368465080</t>
  </si>
  <si>
    <t>https://4ammedia.zendesk.com/agent/tickets/153942</t>
  </si>
  <si>
    <t>https://4ammedia.zendesk.com/agent/tickets/154165</t>
  </si>
  <si>
    <r>
      <rPr>
        <rFont val="Arial, sans-serif"/>
        <color rgb="FF1155CC"/>
        <u/>
      </rPr>
      <t>https://horizondirect.gorgias.com/app/ticket/368624135</t>
    </r>
  </si>
  <si>
    <t>https://horizondirect.gorgias.com/app/ticket/367417333</t>
  </si>
  <si>
    <t>https://4ammedia.zendesk.com/agent/tickets/155598</t>
  </si>
  <si>
    <r>
      <rPr>
        <rFont val="Arial, sans-serif"/>
        <color rgb="FF1155CC"/>
        <u/>
      </rPr>
      <t>https://horizondirect.gorgias.com/app/ticket/368663859</t>
    </r>
  </si>
  <si>
    <t>https://4ammedia.zendesk.com/agent/tickets/155751</t>
  </si>
  <si>
    <t>https://horizondirect.gorgias.com/app/ticket/367416818</t>
  </si>
  <si>
    <r>
      <rPr>
        <rFont val="Arial, sans-serif"/>
        <color rgb="FF1155CC"/>
        <u/>
      </rPr>
      <t>https://horizondirect.gorgias.com/app/ticket/368676366</t>
    </r>
  </si>
  <si>
    <t>https://4ammedia.zendesk.com/agent/tickets/155832</t>
  </si>
  <si>
    <t>WEEK: July 13 -  July 19,2026</t>
  </si>
  <si>
    <t>https://horizondirect.gorgias.com/app/ticket/367565552</t>
  </si>
  <si>
    <t>https://4ammedia.zendesk.com/agent/tickets/156759</t>
  </si>
  <si>
    <r>
      <rPr>
        <rFont val="Arial, sans-serif"/>
        <color rgb="FF1155CC"/>
        <u/>
      </rPr>
      <t>https://horizondirect.gorgias.com/app/ticket/368852608</t>
    </r>
  </si>
  <si>
    <t>https://horizondirect.gorgias.com/app/ticket/367573552</t>
  </si>
  <si>
    <t>https://4ammedia.zendesk.com/agent/tickets/157054</t>
  </si>
  <si>
    <t>Keyboard sound can be heard but CSR did not deliver opening spiel</t>
  </si>
  <si>
    <t>https://horizondirect.gorgias.com/app/ticket/368862547</t>
  </si>
  <si>
    <t>https://horizondirect.gorgias.com/app/ticket/367589114</t>
  </si>
  <si>
    <r>
      <rPr>
        <rFont val="Arial, sans-serif"/>
        <color rgb="FF1155CC"/>
        <u/>
      </rPr>
      <t>https://horizondirect.gorgias.com/app/ticket/368867564</t>
    </r>
  </si>
  <si>
    <r>
      <rPr>
        <rFont val="Arial, sans-serif"/>
        <color rgb="FF1155CC"/>
        <u/>
      </rPr>
      <t>https://horizondirect.gorgias.com/app/ticket/367764221</t>
    </r>
  </si>
  <si>
    <t>https://4ammedia.zendesk.com/agent/tickets/157148</t>
  </si>
  <si>
    <r>
      <rPr>
        <rFont val="Arial, sans-serif"/>
        <color rgb="FF1155CC"/>
        <u/>
      </rPr>
      <t>https://horizondirect.gorgias.com/app/ticket/368991030</t>
    </r>
  </si>
  <si>
    <r>
      <rPr>
        <rFont val="Arial, sans-serif"/>
        <color rgb="FF1155CC"/>
        <u/>
      </rPr>
      <t>https://horizondirect.gorgias.com/app/ticket/367769116</t>
    </r>
  </si>
  <si>
    <r>
      <rPr>
        <rFont val="Arial, sans-serif"/>
        <color rgb="FF1155CC"/>
        <u/>
      </rPr>
      <t>https://horizondirect.gorgias.com/app/ticket/369003491</t>
    </r>
  </si>
  <si>
    <r>
      <rPr>
        <rFont val="Arial, sans-serif"/>
        <color rgb="FF1155CC"/>
        <u/>
      </rPr>
      <t>https://horizondirect.gorgias.com/app/ticket/367781995</t>
    </r>
  </si>
  <si>
    <r>
      <rPr>
        <rFont val="Arial, sans-serif"/>
        <color rgb="FF1155CC"/>
        <u/>
      </rPr>
      <t>https://horizondirect.gorgias.com/app/ticket/369006344</t>
    </r>
  </si>
  <si>
    <t>https://4ammedia.zendesk.com/agent/tickets/159146</t>
  </si>
  <si>
    <r>
      <rPr>
        <rFont val="Arial, sans-serif"/>
        <color rgb="FF1155CC"/>
        <u/>
      </rPr>
      <t>https://horizondirect.gorgias.com/app/ticket/369185544</t>
    </r>
  </si>
  <si>
    <t>https://4ammedia.zendesk.com/agent/tickets/159369</t>
  </si>
  <si>
    <r>
      <rPr>
        <rFont val="Arial, sans-serif"/>
        <color rgb="FF1155CC"/>
        <u/>
      </rPr>
      <t>https://horizondirect.gorgias.com/app/ticket/369204391</t>
    </r>
  </si>
  <si>
    <t xml:space="preserve">Long dead air -CSR should've called back CX immediately to assist </t>
  </si>
  <si>
    <t>https://horizondirect.gorgias.com/app/ticket/368231308</t>
  </si>
  <si>
    <t>https://4ammedia.zendesk.com/agent/tickets/159478</t>
  </si>
  <si>
    <r>
      <rPr>
        <rFont val="Arial"/>
      </rPr>
      <t xml:space="preserve">Upon reviewing ticket thread - </t>
    </r>
    <r>
      <rPr>
        <rFont val="Arial"/>
        <color rgb="FF1155CC"/>
        <u/>
      </rPr>
      <t>https://horizondirect.gorgias.com/app/ticket/369202650</t>
    </r>
    <r>
      <rPr>
        <rFont val="Arial"/>
      </rPr>
      <t xml:space="preserve"> CX have yet to place the order as she asked what does she have to do in order to finish her order</t>
    </r>
  </si>
  <si>
    <t xml:space="preserve"> </t>
  </si>
  <si>
    <t>https://horizondirect.gorgias.com/app/ticket/368249720</t>
  </si>
  <si>
    <r>
      <rPr>
        <rFont val="Arial, sans-serif"/>
        <color rgb="FF1155CC"/>
        <u/>
      </rPr>
      <t>https://horizondirect.gorgias.com/app/ticket/369219966</t>
    </r>
  </si>
  <si>
    <t>https://4ammedia.zendesk.com/agent/tickets/161312</t>
  </si>
  <si>
    <t>https://horizondirect.gorgias.com/app/ticket/368285934</t>
  </si>
  <si>
    <t>https://4ammedia.zendesk.com/agent/tickets/161362</t>
  </si>
  <si>
    <t>https://4ammedia.zendesk.com/agent/tickets/161412</t>
  </si>
  <si>
    <t>https://4ammedia.zendesk.com/agent/tickets/164209</t>
  </si>
  <si>
    <t>https://4ammedia.zendesk.com/agent/tickets/164544</t>
  </si>
  <si>
    <t>https://4ammedia.zendesk.com/agent/tickets/164569</t>
  </si>
  <si>
    <t>https://horizondirect.gorgias.com/app/ticket/368511943</t>
  </si>
  <si>
    <r>
      <rPr>
        <rFont val="Arial, sans-serif"/>
        <color rgb="FF1155CC"/>
        <u/>
      </rPr>
      <t>https://horizondirect.gorgias.com/app/ticket/369653693</t>
    </r>
  </si>
  <si>
    <t>https://4ammedia.zendesk.com/agent/tickets/165455</t>
  </si>
  <si>
    <t>https://4ammedia.zendesk.com/agent/tickets/165546</t>
  </si>
  <si>
    <r>
      <rPr>
        <rFont val="Arial, sans-serif"/>
        <color rgb="FF1155CC"/>
        <u/>
      </rPr>
      <t>https://4ammedia.zendesk.com/agent/tickets/166023</t>
    </r>
  </si>
  <si>
    <r>
      <rPr>
        <rFont val="Arial, sans-serif"/>
        <color rgb="FF1155CC"/>
        <u/>
      </rPr>
      <t>https://horizondirect.gorgias.com/app/ticket/369676505</t>
    </r>
  </si>
  <si>
    <t>https://4ammedia.zendesk.com/agent/tickets/166796</t>
  </si>
  <si>
    <t>https://horizondirect.gorgias.com/app/ticket/368485470</t>
  </si>
  <si>
    <r>
      <rPr>
        <rFont val="Arial, sans-serif"/>
        <color rgb="FF1155CC"/>
        <u/>
      </rPr>
      <t>https://horizondirect.gorgias.com/app/ticket/369701362</t>
    </r>
  </si>
  <si>
    <t>https://4ammedia.zendesk.com/agent/tickets/166909</t>
  </si>
  <si>
    <t>https://4ammedia.zendesk.com/agent/tickets/167112</t>
  </si>
  <si>
    <t>https://horizondirect.gorgias.com/app/ticket/369909930</t>
  </si>
  <si>
    <t>https://horizondirect.gorgias.com/app/ticket/369900222</t>
  </si>
  <si>
    <t xml:space="preserve">CSR did not update the shipping address correctly. The entire address is written on the City part.  </t>
  </si>
  <si>
    <t>https://horizondirect.gorgias.com/app/ticket/368489867</t>
  </si>
  <si>
    <t>https://4ammedia.zendesk.com/agent/tickets/169535</t>
  </si>
  <si>
    <t>https://horizondirect.gorgias.com/app/ticket/369892690</t>
  </si>
  <si>
    <t>https://horizondirect.gorgias.com/app/ticket/370083357</t>
  </si>
  <si>
    <t>https://horizondirect.gorgias.com/app/ticket/368621942</t>
  </si>
  <si>
    <t>https://4ammedia.zendesk.com/agent/tickets/169663</t>
  </si>
  <si>
    <t>https://horizondirect.gorgias.com/app/ticket/370086940</t>
  </si>
  <si>
    <t>https://4ammedia.zendesk.com/agent/tickets/169900</t>
  </si>
  <si>
    <t>https://horizondirect.gorgias.com/app/ticket/368637757</t>
  </si>
  <si>
    <t>https://4ammedia.zendesk.com/agent/tickets/171452</t>
  </si>
  <si>
    <t>https://horizondirect.gorgias.com/app/ticket/370091754</t>
  </si>
  <si>
    <t>https://horizondirect.gorgias.com/app/ticket/368680729</t>
  </si>
  <si>
    <t>https://4ammedia.zendesk.com/agent/tickets/171793</t>
  </si>
  <si>
    <r>
      <rPr>
        <rFont val="Arial, sans-serif"/>
        <color rgb="FF1155CC"/>
        <u/>
      </rPr>
      <t>https://horizondirect.gorgias.com/app/ticket/370228747</t>
    </r>
  </si>
  <si>
    <t>https://4ammedia.zendesk.com/agent/tickets/171832</t>
  </si>
  <si>
    <t>https://horizondirect.gorgias.com/app/ticket/368840525</t>
  </si>
  <si>
    <r>
      <rPr>
        <rFont val="Arial, sans-serif"/>
        <color rgb="FF1155CC"/>
        <u/>
      </rPr>
      <t>https://horizondirect.gorgias.com/app/ticket/370247541</t>
    </r>
  </si>
  <si>
    <t>https://4ammedia.zendesk.com/agent/tickets/174414</t>
  </si>
  <si>
    <t>No email sent - CSR did not take extra time to at least guide the customer on interchanging tips</t>
  </si>
  <si>
    <t>https://horizondirect.gorgias.com/app/ticket/368843764</t>
  </si>
  <si>
    <t>https://4ammedia.zendesk.com/agent/tickets/174512</t>
  </si>
  <si>
    <t>https://4ammedia.zendesk.com/agent/tickets/174769</t>
  </si>
  <si>
    <t>https://horizondirect.gorgias.com/app/ticket/368846896</t>
  </si>
  <si>
    <t>https://4ammedia.zendesk.com/agent/tickets/175847</t>
  </si>
  <si>
    <r>
      <rPr>
        <rFont val="Arial, sans-serif"/>
        <color rgb="FF1155CC"/>
        <u/>
      </rPr>
      <t>https://horizondirect.gorgias.com/app/ticket/370255661</t>
    </r>
  </si>
  <si>
    <t>https://horizondirect.gorgias.com/app/ticket/369017229</t>
  </si>
  <si>
    <t>https://4ammedia.zendesk.com/agent/tickets/175972</t>
  </si>
  <si>
    <t>https://4ammedia.zendesk.com/agent/tickets/176274</t>
  </si>
  <si>
    <t>https://horizondirect.gorgias.com/app/ticket/370438432</t>
  </si>
  <si>
    <t>https://4ammedia.zendesk.com/agent/tickets/177211</t>
  </si>
  <si>
    <t>https://horizondirect.gorgias.com/app/ticket/370441561</t>
  </si>
  <si>
    <t>https://4ammedia.zendesk.com/agent/tickets/177254</t>
  </si>
  <si>
    <t>https://4ammedia.zendesk.com/agent/tickets/177356</t>
  </si>
  <si>
    <t>https://horizondirect.gorgias.com/app/ticket/369032370</t>
  </si>
  <si>
    <t>https://horizondirect.gorgias.com/app/ticket/370435949</t>
  </si>
  <si>
    <t>https://horizondirect.gorgias.com/app/ticket/369050373</t>
  </si>
  <si>
    <t>CSR tone of voice sounds dry - Customer support is 24/7</t>
  </si>
  <si>
    <t>https://horizondirect.gorgias.com/app/ticket/370826451</t>
  </si>
  <si>
    <t>https://horizondirect.gorgias.com/app/ticket/369212191</t>
  </si>
  <si>
    <t>https://horizondirect.gorgias.com/app/ticket/370829199</t>
  </si>
  <si>
    <t>WEEK: July 20 -  July 26,2026</t>
  </si>
  <si>
    <t>https://horizondirect.gorgias.com/app/ticket/369218267</t>
  </si>
  <si>
    <t>https://horizondirect.gorgias.com/app/ticket/370832391</t>
  </si>
  <si>
    <t>https://horizondirect.gorgias.com/app/ticket/369256971</t>
  </si>
  <si>
    <t>https://horizondirect.gorgias.com/app/ticket/370990847</t>
  </si>
  <si>
    <t>https://horizondirect.gorgias.com/app/ticket/370992026</t>
  </si>
  <si>
    <t>https://horizondirect.gorgias.com/app/ticket/370997465</t>
  </si>
  <si>
    <t>https://horizondirect.gorgias.com/app/ticket/369709748</t>
  </si>
  <si>
    <t>https://horizondirect.gorgias.com/app/ticket/371153748</t>
  </si>
  <si>
    <t>https://4ammedia.zendesk.com/agent/tickets/189547</t>
  </si>
  <si>
    <t xml:space="preserve">CSR should've at least insist to do TS while on call </t>
  </si>
  <si>
    <t>https://horizondirect.gorgias.com/app/ticket/371166377</t>
  </si>
  <si>
    <t>https://4ammedia.zendesk.com/agent/tickets/189703</t>
  </si>
  <si>
    <t>https://horizondirect.gorgias.com/app/ticket/371171340</t>
  </si>
  <si>
    <t>https://horizondirect.gorgias.com/app/ticket/369658064</t>
  </si>
  <si>
    <t>https://4ammedia.zendesk.com/agent/tickets/189900</t>
  </si>
  <si>
    <t>https://horizondirect.gorgias.com/app/ticket/371303194</t>
  </si>
  <si>
    <t>https://assets.aircall.io/calls/3894244144/recording/info</t>
  </si>
  <si>
    <t>https://assets.aircall.io/calls/3893971316/recording/info</t>
  </si>
  <si>
    <r>
      <rPr>
        <rFont val="Arial, sans-serif"/>
        <color rgb="FF1155CC"/>
        <u/>
      </rPr>
      <t>https://horizondirect.gorgias.com/app/ticket/371308096</t>
    </r>
  </si>
  <si>
    <t>https://assets.aircall.io/calls/3894090939/recording/info</t>
  </si>
  <si>
    <r>
      <rPr>
        <rFont val="Arial, sans-serif"/>
        <color rgb="FF1155CC"/>
        <u/>
      </rPr>
      <t>https://horizondirect.gorgias.com/app/ticket/371310513</t>
    </r>
  </si>
  <si>
    <t>https://4ammedia.zendesk.com/agent/tickets/194683</t>
  </si>
  <si>
    <r>
      <rPr>
        <rFont val="Arial, sans-serif"/>
        <color rgb="FF1155CC"/>
        <u/>
      </rPr>
      <t>https://horizondirect.gorgias.com/app/ticket/371463541</t>
    </r>
  </si>
  <si>
    <t>https://4ammedia.zendesk.com/agent/tickets/194775</t>
  </si>
  <si>
    <t>https://horizondirect.gorgias.com/app/ticket/369672272</t>
  </si>
  <si>
    <r>
      <rPr>
        <rFont val="Arial, sans-serif"/>
        <color rgb="FF1155CC"/>
        <u/>
      </rPr>
      <t>https://horizondirect.gorgias.com/app/ticket/371477337</t>
    </r>
  </si>
  <si>
    <t>https://horizondirect.gorgias.com/app/ticket/369892323</t>
  </si>
  <si>
    <t>https://4ammedia.zendesk.com/agent/tickets/196180</t>
  </si>
  <si>
    <r>
      <rPr>
        <rFont val="Arial, sans-serif"/>
        <color rgb="FF1155CC"/>
        <u/>
      </rPr>
      <t>https://horizondirect.gorgias.com/app/ticket/371353350</t>
    </r>
  </si>
  <si>
    <t>https://4ammedia.zendesk.com/agent/tickets/196325</t>
  </si>
  <si>
    <t>https://horizondirect.gorgias.com/app/ticket/369873595</t>
  </si>
  <si>
    <t>https://4ammedia.zendesk.com/agent/tickets/196364</t>
  </si>
  <si>
    <t>https://horizondirect.gorgias.com/app/ticket/369732410</t>
  </si>
  <si>
    <t>https://4ammedia.zendesk.com/agent/tickets/197456</t>
  </si>
  <si>
    <t xml:space="preserve">CSR should've highlighted that 30 days starts at the day their package was marked delivered </t>
  </si>
  <si>
    <t>https://horizondirect.gorgias.com/app/ticket/371851070</t>
  </si>
  <si>
    <t>https://horizondirect.gorgias.com/app/ticket/370098783</t>
  </si>
  <si>
    <t>https://4ammedia.zendesk.com/agent/tickets/197495</t>
  </si>
  <si>
    <t>https://horizondirect.gorgias.com/app/ticket/370101139</t>
  </si>
  <si>
    <t>https://4ammedia.zendesk.com/agent/tickets/197509</t>
  </si>
  <si>
    <t>https://horizondirect.gorgias.com/app/ticket/371847569</t>
  </si>
  <si>
    <t>https://horizondirect.gorgias.com/app/ticket/371861610</t>
  </si>
  <si>
    <t>https://4ammedia.zendesk.com/agent/tickets/200009</t>
  </si>
  <si>
    <t>CSR should've at least try to save the order and mention that as holiday is fast approaching they might want to consider this as a gift to someone who might find this beneficial</t>
  </si>
  <si>
    <t>https://horizondirect.gorgias.com/app/ticket/370107257</t>
  </si>
  <si>
    <t>https://horizondirect.gorgias.com/app/ticket/372013781</t>
  </si>
  <si>
    <t>https://horizondirect.gorgias.com/app/ticket/370431659</t>
  </si>
  <si>
    <t>https://4ammedia.zendesk.com/agent/tickets/200661</t>
  </si>
  <si>
    <t>https://4ammedia.zendesk.com/agent/tickets/200807</t>
  </si>
  <si>
    <t>Mic is cutting in and out, there must have been an issue on the headphones or microphone</t>
  </si>
  <si>
    <t>https://horizondirect.gorgias.com/app/ticket/370423887</t>
  </si>
  <si>
    <t>https://4ammedia.zendesk.com/agent/tickets/202134</t>
  </si>
  <si>
    <t>https://horizondirect.gorgias.com/app/ticket/372009950</t>
  </si>
  <si>
    <t>https://horizondirect.gorgias.com/app/ticket/370422123</t>
  </si>
  <si>
    <t>https://4ammedia.zendesk.com/agent/tickets/202278</t>
  </si>
  <si>
    <t>https://horizondirect.gorgias.com/app/ticket/372016646</t>
  </si>
  <si>
    <t>https://horizondirect.gorgias.com/app/ticket/370543180</t>
  </si>
  <si>
    <t>https://4ammedia.zendesk.com/agent/tickets/202657</t>
  </si>
  <si>
    <r>
      <rPr>
        <rFont val="Arial, sans-serif"/>
        <color rgb="FF1155CC"/>
        <u/>
      </rPr>
      <t>https://horizondirect.gorgias.com/app/ticket/372137656</t>
    </r>
  </si>
  <si>
    <t>https://4ammedia.zendesk.com/agent/tickets/206361</t>
  </si>
  <si>
    <t>https://horizondirect.gorgias.com/app/ticket/370545511</t>
  </si>
  <si>
    <t>https://4ammedia.zendesk.com/agent/tickets/206453</t>
  </si>
  <si>
    <t>https://horizondirect.gorgias.com/app/ticket/370547935</t>
  </si>
  <si>
    <r>
      <rPr>
        <rFont val="Arial, sans-serif"/>
        <color rgb="FF1155CC"/>
        <u/>
      </rPr>
      <t>https://horizondirect.gorgias.com/app/ticket/372138955</t>
    </r>
  </si>
  <si>
    <t>https://4ammedia.zendesk.com/agent/tickets/206818</t>
  </si>
  <si>
    <t>https://4ammedia.zendesk.com/agent/tickets/208152</t>
  </si>
  <si>
    <r>
      <rPr>
        <rFont val="Arial, sans-serif"/>
        <color rgb="FF1155CC"/>
        <u/>
      </rPr>
      <t>https://horizondirect.gorgias.com/app/ticket/372143634</t>
    </r>
  </si>
  <si>
    <t>https://4ammedia.zendesk.com/agent/tickets/208218</t>
  </si>
  <si>
    <t>https://horizondirect.gorgias.com/app/ticket/370838910</t>
  </si>
  <si>
    <t>https://4ammedia.zendesk.com/agent/tickets/208265</t>
  </si>
  <si>
    <t>https://4ammedia.zendesk.com/agent/tickets/209078</t>
  </si>
  <si>
    <t>https://horizondirect.gorgias.com/app/ticket/372355047</t>
  </si>
  <si>
    <t>https://4ammedia.zendesk.com/agent/tickets/209156</t>
  </si>
  <si>
    <t>https://4ammedia.zendesk.com/agent/tickets/209288</t>
  </si>
  <si>
    <t>https://horizondirect.gorgias.com/app/ticket/372357344</t>
  </si>
  <si>
    <t>https://horizondirect.gorgias.com/app/ticket/370842288</t>
  </si>
  <si>
    <t>https://horizondirect.gorgias.com/app/ticket/372361119</t>
  </si>
  <si>
    <t>https://4ammedia.zendesk.com/agent/tickets/211474</t>
  </si>
  <si>
    <t>https://horizondirect.gorgias.com/app/ticket/370846633</t>
  </si>
  <si>
    <t>https://4ammedia.zendesk.com/agent/tickets/211597</t>
  </si>
  <si>
    <t>https://horizondirect.gorgias.com/app/ticket/370971808</t>
  </si>
  <si>
    <t>https://4ammedia.zendesk.com/agent/tickets/211654</t>
  </si>
  <si>
    <t>https://horizondirect.gorgias.com/app/ticket/370995494</t>
  </si>
  <si>
    <t>https://4ammedia.zendesk.com/agent/tickets/215999</t>
  </si>
  <si>
    <t>https://horizondirect.gorgias.com/app/ticket/370964343</t>
  </si>
  <si>
    <t>https://horizondirect.gorgias.com/app/ticket/372835443</t>
  </si>
  <si>
    <t>https://horizondirect.gorgias.com/app/ticket/371142606</t>
  </si>
  <si>
    <t>https://4ammedia.zendesk.com/agent/tickets/216110</t>
  </si>
  <si>
    <t>https://4ammedia.zendesk.com/agent/tickets/216123</t>
  </si>
  <si>
    <t>https://horizondirect.gorgias.com/app/ticket/371153470</t>
  </si>
  <si>
    <t>https://horizondirect.gorgias.com/app/ticket/372837209</t>
  </si>
  <si>
    <t>https://4ammedia.zendesk.com/agent/tickets/217533</t>
  </si>
  <si>
    <t>https://horizondirect.gorgias.com/app/ticket/371157528</t>
  </si>
  <si>
    <t>https://4ammedia.zendesk.com/agent/tickets/217592</t>
  </si>
  <si>
    <t>https://horizondirect.gorgias.com/app/ticket/372842702</t>
  </si>
  <si>
    <t>https://horizondirect.gorgias.com/app/ticket/371310881</t>
  </si>
  <si>
    <t>https://4ammedia.zendesk.com/agent/tickets/217793</t>
  </si>
  <si>
    <t>WEEK: July 27 -  Aug 2,2026</t>
  </si>
  <si>
    <t>Tone of voice sounds dry and impatient</t>
  </si>
  <si>
    <t>https://horizondirect.gorgias.com/app/ticket/371330805</t>
  </si>
  <si>
    <t>https://4ammedia.zendesk.com/agent/tickets/219550</t>
  </si>
  <si>
    <t>https://4ammedia.zendesk.com/agent/tickets/219629</t>
  </si>
  <si>
    <t>https://4ammedia.zendesk.com/agent/tickets/219641</t>
  </si>
  <si>
    <r>
      <rPr>
        <rFont val="Arial, sans-serif"/>
        <color rgb="FF1155CC"/>
        <u/>
      </rPr>
      <t>https://horizondirect.gorgias.com/app/ticket/373054220</t>
    </r>
  </si>
  <si>
    <t>https://4ammedia.zendesk.com/agent/tickets/220869</t>
  </si>
  <si>
    <t>https://horizondirect.gorgias.com/app/ticket/371346336</t>
  </si>
  <si>
    <r>
      <rPr>
        <rFont val="Arial, sans-serif"/>
        <color rgb="FF1155CC"/>
        <u/>
      </rPr>
      <t>https://horizondirect.gorgias.com/app/ticket/373063376</t>
    </r>
  </si>
  <si>
    <t>https://4ammedia.zendesk.com/agent/tickets/221019</t>
  </si>
  <si>
    <t>https://horizondirect.gorgias.com/app/ticket/371451916</t>
  </si>
  <si>
    <t>https://4ammedia.zendesk.com/agent/tickets/221166</t>
  </si>
  <si>
    <r>
      <rPr>
        <rFont val="Arial, sans-serif"/>
        <color rgb="FF1155CC"/>
        <u/>
      </rPr>
      <t>https://horizondirect.gorgias.com/app/ticket/373064174</t>
    </r>
  </si>
  <si>
    <t>https://horizondirect.gorgias.com/app/ticket/371467368</t>
  </si>
  <si>
    <t>https://horizondirect.gorgias.com/app/ticket/371470269</t>
  </si>
  <si>
    <t>https://4ammedia.zendesk.com/agent/tickets/224171</t>
  </si>
  <si>
    <r>
      <rPr>
        <rFont val="Arial, sans-serif"/>
        <color rgb="FF1155CC"/>
        <u/>
      </rPr>
      <t>https://horizondirect.gorgias.com/app/ticket/373151302</t>
    </r>
  </si>
  <si>
    <r>
      <rPr>
        <rFont val="Arial, sans-serif"/>
        <color rgb="FF1155CC"/>
        <u/>
      </rPr>
      <t>https://horizondirect.gorgias.com/app/ticket/373158884</t>
    </r>
  </si>
  <si>
    <t>https://4ammedia.zendesk.com/agent/tickets/224395</t>
  </si>
  <si>
    <r>
      <rPr>
        <rFont val="Arial, sans-serif"/>
        <color rgb="FF1155CC"/>
        <u/>
      </rPr>
      <t>https://horizondirect.gorgias.com/app/ticket/373172329</t>
    </r>
  </si>
  <si>
    <t>https://horizondirect.gorgias.com/app/ticket/371851184</t>
  </si>
  <si>
    <t>https://4ammedia.zendesk.com/agent/tickets/224688</t>
  </si>
  <si>
    <r>
      <rPr>
        <rFont val="Arial, sans-serif"/>
        <color rgb="FF1155CC"/>
        <u/>
      </rPr>
      <t>https://horizondirect.gorgias.com/app/ticket/373269817</t>
    </r>
  </si>
  <si>
    <t>https://4ammedia.zendesk.com/agent/tickets/226879</t>
  </si>
  <si>
    <t>https://4ammedia.zendesk.com/agent/tickets/226958</t>
  </si>
  <si>
    <r>
      <rPr>
        <rFont val="Arial, sans-serif"/>
        <color rgb="FF1155CC"/>
        <u/>
      </rPr>
      <t>https://horizondirect.gorgias.com/app/ticket/373136944</t>
    </r>
  </si>
  <si>
    <t>https://4ammedia.zendesk.com/agent/tickets/226976</t>
  </si>
  <si>
    <r>
      <rPr>
        <rFont val="Arial, sans-serif"/>
        <color rgb="FF1155CC"/>
        <u/>
      </rPr>
      <t>https://horizondirect.gorgias.com/app/ticket/373129571</t>
    </r>
  </si>
  <si>
    <t>https://horizondirect.gorgias.com/app/ticket/371866033</t>
  </si>
  <si>
    <t>https://4ammedia.zendesk.com/agent/tickets/229944</t>
  </si>
  <si>
    <t>https://horizondirect.gorgias.com/app/ticket/371863633</t>
  </si>
  <si>
    <t>https://4ammedia.zendesk.com/agent/tickets/229987</t>
  </si>
  <si>
    <t>https://4ammedia.zendesk.com/agent/tickets/230022</t>
  </si>
  <si>
    <t>https://horizondirect.gorgias.com/app/ticket/372016305</t>
  </si>
  <si>
    <t>https://4ammedia.zendesk.com/agent/tickets/232305</t>
  </si>
  <si>
    <t>https://horizondirect.gorgias.com/app/ticket/372016836</t>
  </si>
  <si>
    <t>https://4ammedia.zendesk.com/agent/tickets/232580</t>
  </si>
  <si>
    <r>
      <rPr>
        <rFont val="Arial, sans-serif"/>
        <color rgb="FF1155CC"/>
        <u/>
      </rPr>
      <t>https://horizondirect.gorgias.com/app/ticket/373501946</t>
    </r>
  </si>
  <si>
    <t>https://horizondirect.gorgias.com/app/ticket/372032362</t>
  </si>
  <si>
    <t>https://4ammedia.zendesk.com/agent/tickets/232772</t>
  </si>
  <si>
    <t>https://4ammedia.zendesk.com/agent/tickets/233703</t>
  </si>
  <si>
    <r>
      <rPr>
        <rFont val="Arial, sans-serif"/>
        <color rgb="FF1155CC"/>
        <u/>
      </rPr>
      <t>https://horizondirect.gorgias.com/app/ticket/373505394</t>
    </r>
  </si>
  <si>
    <t>https://4ammedia.zendesk.com/agent/tickets/233776</t>
  </si>
  <si>
    <t>https://4ammedia.zendesk.com/agent/tickets/233878</t>
  </si>
  <si>
    <r>
      <rPr>
        <rFont val="Arial, sans-serif"/>
        <color rgb="FF1155CC"/>
        <u/>
      </rPr>
      <t>https://horizondirect.gorgias.com/app/ticket/373510118</t>
    </r>
  </si>
  <si>
    <r>
      <rPr>
        <rFont val="Arial, sans-serif"/>
        <color rgb="FF1155CC"/>
        <u/>
      </rPr>
      <t>https://horizondirect.gorgias.com/app/ticket/373562198</t>
    </r>
  </si>
  <si>
    <t>https://4ammedia.zendesk.com/agent/tickets/236767</t>
  </si>
  <si>
    <t>https://horizondirect.gorgias.com/app/ticket/372241116</t>
  </si>
  <si>
    <r>
      <rPr>
        <rFont val="Arial, sans-serif"/>
        <color rgb="FF1155CC"/>
        <u/>
      </rPr>
      <t>https://horizondirect.gorgias.com/app/ticket/373645279</t>
    </r>
  </si>
  <si>
    <t>https://4ammedia.zendesk.com/agent/tickets/236819</t>
  </si>
  <si>
    <r>
      <rPr>
        <rFont val="Arial, sans-serif"/>
        <color rgb="FF1155CC"/>
        <u/>
      </rPr>
      <t>https://horizondirect.gorgias.com/app/ticket/373646970</t>
    </r>
  </si>
  <si>
    <t>https://horizondirect.gorgias.com/app/ticket/372233405</t>
  </si>
  <si>
    <t>https://4ammedia.zendesk.com/agent/tickets/236994</t>
  </si>
  <si>
    <r>
      <rPr>
        <rFont val="Arial, sans-serif"/>
        <color rgb="FF1155CC"/>
        <u/>
      </rPr>
      <t>https://horizondirect.gorgias.com/app/ticket/373799770</t>
    </r>
  </si>
  <si>
    <t>https://4ammedia.zendesk.com/agent/tickets/238482</t>
  </si>
  <si>
    <t>https://horizondirect.gorgias.com/app/ticket/372242870</t>
  </si>
  <si>
    <t>https://4ammedia.zendesk.com/agent/tickets/238840</t>
  </si>
  <si>
    <t>https://horizondirect.gorgias.com/app/ticket/372347929</t>
  </si>
  <si>
    <t>https://4ammedia.zendesk.com/agent/tickets/238931</t>
  </si>
  <si>
    <t>https://4ammedia.zendesk.com/agent/tickets/243327</t>
  </si>
  <si>
    <t>https://horizondirect.gorgias.com/app/ticket/372351990</t>
  </si>
  <si>
    <r>
      <rPr>
        <rFont val="Arial, sans-serif"/>
        <color rgb="FF1155CC"/>
        <u/>
      </rPr>
      <t>https://horizondirect.gorgias.com/app/ticket/373834842</t>
    </r>
  </si>
  <si>
    <t>https://4ammedia.zendesk.com/agent/tickets/243512</t>
  </si>
  <si>
    <r>
      <rPr>
        <rFont val="Arial, sans-serif"/>
        <color rgb="FF1155CC"/>
        <u/>
      </rPr>
      <t>https://horizondirect.gorgias.com/app/ticket/373844308</t>
    </r>
  </si>
  <si>
    <t>https://horizondirect.gorgias.com/app/ticket/372349403</t>
  </si>
  <si>
    <t>https://4ammedia.zendesk.com/agent/tickets/243575</t>
  </si>
  <si>
    <t>https://4ammedia.zendesk.com/agent/tickets/245259</t>
  </si>
  <si>
    <t>https://4ammedia.zendesk.com/agent/tickets/245393</t>
  </si>
  <si>
    <t>https://4ammedia.zendesk.com/agent/tickets/245522</t>
  </si>
  <si>
    <r>
      <rPr>
        <rFont val="Arial, sans-serif"/>
        <color rgb="FF1155CC"/>
        <u/>
      </rPr>
      <t>https://horizondirect.gorgias.com/app/ticket/374084858</t>
    </r>
  </si>
  <si>
    <r>
      <rPr>
        <rFont val="Arial, sans-serif"/>
        <color rgb="FF1155CC"/>
        <u/>
      </rPr>
      <t>https://horizondirect.gorgias.com/app/ticket/374098311</t>
    </r>
  </si>
  <si>
    <t>https://horizondirect.gorgias.com/app/ticket/372689729</t>
  </si>
  <si>
    <r>
      <rPr>
        <rFont val="Arial, sans-serif"/>
        <color rgb="FF1155CC"/>
        <u/>
      </rPr>
      <t>https://horizondirect.gorgias.com/app/ticket/374112006</t>
    </r>
  </si>
  <si>
    <t>https://horizondirect.gorgias.com/app/ticket/372693207</t>
  </si>
  <si>
    <t>https://horizondirect.gorgias.com/app/ticket/372702945</t>
  </si>
  <si>
    <t>https://horizondirect.gorgias.com/app/ticket/374444054</t>
  </si>
  <si>
    <t>https://4ammedia.zendesk.com/agent/tickets/249958</t>
  </si>
  <si>
    <t>Make sure to read back customer's details before processing the order</t>
  </si>
  <si>
    <t>https://horizondirect.gorgias.com/app/ticket/372838253</t>
  </si>
  <si>
    <t>https://horizondirect.gorgias.com/app/ticket/372839889</t>
  </si>
  <si>
    <r>
      <rPr>
        <rFont val="Arial, sans-serif"/>
        <color rgb="FF1155CC"/>
        <u/>
      </rPr>
      <t>https://4ammedia.zendesk.com/agent/tickets/250188</t>
    </r>
  </si>
  <si>
    <t>https://horizondirect.gorgias.com/app/ticket/372840469</t>
  </si>
  <si>
    <t>https://4ammedia.zendesk.com/agent/tickets/250486</t>
  </si>
  <si>
    <t>https://horizondirect.gorgias.com/app/ticket/374447482</t>
  </si>
  <si>
    <t>https://4ammedia.zendesk.com/agent/tickets/251635</t>
  </si>
  <si>
    <t>https://horizondirect.gorgias.com/app/ticket/372972902</t>
  </si>
  <si>
    <t>https://4ammedia.zendesk.com/agent/tickets/251778</t>
  </si>
  <si>
    <t>https://horizondirect.gorgias.com/app/ticket/374448229</t>
  </si>
  <si>
    <t>https://4ammedia.zendesk.com/agent/tickets/251811</t>
  </si>
  <si>
    <r>
      <rPr>
        <rFont val="Arial, sans-serif"/>
        <color rgb="FF1155CC"/>
        <u/>
      </rPr>
      <t>https://horizondirect.gorgias.com/app/ticket/374558825</t>
    </r>
  </si>
  <si>
    <t>https://4ammedia.zendesk.com/agent/tickets/256053</t>
  </si>
  <si>
    <t>https://4ammedia.zendesk.com/agent/tickets/256357</t>
  </si>
  <si>
    <r>
      <rPr>
        <rFont val="Arial, sans-serif"/>
        <color rgb="FF1155CC"/>
        <u/>
      </rPr>
      <t>https://horizondirect.gorgias.com/app/ticket/374569538</t>
    </r>
  </si>
  <si>
    <t>https://horizondirect.gorgias.com/app/ticket/372975129</t>
  </si>
  <si>
    <t>https://4ammedia.zendesk.com/agent/tickets/256430</t>
  </si>
  <si>
    <r>
      <rPr>
        <rFont val="Arial, sans-serif"/>
        <color rgb="FF1155CC"/>
        <u/>
      </rPr>
      <t>https://horizondirect.gorgias.com/app/ticket/374587989</t>
    </r>
  </si>
  <si>
    <t>https://horizondirect.gorgias.com/app/ticket/372976513</t>
  </si>
  <si>
    <t>https://4ammedia.zendesk.com/agent/tickets/258177</t>
  </si>
  <si>
    <r>
      <rPr>
        <rFont val="Arial, sans-serif"/>
        <color rgb="FF1155CC"/>
        <u/>
      </rPr>
      <t>https://horizondirect.gorgias.com/app/ticket/374669936</t>
    </r>
  </si>
  <si>
    <t>https://horizondirect.gorgias.com/app/ticket/373039168</t>
  </si>
  <si>
    <t>https://4ammedia.zendesk.com/agent/tickets/258315</t>
  </si>
  <si>
    <r>
      <rPr>
        <rFont val="Arial, sans-serif"/>
        <color rgb="FF1155CC"/>
        <u/>
      </rPr>
      <t>https://horizondirect.gorgias.com/app/ticket/374675737</t>
    </r>
  </si>
  <si>
    <t>https://4ammedia.zendesk.com/agent/tickets/258549</t>
  </si>
  <si>
    <t>CSR fail to immediately verify which order has been canceled as 2 orders is showing. CSR should've been able to explain immediately that the cancellation email that they saw is from the previous order they canceled before</t>
  </si>
  <si>
    <t>https://4ammedia.zendesk.com/agent/tickets/259447</t>
  </si>
  <si>
    <r>
      <rPr>
        <rFont val="Arial, sans-serif"/>
        <color rgb="FF1155CC"/>
        <u/>
      </rPr>
      <t>https://horizondirect.gorgias.com/app/ticket/374682544</t>
    </r>
  </si>
  <si>
    <t>https://horizondirect.gorgias.com/app/ticket/373040614</t>
  </si>
  <si>
    <t>https://4ammedia.zendesk.com/agent/tickets/259598</t>
  </si>
  <si>
    <t>CSR should at least took 1 min on delivering ghost spiel. Always check if they are on mute or not</t>
  </si>
  <si>
    <r>
      <rPr>
        <rFont val="Arial, sans-serif"/>
        <color rgb="FF1155CC"/>
        <u/>
      </rPr>
      <t>https://horizondirect.gorgias.com/app/ticket/374844970</t>
    </r>
  </si>
  <si>
    <t>https://horizondirect.gorgias.com/app/ticket/373044385</t>
  </si>
  <si>
    <t>https://4ammedia.zendesk.com/agent/tickets/259666</t>
  </si>
  <si>
    <r>
      <rPr>
        <rFont val="Arial, sans-serif"/>
        <color rgb="FF1155CC"/>
        <u/>
      </rPr>
      <t>https://horizondirect.gorgias.com/app/ticket/374860194</t>
    </r>
  </si>
  <si>
    <t>CSR keeps butting in</t>
  </si>
  <si>
    <t>https://horizondirect.gorgias.com/app/ticket/373150162</t>
  </si>
  <si>
    <r>
      <rPr>
        <rFont val="Arial, sans-serif"/>
        <color rgb="FF1155CC"/>
        <u/>
      </rPr>
      <t>https://horizondirect.gorgias.com/app/ticket/374865061</t>
    </r>
  </si>
  <si>
    <t>https://horizondirect.gorgias.com/app/ticket/373161963</t>
  </si>
  <si>
    <t>https://4ammedia.zendesk.com/agent/tickets/262621</t>
  </si>
  <si>
    <t>https://horizondirect.gorgias.com/app/ticket/373169244</t>
  </si>
  <si>
    <t>https://4ammedia.zendesk.com/agent/tickets/263090</t>
  </si>
  <si>
    <t>https://horizondirect.gorgias.com/app/ticket/374977894</t>
  </si>
  <si>
    <t>https://4ammedia.zendesk.com/agent/tickets/263327</t>
  </si>
  <si>
    <t>https://horizondirect.gorgias.com/app/ticket/373484458</t>
  </si>
  <si>
    <t>https://4ammedia.zendesk.com/agent/tickets/265709</t>
  </si>
  <si>
    <t>https://horizondirect.gorgias.com/app/ticket/374993674</t>
  </si>
  <si>
    <t>https://horizondirect.gorgias.com/app/ticket/374992707</t>
  </si>
  <si>
    <t>https://horizondirect.gorgias.com/app/ticket/373487221</t>
  </si>
  <si>
    <t>WEEK: Aug 3 -  Aug 9,2026</t>
  </si>
  <si>
    <t>https://horizondirect.gorgias.com/app/ticket/373490196</t>
  </si>
  <si>
    <t>https://4ammedia.zendesk.com/agent/tickets/266101</t>
  </si>
  <si>
    <t>https://horizondirect.gorgias.com/app/ticket/375316945</t>
  </si>
  <si>
    <t>https://4ammedia.zendesk.com/agent/tickets/266324</t>
  </si>
  <si>
    <t>https://horizondirect.gorgias.com/app/ticket/373677117</t>
  </si>
  <si>
    <t>https://4ammedia.zendesk.com/agent/tickets/269106</t>
  </si>
  <si>
    <t>https://4ammedia.zendesk.com/agent/tickets/269318</t>
  </si>
  <si>
    <t>https://horizondirect.gorgias.com/app/ticket/375317823</t>
  </si>
  <si>
    <t>https://4ammedia.zendesk.com/agent/tickets/269390</t>
  </si>
  <si>
    <t>https://horizondirect.gorgias.com/app/ticket/375318223</t>
  </si>
  <si>
    <t>https://4ammedia.zendesk.com/agent/tickets/271300</t>
  </si>
  <si>
    <t>https://4ammedia.zendesk.com/agent/tickets/271439</t>
  </si>
  <si>
    <t>https://horizondirect.gorgias.com/app/ticket/373680458</t>
  </si>
  <si>
    <t>https://4ammedia.zendesk.com/agent/tickets/271410</t>
  </si>
  <si>
    <t>https://horizondirect.gorgias.com/app/ticket/373697076</t>
  </si>
  <si>
    <t>https://horizondirect.gorgias.com/app/ticket/375442609</t>
  </si>
  <si>
    <t>https://4ammedia.zendesk.com/agent/tickets/272918</t>
  </si>
  <si>
    <t>https://horizondirect.gorgias.com/app/ticket/375444904</t>
  </si>
  <si>
    <t>https://4ammedia.zendesk.com/agent/tickets/273100</t>
  </si>
  <si>
    <t>https://horizondirect.gorgias.com/app/ticket/373812653</t>
  </si>
  <si>
    <t>https://4ammedia.zendesk.com/agent/tickets/273268</t>
  </si>
  <si>
    <t>https://horizondirect.gorgias.com/app/ticket/375445416</t>
  </si>
  <si>
    <t>https://horizondirect.gorgias.com/app/ticket/373816191</t>
  </si>
  <si>
    <r>
      <rPr>
        <rFont val="Arial, sans-serif"/>
        <color rgb="FF1155CC"/>
        <u/>
      </rPr>
      <t>https://horizondirect.gorgias.com/app/ticket/375531755</t>
    </r>
  </si>
  <si>
    <r>
      <rPr>
        <rFont val="Arial, sans-serif"/>
        <color rgb="FF1155CC"/>
        <u/>
      </rPr>
      <t>https://horizondirect.gorgias.com/app/ticket/375542469</t>
    </r>
  </si>
  <si>
    <t>https://horizondirect.gorgias.com/app/ticket/373822678</t>
  </si>
  <si>
    <r>
      <rPr>
        <rFont val="Arial, sans-serif"/>
        <color rgb="FF1155CC"/>
        <u/>
      </rPr>
      <t>https://horizondirect.gorgias.com/app/ticket/375552597</t>
    </r>
  </si>
  <si>
    <t>https://horizondirect.gorgias.com/app/ticket/374083042</t>
  </si>
  <si>
    <r>
      <rPr>
        <rFont val="Arial, sans-serif"/>
        <color rgb="FF1155CC"/>
        <u/>
      </rPr>
      <t>https://horizondirect.gorgias.com/app/ticket/375700998</t>
    </r>
  </si>
  <si>
    <r>
      <rPr>
        <rFont val="Arial, sans-serif"/>
        <color rgb="FF1155CC"/>
        <u/>
      </rPr>
      <t>https://horizondirect.gorgias.com/app/ticket/375708763</t>
    </r>
  </si>
  <si>
    <r>
      <rPr>
        <rFont val="Arial, sans-serif"/>
        <color rgb="FF1155CC"/>
        <u/>
      </rPr>
      <t>https://horizondirect.gorgias.com/app/ticket/375720452</t>
    </r>
  </si>
  <si>
    <r>
      <rPr>
        <rFont val="Arial, sans-serif"/>
        <color rgb="FF1155CC"/>
        <u/>
      </rPr>
      <t>https://horizondirect.gorgias.com/app/ticket/375879568</t>
    </r>
  </si>
  <si>
    <r>
      <rPr>
        <rFont val="Arial, sans-serif"/>
        <color rgb="FF1155CC"/>
        <u/>
      </rPr>
      <t>https://horizondirect.gorgias.com/app/ticket/375883908</t>
    </r>
  </si>
  <si>
    <t>https://horizondirect.gorgias.com/app/ticket/374098698</t>
  </si>
  <si>
    <r>
      <rPr>
        <rFont val="Arial, sans-serif"/>
        <color rgb="FF1155CC"/>
        <u/>
      </rPr>
      <t>https://horizondirect.gorgias.com/app/ticket/375897441</t>
    </r>
  </si>
  <si>
    <t>https://horizondirect.gorgias.com/app/ticket/374112766</t>
  </si>
  <si>
    <t>https://horizondirect.gorgias.com/app/ticket/374202509</t>
  </si>
  <si>
    <r>
      <rPr>
        <rFont val="Arial, sans-serif"/>
        <color rgb="FF1155CC"/>
        <u/>
      </rPr>
      <t>https://horizondirect.gorgias.com/app/ticket/376122588</t>
    </r>
  </si>
  <si>
    <t>https://horizondirect.gorgias.com/app/ticket/374203242</t>
  </si>
  <si>
    <r>
      <rPr>
        <rFont val="Arial, sans-serif"/>
        <color rgb="FF1155CC"/>
        <u/>
      </rPr>
      <t>https://horizondirect.gorgias.com/app/ticket/376132570</t>
    </r>
  </si>
  <si>
    <t>https://horizondirect.gorgias.com/app/ticket/374217492</t>
  </si>
  <si>
    <r>
      <rPr>
        <rFont val="Arial, sans-serif"/>
        <color rgb="FF1155CC"/>
        <u/>
      </rPr>
      <t>https://horizondirect.gorgias.com/app/ticket/376140485</t>
    </r>
  </si>
  <si>
    <r>
      <rPr>
        <rFont val="Arial, sans-serif"/>
        <color rgb="FF1155CC"/>
        <u/>
      </rPr>
      <t>https://horizondirect.gorgias.com/app/ticket/376277032</t>
    </r>
  </si>
  <si>
    <r>
      <rPr>
        <rFont val="Arial, sans-serif"/>
        <color rgb="FF1155CC"/>
        <u/>
      </rPr>
      <t>https://horizondirect.gorgias.com/app/ticket/376293200</t>
    </r>
  </si>
  <si>
    <r>
      <rPr>
        <rFont val="Arial, sans-serif"/>
        <color rgb="FF1155CC"/>
        <u/>
      </rPr>
      <t>https://horizondirect.gorgias.com/app/ticket/376308715</t>
    </r>
  </si>
  <si>
    <r>
      <rPr>
        <rFont val="Arial, sans-serif"/>
        <color rgb="FF1155CC"/>
        <u/>
      </rPr>
      <t>https://horizondirect.gorgias.com/app/ticket/376402172</t>
    </r>
  </si>
  <si>
    <t>https://horizondirect.gorgias.com/app/ticket/374439119</t>
  </si>
  <si>
    <t>https://horizondirect.gorgias.com/app/ticket/375257911</t>
  </si>
  <si>
    <r>
      <rPr>
        <rFont val="Arial, sans-serif"/>
        <color rgb="FF1155CC"/>
        <u/>
      </rPr>
      <t>https://horizondirect.gorgias.com/app/ticket/376419159</t>
    </r>
  </si>
  <si>
    <r>
      <rPr>
        <rFont val="Arial, sans-serif"/>
        <color rgb="FF1155CC"/>
        <u/>
      </rPr>
      <t>https://horizondirect.gorgias.com/app/ticket/376424690</t>
    </r>
  </si>
  <si>
    <r>
      <rPr>
        <rFont val="Arial, sans-serif"/>
        <color rgb="FF1155CC"/>
        <u/>
      </rPr>
      <t>https://horizondirect.gorgias.com/app/ticket/376545072</t>
    </r>
  </si>
  <si>
    <t>https://horizondirect.gorgias.com/app/ticket/375317394</t>
  </si>
  <si>
    <t>https://horizondirect.gorgias.com/app/ticket/374448238</t>
  </si>
  <si>
    <t>https://horizondirect.gorgias.com/app/ticket/374458997</t>
  </si>
  <si>
    <t>https://horizondirect.gorgias.com/app/ticket/375272763</t>
  </si>
  <si>
    <r>
      <rPr>
        <rFont val="Arial, sans-serif"/>
        <color rgb="FF1155CC"/>
        <u/>
      </rPr>
      <t>https://horizondirect.gorgias.com/app/ticket/375697970</t>
    </r>
  </si>
  <si>
    <r>
      <rPr>
        <rFont val="Arial, sans-serif"/>
        <color rgb="FF1155CC"/>
        <u/>
      </rPr>
      <t>https://horizondirect.gorgias.com/app/ticket/376567511</t>
    </r>
  </si>
  <si>
    <t>https://horizondirect.gorgias.com/app/ticket/374560331</t>
  </si>
  <si>
    <r>
      <rPr>
        <rFont val="Arial, sans-serif"/>
        <color rgb="FF1155CC"/>
        <u/>
      </rPr>
      <t>https://horizondirect.gorgias.com/app/ticket/375712379</t>
    </r>
  </si>
  <si>
    <r>
      <rPr>
        <rFont val="Arial, sans-serif"/>
        <color rgb="FF1155CC"/>
        <u/>
      </rPr>
      <t>https://horizondirect.gorgias.com/app/ticket/376584572</t>
    </r>
  </si>
  <si>
    <t>Hold is too long</t>
  </si>
  <si>
    <t>https://horizondirect.gorgias.com/app/ticket/374572196</t>
  </si>
  <si>
    <t>https://horizondirect.gorgias.com/app/ticket/375725101</t>
  </si>
  <si>
    <t>https://horizondirect.gorgias.com/app/ticket/376862493</t>
  </si>
  <si>
    <t xml:space="preserve">Hold is too long - lack of data gathering </t>
  </si>
  <si>
    <t>https://horizondirect.gorgias.com/app/ticket/375841851</t>
  </si>
  <si>
    <t>https://horizondirect.gorgias.com/app/ticket/376841797</t>
  </si>
  <si>
    <t>https://horizondirect.gorgias.com/app/ticket/375850195</t>
  </si>
  <si>
    <t>https://horizondirect.gorgias.com/app/ticket/375863092</t>
  </si>
  <si>
    <t>https://horizondirect.gorgias.com/app/ticket/376841041</t>
  </si>
  <si>
    <t>https://horizondirect.gorgias.com/app/ticket/374579967</t>
  </si>
  <si>
    <t>https://horizondirect.gorgias.com/app/ticket/375946839</t>
  </si>
  <si>
    <r>
      <rPr>
        <rFont val="Arial, sans-serif"/>
        <color rgb="FF1155CC"/>
        <u/>
      </rPr>
      <t>https://horizondirect.gorgias.com/app/ticket/374833930</t>
    </r>
  </si>
  <si>
    <t>https://horizondirect.gorgias.com/app/ticket/375948367</t>
  </si>
  <si>
    <t>https://horizondirect.gorgias.com/app/ticket/375949124</t>
  </si>
  <si>
    <r>
      <rPr>
        <rFont val="Arial, sans-serif"/>
        <color rgb="FF1155CC"/>
        <u/>
      </rPr>
      <t>https://horizondirect.gorgias.com/app/ticket/377027009</t>
    </r>
  </si>
  <si>
    <t>https://horizondirect.gorgias.com/app/ticket/376016046</t>
  </si>
  <si>
    <r>
      <rPr>
        <rFont val="Arial, sans-serif"/>
        <color rgb="FF1155CC"/>
        <u/>
      </rPr>
      <t>https://horizondirect.gorgias.com/app/ticket/374852101</t>
    </r>
  </si>
  <si>
    <t>https://horizondirect.gorgias.com/app/ticket/376011430</t>
  </si>
  <si>
    <t>https://horizondirect.gorgias.com/app/ticket/374852867</t>
  </si>
  <si>
    <t>https://horizondirect.gorgias.com/app/ticket/375955833</t>
  </si>
  <si>
    <r>
      <rPr>
        <rFont val="Arial, sans-serif"/>
        <color rgb="FF1155CC"/>
        <u/>
      </rPr>
      <t>https://horizondirect.gorgias.com/app/ticket/377038103</t>
    </r>
  </si>
  <si>
    <r>
      <rPr>
        <rFont val="Arial, sans-serif"/>
        <color rgb="FF1155CC"/>
        <u/>
      </rPr>
      <t>https://horizondirect.gorgias.com/app/ticket/377045959</t>
    </r>
  </si>
  <si>
    <r>
      <rPr>
        <rFont val="Arial, sans-serif"/>
        <color rgb="FF1155CC"/>
        <u/>
      </rPr>
      <t>https://horizondirect.gorgias.com/app/ticket/374957806</t>
    </r>
  </si>
  <si>
    <r>
      <rPr>
        <rFont val="Arial, sans-serif"/>
        <color rgb="FF1155CC"/>
        <u/>
      </rPr>
      <t>https://horizondirect.gorgias.com/app/ticket/376137490</t>
    </r>
  </si>
  <si>
    <t>https://horizondirect.gorgias.com/app/ticket/377198379</t>
  </si>
  <si>
    <r>
      <rPr>
        <rFont val="Arial, sans-serif"/>
        <color rgb="FF1155CC"/>
        <u/>
      </rPr>
      <t>https://horizondirect.gorgias.com/app/ticket/374962441</t>
    </r>
  </si>
  <si>
    <t>https://horizondirect.gorgias.com/app/ticket/377199289</t>
  </si>
  <si>
    <r>
      <rPr>
        <rFont val="Arial, sans-serif"/>
        <color rgb="FF1155CC"/>
        <u/>
      </rPr>
      <t>https://horizondirect.gorgias.com/app/ticket/376149444</t>
    </r>
  </si>
  <si>
    <r>
      <rPr>
        <rFont val="Arial, sans-serif"/>
        <color rgb="FF1155CC"/>
        <u/>
      </rPr>
      <t>https://horizondirect.gorgias.com/app/ticket/374955355</t>
    </r>
  </si>
  <si>
    <t>https://horizondirect.gorgias.com/app/ticket/377203666</t>
  </si>
  <si>
    <r>
      <rPr>
        <rFont val="Arial, sans-serif"/>
        <color rgb="FF1155CC"/>
        <u/>
      </rPr>
      <t>https://horizondirect.gorgias.com/app/ticket/376157242</t>
    </r>
  </si>
  <si>
    <t>https://horizondirect.gorgias.com/app/ticket/375090421</t>
  </si>
  <si>
    <t>https://horizondirect.gorgias.com/app/ticket/375081305</t>
  </si>
  <si>
    <r>
      <rPr>
        <rFont val="Arial, sans-serif"/>
        <color rgb="FF1155CC"/>
        <u/>
      </rPr>
      <t>https://horizondirect.gorgias.com/app/ticket/377341358</t>
    </r>
  </si>
  <si>
    <t>https://horizondirect.gorgias.com/app/ticket/376300770</t>
  </si>
  <si>
    <t>https://horizondirect.gorgias.com/app/ticket/375083687</t>
  </si>
  <si>
    <r>
      <rPr>
        <rFont val="Arial, sans-serif"/>
        <color rgb="FF1155CC"/>
        <u/>
      </rPr>
      <t>https://horizondirect.gorgias.com/app/ticket/377346444</t>
    </r>
  </si>
  <si>
    <t>https://horizondirect.gorgias.com/app/ticket/376304845</t>
  </si>
  <si>
    <t xml:space="preserve">CSR failed to try and save the order </t>
  </si>
  <si>
    <t>https://horizondirect.gorgias.com/app/ticket/376307766</t>
  </si>
  <si>
    <r>
      <rPr>
        <rFont val="Arial, sans-serif"/>
        <color rgb="FF1155CC"/>
        <u/>
      </rPr>
      <t>https://horizondirect.gorgias.com/app/ticket/377348458</t>
    </r>
  </si>
  <si>
    <r>
      <rPr>
        <rFont val="Arial, sans-serif"/>
        <color rgb="FF1155CC"/>
        <u/>
      </rPr>
      <t>https://horizondirect.gorgias.com/app/ticket/376567057</t>
    </r>
  </si>
  <si>
    <r>
      <rPr>
        <rFont val="Arial, sans-serif"/>
        <color rgb="FF1155CC"/>
        <u/>
      </rPr>
      <t>https://horizondirect.gorgias.com/app/ticket/377531293</t>
    </r>
  </si>
  <si>
    <r>
      <rPr>
        <rFont val="Arial, sans-serif"/>
        <color rgb="FF1155CC"/>
        <u/>
      </rPr>
      <t>https://horizondirect.gorgias.com/app/ticket/376580297</t>
    </r>
  </si>
  <si>
    <t>https://horizondirect.gorgias.com/app/ticket/377463193</t>
  </si>
  <si>
    <r>
      <rPr>
        <rFont val="Arial, sans-serif"/>
        <color rgb="FF1155CC"/>
        <u/>
      </rPr>
      <t>https://horizondirect.gorgias.com/app/ticket/376600450</t>
    </r>
  </si>
  <si>
    <r>
      <rPr>
        <rFont val="Arial, sans-serif"/>
        <color rgb="FF1155CC"/>
        <u/>
      </rPr>
      <t>https://horizondirect.gorgias.com/app/ticket/376705556</t>
    </r>
  </si>
  <si>
    <r>
      <rPr>
        <rFont val="Arial, sans-serif"/>
        <color rgb="FF1155CC"/>
        <u/>
      </rPr>
      <t>https://horizondirect.gorgias.com/app/ticket/377532583</t>
    </r>
  </si>
  <si>
    <t>https://horizondirect.gorgias.com/app/ticket/375297091</t>
  </si>
  <si>
    <r>
      <rPr>
        <rFont val="Arial, sans-serif"/>
        <color rgb="FF1155CC"/>
        <u/>
      </rPr>
      <t>https://horizondirect.gorgias.com/app/ticket/376710427</t>
    </r>
  </si>
  <si>
    <r>
      <rPr>
        <rFont val="Arial, sans-serif"/>
        <color rgb="FF1155CC"/>
        <u/>
      </rPr>
      <t>https://horizondirect.gorgias.com/app/ticket/377633660</t>
    </r>
  </si>
  <si>
    <r>
      <rPr>
        <rFont val="Arial, sans-serif"/>
        <color rgb="FF1155CC"/>
        <u/>
      </rPr>
      <t>https://horizondirect.gorgias.com/app/ticket/376714236</t>
    </r>
  </si>
  <si>
    <r>
      <rPr>
        <rFont val="Arial, sans-serif"/>
        <color rgb="FF1155CC"/>
        <u/>
      </rPr>
      <t>https://horizondirect.gorgias.com/app/ticket/377638372</t>
    </r>
  </si>
  <si>
    <t>https://horizondirect.gorgias.com/app/ticket/375298469</t>
  </si>
  <si>
    <r>
      <rPr>
        <rFont val="Arial, sans-serif"/>
        <color rgb="FF1155CC"/>
        <u/>
      </rPr>
      <t>https://horizondirect.gorgias.com/app/ticket/376822689</t>
    </r>
  </si>
  <si>
    <r>
      <rPr>
        <rFont val="Arial, sans-serif"/>
        <color rgb="FF1155CC"/>
        <u/>
      </rPr>
      <t>https://horizondirect.gorgias.com/app/ticket/377646626</t>
    </r>
  </si>
  <si>
    <t>https://horizondirect.gorgias.com/app/ticket/375309837</t>
  </si>
  <si>
    <r>
      <rPr>
        <rFont val="Arial, sans-serif"/>
        <color rgb="FF1155CC"/>
        <u/>
      </rPr>
      <t>https://horizondirect.gorgias.com/app/ticket/376826227</t>
    </r>
  </si>
  <si>
    <r>
      <rPr>
        <rFont val="Arial, sans-serif"/>
        <color rgb="FF1155CC"/>
        <u/>
      </rPr>
      <t>https://horizondirect.gorgias.com/app/ticket/376835175</t>
    </r>
  </si>
  <si>
    <t>https://horizondirect.gorgias.com/app/ticket/375425432</t>
  </si>
  <si>
    <r>
      <rPr>
        <rFont val="Arial, sans-serif"/>
        <color rgb="FF1155CC"/>
        <u/>
      </rPr>
      <t>https://horizondirect.gorgias.com/app/ticket/378062247</t>
    </r>
  </si>
  <si>
    <t>https://horizondirect.gorgias.com/app/ticket/375435830</t>
  </si>
  <si>
    <r>
      <rPr>
        <rFont val="Arial, sans-serif"/>
        <color rgb="FF1155CC"/>
        <u/>
      </rPr>
      <t>https://horizondirect.gorgias.com/app/ticket/377036496</t>
    </r>
  </si>
  <si>
    <t>https://horizondirect.gorgias.com/app/ticket/375444894</t>
  </si>
  <si>
    <r>
      <rPr>
        <rFont val="Arial, sans-serif"/>
        <color rgb="FF1155CC"/>
        <u/>
      </rPr>
      <t>https://horizondirect.gorgias.com/app/ticket/378070767</t>
    </r>
  </si>
  <si>
    <r>
      <rPr>
        <rFont val="Arial, sans-serif"/>
        <color rgb="FF1155CC"/>
        <u/>
      </rPr>
      <t>https://horizondirect.gorgias.com/app/ticket/377049173</t>
    </r>
  </si>
  <si>
    <r>
      <rPr>
        <rFont val="Arial, sans-serif"/>
        <color rgb="FF1155CC"/>
        <u/>
      </rPr>
      <t>https://horizondirect.gorgias.com/app/ticket/377056480</t>
    </r>
  </si>
  <si>
    <t>https://horizondirect.gorgias.com/app/ticket/375539824</t>
  </si>
  <si>
    <t>https://horizondirect.gorgias.com/app/ticket/377201000</t>
  </si>
  <si>
    <r>
      <rPr>
        <rFont val="Arial, sans-serif"/>
        <color rgb="FF1155CC"/>
        <u/>
      </rPr>
      <t>https://horizondirect.gorgias.com/app/ticket/378084751</t>
    </r>
  </si>
  <si>
    <t>https://horizondirect.gorgias.com/app/ticket/377203127</t>
  </si>
  <si>
    <t>https://horizondirect.gorgias.com/app/ticket/375561352</t>
  </si>
  <si>
    <r>
      <rPr>
        <rFont val="Arial, sans-serif"/>
        <color rgb="FF1155CC"/>
        <u/>
      </rPr>
      <t>https://horizondirect.gorgias.com/app/ticket/378234064</t>
    </r>
  </si>
  <si>
    <t>https://horizondirect.gorgias.com/app/ticket/377213298</t>
  </si>
  <si>
    <r>
      <rPr>
        <rFont val="Arial, sans-serif"/>
        <color rgb="FF1155CC"/>
        <u/>
      </rPr>
      <t>https://horizondirect.gorgias.com/app/ticket/377350078</t>
    </r>
  </si>
  <si>
    <r>
      <rPr>
        <rFont val="Arial, sans-serif"/>
        <color rgb="FF1155CC"/>
        <u/>
      </rPr>
      <t>https://horizondirect.gorgias.com/app/ticket/378265445</t>
    </r>
  </si>
  <si>
    <t>https://horizondirect.gorgias.com/app/ticket/375582445</t>
  </si>
  <si>
    <r>
      <rPr>
        <rFont val="Arial, sans-serif"/>
        <color rgb="FF1155CC"/>
        <u/>
      </rPr>
      <t>https://horizondirect.gorgias.com/app/ticket/377362294</t>
    </r>
  </si>
  <si>
    <r>
      <rPr>
        <rFont val="Arial, sans-serif"/>
        <color rgb="FF1155CC"/>
        <u/>
      </rPr>
      <t>https://horizondirect.gorgias.com/app/ticket/377379155</t>
    </r>
  </si>
  <si>
    <r>
      <rPr>
        <rFont val="Arial, sans-serif"/>
        <color rgb="FF1155CC"/>
        <u/>
      </rPr>
      <t>https://horizondirect.gorgias.com/app/ticket/378274459</t>
    </r>
  </si>
  <si>
    <t>https://horizondirect.gorgias.com/app/ticket/375715555</t>
  </si>
  <si>
    <r>
      <rPr>
        <rFont val="Arial, sans-serif"/>
        <color rgb="FF1155CC"/>
        <u/>
      </rPr>
      <t>https://horizondirect.gorgias.com/app/ticket/377505457</t>
    </r>
  </si>
  <si>
    <r>
      <rPr>
        <rFont val="Arial, sans-serif"/>
        <color rgb="FF1155CC"/>
        <u/>
      </rPr>
      <t>https://horizondirect.gorgias.com/app/ticket/378384267</t>
    </r>
  </si>
  <si>
    <r>
      <rPr>
        <rFont val="Arial, sans-serif"/>
        <color rgb="FF1155CC"/>
        <u/>
      </rPr>
      <t>https://horizondirect.gorgias.com/app/ticket/377512457</t>
    </r>
  </si>
  <si>
    <t>https://horizondirect.gorgias.com/app/ticket/375716477</t>
  </si>
  <si>
    <r>
      <rPr>
        <rFont val="Arial, sans-serif"/>
        <color rgb="FF1155CC"/>
        <u/>
      </rPr>
      <t>https://horizondirect.gorgias.com/app/ticket/378396224</t>
    </r>
  </si>
  <si>
    <r>
      <rPr>
        <rFont val="Arial, sans-serif"/>
        <color rgb="FF1155CC"/>
        <u/>
      </rPr>
      <t>https://horizondirect.gorgias.com/app/ticket/377524148</t>
    </r>
  </si>
  <si>
    <t>https://horizondirect.gorgias.com/app/ticket/377822699</t>
  </si>
  <si>
    <r>
      <rPr>
        <rFont val="Arial, sans-serif"/>
        <color rgb="FF1155CC"/>
        <u/>
      </rPr>
      <t>https://horizondirect.gorgias.com/app/ticket/378402597</t>
    </r>
  </si>
  <si>
    <t>https://horizondirect.gorgias.com/app/ticket/375717857</t>
  </si>
  <si>
    <t>https://horizondirect.gorgias.com/app/ticket/377824919</t>
  </si>
  <si>
    <r>
      <rPr>
        <rFont val="Arial, sans-serif"/>
        <color rgb="FF1155CC"/>
        <u/>
      </rPr>
      <t>https://horizondirect.gorgias.com/app/ticket/378548284</t>
    </r>
  </si>
  <si>
    <t>https://horizondirect.gorgias.com/app/ticket/377838277</t>
  </si>
  <si>
    <t>https://horizondirect.gorgias.com/app/ticket/375880487</t>
  </si>
  <si>
    <r>
      <rPr>
        <rFont val="Arial, sans-serif"/>
        <color rgb="FF1155CC"/>
        <u/>
      </rPr>
      <t>https://horizondirect.gorgias.com/app/ticket/378552946</t>
    </r>
  </si>
  <si>
    <r>
      <rPr>
        <rFont val="Arial, sans-serif"/>
        <color rgb="FF1155CC"/>
        <u/>
      </rPr>
      <t>https://horizondirect.gorgias.com/app/ticket/378554547</t>
    </r>
  </si>
  <si>
    <t>https://horizondirect.gorgias.com/app/ticket/375880601</t>
  </si>
  <si>
    <r>
      <rPr>
        <rFont val="Arial, sans-serif"/>
        <color rgb="FF1155CC"/>
        <u/>
      </rPr>
      <t>https://horizondirect.gorgias.com/app/ticket/377916144</t>
    </r>
  </si>
  <si>
    <r>
      <rPr>
        <rFont val="Arial, sans-serif"/>
        <color rgb="FF1155CC"/>
        <u/>
      </rPr>
      <t>https://horizondirect.gorgias.com/app/ticket/378662093</t>
    </r>
  </si>
  <si>
    <r>
      <rPr>
        <rFont val="Arial, sans-serif"/>
        <color rgb="FF1155CC"/>
        <u/>
      </rPr>
      <t>https://horizondirect.gorgias.com/app/ticket/378664290</t>
    </r>
  </si>
  <si>
    <t>https://horizondirect.gorgias.com/app/ticket/375881371</t>
  </si>
  <si>
    <r>
      <rPr>
        <rFont val="Arial, sans-serif"/>
        <color rgb="FF1155CC"/>
        <u/>
      </rPr>
      <t>https://horizondirect.gorgias.com/app/ticket/377928975</t>
    </r>
  </si>
  <si>
    <r>
      <rPr>
        <rFont val="Arial, sans-serif"/>
        <color rgb="FF1155CC"/>
        <u/>
      </rPr>
      <t>https://horizondirect.gorgias.com/app/ticket/378681526</t>
    </r>
  </si>
  <si>
    <r>
      <rPr>
        <rFont val="Arial, sans-serif"/>
        <color rgb="FF1155CC"/>
        <u/>
      </rPr>
      <t>https://horizondirect.gorgias.com/app/ticket/377934366</t>
    </r>
  </si>
  <si>
    <r>
      <rPr>
        <rFont val="Arial, sans-serif"/>
        <color rgb="FF1155CC"/>
        <u/>
      </rPr>
      <t>https://horizondirect.gorgias.com/app/ticket/378089877</t>
    </r>
  </si>
  <si>
    <r>
      <rPr>
        <rFont val="Arial, sans-serif"/>
        <color rgb="FF1155CC"/>
        <u/>
      </rPr>
      <t>https://horizondirect.gorgias.com/app/ticket/378106147</t>
    </r>
  </si>
  <si>
    <t>https://horizondirect.gorgias.com/app/ticket/376108067</t>
  </si>
  <si>
    <r>
      <rPr>
        <rFont val="Arial, sans-serif"/>
        <color rgb="FF1155CC"/>
        <u/>
      </rPr>
      <t>https://horizondirect.gorgias.com/app/ticket/378111788</t>
    </r>
  </si>
  <si>
    <r>
      <rPr>
        <rFont val="Arial, sans-serif"/>
        <color rgb="FF1155CC"/>
        <u/>
      </rPr>
      <t>https://horizondirect.gorgias.com/app/ticket/378233485</t>
    </r>
  </si>
  <si>
    <r>
      <rPr>
        <rFont val="Arial, sans-serif"/>
        <color rgb="FF1155CC"/>
        <u/>
      </rPr>
      <t>https://horizondirect.gorgias.com/app/ticket/378249946</t>
    </r>
  </si>
  <si>
    <t>https://horizondirect.gorgias.com/app/ticket/378856560</t>
  </si>
  <si>
    <t xml:space="preserve">CSR failed to inform customer that order comes with extra tips </t>
  </si>
  <si>
    <r>
      <rPr>
        <rFont val="Arial, sans-serif"/>
        <color rgb="FF1155CC"/>
        <u/>
      </rPr>
      <t>https://horizondirect.gorgias.com/app/ticket/378256695</t>
    </r>
  </si>
  <si>
    <t>https://horizondirect.gorgias.com/app/ticket/376119201</t>
  </si>
  <si>
    <r>
      <rPr>
        <rFont val="Arial, sans-serif"/>
        <color rgb="FF1155CC"/>
        <u/>
      </rPr>
      <t>https://horizondirect.gorgias.com/app/ticket/378392209</t>
    </r>
  </si>
  <si>
    <r>
      <rPr>
        <rFont val="Arial, sans-serif"/>
        <color rgb="FF1155CC"/>
        <u/>
      </rPr>
      <t>https://horizondirect.gorgias.com/app/ticket/378856560</t>
    </r>
  </si>
  <si>
    <t>https://horizondirect.gorgias.com/app/ticket/376128297</t>
  </si>
  <si>
    <r>
      <rPr>
        <rFont val="Arial, sans-serif"/>
        <color rgb="FF1155CC"/>
        <u/>
      </rPr>
      <t>https://horizondirect.gorgias.com/app/ticket/378397126</t>
    </r>
  </si>
  <si>
    <r>
      <rPr>
        <rFont val="Arial, sans-serif"/>
        <color rgb="FF1155CC"/>
        <u/>
      </rPr>
      <t>https://horizondirect.gorgias.com/app/ticket/378865242</t>
    </r>
  </si>
  <si>
    <r>
      <rPr>
        <rFont val="Arial, sans-serif"/>
        <color rgb="FF1155CC"/>
        <u/>
      </rPr>
      <t>https://horizondirect.gorgias.com/app/ticket/378408894</t>
    </r>
  </si>
  <si>
    <r>
      <rPr>
        <rFont val="Arial, sans-serif"/>
        <color rgb="FF1155CC"/>
        <u/>
      </rPr>
      <t>https://horizondirect.gorgias.com/app/ticket/378986741</t>
    </r>
  </si>
  <si>
    <t>https://horizondirect.gorgias.com/app/ticket/376314937</t>
  </si>
  <si>
    <t>https://horizondirect.gorgias.com/app/ticket/378628552</t>
  </si>
  <si>
    <r>
      <rPr>
        <rFont val="Arial, sans-serif"/>
        <color rgb="FF1155CC"/>
        <u/>
      </rPr>
      <t>https://horizondirect.gorgias.com/app/ticket/378993779</t>
    </r>
  </si>
  <si>
    <t>The reason why the customer should use our return label instead of just writing down the address is because, all return orders with provided returle label will be automatically refunded once marked received by our warehouse, if they do not use the label we provide, They won't be able to receive their refund</t>
  </si>
  <si>
    <r>
      <rPr>
        <rFont val="Arial, sans-serif"/>
        <color rgb="FF1155CC"/>
        <u/>
      </rPr>
      <t>https://horizondirect.gorgias.com/app/ticket/378638850</t>
    </r>
  </si>
  <si>
    <t>https://horizondirect.gorgias.com/app/ticket/376316699</t>
  </si>
  <si>
    <r>
      <rPr>
        <rFont val="Arial, sans-serif"/>
        <color rgb="FF1155CC"/>
        <u/>
      </rPr>
      <t>https://horizondirect.gorgias.com/app/ticket/378999565</t>
    </r>
  </si>
  <si>
    <r>
      <rPr>
        <rFont val="Arial, sans-serif"/>
        <color rgb="FF1155CC"/>
        <u/>
      </rPr>
      <t>https://horizondirect.gorgias.com/app/ticket/378642095</t>
    </r>
  </si>
  <si>
    <r>
      <rPr>
        <rFont val="Arial, sans-serif"/>
        <color rgb="FF1155CC"/>
        <u/>
      </rPr>
      <t>https://horizondirect.gorgias.com/app/ticket/379099868</t>
    </r>
  </si>
  <si>
    <t>https://horizondirect.gorgias.com/app/ticket/376318840</t>
  </si>
  <si>
    <t>https://horizondirect.gorgias.com/app/ticket/378823311</t>
  </si>
  <si>
    <r>
      <rPr>
        <rFont val="Arial, sans-serif"/>
        <color rgb="FF1155CC"/>
        <u/>
      </rPr>
      <t>https://horizondirect.gorgias.com/app/ticket/379114010</t>
    </r>
  </si>
  <si>
    <t>https://horizondirect.gorgias.com/app/ticket/376400460</t>
  </si>
  <si>
    <r>
      <rPr>
        <rFont val="Arial, sans-serif"/>
        <color rgb="FF1155CC"/>
        <u/>
      </rPr>
      <t>https://horizondirect.gorgias.com/app/ticket/379123348</t>
    </r>
  </si>
  <si>
    <r>
      <rPr>
        <rFont val="Arial, sans-serif"/>
        <color rgb="FF1155CC"/>
        <u/>
      </rPr>
      <t>https://horizondirect.gorgias.com/app/ticket/378859650</t>
    </r>
  </si>
  <si>
    <t>https://horizondirect.gorgias.com/app/ticket/376445108</t>
  </si>
  <si>
    <r>
      <rPr>
        <rFont val="Arial, sans-serif"/>
        <color rgb="FF1155CC"/>
        <u/>
      </rPr>
      <t>https://horizondirect.gorgias.com/app/ticket/379242284</t>
    </r>
  </si>
  <si>
    <r>
      <rPr>
        <rFont val="Arial, sans-serif"/>
        <color rgb="FF1155CC"/>
        <u/>
      </rPr>
      <t>https://horizondirect.gorgias.com/app/ticket/378881904</t>
    </r>
  </si>
  <si>
    <r>
      <rPr>
        <rFont val="Arial, sans-serif"/>
        <color rgb="FF1155CC"/>
        <u/>
      </rPr>
      <t>https://horizondirect.gorgias.com/app/ticket/379249766</t>
    </r>
  </si>
  <si>
    <t>https://horizondirect.gorgias.com/app/ticket/379006621</t>
  </si>
  <si>
    <t>https://horizondirect.gorgias.com/app/ticket/376452607</t>
  </si>
  <si>
    <r>
      <rPr>
        <rFont val="Arial, sans-serif"/>
        <color rgb="FF1155CC"/>
        <u/>
      </rPr>
      <t>https://horizondirect.gorgias.com/app/ticket/379267873</t>
    </r>
  </si>
  <si>
    <t>https://horizondirect.gorgias.com/app/ticket/379008704</t>
  </si>
  <si>
    <t>https://horizondirect.gorgias.com/app/ticket/376692392</t>
  </si>
  <si>
    <t>https://horizondirect.gorgias.com/app/ticket/379019047</t>
  </si>
  <si>
    <r>
      <rPr>
        <rFont val="Arial, sans-serif"/>
        <color rgb="FF1155CC"/>
        <u/>
      </rPr>
      <t>https://horizondirect.gorgias.com/app/ticket/379112715</t>
    </r>
  </si>
  <si>
    <t>https://horizondirect.gorgias.com/app/ticket/376704059</t>
  </si>
  <si>
    <r>
      <rPr>
        <rFont val="Arial, sans-serif"/>
        <color rgb="FF1155CC"/>
        <u/>
      </rPr>
      <t>https://horizondirect.gorgias.com/app/ticket/379124968</t>
    </r>
  </si>
  <si>
    <r>
      <rPr>
        <rFont val="Arial, sans-serif"/>
        <color rgb="FF1155CC"/>
        <u/>
      </rPr>
      <t>https://horizondirect.gorgias.com/app/ticket/379365627</t>
    </r>
  </si>
  <si>
    <t>CSR should've asked what feedback they are hearing and should've suggested to try the restaurant mode.</t>
  </si>
  <si>
    <r>
      <rPr>
        <rFont val="Arial, sans-serif"/>
        <color rgb="FF1155CC"/>
        <u/>
      </rPr>
      <t>https://horizondirect.gorgias.com/app/ticket/379144213</t>
    </r>
  </si>
  <si>
    <r>
      <rPr>
        <rFont val="Arial, sans-serif"/>
        <color rgb="FF1155CC"/>
        <u/>
      </rPr>
      <t>https://horizondirect.gorgias.com/app/ticket/379379538</t>
    </r>
  </si>
  <si>
    <r>
      <rPr>
        <rFont val="Arial, sans-serif"/>
        <color rgb="FF1155CC"/>
        <u/>
      </rPr>
      <t>https://horizondirect.gorgias.com/app/ticket/379464776</t>
    </r>
  </si>
  <si>
    <r>
      <rPr>
        <rFont val="Arial, sans-serif"/>
        <color rgb="FF1155CC"/>
        <u/>
      </rPr>
      <t>https://horizondirect.gorgias.com/app/ticket/379392049</t>
    </r>
  </si>
  <si>
    <r>
      <rPr>
        <rFont val="Arial, sans-serif"/>
        <color rgb="FF1155CC"/>
        <u/>
      </rPr>
      <t>https://horizondirect.gorgias.com/app/ticket/379473460</t>
    </r>
  </si>
  <si>
    <t>https://horizondirect.gorgias.com/app/ticket/376708546</t>
  </si>
  <si>
    <r>
      <rPr>
        <rFont val="Arial, sans-serif"/>
        <color rgb="FF1155CC"/>
        <u/>
      </rPr>
      <t>https://horizondirect.gorgias.com/app/ticket/379480339</t>
    </r>
  </si>
  <si>
    <r>
      <rPr>
        <rFont val="Arial, sans-serif"/>
        <color rgb="FF1155CC"/>
        <u/>
      </rPr>
      <t>https://horizondirect.gorgias.com/app/ticket/379559528</t>
    </r>
  </si>
  <si>
    <t>https://horizondirect.gorgias.com/app/ticket/376913066</t>
  </si>
  <si>
    <t xml:space="preserve">CSR should highlight the feature of BTE to convince cx to avail </t>
  </si>
  <si>
    <r>
      <rPr>
        <rFont val="Arial, sans-serif"/>
        <color rgb="FF1155CC"/>
        <u/>
      </rPr>
      <t>https://horizondirect.gorgias.com/app/ticket/379562936</t>
    </r>
  </si>
  <si>
    <r>
      <rPr>
        <rFont val="Arial, sans-serif"/>
        <color rgb="FF1155CC"/>
        <u/>
      </rPr>
      <t>https://horizondirect.gorgias.com/app/ticket/379669935</t>
    </r>
  </si>
  <si>
    <t>CX asked assistance to process the return label for them. CSR failed to do and let the CX do it by themselves</t>
  </si>
  <si>
    <r>
      <rPr>
        <rFont val="Arial, sans-serif"/>
        <color rgb="FF1155CC"/>
        <u/>
      </rPr>
      <t>https://horizondirect.gorgias.com/app/ticket/379568934</t>
    </r>
  </si>
  <si>
    <t>https://horizondirect.gorgias.com/app/ticket/376912107</t>
  </si>
  <si>
    <r>
      <rPr>
        <rFont val="Arial, sans-serif"/>
        <color rgb="FF1155CC"/>
        <u/>
      </rPr>
      <t>https://horizondirect.gorgias.com/app/ticket/379673368</t>
    </r>
  </si>
  <si>
    <t>https://horizondirect.gorgias.com/app/ticket/376909038</t>
  </si>
  <si>
    <r>
      <rPr>
        <rFont val="Arial, sans-serif"/>
        <color rgb="FF1155CC"/>
        <u/>
      </rPr>
      <t>https://horizondirect.gorgias.com/app/ticket/379671189</t>
    </r>
  </si>
  <si>
    <r>
      <rPr>
        <rFont val="Arial, sans-serif"/>
        <color rgb="FF1155CC"/>
        <u/>
      </rPr>
      <t>https://horizondirect.gorgias.com/app/ticket/379679762</t>
    </r>
  </si>
  <si>
    <r>
      <rPr>
        <rFont val="Arial, sans-serif"/>
        <color rgb="FF1155CC"/>
        <u/>
      </rPr>
      <t>https://horizondirect.gorgias.com/app/ticket/377012180</t>
    </r>
  </si>
  <si>
    <r>
      <rPr>
        <rFont val="Arial, sans-serif"/>
        <color rgb="FF1155CC"/>
        <u/>
      </rPr>
      <t>https://horizondirect.gorgias.com/app/ticket/379820104</t>
    </r>
  </si>
  <si>
    <r>
      <rPr>
        <rFont val="Arial, sans-serif"/>
        <color rgb="FF1155CC"/>
        <u/>
      </rPr>
      <t>https://horizondirect.gorgias.com/app/ticket/379674295</t>
    </r>
  </si>
  <si>
    <r>
      <rPr>
        <rFont val="Arial, sans-serif"/>
        <color rgb="FF1155CC"/>
        <u/>
      </rPr>
      <t>https://horizondirect.gorgias.com/app/ticket/379826861</t>
    </r>
  </si>
  <si>
    <r>
      <rPr>
        <rFont val="Arial, sans-serif"/>
        <color rgb="FF1155CC"/>
        <u/>
      </rPr>
      <t>https://horizondirect.gorgias.com/app/ticket/379685817</t>
    </r>
  </si>
  <si>
    <r>
      <rPr>
        <rFont val="Arial, sans-serif"/>
        <color rgb="FF1155CC"/>
        <u/>
      </rPr>
      <t>https://horizondirect.gorgias.com/app/ticket/379850174</t>
    </r>
  </si>
  <si>
    <r>
      <rPr>
        <rFont val="Arial, sans-serif"/>
        <color rgb="FF1155CC"/>
        <u/>
      </rPr>
      <t>https://horizondirect.gorgias.com/app/ticket/379827852</t>
    </r>
  </si>
  <si>
    <r>
      <rPr>
        <rFont val="Arial, sans-serif"/>
        <color rgb="FF1155CC"/>
        <u/>
      </rPr>
      <t>https://horizondirect.gorgias.com/app/ticket/377020952</t>
    </r>
  </si>
  <si>
    <r>
      <rPr>
        <rFont val="Arial, sans-serif"/>
        <color rgb="FF1155CC"/>
        <u/>
      </rPr>
      <t>https://horizondirect.gorgias.com/app/ticket/379840588</t>
    </r>
  </si>
  <si>
    <r>
      <rPr>
        <rFont val="Arial, sans-serif"/>
        <color rgb="FF1155CC"/>
        <u/>
      </rPr>
      <t>https://horizondirect.gorgias.com/app/ticket/379963514</t>
    </r>
  </si>
  <si>
    <r>
      <rPr>
        <rFont val="Arial, sans-serif"/>
        <color rgb="FF1155CC"/>
        <u/>
      </rPr>
      <t>https://horizondirect.gorgias.com/app/ticket/377031058</t>
    </r>
  </si>
  <si>
    <r>
      <rPr>
        <rFont val="Arial, sans-serif"/>
        <color rgb="FF1155CC"/>
        <u/>
      </rPr>
      <t>https://horizondirect.gorgias.com/app/ticket/379861759</t>
    </r>
  </si>
  <si>
    <r>
      <rPr>
        <rFont val="Arial, sans-serif"/>
        <color rgb="FF1155CC"/>
        <u/>
      </rPr>
      <t>https://horizondirect.gorgias.com/app/ticket/379964752</t>
    </r>
  </si>
  <si>
    <r>
      <rPr>
        <rFont val="Arial, sans-serif"/>
        <color rgb="FF1155CC"/>
        <u/>
      </rPr>
      <t>https://horizondirect.gorgias.com/app/ticket/379959652</t>
    </r>
  </si>
  <si>
    <r>
      <rPr>
        <rFont val="Arial, sans-serif"/>
        <color rgb="FF1155CC"/>
        <u/>
      </rPr>
      <t>https://horizondirect.gorgias.com/app/ticket/379969387</t>
    </r>
  </si>
  <si>
    <t>https://horizondirect.gorgias.com/app/ticket/377192509</t>
  </si>
  <si>
    <r>
      <rPr>
        <rFont val="Arial, sans-serif"/>
        <color rgb="FF1155CC"/>
        <u/>
      </rPr>
      <t>https://horizondirect.gorgias.com/app/ticket/379964806</t>
    </r>
  </si>
  <si>
    <r>
      <rPr>
        <rFont val="Arial, sans-serif"/>
        <color rgb="FF1155CC"/>
        <u/>
      </rPr>
      <t>https://horizondirect.gorgias.com/app/ticket/380139070</t>
    </r>
  </si>
  <si>
    <r>
      <rPr>
        <rFont val="Arial, sans-serif"/>
        <color rgb="FF1155CC"/>
        <u/>
      </rPr>
      <t>https://horizondirect.gorgias.com/app/ticket/379972243</t>
    </r>
  </si>
  <si>
    <t>https://horizondirect.gorgias.com/app/ticket/377195580</t>
  </si>
  <si>
    <r>
      <rPr>
        <rFont val="Arial, sans-serif"/>
        <color rgb="FF1155CC"/>
        <u/>
      </rPr>
      <t>https://horizondirect.gorgias.com/app/ticket/380151548</t>
    </r>
  </si>
  <si>
    <t>CX is clear that the fitting of the tips inside the ear is not the problem, but the actual size of the hearing aid. CSR continuously offe BTE even after CX mentioned they do not want it. CSR should've offered exchange of device through our return portal and help custoemr navigate it</t>
  </si>
  <si>
    <r>
      <rPr>
        <rFont val="Arial, sans-serif"/>
        <color rgb="FF1155CC"/>
        <u/>
      </rPr>
      <t>https://horizondirect.gorgias.com/app/ticket/380115740</t>
    </r>
  </si>
  <si>
    <r>
      <rPr>
        <rFont val="Arial, sans-serif"/>
        <color rgb="FF1155CC"/>
        <u/>
      </rPr>
      <t>https://horizondirect.gorgias.com/app/ticket/380116605</t>
    </r>
  </si>
  <si>
    <t>No specific troubleshooting mentioned</t>
  </si>
  <si>
    <t>https://horizondirect.gorgias.com/app/ticket/377197857</t>
  </si>
  <si>
    <r>
      <rPr>
        <rFont val="Arial, sans-serif"/>
        <color rgb="FF1155CC"/>
        <u/>
      </rPr>
      <t>https://horizondirect.gorgias.com/app/ticket/380227895</t>
    </r>
  </si>
  <si>
    <r>
      <rPr>
        <rFont val="Arial, sans-serif"/>
        <color rgb="FF1155CC"/>
        <u/>
      </rPr>
      <t>https://horizondirect.gorgias.com/app/ticket/380127290</t>
    </r>
  </si>
  <si>
    <r>
      <rPr>
        <rFont val="Arial, sans-serif"/>
        <color rgb="FF1155CC"/>
        <u/>
      </rPr>
      <t>https://horizondirect.gorgias.com/app/ticket/379953604</t>
    </r>
  </si>
  <si>
    <r>
      <rPr>
        <rFont val="Arial, sans-serif"/>
        <color rgb="FF1155CC"/>
        <u/>
      </rPr>
      <t>https://horizondirect.gorgias.com/app/ticket/380242552</t>
    </r>
  </si>
  <si>
    <t>https://horizondirect.gorgias.com/app/ticket/377328548</t>
  </si>
  <si>
    <r>
      <rPr>
        <rFont val="Arial, sans-serif"/>
        <color rgb="FF1155CC"/>
        <u/>
      </rPr>
      <t>https://horizondirect.gorgias.com/app/ticket/379959652</t>
    </r>
  </si>
  <si>
    <r>
      <rPr>
        <rFont val="Arial, sans-serif"/>
        <color rgb="FF1155CC"/>
        <u/>
      </rPr>
      <t>https://horizondirect.gorgias.com/app/ticket/379964806</t>
    </r>
  </si>
  <si>
    <r>
      <rPr>
        <rFont val="Arial, sans-serif"/>
        <color rgb="FF1155CC"/>
        <u/>
      </rPr>
      <t>https://horizondirect.gorgias.com/app/ticket/380261927</t>
    </r>
  </si>
  <si>
    <t>https://horizondirect.gorgias.com/app/ticket/377350096</t>
  </si>
  <si>
    <r>
      <rPr>
        <rFont val="Arial, sans-serif"/>
        <color rgb="FF1155CC"/>
        <u/>
      </rPr>
      <t>https://horizondirect.gorgias.com/app/ticket/380286895</t>
    </r>
  </si>
  <si>
    <t>https://horizondirect.gorgias.com/app/ticket/377382102</t>
  </si>
  <si>
    <r>
      <rPr>
        <rFont val="Arial, sans-serif"/>
        <color rgb="FF1155CC"/>
        <u/>
      </rPr>
      <t>https://horizondirect.gorgias.com/app/ticket/380554548</t>
    </r>
  </si>
  <si>
    <r>
      <rPr>
        <rFont val="Arial, sans-serif"/>
        <color rgb="FF1155CC"/>
        <u/>
      </rPr>
      <t>https://horizondirect.gorgias.com/app/ticket/380569694</t>
    </r>
  </si>
  <si>
    <r>
      <rPr>
        <rFont val="Arial, sans-serif"/>
        <color rgb="FF1155CC"/>
        <u/>
      </rPr>
      <t>https://horizondirect.gorgias.com/app/ticket/380585718</t>
    </r>
  </si>
  <si>
    <r>
      <rPr>
        <rFont val="Arial, sans-serif"/>
        <color rgb="FF1155CC"/>
        <u/>
      </rPr>
      <t>https://horizondirect.gorgias.com/app/ticket/380612433</t>
    </r>
  </si>
  <si>
    <r>
      <rPr>
        <rFont val="Arial, sans-serif"/>
        <color rgb="FF1155CC"/>
        <u/>
      </rPr>
      <t>https://horizondirect.gorgias.com/app/ticket/380690199</t>
    </r>
  </si>
  <si>
    <r>
      <rPr>
        <rFont val="Arial, sans-serif"/>
        <color rgb="FF1155CC"/>
        <u/>
      </rPr>
      <t>https://horizondirect.gorgias.com/app/ticket/380696542</t>
    </r>
  </si>
  <si>
    <r>
      <rPr>
        <rFont val="Arial, sans-serif"/>
        <color rgb="FF1155CC"/>
        <u/>
      </rPr>
      <t>https://horizondirect.gorgias.com/app/ticket/380560701</t>
    </r>
  </si>
  <si>
    <r>
      <rPr>
        <rFont val="Arial, sans-serif"/>
        <color rgb="FF1155CC"/>
        <u/>
      </rPr>
      <t>https://horizondirect.gorgias.com/app/ticket/380567963</t>
    </r>
  </si>
  <si>
    <r>
      <rPr>
        <rFont val="Arial, sans-serif"/>
        <color rgb="FF1155CC"/>
        <u/>
      </rPr>
      <t>https://horizondirect.gorgias.com/app/ticket/380722753</t>
    </r>
  </si>
  <si>
    <r>
      <rPr>
        <rFont val="Arial, sans-serif"/>
        <color rgb="FF1155CC"/>
        <u/>
      </rPr>
      <t>https://horizondirect.gorgias.com/app/ticket/380715890</t>
    </r>
  </si>
  <si>
    <t>CSR did not inform cx that they will be the one who will cover the custom fees for return</t>
  </si>
  <si>
    <t>https://horizondirect.gorgias.com/app/ticket/380854704</t>
  </si>
  <si>
    <r>
      <rPr>
        <rFont val="Arial, sans-serif"/>
        <color rgb="FF1155CC"/>
        <u/>
      </rPr>
      <t>https://horizondirect.gorgias.com/app/ticket/380735127</t>
    </r>
  </si>
  <si>
    <t>https://horizondirect.gorgias.com/app/ticket/380866644</t>
  </si>
  <si>
    <t>https://horizondirect.gorgias.com/app/ticket/380875501</t>
  </si>
  <si>
    <r>
      <rPr>
        <rFont val="Arial, sans-serif"/>
        <color rgb="FF1155CC"/>
        <u/>
      </rPr>
      <t>https://horizondirect.gorgias.com/app/ticket/380757908</t>
    </r>
  </si>
  <si>
    <r>
      <rPr>
        <rFont val="Arial, sans-serif"/>
        <color rgb="FF1155CC"/>
        <u/>
      </rPr>
      <t>https://horizondirect.gorgias.com/app/ticket/380984437</t>
    </r>
  </si>
  <si>
    <t>https://horizondirect.gorgias.com/app/ticket/380874157</t>
  </si>
  <si>
    <r>
      <rPr>
        <rFont val="Arial, sans-serif"/>
        <color rgb="FF1155CC"/>
        <u/>
      </rPr>
      <t>https://horizondirect.gorgias.com/app/ticket/380991078</t>
    </r>
  </si>
  <si>
    <t>https://horizondirect.gorgias.com/app/ticket/380882640</t>
  </si>
  <si>
    <t>Portal link not sent immediately</t>
  </si>
  <si>
    <r>
      <rPr>
        <rFont val="Arial, sans-serif"/>
        <color rgb="FF1155CC"/>
        <u/>
      </rPr>
      <t>https://horizondirect.gorgias.com/app/ticket/380998672</t>
    </r>
  </si>
  <si>
    <t>https://horizondirect.gorgias.com/app/ticket/380870973</t>
  </si>
  <si>
    <t>https://horizondirect.gorgias.com/app/ticket/377939923</t>
  </si>
  <si>
    <r>
      <rPr>
        <rFont val="Arial, sans-serif"/>
        <color rgb="FF1155CC"/>
        <u/>
      </rPr>
      <t>https://horizondirect.gorgias.com/app/ticket/381213450</t>
    </r>
  </si>
  <si>
    <t xml:space="preserve">CSR failed to offer BTE </t>
  </si>
  <si>
    <r>
      <rPr>
        <rFont val="Arial, sans-serif"/>
        <color rgb="FF1155CC"/>
        <u/>
      </rPr>
      <t>https://horizondirect.gorgias.com/app/ticket/381012071</t>
    </r>
  </si>
  <si>
    <r>
      <rPr>
        <rFont val="Arial, sans-serif"/>
        <color rgb="FF1155CC"/>
        <u/>
      </rPr>
      <t>https://horizondirect.gorgias.com/app/ticket/381224977</t>
    </r>
  </si>
  <si>
    <r>
      <rPr>
        <rFont val="Arial, sans-serif"/>
        <color rgb="FF1155CC"/>
        <u/>
      </rPr>
      <t>https://horizondirect.gorgias.com/app/ticket/381247876</t>
    </r>
  </si>
  <si>
    <t>https://horizondirect.gorgias.com/app/ticket/377952732</t>
  </si>
  <si>
    <t>https://horizondirect.gorgias.com/app/ticket/377994961</t>
  </si>
  <si>
    <r>
      <rPr>
        <rFont val="Arial, sans-serif"/>
        <color rgb="FF1155CC"/>
        <u/>
      </rPr>
      <t>https://horizondirect.gorgias.com/app/ticket/381034297</t>
    </r>
  </si>
  <si>
    <r>
      <rPr>
        <rFont val="Arial, sans-serif"/>
        <color rgb="FF1155CC"/>
        <u/>
      </rPr>
      <t>https://horizondirect.gorgias.com/app/ticket/381448957</t>
    </r>
  </si>
  <si>
    <t>https://horizondirect.gorgias.com/app/ticket/378091196</t>
  </si>
  <si>
    <r>
      <rPr>
        <rFont val="Arial, sans-serif"/>
        <color rgb="FF1155CC"/>
        <u/>
      </rPr>
      <t>https://horizondirect.gorgias.com/app/ticket/381036579</t>
    </r>
  </si>
  <si>
    <r>
      <rPr>
        <rFont val="Arial, sans-serif"/>
        <color rgb="FF1155CC"/>
        <u/>
      </rPr>
      <t>https://horizondirect.gorgias.com/app/ticket/381471284</t>
    </r>
  </si>
  <si>
    <r>
      <rPr>
        <rFont val="Arial, sans-serif"/>
        <color rgb="FF1155CC"/>
        <u/>
      </rPr>
      <t>https://horizondirect.gorgias.com/app/ticket/381474612</t>
    </r>
  </si>
  <si>
    <r>
      <rPr>
        <rFont val="Arial, sans-serif"/>
        <color rgb="FF1155CC"/>
        <u/>
      </rPr>
      <t>https://horizondirect.gorgias.com/app/ticket/381124083</t>
    </r>
  </si>
  <si>
    <r>
      <rPr>
        <rFont val="Arial, sans-serif"/>
        <color rgb="FF1155CC"/>
        <u/>
      </rPr>
      <t>https://horizondirect.gorgias.com/app/ticket/381611940</t>
    </r>
  </si>
  <si>
    <r>
      <rPr>
        <rFont val="Arial, sans-serif"/>
        <color rgb="FF1155CC"/>
        <u/>
      </rPr>
      <t>https://horizondirect.gorgias.com/app/ticket/381139459</t>
    </r>
  </si>
  <si>
    <t>https://horizondirect.gorgias.com/app/ticket/378074499</t>
  </si>
  <si>
    <r>
      <rPr>
        <rFont val="Arial, sans-serif"/>
        <color rgb="FF1155CC"/>
        <u/>
      </rPr>
      <t>https://horizondirect.gorgias.com/app/ticket/381619742</t>
    </r>
  </si>
  <si>
    <r>
      <rPr>
        <rFont val="Arial, sans-serif"/>
        <color rgb="FF1155CC"/>
        <u/>
      </rPr>
      <t>https://horizondirect.gorgias.com/app/ticket/381152782</t>
    </r>
  </si>
  <si>
    <t>Internal note does not match the call flow, no  proper insertion provided</t>
  </si>
  <si>
    <r>
      <rPr>
        <rFont val="Arial, sans-serif"/>
        <color rgb="FF1155CC"/>
        <u/>
      </rPr>
      <t>https://horizondirect.gorgias.com/app/ticket/381649484</t>
    </r>
  </si>
  <si>
    <t>https://horizondirect.gorgias.com/app/ticket/378117201</t>
  </si>
  <si>
    <r>
      <rPr>
        <rFont val="Arial, sans-serif"/>
        <color rgb="FF1155CC"/>
        <u/>
      </rPr>
      <t>https://horizondirect.gorgias.com/app/ticket/381748112</t>
    </r>
  </si>
  <si>
    <t>https://horizondirect.gorgias.com/app/ticket/378202050</t>
  </si>
  <si>
    <r>
      <rPr>
        <rFont val="Arial, sans-serif"/>
        <color rgb="FF1155CC"/>
        <u/>
      </rPr>
      <t>https://horizondirect.gorgias.com/app/ticket/381467567</t>
    </r>
  </si>
  <si>
    <r>
      <rPr>
        <rFont val="Arial, sans-serif"/>
        <color rgb="FF1155CC"/>
        <u/>
      </rPr>
      <t>https://horizondirect.gorgias.com/app/ticket/381766254</t>
    </r>
  </si>
  <si>
    <r>
      <rPr>
        <rFont val="Arial, sans-serif"/>
        <color rgb="FF1155CC"/>
        <u/>
      </rPr>
      <t>https://horizondirect.gorgias.com/app/ticket/381781663</t>
    </r>
  </si>
  <si>
    <t>https://horizondirect.gorgias.com/app/ticket/378259638</t>
  </si>
  <si>
    <t>https://horizondirect.gorgias.com/app/ticket/381897480</t>
  </si>
  <si>
    <r>
      <rPr>
        <rFont val="Arial, sans-serif"/>
        <color rgb="FF1155CC"/>
        <u/>
      </rPr>
      <t>https://horizondirect.gorgias.com/app/ticket/381490259</t>
    </r>
  </si>
  <si>
    <t>https://horizondirect.gorgias.com/app/ticket/381873793</t>
  </si>
  <si>
    <r>
      <rPr>
        <rFont val="Arial, sans-serif"/>
        <color rgb="FF1155CC"/>
        <u/>
      </rPr>
      <t>https://horizondirect.gorgias.com/app/ticket/381501487</t>
    </r>
  </si>
  <si>
    <t>https://horizondirect.gorgias.com/app/ticket/381921937</t>
  </si>
  <si>
    <t>https://horizondirect.gorgias.com/app/ticket/378522312</t>
  </si>
  <si>
    <t>https://horizondirect.gorgias.com/app/ticket/381632570</t>
  </si>
  <si>
    <r>
      <rPr>
        <rFont val="Arial, sans-serif"/>
        <color rgb="FF1155CC"/>
        <u/>
      </rPr>
      <t>https://horizondirect.gorgias.com/app/ticket/382295994</t>
    </r>
  </si>
  <si>
    <r>
      <rPr>
        <rFont val="Arial, sans-serif"/>
        <color rgb="FF1155CC"/>
        <u/>
      </rPr>
      <t>https://horizondirect.gorgias.com/app/ticket/382299856</t>
    </r>
  </si>
  <si>
    <t>https://horizondirect.gorgias.com/app/ticket/378537092</t>
  </si>
  <si>
    <t>https://horizondirect.gorgias.com/app/ticket/381643067</t>
  </si>
  <si>
    <r>
      <rPr>
        <rFont val="Arial, sans-serif"/>
        <color rgb="FF1155CC"/>
        <u/>
      </rPr>
      <t>https://horizondirect.gorgias.com/app/ticket/382308832</t>
    </r>
  </si>
  <si>
    <t>https://horizondirect.gorgias.com/app/ticket/381660006</t>
  </si>
  <si>
    <t>https://horizondirect.gorgias.com/app/ticket/378550404</t>
  </si>
  <si>
    <r>
      <rPr>
        <rFont val="Arial, sans-serif"/>
        <color rgb="FF1155CC"/>
        <u/>
      </rPr>
      <t>https://horizondirect.gorgias.com/app/ticket/382524544</t>
    </r>
  </si>
  <si>
    <r>
      <rPr>
        <rFont val="Arial, sans-serif"/>
        <color rgb="FF1155CC"/>
        <u/>
      </rPr>
      <t>https://horizondirect.gorgias.com/app/ticket/382533424</t>
    </r>
  </si>
  <si>
    <r>
      <rPr>
        <rFont val="Arial, sans-serif"/>
        <color rgb="FF1155CC"/>
        <u/>
      </rPr>
      <t>https://horizondirect.gorgias.com/app/ticket/381764661</t>
    </r>
  </si>
  <si>
    <r>
      <rPr>
        <rFont val="Arial, sans-serif"/>
        <color rgb="FF1155CC"/>
        <u/>
      </rPr>
      <t>https://horizondirect.gorgias.com/app/ticket/382540925</t>
    </r>
  </si>
  <si>
    <t>https://horizondirect.gorgias.com/app/ticket/378619479</t>
  </si>
  <si>
    <r>
      <rPr>
        <rFont val="Arial, sans-serif"/>
        <color rgb="FF1155CC"/>
        <u/>
      </rPr>
      <t>https://horizondirect.gorgias.com/app/ticket/381773478</t>
    </r>
  </si>
  <si>
    <t>https://horizondirect.gorgias.com/app/ticket/382707657</t>
  </si>
  <si>
    <r>
      <rPr>
        <rFont val="Arial, sans-serif"/>
        <color rgb="FF1155CC"/>
        <u/>
      </rPr>
      <t>https://horizondirect.gorgias.com/app/ticket/381782812</t>
    </r>
  </si>
  <si>
    <t>https://horizondirect.gorgias.com/app/ticket/382728015</t>
  </si>
  <si>
    <t>https://horizondirect.gorgias.com/app/ticket/378633214</t>
  </si>
  <si>
    <r>
      <rPr>
        <rFont val="Arial, sans-serif"/>
        <color rgb="FF1155CC"/>
        <u/>
      </rPr>
      <t>https://horizondirect.gorgias.com/app/ticket/382730237</t>
    </r>
  </si>
  <si>
    <r>
      <rPr>
        <rFont val="Arial, sans-serif"/>
        <color rgb="FF1155CC"/>
        <u/>
      </rPr>
      <t>https://horizondirect.gorgias.com/app/ticket/381899923</t>
    </r>
  </si>
  <si>
    <r>
      <rPr>
        <rFont val="Arial, sans-serif"/>
        <color rgb="FF1155CC"/>
        <u/>
      </rPr>
      <t>https://horizondirect.gorgias.com/app/ticket/382827624</t>
    </r>
  </si>
  <si>
    <t>https://horizondirect.gorgias.com/app/ticket/378647128</t>
  </si>
  <si>
    <r>
      <rPr>
        <rFont val="Arial, sans-serif"/>
        <color rgb="FF1155CC"/>
        <u/>
      </rPr>
      <t>https://horizondirect.gorgias.com/app/ticket/381906377</t>
    </r>
  </si>
  <si>
    <r>
      <rPr>
        <rFont val="Arial, sans-serif"/>
        <color rgb="FF1155CC"/>
        <u/>
      </rPr>
      <t>https://horizondirect.gorgias.com/app/ticket/382847569</t>
    </r>
  </si>
  <si>
    <r>
      <rPr>
        <rFont val="Arial, sans-serif"/>
        <color rgb="FF1155CC"/>
        <u/>
      </rPr>
      <t>https://horizondirect.gorgias.com/app/ticket/381912233</t>
    </r>
  </si>
  <si>
    <r>
      <rPr>
        <rFont val="Arial, sans-serif"/>
        <color rgb="FF1155CC"/>
        <u/>
      </rPr>
      <t>https://horizondirect.gorgias.com/app/ticket/382864351</t>
    </r>
  </si>
  <si>
    <r>
      <rPr>
        <rFont val="Arial, sans-serif"/>
        <color rgb="FF1155CC"/>
        <u/>
      </rPr>
      <t>https://horizondirect.gorgias.com/app/ticket/382962608</t>
    </r>
  </si>
  <si>
    <r>
      <rPr>
        <rFont val="Arial, sans-serif"/>
        <color rgb="FF1155CC"/>
        <u/>
      </rPr>
      <t>https://horizondirect.gorgias.com/app/ticket/382330248</t>
    </r>
  </si>
  <si>
    <r>
      <rPr>
        <rFont val="Arial, sans-serif"/>
        <color rgb="FF1155CC"/>
        <u/>
      </rPr>
      <t>https://horizondirect.gorgias.com/app/ticket/382979263</t>
    </r>
  </si>
  <si>
    <t>https://horizondirect.gorgias.com/app/ticket/382336967</t>
  </si>
  <si>
    <r>
      <rPr>
        <rFont val="Arial, sans-serif"/>
        <color rgb="FF1155CC"/>
        <u/>
      </rPr>
      <t>https://horizondirect.gorgias.com/app/ticket/383008048</t>
    </r>
  </si>
  <si>
    <t>https://horizondirect.gorgias.com/app/ticket/378835677</t>
  </si>
  <si>
    <t>https://horizondirect.gorgias.com/app/ticket/383224658</t>
  </si>
  <si>
    <t>https://horizondirect.gorgias.com/app/ticket/383230833</t>
  </si>
  <si>
    <t>https://horizondirect.gorgias.com/app/ticket/383237096</t>
  </si>
  <si>
    <r>
      <rPr>
        <rFont val="Arial, sans-serif"/>
        <color rgb="FF1155CC"/>
        <u/>
      </rPr>
      <t>https://horizondirect.gorgias.com/app/ticket/382350311</t>
    </r>
  </si>
  <si>
    <t>https://horizondirect.gorgias.com/app/ticket/378840873</t>
  </si>
  <si>
    <t>https://horizondirect.gorgias.com/app/ticket/383419292</t>
  </si>
  <si>
    <t>https://horizondirect.gorgias.com/app/ticket/378855896</t>
  </si>
  <si>
    <t>https://horizondirect.gorgias.com/app/ticket/382736147</t>
  </si>
  <si>
    <r>
      <rPr>
        <rFont val="Arial, sans-serif"/>
        <color rgb="FF1155CC"/>
        <u/>
      </rPr>
      <t>https://horizondirect.gorgias.com/app/ticket/383418362</t>
    </r>
  </si>
  <si>
    <t>https://horizondirect.gorgias.com/app/ticket/382739533</t>
  </si>
  <si>
    <r>
      <rPr>
        <rFont val="Arial, sans-serif"/>
        <color rgb="FF1155CC"/>
        <u/>
      </rPr>
      <t>https://horizondirect.gorgias.com/app/ticket/383435491</t>
    </r>
  </si>
  <si>
    <t>https://horizondirect.gorgias.com/app/ticket/382760457</t>
  </si>
  <si>
    <t>https://horizondirect.gorgias.com/app/ticket/383578781</t>
  </si>
  <si>
    <t>https://horizondirect.gorgias.com/app/ticket/378963441</t>
  </si>
  <si>
    <t>https://horizondirect.gorgias.com/app/ticket/383554744</t>
  </si>
  <si>
    <r>
      <rPr>
        <rFont val="Arial, sans-serif"/>
        <color rgb="FF1155CC"/>
        <u/>
      </rPr>
      <t>https://horizondirect.gorgias.com/app/ticket/382873606</t>
    </r>
  </si>
  <si>
    <r>
      <rPr>
        <rFont val="Arial, sans-serif"/>
        <color rgb="FF1155CC"/>
        <u/>
      </rPr>
      <t>https://horizondirect.gorgias.com/app/ticket/383560847</t>
    </r>
  </si>
  <si>
    <t>https://horizondirect.gorgias.com/app/ticket/378968786</t>
  </si>
  <si>
    <r>
      <rPr>
        <rFont val="Arial, sans-serif"/>
        <color rgb="FF1155CC"/>
        <u/>
      </rPr>
      <t>https://horizondirect.gorgias.com/app/ticket/383975116</t>
    </r>
  </si>
  <si>
    <r>
      <rPr>
        <rFont val="Arial, sans-serif"/>
        <color rgb="FF1155CC"/>
        <u/>
      </rPr>
      <t>https://horizondirect.gorgias.com/app/ticket/382901627</t>
    </r>
  </si>
  <si>
    <t>https://horizondirect.gorgias.com/app/ticket/378970537</t>
  </si>
  <si>
    <r>
      <rPr>
        <rFont val="Arial, sans-serif"/>
        <color rgb="FF1155CC"/>
        <u/>
      </rPr>
      <t>https://horizondirect.gorgias.com/app/ticket/383989901</t>
    </r>
  </si>
  <si>
    <r>
      <rPr>
        <rFont val="Arial, sans-serif"/>
        <color rgb="FF1155CC"/>
        <u/>
      </rPr>
      <t>https://horizondirect.gorgias.com/app/ticket/384000045</t>
    </r>
  </si>
  <si>
    <t>https://horizondirect.gorgias.com/app/ticket/379363276</t>
  </si>
  <si>
    <r>
      <rPr>
        <rFont val="Arial, sans-serif"/>
        <color rgb="FF1155CC"/>
        <u/>
      </rPr>
      <t>https://horizondirect.gorgias.com/app/ticket/384065251</t>
    </r>
  </si>
  <si>
    <r>
      <rPr>
        <rFont val="Arial, sans-serif"/>
        <color rgb="FF1155CC"/>
        <u/>
      </rPr>
      <t>https://horizondirect.gorgias.com/app/ticket/383011940</t>
    </r>
  </si>
  <si>
    <r>
      <rPr>
        <rFont val="Arial, sans-serif"/>
        <color rgb="FF1155CC"/>
        <u/>
      </rPr>
      <t>https://horizondirect.gorgias.com/app/ticket/384077871</t>
    </r>
  </si>
  <si>
    <r>
      <rPr>
        <rFont val="Arial, sans-serif"/>
        <color rgb="FF1155CC"/>
        <u/>
      </rPr>
      <t>https://horizondirect.gorgias.com/app/ticket/379373437</t>
    </r>
  </si>
  <si>
    <r>
      <rPr>
        <rFont val="Arial, sans-serif"/>
        <color rgb="FF1155CC"/>
        <u/>
      </rPr>
      <t>https://horizondirect.gorgias.com/app/ticket/382990680</t>
    </r>
  </si>
  <si>
    <r>
      <rPr>
        <rFont val="Arial, sans-serif"/>
        <color rgb="FF1155CC"/>
        <u/>
      </rPr>
      <t>https://horizondirect.gorgias.com/app/ticket/384085414</t>
    </r>
  </si>
  <si>
    <r>
      <rPr>
        <rFont val="Arial, sans-serif"/>
        <color rgb="FF1155CC"/>
        <u/>
      </rPr>
      <t>https://horizondirect.gorgias.com/app/ticket/384152304</t>
    </r>
  </si>
  <si>
    <r>
      <rPr>
        <rFont val="Arial, sans-serif"/>
        <color rgb="FF1155CC"/>
        <u/>
      </rPr>
      <t>https://horizondirect.gorgias.com/app/ticket/379386199</t>
    </r>
  </si>
  <si>
    <r>
      <rPr>
        <rFont val="Arial, sans-serif"/>
        <color rgb="FF1155CC"/>
        <u/>
      </rPr>
      <t>https://horizondirect.gorgias.com/app/ticket/383003932</t>
    </r>
  </si>
  <si>
    <r>
      <rPr>
        <rFont val="Arial, sans-serif"/>
        <color rgb="FF1155CC"/>
        <u/>
      </rPr>
      <t>https://horizondirect.gorgias.com/app/ticket/384167108</t>
    </r>
  </si>
  <si>
    <r>
      <rPr>
        <rFont val="Arial, sans-serif"/>
        <color rgb="FF1155CC"/>
        <u/>
      </rPr>
      <t>https://horizondirect.gorgias.com/app/ticket/384176309</t>
    </r>
  </si>
  <si>
    <r>
      <rPr>
        <rFont val="Arial, sans-serif"/>
        <color rgb="FF1155CC"/>
        <u/>
      </rPr>
      <t>https://horizondirect.gorgias.com/app/ticket/383027018</t>
    </r>
  </si>
  <si>
    <t>https://horizondirect.gorgias.com/app/ticket/379469137</t>
  </si>
  <si>
    <r>
      <rPr>
        <rFont val="Arial, sans-serif"/>
        <color rgb="FF1155CC"/>
        <u/>
      </rPr>
      <t>https://horizondirect.gorgias.com/app/ticket/384267349</t>
    </r>
  </si>
  <si>
    <r>
      <rPr>
        <rFont val="Arial, sans-serif"/>
        <color rgb="FF1155CC"/>
        <u/>
      </rPr>
      <t>https://horizondirect.gorgias.com/app/ticket/383130307</t>
    </r>
  </si>
  <si>
    <t>https://horizondirect.gorgias.com/app/ticket/379473475</t>
  </si>
  <si>
    <r>
      <rPr>
        <rFont val="Arial, sans-serif"/>
        <color rgb="FF1155CC"/>
        <u/>
      </rPr>
      <t>https://horizondirect.gorgias.com/app/ticket/384277597</t>
    </r>
  </si>
  <si>
    <r>
      <rPr>
        <rFont val="Arial, sans-serif"/>
        <color rgb="FF1155CC"/>
        <u/>
      </rPr>
      <t>https://horizondirect.gorgias.com/app/ticket/383138598</t>
    </r>
  </si>
  <si>
    <t>https://horizondirect.gorgias.com/app/ticket/379482781</t>
  </si>
  <si>
    <r>
      <rPr>
        <rFont val="Arial, sans-serif"/>
        <color rgb="FF1155CC"/>
        <u/>
      </rPr>
      <t>https://horizondirect.gorgias.com/app/ticket/384280489</t>
    </r>
  </si>
  <si>
    <r>
      <rPr>
        <rFont val="Arial, sans-serif"/>
        <color rgb="FF1155CC"/>
        <u/>
      </rPr>
      <t>https://horizondirect.gorgias.com/app/ticket/383153987</t>
    </r>
  </si>
  <si>
    <r>
      <rPr>
        <rFont val="Arial, sans-serif"/>
        <color rgb="FF1155CC"/>
        <u/>
      </rPr>
      <t>https://horizondirect.gorgias.com/app/ticket/384420648</t>
    </r>
  </si>
  <si>
    <t>https://horizondirect.gorgias.com/app/ticket/379568054</t>
  </si>
  <si>
    <r>
      <rPr>
        <rFont val="Arial, sans-serif"/>
        <color rgb="FF1155CC"/>
        <u/>
      </rPr>
      <t>https://horizondirect.gorgias.com/app/ticket/384427987</t>
    </r>
  </si>
  <si>
    <t>https://horizondirect.gorgias.com/app/ticket/379576501</t>
  </si>
  <si>
    <t>CSR should've just process the order for CX instead of escalating it to OB Sales Sheet</t>
  </si>
  <si>
    <r>
      <rPr>
        <rFont val="Arial, sans-serif"/>
        <color rgb="FF1155CC"/>
        <u/>
      </rPr>
      <t>https://horizondirect.gorgias.com/app/ticket/384444124</t>
    </r>
  </si>
  <si>
    <t>https://horizondirect.gorgias.com/app/ticket/379587708</t>
  </si>
  <si>
    <r>
      <rPr>
        <rFont val="Arial, sans-serif"/>
        <color rgb="FF1155CC"/>
        <u/>
      </rPr>
      <t>https://horizondirect.gorgias.com/app/ticket/384559295</t>
    </r>
  </si>
  <si>
    <r>
      <rPr>
        <rFont val="Arial, sans-serif"/>
        <color rgb="FF1155CC"/>
        <u/>
      </rPr>
      <t>https://horizondirect.gorgias.com/app/ticket/384567291</t>
    </r>
  </si>
  <si>
    <t>https://horizondirect.gorgias.com/app/ticket/383570684</t>
  </si>
  <si>
    <r>
      <rPr>
        <rFont val="Arial, sans-serif"/>
        <color rgb="FF1155CC"/>
        <u/>
      </rPr>
      <t>https://horizondirect.gorgias.com/app/ticket/384582245</t>
    </r>
  </si>
  <si>
    <r>
      <rPr>
        <rFont val="Arial, sans-serif"/>
        <color rgb="FF1155CC"/>
        <u/>
      </rPr>
      <t>https://horizondirect.gorgias.com/app/ticket/384931260</t>
    </r>
  </si>
  <si>
    <r>
      <rPr>
        <rFont val="Arial, sans-serif"/>
        <color rgb="FF1155CC"/>
        <u/>
      </rPr>
      <t>https://horizondirect.gorgias.com/app/ticket/384938801</t>
    </r>
  </si>
  <si>
    <r>
      <rPr>
        <rFont val="Arial, sans-serif"/>
        <color rgb="FF1155CC"/>
        <u/>
      </rPr>
      <t>https://horizondirect.gorgias.com/app/ticket/384948359</t>
    </r>
  </si>
  <si>
    <t>https://horizondirect.gorgias.com/app/ticket/379684162</t>
  </si>
  <si>
    <r>
      <rPr>
        <rFont val="Arial, sans-serif"/>
        <color rgb="FF1155CC"/>
        <u/>
      </rPr>
      <t>https://horizondirect.gorgias.com/app/ticket/385025684</t>
    </r>
  </si>
  <si>
    <t>https://horizondirect.gorgias.com/app/ticket/383575802</t>
  </si>
  <si>
    <r>
      <rPr>
        <rFont val="Arial, sans-serif"/>
        <color rgb="FF1155CC"/>
        <u/>
      </rPr>
      <t>https://horizondirect.gorgias.com/app/ticket/385033364</t>
    </r>
  </si>
  <si>
    <t>https://horizondirect.gorgias.com/app/ticket/383588076</t>
  </si>
  <si>
    <r>
      <rPr>
        <rFont val="Arial, sans-serif"/>
        <color rgb="FF1155CC"/>
        <u/>
      </rPr>
      <t>https://horizondirect.gorgias.com/app/ticket/385036022</t>
    </r>
  </si>
  <si>
    <t>https://horizondirect.gorgias.com/app/ticket/379686826</t>
  </si>
  <si>
    <r>
      <rPr>
        <rFont val="Arial, sans-serif"/>
        <color rgb="FF1155CC"/>
        <u/>
      </rPr>
      <t>https://horizondirect.gorgias.com/app/ticket/385145763</t>
    </r>
  </si>
  <si>
    <r>
      <rPr>
        <rFont val="Arial, sans-serif"/>
        <color rgb="FF1155CC"/>
        <u/>
      </rPr>
      <t>https://horizondirect.gorgias.com/app/ticket/383723498</t>
    </r>
  </si>
  <si>
    <t>https://horizondirect.gorgias.com/app/ticket/379704122</t>
  </si>
  <si>
    <r>
      <rPr>
        <rFont val="Arial, sans-serif"/>
        <color rgb="FF1155CC"/>
        <u/>
      </rPr>
      <t>https://horizondirect.gorgias.com/app/ticket/383727866</t>
    </r>
  </si>
  <si>
    <r>
      <rPr>
        <rFont val="Arial, sans-serif"/>
        <color rgb="FF1155CC"/>
        <u/>
      </rPr>
      <t>https://horizondirect.gorgias.com/app/ticket/385157388</t>
    </r>
  </si>
  <si>
    <t>https://horizondirect.gorgias.com/app/ticket/379820956</t>
  </si>
  <si>
    <r>
      <rPr>
        <rFont val="Arial, sans-serif"/>
        <color rgb="FF1155CC"/>
        <u/>
      </rPr>
      <t>https://horizondirect.gorgias.com/app/ticket/383732347</t>
    </r>
  </si>
  <si>
    <r>
      <rPr>
        <rFont val="Arial, sans-serif"/>
        <color rgb="FF1155CC"/>
        <u/>
      </rPr>
      <t>https://horizondirect.gorgias.com/app/ticket/385174522</t>
    </r>
  </si>
  <si>
    <t>https://horizondirect.gorgias.com/app/ticket/379834004</t>
  </si>
  <si>
    <t>https://horizondirect.gorgias.com/app/ticket/379846309</t>
  </si>
  <si>
    <r>
      <rPr>
        <rFont val="Arial, sans-serif"/>
        <color rgb="FF1155CC"/>
        <u/>
      </rPr>
      <t>https://horizondirect.gorgias.com/app/ticket/385287640</t>
    </r>
  </si>
  <si>
    <r>
      <rPr>
        <rFont val="Arial, sans-serif"/>
        <color rgb="FF1155CC"/>
        <u/>
      </rPr>
      <t>https://horizondirect.gorgias.com/app/ticket/383849773</t>
    </r>
  </si>
  <si>
    <r>
      <rPr>
        <rFont val="Arial, sans-serif"/>
        <color rgb="FF1155CC"/>
        <u/>
      </rPr>
      <t>https://horizondirect.gorgias.com/app/ticket/385292905</t>
    </r>
  </si>
  <si>
    <t>https://horizondirect.gorgias.com/app/ticket/379949743</t>
  </si>
  <si>
    <r>
      <rPr>
        <rFont val="Arial, sans-serif"/>
        <color rgb="FF1155CC"/>
        <u/>
      </rPr>
      <t>https://horizondirect.gorgias.com/app/ticket/385301974</t>
    </r>
  </si>
  <si>
    <r>
      <rPr>
        <rFont val="Arial, sans-serif"/>
        <color rgb="FF1155CC"/>
        <u/>
      </rPr>
      <t>https://horizondirect.gorgias.com/app/ticket/385451596</t>
    </r>
  </si>
  <si>
    <t>https://horizondirect.gorgias.com/app/ticket/379955151</t>
  </si>
  <si>
    <t>https://horizondirect.gorgias.com/app/ticket/383857720</t>
  </si>
  <si>
    <r>
      <rPr>
        <rFont val="Arial, sans-serif"/>
        <color rgb="FF1155CC"/>
        <u/>
      </rPr>
      <t>https://horizondirect.gorgias.com/app/ticket/385456762</t>
    </r>
  </si>
  <si>
    <r>
      <rPr>
        <rFont val="Arial, sans-serif"/>
        <color rgb="FF1155CC"/>
        <u/>
      </rPr>
      <t>https://horizondirect.gorgias.com/app/ticket/385471543</t>
    </r>
  </si>
  <si>
    <t>https://horizondirect.gorgias.com/app/ticket/379967138</t>
  </si>
  <si>
    <r>
      <rPr>
        <rFont val="Arial, sans-serif"/>
        <color rgb="FF1155CC"/>
        <u/>
      </rPr>
      <t>https://horizondirect.gorgias.com/app/ticket/383874392</t>
    </r>
  </si>
  <si>
    <r>
      <rPr>
        <rFont val="Arial, sans-serif"/>
        <color rgb="FF1155CC"/>
        <u/>
      </rPr>
      <t>https://horizondirect.gorgias.com/app/ticket/385827222</t>
    </r>
  </si>
  <si>
    <r>
      <rPr>
        <rFont val="Arial, sans-serif"/>
        <color rgb="FF1155CC"/>
        <u/>
      </rPr>
      <t>https://horizondirect.gorgias.com/app/ticket/385833777</t>
    </r>
  </si>
  <si>
    <r>
      <rPr>
        <rFont val="Arial, sans-serif"/>
        <color rgb="FF1155CC"/>
        <u/>
      </rPr>
      <t>https://horizondirect.gorgias.com/app/ticket/385839823</t>
    </r>
  </si>
  <si>
    <r>
      <rPr>
        <rFont val="Arial, sans-serif"/>
        <color rgb="FF1155CC"/>
        <u/>
      </rPr>
      <t>https://horizondirect.gorgias.com/app/ticket/385918741</t>
    </r>
  </si>
  <si>
    <r>
      <rPr>
        <rFont val="Arial, sans-serif"/>
        <color rgb="FF1155CC"/>
        <u/>
      </rPr>
      <t>https://horizondirect.gorgias.com/app/ticket/383988091</t>
    </r>
  </si>
  <si>
    <t>https://horizondirect.gorgias.com/app/ticket/380240855</t>
  </si>
  <si>
    <r>
      <rPr>
        <rFont val="Arial, sans-serif"/>
        <color rgb="FF1155CC"/>
        <u/>
      </rPr>
      <t>https://horizondirect.gorgias.com/app/ticket/385929757</t>
    </r>
  </si>
  <si>
    <r>
      <rPr>
        <rFont val="Arial, sans-serif"/>
        <color rgb="FF1155CC"/>
        <u/>
      </rPr>
      <t>https://horizondirect.gorgias.com/app/ticket/385931032</t>
    </r>
  </si>
  <si>
    <r>
      <rPr>
        <rFont val="Arial, sans-serif"/>
        <color rgb="FF1155CC"/>
        <u/>
      </rPr>
      <t>https://horizondirect.gorgias.com/app/ticket/383998818</t>
    </r>
  </si>
  <si>
    <t>https://horizondirect.gorgias.com/app/ticket/380251977</t>
  </si>
  <si>
    <t>https://horizondirect.gorgias.com/app/ticket/384000765</t>
  </si>
  <si>
    <t>https://horizondirect.gorgias.com/app/ticket/380264031</t>
  </si>
  <si>
    <r>
      <rPr>
        <rFont val="Arial, sans-serif"/>
        <color rgb="FF1155CC"/>
        <u/>
      </rPr>
      <t>https://horizondirect.gorgias.com/app/ticket/386181486</t>
    </r>
  </si>
  <si>
    <r>
      <rPr>
        <rFont val="Arial, sans-serif"/>
        <color rgb="FF1155CC"/>
        <u/>
      </rPr>
      <t>https://horizondirect.gorgias.com/app/ticket/386198673</t>
    </r>
  </si>
  <si>
    <t>https://horizondirect.gorgias.com/app/ticket/379943031</t>
  </si>
  <si>
    <r>
      <rPr>
        <rFont val="Arial, sans-serif"/>
        <color rgb="FF1155CC"/>
        <u/>
      </rPr>
      <t>https://horizondirect.gorgias.com/app/ticket/386217453</t>
    </r>
  </si>
  <si>
    <t>https://horizondirect.gorgias.com/app/ticket/379963366</t>
  </si>
  <si>
    <r>
      <rPr>
        <rFont val="Arial, sans-serif"/>
        <color rgb="FF1155CC"/>
        <u/>
      </rPr>
      <t>https://horizondirect.gorgias.com/app/ticket/386321608</t>
    </r>
  </si>
  <si>
    <t>https://horizondirect.gorgias.com/app/ticket/384094472</t>
  </si>
  <si>
    <r>
      <rPr>
        <rFont val="Arial, sans-serif"/>
        <color rgb="FF1155CC"/>
        <u/>
      </rPr>
      <t>https://horizondirect.gorgias.com/app/ticket/386330688</t>
    </r>
  </si>
  <si>
    <r>
      <rPr>
        <rFont val="Arial, sans-serif"/>
        <color rgb="FF1155CC"/>
        <u/>
      </rPr>
      <t>https://horizondirect.gorgias.com/app/ticket/386338676</t>
    </r>
  </si>
  <si>
    <r>
      <rPr>
        <rFont val="Arial, sans-serif"/>
        <color rgb="FF1155CC"/>
        <u/>
      </rPr>
      <t>https://horizondirect.gorgias.com/app/ticket/386724443</t>
    </r>
  </si>
  <si>
    <r>
      <rPr>
        <rFont val="Arial, sans-serif"/>
        <color rgb="FF1155CC"/>
        <u/>
      </rPr>
      <t>https://horizondirect.gorgias.com/app/ticket/386727164</t>
    </r>
  </si>
  <si>
    <t>https://horizondirect.gorgias.com/app/ticket/379983972</t>
  </si>
  <si>
    <t>https://horizondirect.gorgias.com/app/ticket/384098748</t>
  </si>
  <si>
    <r>
      <rPr>
        <rFont val="Arial, sans-serif"/>
        <color rgb="FF1155CC"/>
        <u/>
      </rPr>
      <t>https://horizondirect.gorgias.com/app/ticket/386733218</t>
    </r>
  </si>
  <si>
    <r>
      <rPr>
        <rFont val="Arial, sans-serif"/>
        <color rgb="FF1155CC"/>
        <u/>
      </rPr>
      <t>https://horizondirect.gorgias.com/app/ticket/386820100</t>
    </r>
  </si>
  <si>
    <t>https://horizondirect.gorgias.com/app/ticket/384106189</t>
  </si>
  <si>
    <r>
      <rPr>
        <rFont val="Arial, sans-serif"/>
        <color rgb="FF1155CC"/>
        <u/>
      </rPr>
      <t>https://horizondirect.gorgias.com/app/ticket/386829069</t>
    </r>
  </si>
  <si>
    <r>
      <rPr>
        <rFont val="Arial, sans-serif"/>
        <color rgb="FF1155CC"/>
        <u/>
      </rPr>
      <t>https://horizondirect.gorgias.com/app/ticket/386840337</t>
    </r>
  </si>
  <si>
    <t>https://horizondirect.gorgias.com/app/ticket/380564774</t>
  </si>
  <si>
    <t>CA059b66fc2c01a1bdf466672775694c6b</t>
  </si>
  <si>
    <r>
      <rPr>
        <rFont val="Arial, sans-serif"/>
        <color rgb="FF1155CC"/>
        <u/>
      </rPr>
      <t>https://horizondirect.gorgias.com/app/ticket/384578304</t>
    </r>
  </si>
  <si>
    <t>https://horizondirect.gorgias.com/app/ticket/380585671</t>
  </si>
  <si>
    <t>CAfa93d3126e8e4993b578bc0b15b6e782</t>
  </si>
  <si>
    <t>CAeac2116944c6d34e0d53ec04c06e65cc</t>
  </si>
  <si>
    <r>
      <rPr>
        <rFont val="Arial, sans-serif"/>
        <color rgb="FF1155CC"/>
        <u/>
      </rPr>
      <t>https://horizondirect.gorgias.com/app/ticket/384586438</t>
    </r>
  </si>
  <si>
    <t>https://horizondirect.gorgias.com/app/ticket/380595725</t>
  </si>
  <si>
    <r>
      <rPr>
        <rFont val="Arial, sans-serif"/>
        <color rgb="FF1155CC"/>
        <u/>
      </rPr>
      <t>https://horizondirect.gorgias.com/app/ticket/384603771</t>
    </r>
  </si>
  <si>
    <t>CAe39cc0e971fcce54166f615826db7cad</t>
  </si>
  <si>
    <r>
      <rPr>
        <rFont val="Arial, sans-serif"/>
        <color rgb="FF1155CC"/>
        <u/>
      </rPr>
      <t>https://horizondirect.gorgias.com/app/ticket/384726682</t>
    </r>
  </si>
  <si>
    <t>CA67ebae23c71de5009c2971465ed870d8</t>
  </si>
  <si>
    <t>CA62e4ca6a4c2703b0aacd95a3035fc216</t>
  </si>
  <si>
    <t>https://horizondirect.gorgias.com/app/ticket/380718127</t>
  </si>
  <si>
    <t>CA39a2d1f88557bb2fd1aa11eecd373e0a</t>
  </si>
  <si>
    <t>CA46f02c14631565eb337319fbf5f12bf3</t>
  </si>
  <si>
    <t>https://horizondirect.gorgias.com/app/ticket/380718830</t>
  </si>
  <si>
    <r>
      <rPr>
        <rFont val="Arial, sans-serif"/>
        <color rgb="FF1155CC"/>
        <u/>
      </rPr>
      <t>https://horizondirect.gorgias.com/app/ticket/384743716</t>
    </r>
  </si>
  <si>
    <t>CAce1be057ac51c92da1782a2bf812f394</t>
  </si>
  <si>
    <t>https://horizondirect.gorgias.com/app/ticket/380735235</t>
  </si>
  <si>
    <r>
      <rPr>
        <rFont val="Arial, sans-serif"/>
        <color rgb="FF1155CC"/>
        <u/>
      </rPr>
      <t>https://horizondirect.gorgias.com/app/ticket/384745952</t>
    </r>
  </si>
  <si>
    <r>
      <rPr>
        <rFont val="Arial, sans-serif"/>
        <color rgb="FF1155CC"/>
        <u/>
      </rPr>
      <t>https://horizondirect.gorgias.com/app/ticket/387634712</t>
    </r>
  </si>
  <si>
    <r>
      <rPr>
        <rFont val="Arial, sans-serif"/>
        <color rgb="FF1155CC"/>
        <u/>
      </rPr>
      <t>https://horizondirect.gorgias.com/app/ticket/387642639</t>
    </r>
  </si>
  <si>
    <t>https://horizondirect.gorgias.com/app/ticket/380987124</t>
  </si>
  <si>
    <r>
      <rPr>
        <rFont val="Arial, sans-serif"/>
        <color rgb="FF1155CC"/>
        <u/>
      </rPr>
      <t>https://horizondirect.gorgias.com/app/ticket/384847174</t>
    </r>
  </si>
  <si>
    <r>
      <rPr>
        <rFont val="Arial, sans-serif"/>
        <color rgb="FF1155CC"/>
        <u/>
      </rPr>
      <t>https://horizondirect.gorgias.com/app/ticket/387650986</t>
    </r>
  </si>
  <si>
    <t>https://horizondirect.gorgias.com/app/ticket/381000725</t>
  </si>
  <si>
    <t>https://horizondirect.gorgias.com/app/ticket/387720087</t>
  </si>
  <si>
    <r>
      <rPr>
        <rFont val="Arial, sans-serif"/>
        <color rgb="FF1155CC"/>
        <u/>
      </rPr>
      <t>https://horizondirect.gorgias.com/app/ticket/384848514</t>
    </r>
  </si>
  <si>
    <r>
      <rPr>
        <rFont val="Arial, sans-serif"/>
        <color rgb="FF1155CC"/>
        <u/>
      </rPr>
      <t>https://horizondirect.gorgias.com/app/ticket/387735273</t>
    </r>
  </si>
  <si>
    <r>
      <rPr>
        <rFont val="Arial, sans-serif"/>
        <color rgb="FF1155CC"/>
        <u/>
      </rPr>
      <t>https://horizondirect.gorgias.com/app/ticket/387744963</t>
    </r>
  </si>
  <si>
    <r>
      <rPr>
        <rFont val="Arial, sans-serif"/>
        <color rgb="FF1155CC"/>
        <u/>
      </rPr>
      <t>https://horizondirect.gorgias.com/app/ticket/384856968</t>
    </r>
  </si>
  <si>
    <t>https://horizondirect.gorgias.com/app/ticket/381007847</t>
  </si>
  <si>
    <r>
      <rPr>
        <rFont val="Arial, sans-serif"/>
        <color rgb="FF1155CC"/>
        <u/>
      </rPr>
      <t>https://horizondirect.gorgias.com/app/ticket/384945594</t>
    </r>
  </si>
  <si>
    <r>
      <rPr>
        <rFont val="Arial, sans-serif"/>
        <color rgb="FF1155CC"/>
        <u/>
      </rPr>
      <t>https://horizondirect.gorgias.com/app/ticket/387843388</t>
    </r>
  </si>
  <si>
    <t>CSR did not callback cx after being dc</t>
  </si>
  <si>
    <t>https://horizondirect.gorgias.com/app/ticket/381137513</t>
  </si>
  <si>
    <t>https://horizondirect.gorgias.com/app/ticket/381156602</t>
  </si>
  <si>
    <r>
      <rPr>
        <rFont val="Arial, sans-serif"/>
        <color rgb="FF1155CC"/>
        <u/>
      </rPr>
      <t>https://horizondirect.gorgias.com/app/ticket/384952415</t>
    </r>
  </si>
  <si>
    <r>
      <rPr>
        <rFont val="Arial, sans-serif"/>
        <color rgb="FF1155CC"/>
        <u/>
      </rPr>
      <t>https://horizondirect.gorgias.com/app/ticket/387848997</t>
    </r>
  </si>
  <si>
    <t>https://horizondirect.gorgias.com/app/ticket/381167785</t>
  </si>
  <si>
    <r>
      <rPr>
        <rFont val="Arial, sans-serif"/>
        <color rgb="FF1155CC"/>
        <u/>
      </rPr>
      <t>https://horizondirect.gorgias.com/app/ticket/384956170</t>
    </r>
  </si>
  <si>
    <r>
      <rPr>
        <rFont val="Arial, sans-serif"/>
        <color rgb="FF1155CC"/>
        <u/>
      </rPr>
      <t>https://horizondirect.gorgias.com/app/ticket/387853806</t>
    </r>
  </si>
  <si>
    <t>https://horizondirect.gorgias.com/app/ticket/381236250</t>
  </si>
  <si>
    <t>CAf1fa7122cc8a917f00c3100c44a4f1c3</t>
  </si>
  <si>
    <t>https://horizondirect.gorgias.com/app/ticket/381244811</t>
  </si>
  <si>
    <t>CAe911297e759a1b9b7e58e258b505883c</t>
  </si>
  <si>
    <t>https://horizondirect.gorgias.com/app/ticket/381253105</t>
  </si>
  <si>
    <t>CAeca355bb811986103ab268e815a26599</t>
  </si>
  <si>
    <t>CAd0164584f1af1b0ab0a4474431126dd2</t>
  </si>
  <si>
    <t>CA8daaf4b4db7a4725f30d1070ccd47f3e</t>
  </si>
  <si>
    <t>CAb5eead325c32433ccdb3349d9a020b98</t>
  </si>
  <si>
    <t>CA9f9476c3d37ae1e19bef19b708ab18d6</t>
  </si>
  <si>
    <t>https://horizondirect.gorgias.com/app/ticket/381468286</t>
  </si>
  <si>
    <t>CA0c4734c7ab26e6d6b2154b198ed2a4f7</t>
  </si>
  <si>
    <r>
      <rPr>
        <rFont val="Arial, sans-serif"/>
        <color rgb="FF1155CC"/>
        <u/>
      </rPr>
      <t>https://horizondirect.gorgias.com/app/ticket/385168707</t>
    </r>
  </si>
  <si>
    <t>CAa6902a356c2662efa929ee627b46c77d</t>
  </si>
  <si>
    <t>CAe354a8b50352441394708c24aa4533d3</t>
  </si>
  <si>
    <t>https://horizondirect.gorgias.com/app/ticket/381495209</t>
  </si>
  <si>
    <t>CAabc6858a30e9fe3cf4f2e4f89f4f8d39</t>
  </si>
  <si>
    <t>CA3b9d504a3bdedc5e60fb52c1fae126dc</t>
  </si>
  <si>
    <r>
      <rPr>
        <rFont val="Arial, sans-serif"/>
        <color rgb="FF1155CC"/>
        <u/>
      </rPr>
      <t>https://horizondirect.gorgias.com/app/ticket/385178254</t>
    </r>
  </si>
  <si>
    <r>
      <rPr>
        <rFont val="Arial, sans-serif"/>
        <color rgb="FF1155CC"/>
        <u/>
      </rPr>
      <t>https://horizondirect.gorgias.com/app/ticket/385190839</t>
    </r>
  </si>
  <si>
    <t>CAfb531f3f96435780e2dbf811ddab674b</t>
  </si>
  <si>
    <t>https://horizondirect.gorgias.com/app/ticket/381503930</t>
  </si>
  <si>
    <t>https://horizondirect.gorgias.com/app/ticket/385355317</t>
  </si>
  <si>
    <t>CAb4c45c1f93cecc21f22a689ea51dcc0a</t>
  </si>
  <si>
    <t>https://horizondirect.gorgias.com/app/ticket/381671944</t>
  </si>
  <si>
    <t>CA08b67a0150f2c3c7a9fdae9c12962a40</t>
  </si>
  <si>
    <t>CSR failed to include the return reason on the notes</t>
  </si>
  <si>
    <t>https://horizondirect.gorgias.com/app/ticket/385352311</t>
  </si>
  <si>
    <t>CA4d34af547f3f3a8edb120be06ae43eb2</t>
  </si>
  <si>
    <t>https://horizondirect.gorgias.com/app/ticket/381674905</t>
  </si>
  <si>
    <t>CAdeed529f01159dc0311366230f420f1f</t>
  </si>
  <si>
    <t>CA7abef8006ce3e42d5d3f7e6cf199b7b3</t>
  </si>
  <si>
    <t>https://horizondirect.gorgias.com/app/ticket/381677532</t>
  </si>
  <si>
    <t>CA4b277f6dbc1487941d8efc7b86c4609d</t>
  </si>
  <si>
    <t>CA61286082d4940b1b9e4e050ad6f82a05</t>
  </si>
  <si>
    <t>https://horizondirect.gorgias.com/app/ticket/381894457</t>
  </si>
  <si>
    <t>https://horizondirect.gorgias.com/app/ticket/385351806</t>
  </si>
  <si>
    <t>CA30c1d7e9fb0f4afa7187e82ef4758798</t>
  </si>
  <si>
    <t>https://horizondirect.gorgias.com/app/ticket/381907347</t>
  </si>
  <si>
    <t>CA8c573ae5ab5c8de394e28a4ecfea7466</t>
  </si>
  <si>
    <r>
      <rPr>
        <rFont val="Arial, sans-serif"/>
        <color rgb="FF1155CC"/>
        <u/>
      </rPr>
      <t>https://horizondirect.gorgias.com/app/ticket/385477350</t>
    </r>
  </si>
  <si>
    <t>CA55ea25febbb680cffcc649180c95dc90</t>
  </si>
  <si>
    <t>http://horizondirect.gorgias.com/app/ticket/381922952</t>
  </si>
  <si>
    <t>CA467c501c79a517a687fbb30fdd88e976</t>
  </si>
  <si>
    <r>
      <rPr>
        <rFont val="Arial, sans-serif"/>
        <color rgb="FF1155CC"/>
        <u/>
      </rPr>
      <t>https://horizondirect.gorgias.com/app/ticket/385491720</t>
    </r>
  </si>
  <si>
    <t>CA6a1315c5cb8ace0735f50d81d161de9a</t>
  </si>
  <si>
    <t>https://horizondirect.gorgias.com/app/ticket/382226430</t>
  </si>
  <si>
    <t>CAd5562c54064a95bf2f6a1544d9157b86</t>
  </si>
  <si>
    <r>
      <rPr>
        <rFont val="Arial, sans-serif"/>
        <color rgb="FF1155CC"/>
        <u/>
      </rPr>
      <t>https://horizondirect.gorgias.com/app/ticket/385493545</t>
    </r>
  </si>
  <si>
    <t>CAc4286db3c76d40b45fdcc6d95478cd1b</t>
  </si>
  <si>
    <r>
      <rPr>
        <rFont val="Arial, sans-serif"/>
        <color rgb="FF1155CC"/>
        <u/>
      </rPr>
      <t>https://horizondirect.gorgias.com/app/ticket/385637967</t>
    </r>
  </si>
  <si>
    <t>https://horizondirect.gorgias.com/app/ticket/382230958</t>
  </si>
  <si>
    <r>
      <rPr>
        <rFont val="Arial, sans-serif"/>
        <color rgb="FF1155CC"/>
        <u/>
      </rPr>
      <t>https://horizondirect.gorgias.com/app/ticket/385640567</t>
    </r>
  </si>
  <si>
    <t>https://horizondirect.gorgias.com/app/ticket/382240075</t>
  </si>
  <si>
    <t>CAa41865fcb2496c57e2d1757b4109847e</t>
  </si>
  <si>
    <t>https://horizondirect.gorgias.com/app/ticket/382299160</t>
  </si>
  <si>
    <r>
      <rPr>
        <rFont val="Arial, sans-serif"/>
        <color rgb="FF1155CC"/>
        <u/>
      </rPr>
      <t>https://horizondirect.gorgias.com/app/ticket/385644996</t>
    </r>
  </si>
  <si>
    <t>https://horizondirect.gorgias.com/app/ticket/382310649</t>
  </si>
  <si>
    <t>https://horizondirect.gorgias.com/app/ticket/385761526</t>
  </si>
  <si>
    <t>CAe7d7860cedd87d50cacc9deb91a521b7</t>
  </si>
  <si>
    <t>https://horizondirect.gorgias.com/app/ticket/382316970</t>
  </si>
  <si>
    <t>https://horizondirect.gorgias.com/app/ticket/385763294</t>
  </si>
  <si>
    <t>CA69bbb7c1e9257d70c9ca5226c00cd797</t>
  </si>
  <si>
    <t>CA053afc190d54962b27f52be42e1b9457</t>
  </si>
  <si>
    <t>https://horizondirect.gorgias.com/app/ticket/382543336</t>
  </si>
  <si>
    <t>CAc8608b533aa0eeca2318e5dde4f97d5d</t>
  </si>
  <si>
    <t>https://horizondirect.gorgias.com/app/ticket/385765852</t>
  </si>
  <si>
    <t>CA4d661872c8410fd9bcde428b52ec0229</t>
  </si>
  <si>
    <t>https://horizondirect.gorgias.com/app/ticket/382574599</t>
  </si>
  <si>
    <t>CA69b6d61fc3221843af7678fb199d60b4</t>
  </si>
  <si>
    <t>https://horizondirect.gorgias.com/app/ticket/382591548</t>
  </si>
  <si>
    <t>CAb501bb7f79635f836f870a6175400091</t>
  </si>
  <si>
    <t>https://horizondirect.gorgias.com/app/ticket/382750288</t>
  </si>
  <si>
    <r>
      <rPr>
        <rFont val="Arial, sans-serif"/>
        <color rgb="FF1155CC"/>
        <u/>
      </rPr>
      <t>https://horizondirect.gorgias.com/app/ticket/386058318</t>
    </r>
  </si>
  <si>
    <t>CA85eb83ed882e2c6c5ef56a0827784806</t>
  </si>
  <si>
    <t>https://horizondirect.gorgias.com/app/ticket/382747555</t>
  </si>
  <si>
    <r>
      <rPr>
        <rFont val="Arial, sans-serif"/>
        <color rgb="FF1155CC"/>
        <u/>
      </rPr>
      <t>https://horizondirect.gorgias.com/app/ticket/386065894</t>
    </r>
  </si>
  <si>
    <t>CA6317d4822be0cb5068d6593fb26febb1</t>
  </si>
  <si>
    <t>https://horizondirect.gorgias.com/app/ticket/382749119</t>
  </si>
  <si>
    <r>
      <rPr>
        <rFont val="Arial, sans-serif"/>
        <color rgb="FF1155CC"/>
        <u/>
      </rPr>
      <t>https://horizondirect.gorgias.com/app/ticket/386078563</t>
    </r>
  </si>
  <si>
    <t>CA134e30f5e61975366142a14c9848e144</t>
  </si>
  <si>
    <t>https://horizondirect.gorgias.com/app/ticket/386212674</t>
  </si>
  <si>
    <t>CA5a551f406461c996d82983ad8771f660</t>
  </si>
  <si>
    <t>https://horizondirect.gorgias.com/app/ticket/386216634</t>
  </si>
  <si>
    <t>https://horizondirect.gorgias.com/app/ticket/386219717</t>
  </si>
  <si>
    <t>CA7bb596c9222cf2531a3fd65928ee1178</t>
  </si>
  <si>
    <r>
      <rPr>
        <rFont val="Arial, sans-serif"/>
        <color rgb="FF1155CC"/>
        <u/>
      </rPr>
      <t>https://horizondirect.gorgias.com/app/ticket/382853005</t>
    </r>
  </si>
  <si>
    <t>CA390c90a7dcedcdd762aa8f916e91d84a</t>
  </si>
  <si>
    <r>
      <rPr>
        <rFont val="Arial, sans-serif"/>
        <color rgb="FF1155CC"/>
        <u/>
      </rPr>
      <t>https://horizondirect.gorgias.com/app/ticket/382863463</t>
    </r>
  </si>
  <si>
    <r>
      <rPr>
        <rFont val="Arial, sans-serif"/>
        <color rgb="FF1155CC"/>
        <u/>
      </rPr>
      <t>https://horizondirect.gorgias.com/app/ticket/382887838</t>
    </r>
  </si>
  <si>
    <t>CA94c0ea11c97f09a909d91bd2b2b86539</t>
  </si>
  <si>
    <r>
      <rPr>
        <rFont val="Arial, sans-serif"/>
        <color rgb="FF1155CC"/>
        <u/>
      </rPr>
      <t>https://horizondirect.gorgias.com/app/ticket/382994950</t>
    </r>
  </si>
  <si>
    <r>
      <rPr>
        <rFont val="Arial, sans-serif"/>
        <color rgb="FF1155CC"/>
        <u/>
      </rPr>
      <t>https://horizondirect.gorgias.com/app/ticket/386496093</t>
    </r>
  </si>
  <si>
    <r>
      <rPr>
        <rFont val="Arial, sans-serif"/>
        <color rgb="FF1155CC"/>
        <u/>
      </rPr>
      <t>https://horizondirect.gorgias.com/app/ticket/386503133</t>
    </r>
  </si>
  <si>
    <r>
      <rPr>
        <rFont val="Arial, sans-serif"/>
        <color rgb="FF1155CC"/>
        <u/>
      </rPr>
      <t>https://horizondirect.gorgias.com/app/ticket/383005728</t>
    </r>
  </si>
  <si>
    <r>
      <rPr>
        <rFont val="Arial, sans-serif"/>
        <color rgb="FF1155CC"/>
        <u/>
      </rPr>
      <t>https://horizondirect.gorgias.com/app/ticket/386521256</t>
    </r>
  </si>
  <si>
    <t>https://horizondirect.gorgias.com/app/ticket/386671126</t>
  </si>
  <si>
    <t>CAee08c98754c3a92fcb5059a4c49b4d6d</t>
  </si>
  <si>
    <t>https://horizondirect.gorgias.com/app/ticket/386659823</t>
  </si>
  <si>
    <r>
      <rPr>
        <rFont val="Arial, sans-serif"/>
        <color rgb="FF1155CC"/>
        <u/>
      </rPr>
      <t>https://horizondirect.gorgias.com/app/ticket/383021681</t>
    </r>
  </si>
  <si>
    <t>https://horizondirect.gorgias.com/app/ticket/386662606</t>
  </si>
  <si>
    <t>CAa0431ef99f97120fc849783821b656f0</t>
  </si>
  <si>
    <r>
      <rPr>
        <rFont val="Arial, sans-serif"/>
        <color rgb="FF1155CC"/>
        <u/>
      </rPr>
      <t>https://horizondirect.gorgias.com/app/ticket/383304944</t>
    </r>
  </si>
  <si>
    <t>CAccc52817a824485b33c5648f4a83ae83</t>
  </si>
  <si>
    <t>CA6db0a848397448bfe73fad63feea3271</t>
  </si>
  <si>
    <t>https://horizondirect.gorgias.com/app/ticket/383321153</t>
  </si>
  <si>
    <t>CAe9b8657e62cd910b89b77b73d4703c5e</t>
  </si>
  <si>
    <r>
      <rPr>
        <rFont val="Arial, sans-serif"/>
        <color rgb="FF1155CC"/>
        <u/>
      </rPr>
      <t>https://horizondirect.gorgias.com/app/ticket/383323591</t>
    </r>
  </si>
  <si>
    <t>CA117cc1f0e1d50ddda4f505eba7f2c058</t>
  </si>
  <si>
    <t>CAe0a25e139ad4b51e7c43199c410232c0</t>
  </si>
  <si>
    <r>
      <rPr>
        <rFont val="Arial, sans-serif"/>
        <color rgb="FF1155CC"/>
        <u/>
      </rPr>
      <t>https://4ammedia.zendesk.com/agent/tickets/143291</t>
    </r>
  </si>
  <si>
    <r>
      <rPr>
        <rFont val="Arial, sans-serif"/>
        <color rgb="FF1155CC"/>
        <u/>
      </rPr>
      <t>https://4ammedia.zendesk.com/agent/tickets/143570</t>
    </r>
  </si>
  <si>
    <r>
      <rPr>
        <rFont val="Arial, sans-serif"/>
        <color rgb="FF1155CC"/>
        <u/>
      </rPr>
      <t>https://horizondirect.gorgias.com/app/ticket/383432234</t>
    </r>
  </si>
  <si>
    <r>
      <rPr>
        <rFont val="Arial, sans-serif"/>
        <color rgb="FF1155CC"/>
        <u/>
      </rPr>
      <t>https://4ammedia.zendesk.com/agent/tickets/143782</t>
    </r>
  </si>
  <si>
    <t>CAd970eb2a46ebc0ef3e091974d91b4870</t>
  </si>
  <si>
    <r>
      <rPr>
        <rFont val="Arial, sans-serif"/>
        <color rgb="FF1155CC"/>
        <u/>
      </rPr>
      <t>https://4ammedia.zendesk.com/agent/tickets/144525</t>
    </r>
  </si>
  <si>
    <t>CAebdcc23e6eaa4d35b6e8e4a5710665c1</t>
  </si>
  <si>
    <r>
      <rPr>
        <rFont val="Arial, sans-serif"/>
        <color rgb="FF1155CC"/>
        <u/>
      </rPr>
      <t>https://4ammedia.zendesk.com/agent/tickets/144643</t>
    </r>
  </si>
  <si>
    <t>CA3cfe726b8e97dc8d64b0262332d3f684</t>
  </si>
  <si>
    <r>
      <rPr>
        <rFont val="Arial, sans-serif"/>
        <color rgb="FF1155CC"/>
        <u/>
      </rPr>
      <t>https://horizondirect.gorgias.com/app/ticket/383439868</t>
    </r>
  </si>
  <si>
    <r>
      <rPr>
        <rFont val="Arial, sans-serif"/>
        <color rgb="FF1155CC"/>
        <u/>
      </rPr>
      <t>https://4ammedia.zendesk.com/agent/tickets/144744</t>
    </r>
  </si>
  <si>
    <t>CA1552613fecf25373d814600f378b291a</t>
  </si>
  <si>
    <r>
      <rPr>
        <rFont val="Arial, sans-serif"/>
        <color rgb="FF1155CC"/>
        <u/>
      </rPr>
      <t>https://4ammedia.zendesk.com/agent/tickets/146132</t>
    </r>
  </si>
  <si>
    <r>
      <rPr>
        <rFont val="Arial, sans-serif"/>
        <color rgb="FF1155CC"/>
        <u/>
      </rPr>
      <t>https://horizondirect.gorgias.com/app/ticket/383467550</t>
    </r>
  </si>
  <si>
    <t>CAda4909ba71b0fe001e6f7c088863c8f9</t>
  </si>
  <si>
    <r>
      <rPr>
        <rFont val="Arial, sans-serif"/>
        <color rgb="FF1155CC"/>
        <u/>
      </rPr>
      <t>https://4ammedia.zendesk.com/agent/tickets/146214</t>
    </r>
  </si>
  <si>
    <t>https://horizondirect.gorgias.com/app/ticket/383599772</t>
  </si>
  <si>
    <r>
      <rPr>
        <rFont val="Arial, sans-serif"/>
        <color rgb="FF1155CC"/>
        <u/>
      </rPr>
      <t>https://4ammedia.zendesk.com/agent/tickets/146241</t>
    </r>
  </si>
  <si>
    <t>https://horizondirect.gorgias.com/app/ticket/383587504</t>
  </si>
  <si>
    <t>CA310a6076298191fbcf15ca20727f85bf</t>
  </si>
  <si>
    <t>https://horizondirect.gorgias.com/app/ticket/383574374</t>
  </si>
  <si>
    <r>
      <rPr>
        <rFont val="Arial, sans-serif"/>
        <color rgb="FF1155CC"/>
        <u/>
      </rPr>
      <t>https://horizondirect.gorgias.com/app/ticket/383703537</t>
    </r>
  </si>
  <si>
    <t>CAf5323a09bf96b230560fc8f61df10f3d</t>
  </si>
  <si>
    <r>
      <rPr>
        <rFont val="Arial, sans-serif"/>
        <color rgb="FF1155CC"/>
        <u/>
      </rPr>
      <t>https://4ammedia.zendesk.com/agent/tickets/149103</t>
    </r>
  </si>
  <si>
    <r>
      <rPr>
        <rFont val="Arial, sans-serif"/>
        <color rgb="FF1155CC"/>
        <u/>
      </rPr>
      <t>https://horizondirect.gorgias.com/app/ticket/383724463</t>
    </r>
  </si>
  <si>
    <t>CA3da7eab177979ba464be712adb659607</t>
  </si>
  <si>
    <r>
      <rPr>
        <rFont val="Arial, sans-serif"/>
        <color rgb="FF1155CC"/>
        <u/>
      </rPr>
      <t>https://horizondirect.gorgias.com/app/ticket/383737787</t>
    </r>
  </si>
  <si>
    <r>
      <rPr>
        <rFont val="Arial, sans-serif"/>
        <color rgb="FF1155CC"/>
        <u/>
      </rPr>
      <t>https://4ammedia.zendesk.com/agent/tickets/149165</t>
    </r>
  </si>
  <si>
    <t>https://horizondirect.gorgias.com/app/ticket/387582361</t>
  </si>
  <si>
    <t>https://horizondirect.gorgias.com/app/ticket/384088827</t>
  </si>
  <si>
    <r>
      <rPr>
        <rFont val="Arial, sans-serif"/>
        <color rgb="FF1155CC"/>
        <u/>
      </rPr>
      <t>https://4ammedia.zendesk.com/agent/tickets/149283</t>
    </r>
  </si>
  <si>
    <t>https://horizondirect.gorgias.com/app/ticket/387583319</t>
  </si>
  <si>
    <r>
      <rPr>
        <rFont val="Arial, sans-serif"/>
        <color rgb="FF1155CC"/>
        <u/>
      </rPr>
      <t>https://4ammedia.zendesk.com/agent/tickets/150435</t>
    </r>
  </si>
  <si>
    <t>https://horizondirect.gorgias.com/app/ticket/387586372</t>
  </si>
  <si>
    <r>
      <rPr>
        <rFont val="Arial, sans-serif"/>
        <color rgb="FF1155CC"/>
        <u/>
      </rPr>
      <t>https://4ammedia.zendesk.com/agent/tickets/150523</t>
    </r>
  </si>
  <si>
    <t>https://horizondirect.gorgias.com/app/ticket/384101455</t>
  </si>
  <si>
    <r>
      <rPr>
        <rFont val="Arial, sans-serif"/>
        <color rgb="FF1155CC"/>
        <u/>
      </rPr>
      <t>https://4ammedia.zendesk.com/agent/tickets/150612</t>
    </r>
  </si>
  <si>
    <r>
      <rPr>
        <rFont val="Arial, sans-serif"/>
        <color rgb="FF1155CC"/>
        <u/>
      </rPr>
      <t>https://horizondirect.gorgias.com/app/ticket/387749713</t>
    </r>
  </si>
  <si>
    <t>https://horizondirect.gorgias.com/app/ticket/384105750</t>
  </si>
  <si>
    <r>
      <rPr>
        <rFont val="Arial, sans-serif"/>
        <color rgb="FF1155CC"/>
        <u/>
      </rPr>
      <t>https://4ammedia.zendesk.com/agent/tickets/151940</t>
    </r>
  </si>
  <si>
    <r>
      <rPr>
        <rFont val="Arial, sans-serif"/>
        <color rgb="FF1155CC"/>
        <u/>
      </rPr>
      <t>https://4ammedia.zendesk.com/agent/tickets/152078</t>
    </r>
  </si>
  <si>
    <t>https://horizondirect.gorgias.com/app/ticket/384186754</t>
  </si>
  <si>
    <r>
      <rPr>
        <rFont val="Arial, sans-serif"/>
        <color rgb="FF1155CC"/>
        <u/>
      </rPr>
      <t>https://4ammedia.zendesk.com/agent/tickets/152123</t>
    </r>
  </si>
  <si>
    <r>
      <rPr>
        <rFont val="Arial, sans-serif"/>
        <color rgb="FF1155CC"/>
        <u/>
      </rPr>
      <t>https://horizondirect.gorgias.com/app/ticket/387757385</t>
    </r>
  </si>
  <si>
    <t>https://horizondirect.gorgias.com/app/ticket/384172447</t>
  </si>
  <si>
    <r>
      <rPr>
        <rFont val="Arial, sans-serif"/>
        <color rgb="FF1155CC"/>
        <u/>
      </rPr>
      <t>https://4ammedia.zendesk.com/agent/tickets/153759</t>
    </r>
  </si>
  <si>
    <r>
      <rPr>
        <rFont val="Arial, sans-serif"/>
        <color rgb="FF1155CC"/>
        <u/>
      </rPr>
      <t>https://horizondirect.gorgias.com/app/ticket/387761512</t>
    </r>
  </si>
  <si>
    <t>https://horizondirect.gorgias.com/app/ticket/384167959</t>
  </si>
  <si>
    <r>
      <rPr>
        <rFont val="Arial, sans-serif"/>
        <color rgb="FF1155CC"/>
        <u/>
      </rPr>
      <t>https://4ammedia.zendesk.com/agent/tickets/154050</t>
    </r>
  </si>
  <si>
    <r>
      <rPr>
        <rFont val="Arial, sans-serif"/>
        <color rgb="FF1155CC"/>
        <u/>
      </rPr>
      <t>https://4ammedia.zendesk.com/agent/tickets/154173</t>
    </r>
  </si>
  <si>
    <r>
      <rPr>
        <rFont val="Arial, sans-serif"/>
        <color rgb="FF1155CC"/>
        <u/>
      </rPr>
      <t>https://horizondirect.gorgias.com/app/ticket/387870375</t>
    </r>
  </si>
  <si>
    <r>
      <rPr>
        <rFont val="Arial, sans-serif"/>
        <color rgb="FF1155CC"/>
        <u/>
      </rPr>
      <t>https://4ammedia.zendesk.com/agent/tickets/155141</t>
    </r>
  </si>
  <si>
    <r>
      <rPr>
        <rFont val="Arial, sans-serif"/>
        <color rgb="FF1155CC"/>
        <u/>
      </rPr>
      <t>https://horizondirect.gorgias.com/app/ticket/384295245</t>
    </r>
  </si>
  <si>
    <r>
      <rPr>
        <rFont val="Arial, sans-serif"/>
        <color rgb="FF1155CC"/>
        <u/>
      </rPr>
      <t>https://4ammedia.zendesk.com/agent/tickets/155501</t>
    </r>
  </si>
  <si>
    <r>
      <rPr>
        <rFont val="Arial, sans-serif"/>
        <color rgb="FF1155CC"/>
        <u/>
      </rPr>
      <t>https://horizondirect.gorgias.com/app/ticket/387874153</t>
    </r>
  </si>
  <si>
    <r>
      <rPr>
        <rFont val="Arial, sans-serif"/>
        <color rgb="FF1155CC"/>
        <u/>
      </rPr>
      <t>https://horizondirect.gorgias.com/app/ticket/384315753</t>
    </r>
  </si>
  <si>
    <r>
      <rPr>
        <rFont val="Arial, sans-serif"/>
        <color rgb="FF1155CC"/>
        <u/>
      </rPr>
      <t>https://4ammedia.zendesk.com/agent/tickets/155588</t>
    </r>
  </si>
  <si>
    <r>
      <rPr>
        <rFont val="Arial, sans-serif"/>
        <color rgb="FF1155CC"/>
        <u/>
      </rPr>
      <t>https://horizondirect.gorgias.com/app/ticket/387875616</t>
    </r>
  </si>
  <si>
    <r>
      <rPr>
        <rFont val="Arial, sans-serif"/>
        <color rgb="FF1155CC"/>
        <u/>
      </rPr>
      <t>https://horizondirect.gorgias.com/app/ticket/384327104</t>
    </r>
  </si>
  <si>
    <t>CAf8c7fc15c7adee211829edde99810b42</t>
  </si>
  <si>
    <t>https://horizondirect.gorgias.com/app/ticket/384467571</t>
  </si>
  <si>
    <t>CAc8c6d035f2551f577492a587dbde8cf7</t>
  </si>
  <si>
    <r>
      <rPr>
        <rFont val="Arial, sans-serif"/>
        <color rgb="FF1155CC"/>
        <u/>
      </rPr>
      <t>https://4ammedia.zendesk.com/agent/tickets/158770</t>
    </r>
  </si>
  <si>
    <t>https://horizondirect.gorgias.com/app/ticket/384465563</t>
  </si>
  <si>
    <t>CA28ec8c8bf53cf237a5b624aa84636d66</t>
  </si>
  <si>
    <t>https://horizondirect.gorgias.com/app/ticket/384464577</t>
  </si>
  <si>
    <t>CA1c2647dd574c0f45fad570afff7f0009</t>
  </si>
  <si>
    <r>
      <rPr>
        <rFont val="Arial, sans-serif"/>
        <color rgb="FF1155CC"/>
        <u/>
      </rPr>
      <t>https://4ammedia.zendesk.com/agent/tickets/158887</t>
    </r>
  </si>
  <si>
    <r>
      <rPr>
        <rFont val="Arial, sans-serif"/>
        <color rgb="FF1155CC"/>
        <u/>
      </rPr>
      <t>https://horizondirect.gorgias.com/app/ticket/384580572</t>
    </r>
  </si>
  <si>
    <r>
      <rPr>
        <rFont val="Arial, sans-serif"/>
        <color rgb="FF1155CC"/>
        <u/>
      </rPr>
      <t>https://4ammedia.zendesk.com/agent/tickets/158945</t>
    </r>
  </si>
  <si>
    <t>CA229dfe4443f8a698cf6817f672d77cae</t>
  </si>
  <si>
    <r>
      <rPr>
        <rFont val="Arial, sans-serif"/>
        <color rgb="FF1155CC"/>
        <u/>
      </rPr>
      <t>https://horizondirect.gorgias.com/app/ticket/384586951</t>
    </r>
  </si>
  <si>
    <r>
      <rPr>
        <rFont val="Arial, sans-serif"/>
        <color rgb="FF1155CC"/>
        <u/>
      </rPr>
      <t>https://4ammedia.zendesk.com/agent/tickets/160859</t>
    </r>
  </si>
  <si>
    <r>
      <rPr>
        <rFont val="Arial, sans-serif"/>
        <color rgb="FF1155CC"/>
        <u/>
      </rPr>
      <t>https://horizondirect.gorgias.com/app/ticket/384600124</t>
    </r>
  </si>
  <si>
    <t>CA262d12ebcafb681483dc8e1c86c70b26</t>
  </si>
  <si>
    <r>
      <rPr>
        <rFont val="Arial, sans-serif"/>
        <color rgb="FF1155CC"/>
        <u/>
      </rPr>
      <t>https://4ammedia.zendesk.com/agent/tickets/161052</t>
    </r>
  </si>
  <si>
    <r>
      <rPr>
        <rFont val="Arial, sans-serif"/>
        <color rgb="FF1155CC"/>
        <u/>
      </rPr>
      <t>https://4ammedia.zendesk.com/agent/tickets/161113</t>
    </r>
  </si>
  <si>
    <t>CAb328bb93c8c5b5065a5178b30f5d6975</t>
  </si>
  <si>
    <r>
      <rPr>
        <rFont val="Arial, sans-serif"/>
        <color rgb="FF1155CC"/>
        <u/>
      </rPr>
      <t>https://horizondirect.gorgias.com/app/ticket/384950094</t>
    </r>
  </si>
  <si>
    <r>
      <rPr>
        <rFont val="Arial, sans-serif"/>
        <color rgb="FF1155CC"/>
        <u/>
      </rPr>
      <t>https://4ammedia.zendesk.com/agent/tickets/162024</t>
    </r>
  </si>
  <si>
    <r>
      <rPr>
        <rFont val="Arial, sans-serif"/>
        <color rgb="FF1155CC"/>
        <u/>
      </rPr>
      <t>https://horizondirect.gorgias.com/app/ticket/384961469</t>
    </r>
  </si>
  <si>
    <r>
      <rPr>
        <rFont val="Arial, sans-serif"/>
        <color rgb="FF1155CC"/>
        <u/>
      </rPr>
      <t>https://horizondirect.gorgias.com/app/ticket/384966829</t>
    </r>
  </si>
  <si>
    <r>
      <rPr>
        <rFont val="Arial, sans-serif"/>
        <color rgb="FF1155CC"/>
        <u/>
      </rPr>
      <t>https://4ammedia.zendesk.com/agent/tickets/162075</t>
    </r>
  </si>
  <si>
    <r>
      <rPr>
        <rFont val="Arial, sans-serif"/>
        <color rgb="FF1155CC"/>
        <u/>
      </rPr>
      <t>https://4ammedia.zendesk.com/agent/tickets/162148</t>
    </r>
  </si>
  <si>
    <t>CA4c509e5b73af71b74206abb98b1c26d8</t>
  </si>
  <si>
    <r>
      <rPr>
        <rFont val="Arial, sans-serif"/>
        <color rgb="FF1155CC"/>
        <u/>
      </rPr>
      <t>https://horizondirect.gorgias.com/app/ticket/385049455</t>
    </r>
  </si>
  <si>
    <r>
      <rPr>
        <rFont val="Arial, sans-serif"/>
        <color rgb="FF1155CC"/>
        <u/>
      </rPr>
      <t>https://4ammedia.zendesk.com/agent/tickets/163792</t>
    </r>
  </si>
  <si>
    <r>
      <rPr>
        <rFont val="Arial, sans-serif"/>
        <color rgb="FF1155CC"/>
        <u/>
      </rPr>
      <t>https://horizondirect.gorgias.com/app/ticket/385054438</t>
    </r>
  </si>
  <si>
    <t>CA5a1ce5add91b8f0914d4f964670e349e</t>
  </si>
  <si>
    <r>
      <rPr>
        <rFont val="Arial, sans-serif"/>
        <color rgb="FF1155CC"/>
        <u/>
      </rPr>
      <t>https://4ammedia.zendesk.com/agent/tickets/163849</t>
    </r>
  </si>
  <si>
    <r>
      <rPr>
        <rFont val="Arial, sans-serif"/>
        <color rgb="FF1155CC"/>
        <u/>
      </rPr>
      <t>https://horizondirect.gorgias.com/app/ticket/385067713</t>
    </r>
  </si>
  <si>
    <r>
      <rPr>
        <rFont val="Arial, sans-serif"/>
        <color rgb="FF1155CC"/>
        <u/>
      </rPr>
      <t>https://4ammedia.zendesk.com/agent/tickets/163963</t>
    </r>
  </si>
  <si>
    <r>
      <rPr>
        <rFont val="Arial, sans-serif"/>
        <color rgb="FF1155CC"/>
        <u/>
      </rPr>
      <t>https://4ammedia.zendesk.com/agent/tickets/165394</t>
    </r>
  </si>
  <si>
    <t>CA645f5da83f05b08b7f17dc94c98252ad</t>
  </si>
  <si>
    <r>
      <rPr>
        <rFont val="Arial, sans-serif"/>
        <color rgb="FF1155CC"/>
        <u/>
      </rPr>
      <t>https://4ammedia.zendesk.com/agent/tickets/165460</t>
    </r>
  </si>
  <si>
    <t>CAfa2b31bbf3de94e03cb6238e77b273fb</t>
  </si>
  <si>
    <r>
      <rPr>
        <rFont val="Arial, sans-serif"/>
        <color rgb="FF1155CC"/>
        <u/>
      </rPr>
      <t>https://4ammedia.zendesk.com/agent/tickets/165638</t>
    </r>
  </si>
  <si>
    <t>CA3dc2b3473252bc9e4135dd4d1cf8aec0</t>
  </si>
  <si>
    <r>
      <rPr>
        <rFont val="Arial, sans-serif"/>
        <color rgb="FF1155CC"/>
        <u/>
      </rPr>
      <t>https://4ammedia.zendesk.com/agent/tickets/169841</t>
    </r>
  </si>
  <si>
    <r>
      <rPr>
        <rFont val="Arial, sans-serif"/>
        <color rgb="FF1155CC"/>
        <u/>
      </rPr>
      <t>https://4ammedia.zendesk.com/agent/tickets/169881</t>
    </r>
  </si>
  <si>
    <r>
      <rPr>
        <rFont val="Arial, sans-serif"/>
        <color rgb="FF1155CC"/>
        <u/>
      </rPr>
      <t>https://horizondirect.gorgias.com/app/ticket/385170130</t>
    </r>
  </si>
  <si>
    <r>
      <rPr>
        <rFont val="Arial, sans-serif"/>
        <color rgb="FF1155CC"/>
        <u/>
      </rPr>
      <t>https://4ammedia.zendesk.com/agent/tickets/170015</t>
    </r>
  </si>
  <si>
    <r>
      <rPr>
        <rFont val="Arial, sans-serif"/>
        <color rgb="FF1155CC"/>
        <u/>
      </rPr>
      <t>https://4ammedia.zendesk.com/agent/tickets/171518</t>
    </r>
  </si>
  <si>
    <t>CA7f7de7d93fadda269f0cda24ddbfa721</t>
  </si>
  <si>
    <r>
      <rPr>
        <rFont val="Arial, sans-serif"/>
        <color rgb="FF1155CC"/>
        <u/>
      </rPr>
      <t>https://4ammedia.zendesk.com/agent/tickets/171656</t>
    </r>
  </si>
  <si>
    <r>
      <rPr>
        <rFont val="Arial, sans-serif"/>
        <color rgb="FF1155CC"/>
        <u/>
      </rPr>
      <t>https://horizondirect.gorgias.com/app/ticket/385182811</t>
    </r>
  </si>
  <si>
    <r>
      <rPr>
        <rFont val="Arial, sans-serif"/>
        <color rgb="FF1155CC"/>
        <u/>
      </rPr>
      <t>https://horizondirect.gorgias.com/app/ticket/385196084</t>
    </r>
  </si>
  <si>
    <t>CA5ef3cbf7a36d95d8fcfbc327ce770898</t>
  </si>
  <si>
    <t>https://horizondirect.gorgias.com/app/ticket/385348630</t>
  </si>
  <si>
    <r>
      <rPr>
        <rFont val="Arial, sans-serif"/>
        <color rgb="FF1155CC"/>
        <u/>
      </rPr>
      <t>https://4ammedia.zendesk.com/agent/tickets/171676</t>
    </r>
  </si>
  <si>
    <t>CA7c99f2c117270740470034a68b440027</t>
  </si>
  <si>
    <r>
      <rPr>
        <rFont val="Arial, sans-serif"/>
        <color rgb="FF1155CC"/>
        <u/>
      </rPr>
      <t>https://4ammedia.zendesk.com/agent/tickets/172700</t>
    </r>
  </si>
  <si>
    <t>https://horizondirect.gorgias.com/app/ticket/385351069</t>
  </si>
  <si>
    <r>
      <rPr>
        <rFont val="Arial, sans-serif"/>
        <color rgb="FF1155CC"/>
        <u/>
      </rPr>
      <t>https://4ammedia.zendesk.com/agent/tickets/172845</t>
    </r>
  </si>
  <si>
    <t>https://horizondirect.gorgias.com/app/ticket/385359197</t>
  </si>
  <si>
    <t>CA62dd365e55573ba89a45bd088f2b5197</t>
  </si>
  <si>
    <r>
      <rPr>
        <rFont val="Arial, sans-serif"/>
        <color rgb="FF1155CC"/>
        <u/>
      </rPr>
      <t>https://4ammedia.zendesk.com/agent/tickets/172914</t>
    </r>
  </si>
  <si>
    <r>
      <rPr>
        <rFont val="Arial, sans-serif"/>
        <color rgb="FF1155CC"/>
        <u/>
      </rPr>
      <t>https://horizondirect.gorgias.com/app/ticket/385470397</t>
    </r>
  </si>
  <si>
    <r>
      <rPr>
        <rFont val="Arial, sans-serif"/>
        <color rgb="FF1155CC"/>
        <u/>
      </rPr>
      <t>https://4ammedia.zendesk.com/agent/tickets/174214</t>
    </r>
  </si>
  <si>
    <r>
      <rPr>
        <rFont val="Arial, sans-serif"/>
        <color rgb="FF1155CC"/>
        <u/>
      </rPr>
      <t>https://4ammedia.zendesk.com/agent/tickets/174325</t>
    </r>
  </si>
  <si>
    <t>CAf528f0518bbbd8c25906c584c596fc93</t>
  </si>
  <si>
    <r>
      <rPr>
        <rFont val="Arial, sans-serif"/>
        <color rgb="FF1155CC"/>
        <u/>
      </rPr>
      <t>https://4ammedia.zendesk.com/agent/tickets/174359</t>
    </r>
  </si>
  <si>
    <t>CAb26a6a2d51066f1eb93f10c1b8840e66</t>
  </si>
  <si>
    <r>
      <rPr>
        <rFont val="Arial, sans-serif"/>
        <color rgb="FF1155CC"/>
        <u/>
      </rPr>
      <t>https://4ammedia.zendesk.com/agent/tickets/177932</t>
    </r>
  </si>
  <si>
    <r>
      <rPr>
        <rFont val="Arial, sans-serif"/>
        <color rgb="FF1155CC"/>
        <u/>
      </rPr>
      <t>https://4ammedia.zendesk.com/agent/tickets/177976</t>
    </r>
  </si>
  <si>
    <t>CA8a978bc644a1d640478eacdfb687e621</t>
  </si>
  <si>
    <r>
      <rPr>
        <rFont val="Arial, sans-serif"/>
        <color rgb="FF1155CC"/>
        <u/>
      </rPr>
      <t>https://horizondirect.gorgias.com/app/ticket/385476697</t>
    </r>
  </si>
  <si>
    <r>
      <rPr>
        <rFont val="Arial, sans-serif"/>
        <color rgb="FF1155CC"/>
        <u/>
      </rPr>
      <t>https://4ammedia.zendesk.com/agent/tickets/178014</t>
    </r>
  </si>
  <si>
    <r>
      <rPr>
        <rFont val="Arial, sans-serif"/>
        <color rgb="FF1155CC"/>
        <u/>
      </rPr>
      <t>https://horizondirect.gorgias.com/app/ticket/385482779</t>
    </r>
  </si>
  <si>
    <t>CA528fb3af07e717598dd728ac9d56141f</t>
  </si>
  <si>
    <r>
      <rPr>
        <rFont val="Arial, sans-serif"/>
        <color rgb="FF1155CC"/>
        <u/>
      </rPr>
      <t>https://horizondirect.gorgias.com/app/ticket/385619601</t>
    </r>
  </si>
  <si>
    <r>
      <rPr>
        <rFont val="Arial, sans-serif"/>
        <color rgb="FF1155CC"/>
        <u/>
      </rPr>
      <t>https://horizondirect.gorgias.com/app/ticket/385624924</t>
    </r>
  </si>
  <si>
    <r>
      <rPr>
        <rFont val="Arial, sans-serif"/>
        <color rgb="FF1155CC"/>
        <u/>
      </rPr>
      <t>https://horizondirect.gorgias.com/app/ticket/385634639</t>
    </r>
  </si>
  <si>
    <t>CA571f040454079944722ac3af98e4cf77</t>
  </si>
  <si>
    <t>CAd7e2f8f5e7af5ea335fc706836577ce6</t>
  </si>
  <si>
    <t>https://horizondirect.gorgias.com/app/ticket/385771959</t>
  </si>
  <si>
    <t>CAc3340131894de1c4890bb85dbe0cdfca</t>
  </si>
  <si>
    <t>https://horizondirect.gorgias.com/app/ticket/385773193</t>
  </si>
  <si>
    <t>CA552a9d1ddfbad89bcb48b11410e37f0e</t>
  </si>
  <si>
    <t>https://horizondirect.gorgias.com/app/ticket/385776781</t>
  </si>
  <si>
    <t>CA60cb4ebcde44780d0cb1d04f01bad400</t>
  </si>
  <si>
    <t>CAf9065d2cb35fc8f5bbe19a543fa365f4</t>
  </si>
  <si>
    <r>
      <rPr>
        <rFont val="Arial, sans-serif"/>
        <color rgb="FF1155CC"/>
        <u/>
      </rPr>
      <t>https://horizondirect.gorgias.com/app/ticket/386072569</t>
    </r>
  </si>
  <si>
    <r>
      <rPr>
        <rFont val="Arial, sans-serif"/>
        <color rgb="FF1155CC"/>
        <u/>
      </rPr>
      <t>https://horizondirect.gorgias.com/app/ticket/386076585</t>
    </r>
  </si>
  <si>
    <t>CAfb66249453d8e3d9ade2e49fcf4cd89b</t>
  </si>
  <si>
    <t>https://horizondirect.gorgias.com/app/ticket/386102288</t>
  </si>
  <si>
    <r>
      <rPr>
        <rFont val="Arial, sans-serif"/>
        <color rgb="FF1155CC"/>
        <u/>
      </rPr>
      <t>https://4ammedia.zendesk.com/agent/tickets/189318</t>
    </r>
  </si>
  <si>
    <t>https://horizondirect.gorgias.com/app/ticket/386216740</t>
  </si>
  <si>
    <t>https://horizondirect.gorgias.com/app/ticket/386217081</t>
  </si>
  <si>
    <r>
      <rPr>
        <rFont val="Arial, sans-serif"/>
        <color rgb="FF1155CC"/>
        <u/>
      </rPr>
      <t>https://4ammedia.zendesk.com/agent/tickets/189527</t>
    </r>
  </si>
  <si>
    <t>https://horizondirect.gorgias.com/app/ticket/386230282</t>
  </si>
  <si>
    <r>
      <rPr>
        <rFont val="Arial, sans-serif"/>
        <color rgb="FF1155CC"/>
        <u/>
      </rPr>
      <t>https://4ammedia.zendesk.com/agent/tickets/189625</t>
    </r>
  </si>
  <si>
    <t>CA2040c20c05fb525fa42bd539525179ff</t>
  </si>
  <si>
    <t>https://assets.aircall.io/calls/3893994696/recording/info</t>
  </si>
  <si>
    <t>https://assets.aircall.io/calls/3893757824/recording/info</t>
  </si>
  <si>
    <t>https://assets.aircall.io/calls/3893606124/recording/info</t>
  </si>
  <si>
    <r>
      <rPr>
        <rFont val="Arial, sans-serif"/>
        <color rgb="FF1155CC"/>
        <u/>
      </rPr>
      <t>https://horizondirect.gorgias.com/app/ticket/386358519</t>
    </r>
  </si>
  <si>
    <t>CA942434bdc2319850e6bb9f17ec67d138</t>
  </si>
  <si>
    <t>https://horizondirect.gorgias.com/app/ticket/376146896</t>
  </si>
  <si>
    <r>
      <rPr>
        <rFont val="Arial, sans-serif"/>
        <color rgb="FF1155CC"/>
        <u/>
      </rPr>
      <t>https://4ammedia.zendesk.com/agent/tickets/192747</t>
    </r>
  </si>
  <si>
    <r>
      <rPr>
        <rFont val="Arial, sans-serif"/>
        <color rgb="FF1155CC"/>
        <u/>
      </rPr>
      <t>https://horizondirect.gorgias.com/app/ticket/386369729</t>
    </r>
  </si>
  <si>
    <t>CA3b7e7a6675ab14970296f3c742e81ad5</t>
  </si>
  <si>
    <r>
      <rPr>
        <rFont val="Arial, sans-serif"/>
        <color rgb="FF1155CC"/>
        <u/>
      </rPr>
      <t>https://4ammedia.zendesk.com/agent/tickets/192853</t>
    </r>
  </si>
  <si>
    <r>
      <rPr>
        <rFont val="Arial, sans-serif"/>
        <color rgb="FF1155CC"/>
        <u/>
      </rPr>
      <t>https://horizondirect.gorgias.com/app/ticket/386383080</t>
    </r>
  </si>
  <si>
    <r>
      <rPr>
        <rFont val="Arial, sans-serif"/>
        <color rgb="FF1155CC"/>
        <u/>
      </rPr>
      <t>https://4ammedia.zendesk.com/agent/tickets/192991</t>
    </r>
  </si>
  <si>
    <t>CA568af8e6a035bd8e555f61f6fdf65b90</t>
  </si>
  <si>
    <r>
      <rPr>
        <rFont val="Arial, sans-serif"/>
        <color rgb="FF1155CC"/>
        <u/>
      </rPr>
      <t>https://horizondirect.gorgias.com/app/ticket/386751022</t>
    </r>
  </si>
  <si>
    <r>
      <rPr>
        <rFont val="Arial, sans-serif"/>
        <color rgb="FF1155CC"/>
        <u/>
      </rPr>
      <t>https://4ammedia.zendesk.com/agent/tickets/194630</t>
    </r>
  </si>
  <si>
    <t>https://horizondirect.gorgias.com/app/ticket/376104916</t>
  </si>
  <si>
    <t>CA6d33c3fa7f2177db30169181dec3efb4</t>
  </si>
  <si>
    <r>
      <rPr>
        <rFont val="Arial, sans-serif"/>
        <color rgb="FF1155CC"/>
        <u/>
      </rPr>
      <t>https://horizondirect.gorgias.com/app/ticket/386760097</t>
    </r>
  </si>
  <si>
    <r>
      <rPr>
        <rFont val="Arial, sans-serif"/>
        <color rgb="FF1155CC"/>
        <u/>
      </rPr>
      <t>https://4ammedia.zendesk.com/agent/tickets/194712</t>
    </r>
  </si>
  <si>
    <r>
      <rPr>
        <rFont val="Arial, sans-serif"/>
        <color rgb="FF1155CC"/>
        <u/>
      </rPr>
      <t>https://4ammedia.zendesk.com/agent/tickets/194749</t>
    </r>
  </si>
  <si>
    <r>
      <rPr>
        <rFont val="Arial, sans-serif"/>
        <color rgb="FF1155CC"/>
        <u/>
      </rPr>
      <t>https://horizondirect.gorgias.com/app/ticket/386760688</t>
    </r>
  </si>
  <si>
    <t>CA6b0d240a801bf3e0a1e6dab377966414</t>
  </si>
  <si>
    <t>https://horizondirect.gorgias.com/app/ticket/376111740</t>
  </si>
  <si>
    <r>
      <rPr>
        <rFont val="Arial, sans-serif"/>
        <color rgb="FF1155CC"/>
        <u/>
      </rPr>
      <t>https://4ammedia.zendesk.com/agent/tickets/198358</t>
    </r>
  </si>
  <si>
    <r>
      <rPr>
        <rFont val="Arial, sans-serif"/>
        <color rgb="FF1155CC"/>
        <u/>
      </rPr>
      <t>https://horizondirect.gorgias.com/app/ticket/386849076</t>
    </r>
  </si>
  <si>
    <r>
      <rPr>
        <rFont val="Arial, sans-serif"/>
        <color rgb="FF1155CC"/>
        <u/>
      </rPr>
      <t>https://4ammedia.zendesk.com/agent/tickets/198524</t>
    </r>
  </si>
  <si>
    <r>
      <rPr>
        <rFont val="Arial, sans-serif"/>
        <color rgb="FF1155CC"/>
        <u/>
      </rPr>
      <t>https://horizondirect.gorgias.com/app/ticket/386855807</t>
    </r>
  </si>
  <si>
    <r>
      <rPr>
        <rFont val="Arial, sans-serif"/>
        <color rgb="FF1155CC"/>
        <u/>
      </rPr>
      <t>https://4ammedia.zendesk.com/agent/tickets/198597</t>
    </r>
  </si>
  <si>
    <r>
      <rPr>
        <rFont val="Arial, sans-serif"/>
        <color rgb="FF1155CC"/>
        <u/>
      </rPr>
      <t>https://horizondirect.gorgias.com/app/ticket/386866129</t>
    </r>
  </si>
  <si>
    <t>CA26989cfb604847fffa87644235aca3e2</t>
  </si>
  <si>
    <r>
      <rPr>
        <rFont val="Arial, sans-serif"/>
        <color rgb="FF1155CC"/>
        <u/>
      </rPr>
      <t>https://4ammedia.zendesk.com/agent/tickets/199775</t>
    </r>
  </si>
  <si>
    <t>CA2d2fbdfbe666924a10086f1bdca058ed</t>
  </si>
  <si>
    <t>CAd4b420e62301b913eabef4b5ab852e2c</t>
  </si>
  <si>
    <r>
      <rPr>
        <rFont val="Arial, sans-serif"/>
        <color rgb="FF1155CC"/>
        <u/>
      </rPr>
      <t>https://4ammedia.zendesk.com/agent/tickets/200061</t>
    </r>
  </si>
  <si>
    <t>https://horizondirect.gorgias.com/app/ticket/376261116</t>
  </si>
  <si>
    <r>
      <rPr>
        <rFont val="Arial, sans-serif"/>
        <color rgb="FF1155CC"/>
        <u/>
      </rPr>
      <t>https://4ammedia.zendesk.com/agent/tickets/200198</t>
    </r>
  </si>
  <si>
    <t>CA50cb1f49a1a1897d02babd7a47190122</t>
  </si>
  <si>
    <t>CAed69c9fa0849d52eac0bd0058203068a</t>
  </si>
  <si>
    <r>
      <rPr>
        <rFont val="Arial, sans-serif"/>
        <color rgb="FF1155CC"/>
        <u/>
      </rPr>
      <t>https://4ammedia.zendesk.com/agent/tickets/201805</t>
    </r>
  </si>
  <si>
    <t>CAf8f776ccfdc29194a01761e08afa8078</t>
  </si>
  <si>
    <t xml:space="preserve">Wrong refund amount processed. Shipping and warranty has been refunded </t>
  </si>
  <si>
    <r>
      <rPr>
        <rFont val="Arial, sans-serif"/>
        <color rgb="FF1155CC"/>
        <u/>
      </rPr>
      <t>https://4ammedia.zendesk.com/agent/tickets/201993</t>
    </r>
  </si>
  <si>
    <t>https://horizondirect.gorgias.com/app/ticket/376301998</t>
  </si>
  <si>
    <t>CA4c9728ea1f272d7c8a8b5a0586aeba2c</t>
  </si>
  <si>
    <r>
      <rPr>
        <rFont val="Arial, sans-serif"/>
        <color rgb="FF1155CC"/>
        <u/>
      </rPr>
      <t>https://4ammedia.zendesk.com/agent/tickets/202055</t>
    </r>
  </si>
  <si>
    <t>CAcf40335e4b2d1a0fee7aa8a652c91045</t>
  </si>
  <si>
    <t>CA52e13cffcc9325c2f30cfa7ae750f713</t>
  </si>
  <si>
    <r>
      <rPr>
        <rFont val="Arial, sans-serif"/>
        <color rgb="FF1155CC"/>
        <u/>
      </rPr>
      <t>https://4ammedia.zendesk.com/agent/tickets/203741</t>
    </r>
  </si>
  <si>
    <t>CAf48b69727c7b900fad7221e158ec95f2</t>
  </si>
  <si>
    <r>
      <rPr>
        <rFont val="Arial, sans-serif"/>
        <color rgb="FF1155CC"/>
        <u/>
      </rPr>
      <t>https://4ammedia.zendesk.com/agent/tickets/203862</t>
    </r>
  </si>
  <si>
    <r>
      <rPr>
        <rFont val="Arial, sans-serif"/>
        <color rgb="FF1155CC"/>
        <u/>
      </rPr>
      <t>https://horizondirect.gorgias.com/app/ticket/376298025</t>
    </r>
  </si>
  <si>
    <r>
      <rPr>
        <rFont val="Arial, sans-serif"/>
        <color rgb="FF1155CC"/>
        <u/>
      </rPr>
      <t>https://4ammedia.zendesk.com/agent/tickets/204158</t>
    </r>
  </si>
  <si>
    <t>coloradofolks11@comcast.net</t>
  </si>
  <si>
    <t>CA1d06adc20cb3275f80a216e09b90036b</t>
  </si>
  <si>
    <r>
      <rPr>
        <rFont val="Arial, sans-serif"/>
        <color rgb="FF1155CC"/>
        <u/>
      </rPr>
      <t>https://4ammedia.zendesk.com/agent/tickets/205680</t>
    </r>
  </si>
  <si>
    <t>This is a subscription - Wrong tagging</t>
  </si>
  <si>
    <t>CA7aca61cb52fc2f6c9d97ff84811962f1</t>
  </si>
  <si>
    <t>https://horizondirect.gorgias.com/app/ticket/376401766</t>
  </si>
  <si>
    <t>https://assets.aircall.io/calls/3924809964/recording/insights</t>
  </si>
  <si>
    <t>CA1ab0576719a27c62bf492e113e4719dc</t>
  </si>
  <si>
    <t xml:space="preserve">CSR should've assisted CX on processing the return and walk her through step by step to avoid error. Cx should've gotten her ful lrefund </t>
  </si>
  <si>
    <r>
      <rPr>
        <rFont val="Arial, sans-serif"/>
        <color rgb="FF1155CC"/>
        <u/>
      </rPr>
      <t>https://4ammedia.zendesk.com/agent/tickets/206060</t>
    </r>
  </si>
  <si>
    <t>CA35d764816cb4b604957bba7e4a9d3ef9</t>
  </si>
  <si>
    <r>
      <rPr>
        <rFont val="Arial, sans-serif"/>
        <color rgb="FF1155CC"/>
        <u/>
      </rPr>
      <t>https://4ammedia.zendesk.com/agent/tickets/209924</t>
    </r>
  </si>
  <si>
    <t>Always send return instruction email</t>
  </si>
  <si>
    <t>https://horizondirect.gorgias.com/app/ticket/376422663</t>
  </si>
  <si>
    <t>CAc6e468169e5328f1e077918bf599064a</t>
  </si>
  <si>
    <r>
      <rPr>
        <rFont val="Arial, sans-serif"/>
        <color rgb="FF1155CC"/>
        <u/>
      </rPr>
      <t>https://4ammedia.zendesk.com/agent/tickets/210128</t>
    </r>
  </si>
  <si>
    <r>
      <rPr>
        <rFont val="Arial, sans-serif"/>
        <color rgb="FF1155CC"/>
        <u/>
      </rPr>
      <t>https://4ammedia.zendesk.com/agent/tickets/210366</t>
    </r>
  </si>
  <si>
    <t>CAd541b1f9f39ac3ec87976e0e9dd101e7</t>
  </si>
  <si>
    <t xml:space="preserve">CSR claimed that she processed a refund, but no refund was processed on sticky and notes did not match the call - order alreaedy shipped, can no longer be canceled. CSR should've offered return instead </t>
  </si>
  <si>
    <t>https://horizondirect.gorgias.com/app/ticket/376437649</t>
  </si>
  <si>
    <t>CAfdcf17630e18e4f49d021054e937a0a1</t>
  </si>
  <si>
    <t>CA83415b34bcaeaacc18bfb2a49d1b319d</t>
  </si>
  <si>
    <t>CA065c686e243e485b9521e7f71ec96c47</t>
  </si>
  <si>
    <r>
      <rPr>
        <rFont val="Arial, sans-serif"/>
        <color rgb="FF1155CC"/>
        <u/>
      </rPr>
      <t>https://4ammedia.zendesk.com/agent/tickets/211154</t>
    </r>
  </si>
  <si>
    <t>CAce022935e9e9d221ce83e01a544c1ca7</t>
  </si>
  <si>
    <t>https://horizondirect.gorgias.com/app/ticket/376704054</t>
  </si>
  <si>
    <t>CAcb11a221405f9195a9e4fd1f22a3f449</t>
  </si>
  <si>
    <r>
      <rPr>
        <rFont val="Arial, sans-serif"/>
        <color rgb="FF1155CC"/>
        <u/>
      </rPr>
      <t>https://4ammedia.zendesk.com/agent/tickets/211270</t>
    </r>
  </si>
  <si>
    <r>
      <rPr>
        <rFont val="Arial, sans-serif"/>
        <color rgb="FF1155CC"/>
        <u/>
      </rPr>
      <t>https://horizondirect.gorgias.com/app/ticket/387743093</t>
    </r>
  </si>
  <si>
    <r>
      <rPr>
        <rFont val="Arial, sans-serif"/>
        <color rgb="FF1155CC"/>
        <u/>
      </rPr>
      <t>https://4ammedia.zendesk.com/agent/tickets/211373</t>
    </r>
  </si>
  <si>
    <t>Full refund was not processed. Only return orders have deductable fees</t>
  </si>
  <si>
    <r>
      <rPr>
        <rFont val="Arial, sans-serif"/>
        <color rgb="FF1155CC"/>
        <u/>
      </rPr>
      <t>https://4ammedia.zendesk.com/agent/tickets/213232</t>
    </r>
  </si>
  <si>
    <t>https://horizondirect.gorgias.com/app/ticket/376724254</t>
  </si>
  <si>
    <r>
      <rPr>
        <rFont val="Arial, sans-serif"/>
        <color rgb="FF1155CC"/>
        <u/>
      </rPr>
      <t>https://horizondirect.gorgias.com/app/ticket/387757272</t>
    </r>
  </si>
  <si>
    <t>CA033c9fdfec3ad9b682a3cae4d41e7ea8</t>
  </si>
  <si>
    <r>
      <rPr>
        <rFont val="Arial, sans-serif"/>
        <color rgb="FF1155CC"/>
        <u/>
      </rPr>
      <t>https://4ammedia.zendesk.com/agent/tickets/213435</t>
    </r>
  </si>
  <si>
    <r>
      <rPr>
        <rFont val="Arial, sans-serif"/>
        <color rgb="FF1155CC"/>
        <u/>
      </rPr>
      <t>https://4ammedia.zendesk.com/agent/tickets/213512</t>
    </r>
  </si>
  <si>
    <t>CA81617eaeafa3a7483b1bb501edcded2a</t>
  </si>
  <si>
    <t>https://horizondirect.gorgias.com/app/ticket/376706349</t>
  </si>
  <si>
    <r>
      <rPr>
        <rFont val="Arial, sans-serif"/>
        <color rgb="FF1155CC"/>
        <u/>
      </rPr>
      <t>https://4ammedia.zendesk.com/agent/tickets/215194</t>
    </r>
  </si>
  <si>
    <r>
      <rPr>
        <rFont val="Arial, sans-serif"/>
        <color rgb="FF1155CC"/>
        <u/>
      </rPr>
      <t>https://horizondirect.gorgias.com/app/ticket/387757715</t>
    </r>
  </si>
  <si>
    <t>CAa52569630402996cf09381ec0fe56e24</t>
  </si>
  <si>
    <r>
      <rPr>
        <rFont val="Arial, sans-serif"/>
        <color rgb="FF1155CC"/>
        <u/>
      </rPr>
      <t>https://4ammedia.zendesk.com/agent/tickets/215331</t>
    </r>
  </si>
  <si>
    <r>
      <rPr>
        <rFont val="Arial, sans-serif"/>
        <color rgb="FF1155CC"/>
        <u/>
      </rPr>
      <t>https://4ammedia.zendesk.com/agent/tickets/215417</t>
    </r>
  </si>
  <si>
    <t>CA8b0b78b08b92233cf2c00f5939efc153</t>
  </si>
  <si>
    <r>
      <rPr>
        <rFont val="Arial, sans-serif"/>
        <color rgb="FF1155CC"/>
        <u/>
      </rPr>
      <t>https://4ammedia.zendesk.com/agent/tickets/217375</t>
    </r>
  </si>
  <si>
    <t>CA2e708e13045963326b89fa583c25f544</t>
  </si>
  <si>
    <r>
      <rPr>
        <rFont val="Arial, sans-serif"/>
        <color rgb="FF1155CC"/>
        <u/>
      </rPr>
      <t>https://horizondirect.gorgias.com/app/ticket/387871217</t>
    </r>
  </si>
  <si>
    <t>Incomplete refund - wrong tagging</t>
  </si>
  <si>
    <t>https://horizondirect.gorgias.com/app/ticket/376792578</t>
  </si>
  <si>
    <r>
      <rPr>
        <rFont val="Arial, sans-serif"/>
        <color rgb="FF1155CC"/>
        <u/>
      </rPr>
      <t>https://4ammedia.zendesk.com/agent/tickets/143425</t>
    </r>
  </si>
  <si>
    <r>
      <rPr>
        <rFont val="Arial, sans-serif"/>
        <color rgb="FF1155CC"/>
        <u/>
      </rPr>
      <t>https://4ammedia.zendesk.com/agent/tickets/217418</t>
    </r>
  </si>
  <si>
    <r>
      <rPr>
        <rFont val="Arial, sans-serif"/>
        <color rgb="FF1155CC"/>
        <u/>
      </rPr>
      <t>https://4ammedia.zendesk.com/agent/tickets/143761</t>
    </r>
  </si>
  <si>
    <r>
      <rPr>
        <rFont val="Arial, sans-serif"/>
        <color rgb="FF1155CC"/>
        <u/>
      </rPr>
      <t>https://horizondirect.gorgias.com/app/ticket/387875028</t>
    </r>
  </si>
  <si>
    <r>
      <rPr>
        <rFont val="Arial, sans-serif"/>
        <color rgb="FF1155CC"/>
        <u/>
      </rPr>
      <t>https://4ammedia.zendesk.com/agent/tickets/217470</t>
    </r>
  </si>
  <si>
    <t>https://horizondirect.gorgias.com/app/ticket/376796013</t>
  </si>
  <si>
    <r>
      <rPr>
        <rFont val="Arial, sans-serif"/>
        <color rgb="FF1155CC"/>
        <u/>
      </rPr>
      <t>https://horizondirect.gorgias.com/app/ticket/387878201</t>
    </r>
  </si>
  <si>
    <r>
      <rPr>
        <rFont val="Arial, sans-serif"/>
        <color rgb="FF1155CC"/>
        <u/>
      </rPr>
      <t>https://4ammedia.zendesk.com/agent/tickets/143976</t>
    </r>
  </si>
  <si>
    <r>
      <rPr>
        <rFont val="Arial, sans-serif"/>
        <color rgb="FF1155CC"/>
        <u/>
      </rPr>
      <t>https://4ammedia.zendesk.com/agent/tickets/222194</t>
    </r>
  </si>
  <si>
    <t>CA56ea85e95e2decc30c583eac321bb065</t>
  </si>
  <si>
    <r>
      <rPr>
        <rFont val="Arial, sans-serif"/>
        <color rgb="FF1155CC"/>
        <u/>
      </rPr>
      <t>https://4ammedia.zendesk.com/agent/tickets/222506</t>
    </r>
  </si>
  <si>
    <t>CAe1ae03ea524b8df9dcc1040685c17344</t>
  </si>
  <si>
    <r>
      <rPr>
        <rFont val="Arial, sans-serif"/>
        <color rgb="FF1155CC"/>
        <u/>
      </rPr>
      <t>https://4ammedia.zendesk.com/agent/tickets/222549</t>
    </r>
  </si>
  <si>
    <t xml:space="preserve">CSR should've directly mentioned that she can be escalated to a callback list for assistance </t>
  </si>
  <si>
    <t>https://horizondirect.gorgias.com/app/ticket/376817573</t>
  </si>
  <si>
    <t>CA4d0cbd7886f8e1a250d090896b39ae48</t>
  </si>
  <si>
    <r>
      <rPr>
        <rFont val="Arial, sans-serif"/>
        <color rgb="FF1155CC"/>
        <u/>
      </rPr>
      <t>https://4ammedia.zendesk.com/agent/tickets/144971</t>
    </r>
  </si>
  <si>
    <t>CA400921cb388c86cb04ea883a6c10923d</t>
  </si>
  <si>
    <r>
      <rPr>
        <rFont val="Arial, sans-serif"/>
        <color rgb="FF1155CC"/>
        <u/>
      </rPr>
      <t>https://4ammedia.zendesk.com/agent/tickets/223482</t>
    </r>
  </si>
  <si>
    <r>
      <rPr>
        <rFont val="Arial, sans-serif"/>
        <color rgb="FF1155CC"/>
        <u/>
      </rPr>
      <t>https://4ammedia.zendesk.com/agent/tickets/145229</t>
    </r>
  </si>
  <si>
    <t>CA8eba616fe4d92222306edb8defe717a8</t>
  </si>
  <si>
    <r>
      <rPr>
        <rFont val="Arial, sans-serif"/>
        <color rgb="FF1155CC"/>
        <u/>
      </rPr>
      <t>https://4ammedia.zendesk.com/agent/tickets/223603</t>
    </r>
  </si>
  <si>
    <r>
      <rPr>
        <rFont val="Arial, sans-serif"/>
        <color rgb="FF1155CC"/>
        <u/>
      </rPr>
      <t>https://4ammedia.zendesk.com/agent/tickets/145261</t>
    </r>
  </si>
  <si>
    <r>
      <rPr>
        <rFont val="Arial, sans-serif"/>
        <color rgb="FF1155CC"/>
        <u/>
      </rPr>
      <t>https://4ammedia.zendesk.com/agent/tickets/223743</t>
    </r>
  </si>
  <si>
    <r>
      <rPr>
        <rFont val="Arial, sans-serif"/>
        <color rgb="FF1155CC"/>
        <u/>
      </rPr>
      <t>https://4ammedia.zendesk.com/agent/tickets/226247</t>
    </r>
  </si>
  <si>
    <t>CA1963c4807584344e7a27fbf015b0feca</t>
  </si>
  <si>
    <r>
      <rPr>
        <rFont val="Arial, sans-serif"/>
        <color rgb="FF1155CC"/>
        <u/>
      </rPr>
      <t>https://4ammedia.zendesk.com/agent/tickets/226331</t>
    </r>
  </si>
  <si>
    <t>https://horizondirect.gorgias.com/app/ticket/377024182</t>
  </si>
  <si>
    <t>CA6f6ff5cea3dbecd255405d26c8754d24</t>
  </si>
  <si>
    <r>
      <rPr>
        <rFont val="Arial, sans-serif"/>
        <color rgb="FF1155CC"/>
        <u/>
      </rPr>
      <t>https://4ammedia.zendesk.com/agent/tickets/226386</t>
    </r>
  </si>
  <si>
    <r>
      <rPr>
        <rFont val="Arial, sans-serif"/>
        <color rgb="FF1155CC"/>
        <u/>
      </rPr>
      <t>https://4ammedia.zendesk.com/agent/tickets/233770</t>
    </r>
  </si>
  <si>
    <t>CAad636e437d77008358a800983bae0cd6</t>
  </si>
  <si>
    <r>
      <rPr>
        <rFont val="Arial, sans-serif"/>
        <color rgb="FF1155CC"/>
        <u/>
      </rPr>
      <t>https://4ammedia.zendesk.com/agent/tickets/233959</t>
    </r>
  </si>
  <si>
    <t>CAfb67f66ff559c3ce5663664dbba3cc92</t>
  </si>
  <si>
    <r>
      <rPr>
        <rFont val="Arial, sans-serif"/>
        <color rgb="FF1155CC"/>
        <u/>
      </rPr>
      <t>https://4ammedia.zendesk.com/agent/tickets/234069</t>
    </r>
  </si>
  <si>
    <t>CA0f5506f190d24187f406f46bb6add69c</t>
  </si>
  <si>
    <r>
      <rPr>
        <rFont val="Arial, sans-serif"/>
        <color rgb="FF1155CC"/>
        <u/>
      </rPr>
      <t>https://4ammedia.zendesk.com/agent/tickets/235111</t>
    </r>
  </si>
  <si>
    <t>CSR should know when to stop especially if cx sound likes trying to say something</t>
  </si>
  <si>
    <t>https://horizondirect.gorgias.com/app/ticket/377031632</t>
  </si>
  <si>
    <r>
      <rPr>
        <rFont val="Arial, sans-serif"/>
        <color rgb="FF1155CC"/>
        <u/>
      </rPr>
      <t>https://4ammedia.zendesk.com/agent/tickets/235249</t>
    </r>
  </si>
  <si>
    <r>
      <rPr>
        <rFont val="Arial, sans-serif"/>
        <color rgb="FF1155CC"/>
        <u/>
      </rPr>
      <t>https://4ammedia.zendesk.com/agent/tickets/235262</t>
    </r>
  </si>
  <si>
    <r>
      <rPr>
        <rFont val="Arial, sans-serif"/>
        <color rgb="FF1155CC"/>
        <u/>
      </rPr>
      <t>https://4ammedia.zendesk.com/agent/tickets/152641</t>
    </r>
  </si>
  <si>
    <t>CAc077f84524ff93ad605598da47335481</t>
  </si>
  <si>
    <t>https://horizondirect.gorgias.com/app/ticket/377180919</t>
  </si>
  <si>
    <t>CA5bc58e331f3eaa636a3b0c8594c9b68b</t>
  </si>
  <si>
    <r>
      <rPr>
        <rFont val="Arial, sans-serif"/>
        <color rgb="FF1155CC"/>
        <u/>
      </rPr>
      <t>https://4ammedia.zendesk.com/agent/tickets/152707</t>
    </r>
  </si>
  <si>
    <r>
      <rPr>
        <rFont val="Arial, sans-serif"/>
        <color rgb="FF1155CC"/>
        <u/>
      </rPr>
      <t>https://4ammedia.zendesk.com/agent/tickets/236087</t>
    </r>
  </si>
  <si>
    <r>
      <rPr>
        <rFont val="Arial, sans-serif"/>
        <color rgb="FF1155CC"/>
        <u/>
      </rPr>
      <t>https://4ammedia.zendesk.com/agent/tickets/152863</t>
    </r>
  </si>
  <si>
    <t>CA6c8e14b56ea4573b714117a26273c7d3</t>
  </si>
  <si>
    <r>
      <rPr>
        <rFont val="Arial, sans-serif"/>
        <color rgb="FF1155CC"/>
        <u/>
      </rPr>
      <t>https://4ammedia.zendesk.com/agent/tickets/236222</t>
    </r>
  </si>
  <si>
    <t>https://horizondirect.gorgias.com/app/ticket/377192167</t>
  </si>
  <si>
    <r>
      <rPr>
        <rFont val="Arial, sans-serif"/>
        <color rgb="FF1155CC"/>
        <u/>
      </rPr>
      <t>https://4ammedia.zendesk.com/agent/tickets/153951</t>
    </r>
  </si>
  <si>
    <r>
      <rPr>
        <rFont val="Arial, sans-serif"/>
        <color rgb="FF1155CC"/>
        <u/>
      </rPr>
      <t>https://4ammedia.zendesk.com/agent/tickets/236355</t>
    </r>
  </si>
  <si>
    <t>CA9a89e7c484830c0b9713d03c5c751416</t>
  </si>
  <si>
    <r>
      <rPr>
        <rFont val="Arial, sans-serif"/>
        <color rgb="FF1155CC"/>
        <u/>
      </rPr>
      <t>https://4ammedia.zendesk.com/agent/tickets/154178</t>
    </r>
  </si>
  <si>
    <r>
      <rPr>
        <rFont val="Arial, sans-serif"/>
        <color rgb="FF1155CC"/>
        <u/>
      </rPr>
      <t>https://4ammedia.zendesk.com/agent/tickets/238344</t>
    </r>
  </si>
  <si>
    <t>CA63df322487d3ea29f005bd349656173e</t>
  </si>
  <si>
    <t xml:space="preserve">CX lacks of explanation of the benefit of availing BTE </t>
  </si>
  <si>
    <t>https://horizondirect.gorgias.com/app/ticket/377209081</t>
  </si>
  <si>
    <r>
      <rPr>
        <rFont val="Arial, sans-serif"/>
        <color rgb="FF1155CC"/>
        <u/>
      </rPr>
      <t>https://4ammedia.zendesk.com/agent/tickets/238430</t>
    </r>
  </si>
  <si>
    <r>
      <rPr>
        <rFont val="Arial, sans-serif"/>
        <color rgb="FF1155CC"/>
        <u/>
      </rPr>
      <t>https://4ammedia.zendesk.com/agent/tickets/238500</t>
    </r>
  </si>
  <si>
    <t>CA0ce7727a283c4ba7e3143831019b1a6d</t>
  </si>
  <si>
    <r>
      <rPr>
        <rFont val="Arial, sans-serif"/>
        <color rgb="FF1155CC"/>
        <u/>
      </rPr>
      <t>https://4ammedia.zendesk.com/agent/tickets/240491</t>
    </r>
  </si>
  <si>
    <t>http://cafe72fdc7290cc40c856a166f88f2b8a9/</t>
  </si>
  <si>
    <r>
      <rPr>
        <rFont val="Arial, sans-serif"/>
        <color rgb="FF1155CC"/>
        <u/>
      </rPr>
      <t>https://4ammedia.zendesk.com/agent/tickets/154219</t>
    </r>
  </si>
  <si>
    <t xml:space="preserve">CSR should've tried to offer to cx to try domes from amazon </t>
  </si>
  <si>
    <t>https://horizondirect.gorgias.com/app/ticket/377189337</t>
  </si>
  <si>
    <r>
      <rPr>
        <rFont val="Arial, sans-serif"/>
        <color rgb="FF1155CC"/>
        <u/>
      </rPr>
      <t>https://4ammedia.zendesk.com/agent/tickets/240636</t>
    </r>
  </si>
  <si>
    <r>
      <rPr>
        <rFont val="Arial, sans-serif"/>
        <color rgb="FF1155CC"/>
        <u/>
      </rPr>
      <t>https://4ammedia.zendesk.com/agent/tickets/156765</t>
    </r>
  </si>
  <si>
    <t xml:space="preserve">CSR should've also suggested to reset thge hearing aid first after charging </t>
  </si>
  <si>
    <t>https://horizondirect.gorgias.com/app/ticket/377328281</t>
  </si>
  <si>
    <r>
      <rPr>
        <rFont val="Arial, sans-serif"/>
        <color rgb="FF1155CC"/>
        <u/>
      </rPr>
      <t>https://4ammedia.zendesk.com/agent/tickets/240690</t>
    </r>
  </si>
  <si>
    <t>CA6cadd12d6eaaa6913b562e15dfb0fe29</t>
  </si>
  <si>
    <r>
      <rPr>
        <rFont val="Arial, sans-serif"/>
        <color rgb="FF1155CC"/>
        <u/>
      </rPr>
      <t>https://4ammedia.zendesk.com/agent/tickets/156856</t>
    </r>
  </si>
  <si>
    <r>
      <rPr>
        <rFont val="Arial, sans-serif"/>
        <color rgb="FF1155CC"/>
        <u/>
      </rPr>
      <t>https://4ammedia.zendesk.com/agent/tickets/242684</t>
    </r>
  </si>
  <si>
    <r>
      <rPr>
        <rFont val="Arial, sans-serif"/>
        <color rgb="FF1155CC"/>
        <u/>
      </rPr>
      <t>https://4ammedia.zendesk.com/agent/tickets/157073</t>
    </r>
  </si>
  <si>
    <t>CA0b128acf9ea75299929ac63661e88bd1</t>
  </si>
  <si>
    <r>
      <rPr>
        <rFont val="Arial, sans-serif"/>
        <color rgb="FF1155CC"/>
        <u/>
      </rPr>
      <t>https://4ammedia.zendesk.com/agent/tickets/243031</t>
    </r>
  </si>
  <si>
    <t xml:space="preserve">CSR should've asked first on how long did the cx charged the hearing aid and asked for the color of the light indicator of the charging case </t>
  </si>
  <si>
    <t>CAc153c7ea2b0bdffb93740cccb535fa04</t>
  </si>
  <si>
    <t>https://horizondirect.gorgias.com/app/ticket/377342007</t>
  </si>
  <si>
    <r>
      <rPr>
        <rFont val="Arial, sans-serif"/>
        <color rgb="FF1155CC"/>
        <u/>
      </rPr>
      <t>https://4ammedia.zendesk.com/agent/tickets/157767</t>
    </r>
  </si>
  <si>
    <r>
      <rPr>
        <rFont val="Arial, sans-serif"/>
        <color rgb="FF1155CC"/>
        <u/>
      </rPr>
      <t>https://4ammedia.zendesk.com/agent/tickets/243140</t>
    </r>
  </si>
  <si>
    <t>CA5ee82bb2c2f87b14a7a2e25d4b20519f</t>
  </si>
  <si>
    <r>
      <rPr>
        <rFont val="Arial, sans-serif"/>
        <color rgb="FF1155CC"/>
        <u/>
      </rPr>
      <t>https://4ammedia.zendesk.com/agent/tickets/157884</t>
    </r>
  </si>
  <si>
    <t>https://horizondirect.gorgias.com/app/ticket/377362263</t>
  </si>
  <si>
    <r>
      <rPr>
        <rFont val="Arial, sans-serif"/>
        <color rgb="FF1155CC"/>
        <u/>
      </rPr>
      <t>https://4ammedia.zendesk.com/agent/tickets/245229</t>
    </r>
  </si>
  <si>
    <r>
      <rPr>
        <rFont val="Arial, sans-serif"/>
        <color rgb="FF1155CC"/>
        <u/>
      </rPr>
      <t>https://4ammedia.zendesk.com/agent/tickets/157955</t>
    </r>
  </si>
  <si>
    <r>
      <rPr>
        <rFont val="Arial, sans-serif"/>
        <color rgb="FF1155CC"/>
        <u/>
      </rPr>
      <t>https://4ammedia.zendesk.com/agent/tickets/245620</t>
    </r>
  </si>
  <si>
    <r>
      <rPr>
        <rFont val="Arial, sans-serif"/>
        <color rgb="FF1155CC"/>
        <u/>
      </rPr>
      <t>https://4ammedia.zendesk.com/agent/tickets/245720</t>
    </r>
  </si>
  <si>
    <t>CSR failed to probe and ask more questions about the hearing aid</t>
  </si>
  <si>
    <t>https://horizondirect.gorgias.com/app/ticket/377485409</t>
  </si>
  <si>
    <t xml:space="preserve">CSR should've at least tried to save the extra item before offering cancellation </t>
  </si>
  <si>
    <t>https://horizondirect.gorgias.com/app/ticket/377488652</t>
  </si>
  <si>
    <r>
      <rPr>
        <rFont val="Arial, sans-serif"/>
        <color rgb="FF1155CC"/>
        <u/>
      </rPr>
      <t>https://4ammedia.zendesk.com/agent/tickets/249343</t>
    </r>
  </si>
  <si>
    <t>https://horizondirect.gorgias.com/app/ticket/377516895</t>
  </si>
  <si>
    <r>
      <rPr>
        <rFont val="Arial, sans-serif"/>
        <color rgb="FF1155CC"/>
        <u/>
      </rPr>
      <t>https://4ammedia.zendesk.com/agent/tickets/249462</t>
    </r>
  </si>
  <si>
    <r>
      <rPr>
        <rFont val="Arial, sans-serif"/>
        <color rgb="FF1155CC"/>
        <u/>
      </rPr>
      <t>https://4ammedia.zendesk.com/agent/tickets/249734</t>
    </r>
  </si>
  <si>
    <r>
      <rPr>
        <rFont val="Arial, sans-serif"/>
        <color rgb="FF1155CC"/>
        <u/>
      </rPr>
      <t>https://4ammedia.zendesk.com/agent/tickets/159316</t>
    </r>
  </si>
  <si>
    <t>CA60c8f20c61437d2d68708243bab66142</t>
  </si>
  <si>
    <t>https://horizondirect.gorgias.com/app/ticket/377605229</t>
  </si>
  <si>
    <r>
      <rPr>
        <rFont val="Arial, sans-serif"/>
        <color rgb="FF1155CC"/>
        <u/>
      </rPr>
      <t>https://4ammedia.zendesk.com/agent/tickets/251937</t>
    </r>
  </si>
  <si>
    <r>
      <rPr>
        <rFont val="Arial, sans-serif"/>
        <color rgb="FF1155CC"/>
        <u/>
      </rPr>
      <t>https://4ammedia.zendesk.com/agent/tickets/252094</t>
    </r>
  </si>
  <si>
    <r>
      <rPr>
        <rFont val="Arial, sans-serif"/>
        <color rgb="FF1155CC"/>
        <u/>
      </rPr>
      <t>https://4ammedia.zendesk.com/agent/tickets/159431</t>
    </r>
  </si>
  <si>
    <t>CA600e8da156981781e74add90dfd01666</t>
  </si>
  <si>
    <t>https://horizondirect.gorgias.com/app/ticket/377626693</t>
  </si>
  <si>
    <r>
      <rPr>
        <rFont val="Arial, sans-serif"/>
        <color rgb="FF1155CC"/>
        <u/>
      </rPr>
      <t>https://4ammedia.zendesk.com/agent/tickets/159607</t>
    </r>
  </si>
  <si>
    <r>
      <rPr>
        <rFont val="Arial, sans-serif"/>
        <color rgb="FF1155CC"/>
        <u/>
      </rPr>
      <t>https://4ammedia.zendesk.com/agent/tickets/252563</t>
    </r>
  </si>
  <si>
    <t>CAe470e815de68609f8f11a9cc732cdd52</t>
  </si>
  <si>
    <r>
      <rPr>
        <rFont val="Arial, sans-serif"/>
        <color rgb="FF1155CC"/>
        <u/>
      </rPr>
      <t>https://4ammedia.zendesk.com/agent/tickets/253560</t>
    </r>
  </si>
  <si>
    <r>
      <rPr>
        <rFont val="Arial, sans-serif"/>
        <color rgb="FF1155CC"/>
        <u/>
      </rPr>
      <t>https://4ammedia.zendesk.com/agent/tickets/161295</t>
    </r>
  </si>
  <si>
    <r>
      <rPr>
        <rFont val="Arial, sans-serif"/>
        <color rgb="FF1155CC"/>
        <u/>
      </rPr>
      <t>https://4ammedia.zendesk.com/agent/tickets/253877</t>
    </r>
  </si>
  <si>
    <t>CSR should've also suggested to reset the device after charging</t>
  </si>
  <si>
    <t>https://horizondirect.gorgias.com/app/ticket/377644218</t>
  </si>
  <si>
    <r>
      <rPr>
        <rFont val="Arial, sans-serif"/>
        <color rgb="FF1155CC"/>
        <u/>
      </rPr>
      <t>https://4ammedia.zendesk.com/agent/tickets/161338</t>
    </r>
  </si>
  <si>
    <r>
      <rPr>
        <rFont val="Arial, sans-serif"/>
        <color rgb="FF1155CC"/>
        <u/>
      </rPr>
      <t>https://4ammedia.zendesk.com/agent/tickets/254047</t>
    </r>
  </si>
  <si>
    <r>
      <rPr>
        <rFont val="Arial, sans-serif"/>
        <color rgb="FF1155CC"/>
        <u/>
      </rPr>
      <t>https://4ammedia.zendesk.com/agent/tickets/161492</t>
    </r>
  </si>
  <si>
    <r>
      <rPr>
        <rFont val="Arial, sans-serif"/>
        <color rgb="FF1155CC"/>
        <u/>
      </rPr>
      <t>https://4ammedia.zendesk.com/agent/tickets/255747</t>
    </r>
  </si>
  <si>
    <t>CA2ea1343b9b3d9b3ce1f8a6c39a74753e</t>
  </si>
  <si>
    <r>
      <rPr>
        <rFont val="Arial, sans-serif"/>
        <color rgb="FF1155CC"/>
        <u/>
      </rPr>
      <t>https://4ammedia.zendesk.com/agent/tickets/256110</t>
    </r>
  </si>
  <si>
    <r>
      <rPr>
        <rFont val="Arial, sans-serif"/>
        <color rgb="FF1155CC"/>
        <u/>
      </rPr>
      <t>https://4ammedia.zendesk.com/agent/tickets/162958</t>
    </r>
  </si>
  <si>
    <t>CAc8726a3914ffe367629f8e9769637c88</t>
  </si>
  <si>
    <r>
      <rPr>
        <rFont val="Arial, sans-serif"/>
        <color rgb="FF1155CC"/>
        <u/>
      </rPr>
      <t>https://4ammedia.zendesk.com/agent/tickets/256429</t>
    </r>
  </si>
  <si>
    <r>
      <rPr>
        <rFont val="Arial, sans-serif"/>
        <color rgb="FF1155CC"/>
        <u/>
      </rPr>
      <t>https://4ammedia.zendesk.com/agent/tickets/163039</t>
    </r>
  </si>
  <si>
    <t>CAb9f74fe711090dbdbca28eb2d861867a</t>
  </si>
  <si>
    <t>https://horizondirect.gorgias.com/app/ticket/377931983</t>
  </si>
  <si>
    <r>
      <rPr>
        <rFont val="Arial, sans-serif"/>
        <color rgb="FF1155CC"/>
        <u/>
      </rPr>
      <t>https://4ammedia.zendesk.com/agent/tickets/163090</t>
    </r>
  </si>
  <si>
    <r>
      <rPr>
        <rFont val="Arial, sans-serif"/>
        <color rgb="FF1155CC"/>
        <u/>
      </rPr>
      <t>https://4ammedia.zendesk.com/agent/tickets/257920</t>
    </r>
  </si>
  <si>
    <t>CA6455eabf81dd7d506086bdca3b739793</t>
  </si>
  <si>
    <r>
      <rPr>
        <rFont val="Arial, sans-serif"/>
        <color rgb="FF1155CC"/>
        <u/>
      </rPr>
      <t>https://4ammedia.zendesk.com/agent/tickets/167089</t>
    </r>
  </si>
  <si>
    <r>
      <rPr>
        <rFont val="Arial, sans-serif"/>
        <color rgb="FF1155CC"/>
        <u/>
      </rPr>
      <t>https://4ammedia.zendesk.com/agent/tickets/258088</t>
    </r>
  </si>
  <si>
    <r>
      <rPr>
        <rFont val="Arial, sans-serif"/>
        <color rgb="FF1155CC"/>
        <u/>
      </rPr>
      <t>https://4ammedia.zendesk.com/agent/tickets/167169</t>
    </r>
  </si>
  <si>
    <t>CAb555d78971b6827fc37a8b8034d5008b</t>
  </si>
  <si>
    <r>
      <rPr>
        <rFont val="Arial, sans-serif"/>
        <color rgb="FF1155CC"/>
        <u/>
      </rPr>
      <t>https://4ammedia.zendesk.com/agent/tickets/258335</t>
    </r>
  </si>
  <si>
    <r>
      <rPr>
        <rFont val="Arial, sans-serif"/>
        <color rgb="FF1155CC"/>
        <u/>
      </rPr>
      <t>https://4ammedia.zendesk.com/agent/tickets/167248</t>
    </r>
  </si>
  <si>
    <t>CA7c3752a641f852129daf333b10e6230a</t>
  </si>
  <si>
    <r>
      <rPr>
        <rFont val="Arial, sans-serif"/>
        <color rgb="FF1155CC"/>
        <u/>
      </rPr>
      <t>https://4ammedia.zendesk.com/agent/tickets/168156</t>
    </r>
  </si>
  <si>
    <t>CA2bdbc52580beaf4518cce22b8f049b4d</t>
  </si>
  <si>
    <r>
      <rPr>
        <rFont val="Arial, sans-serif"/>
        <color rgb="FF1155CC"/>
        <u/>
      </rPr>
      <t>https://4ammedia.zendesk.com/agent/tickets/262447</t>
    </r>
  </si>
  <si>
    <r>
      <rPr>
        <rFont val="Arial, sans-serif"/>
        <color rgb="FF1155CC"/>
        <u/>
      </rPr>
      <t>https://4ammedia.zendesk.com/agent/tickets/168283</t>
    </r>
  </si>
  <si>
    <r>
      <rPr>
        <rFont val="Arial, sans-serif"/>
        <color rgb="FF1155CC"/>
        <u/>
      </rPr>
      <t>https://4ammedia.zendesk.com/agent/tickets/168363</t>
    </r>
  </si>
  <si>
    <r>
      <rPr>
        <rFont val="Arial, sans-serif"/>
        <color rgb="FF1155CC"/>
        <u/>
      </rPr>
      <t>https://4ammedia.zendesk.com/agent/tickets/262636</t>
    </r>
  </si>
  <si>
    <t>https://horizondirect.gorgias.com/app/ticket/377924936</t>
  </si>
  <si>
    <r>
      <rPr>
        <rFont val="Arial, sans-serif"/>
        <color rgb="FF1155CC"/>
        <u/>
      </rPr>
      <t>https://4ammedia.zendesk.com/agent/tickets/262838</t>
    </r>
  </si>
  <si>
    <r>
      <rPr>
        <rFont val="Arial, sans-serif"/>
        <color rgb="FF1155CC"/>
        <u/>
      </rPr>
      <t>https://4ammedia.zendesk.com/agent/tickets/265113</t>
    </r>
  </si>
  <si>
    <t>CA698fc505533d5b80d60debcd698182dc</t>
  </si>
  <si>
    <t>https://horizondirect.gorgias.com/app/ticket/377923110</t>
  </si>
  <si>
    <r>
      <rPr>
        <rFont val="Arial, sans-serif"/>
        <color rgb="FF1155CC"/>
        <u/>
      </rPr>
      <t>https://4ammedia.zendesk.com/agent/tickets/169894</t>
    </r>
  </si>
  <si>
    <r>
      <rPr>
        <rFont val="Arial, sans-serif"/>
        <color rgb="FF1155CC"/>
        <u/>
      </rPr>
      <t>https://4ammedia.zendesk.com/agent/tickets/265416</t>
    </r>
  </si>
  <si>
    <t>CA2538f30bf5d36d4b6ef2f6d7c305cc30</t>
  </si>
  <si>
    <t>https://horizondirect.gorgias.com/app/ticket/378093114</t>
  </si>
  <si>
    <r>
      <rPr>
        <rFont val="Arial, sans-serif"/>
        <color rgb="FF1155CC"/>
        <u/>
      </rPr>
      <t>https://4ammedia.zendesk.com/agent/tickets/265576</t>
    </r>
  </si>
  <si>
    <r>
      <rPr>
        <rFont val="Arial, sans-serif"/>
        <color rgb="FF1155CC"/>
        <u/>
      </rPr>
      <t>https://4ammedia.zendesk.com/agent/tickets/267131</t>
    </r>
  </si>
  <si>
    <t>CAebbae6194e704a850fff65a2c08866e6</t>
  </si>
  <si>
    <t>https://horizondirect.gorgias.com/app/ticket/378112762</t>
  </si>
  <si>
    <r>
      <rPr>
        <rFont val="Arial, sans-serif"/>
        <color rgb="FF1155CC"/>
        <u/>
      </rPr>
      <t>https://4ammedia.zendesk.com/agent/tickets/267220</t>
    </r>
  </si>
  <si>
    <r>
      <rPr>
        <rFont val="Arial, sans-serif"/>
        <color rgb="FF1155CC"/>
        <u/>
      </rPr>
      <t>https://4ammedia.zendesk.com/agent/tickets/170152</t>
    </r>
  </si>
  <si>
    <t>CAe1f2a4734e969706ca50980464ee144c</t>
  </si>
  <si>
    <r>
      <rPr>
        <rFont val="Arial, sans-serif"/>
        <color rgb="FF1155CC"/>
        <u/>
      </rPr>
      <t>https://4ammedia.zendesk.com/agent/tickets/267616</t>
    </r>
  </si>
  <si>
    <r>
      <rPr>
        <rFont val="Arial, sans-serif"/>
        <color rgb="FF1155CC"/>
        <u/>
      </rPr>
      <t>https://4ammedia.zendesk.com/agent/tickets/170274</t>
    </r>
  </si>
  <si>
    <r>
      <rPr>
        <rFont val="Arial"/>
        <color rgb="FF1155CC"/>
        <u/>
      </rPr>
      <t>https://horizondirect.gorgias.com/app/ticket/378121482</t>
    </r>
  </si>
  <si>
    <r>
      <rPr>
        <rFont val="Arial, sans-serif"/>
        <color rgb="FF1155CC"/>
        <u/>
      </rPr>
      <t>https://4ammedia.zendesk.com/agent/tickets/269534</t>
    </r>
  </si>
  <si>
    <t>CAbd61f4a74c3dfa018b87c20f11c3ad67</t>
  </si>
  <si>
    <r>
      <rPr>
        <rFont val="Arial, sans-serif"/>
        <color rgb="FF1155CC"/>
        <u/>
      </rPr>
      <t>https://4ammedia.zendesk.com/agent/tickets/171562</t>
    </r>
  </si>
  <si>
    <r>
      <rPr>
        <rFont val="Arial, sans-serif"/>
        <color rgb="FF1155CC"/>
        <u/>
      </rPr>
      <t>https://4ammedia.zendesk.com/agent/tickets/269668</t>
    </r>
  </si>
  <si>
    <r>
      <rPr>
        <rFont val="Arial, sans-serif"/>
        <color rgb="FF1155CC"/>
        <u/>
      </rPr>
      <t>https://4ammedia.zendesk.com/agent/tickets/269846</t>
    </r>
  </si>
  <si>
    <r>
      <rPr>
        <rFont val="Arial, sans-serif"/>
        <color rgb="FF1155CC"/>
        <u/>
      </rPr>
      <t>https://4ammedia.zendesk.com/agent/tickets/171677</t>
    </r>
  </si>
  <si>
    <r>
      <rPr>
        <rFont val="Arial, sans-serif"/>
        <color rgb="FF1155CC"/>
        <u/>
      </rPr>
      <t>https://4ammedia.zendesk.com/agent/tickets/271155</t>
    </r>
  </si>
  <si>
    <r>
      <rPr>
        <rFont val="Arial, sans-serif"/>
        <color rgb="FF1155CC"/>
        <u/>
      </rPr>
      <t>https://4ammedia.zendesk.com/agent/tickets/171802</t>
    </r>
  </si>
  <si>
    <t>CA28ccb9d71394936557cfaf3920a8b23d</t>
  </si>
  <si>
    <r>
      <rPr>
        <rFont val="Arial, sans-serif"/>
        <color rgb="FF1155CC"/>
        <u/>
      </rPr>
      <t>https://4ammedia.zendesk.com/agent/tickets/271648</t>
    </r>
  </si>
  <si>
    <r>
      <rPr>
        <rFont val="Arial, sans-serif"/>
        <color rgb="FF1155CC"/>
        <u/>
      </rPr>
      <t>https://4ammedia.zendesk.com/agent/tickets/176289</t>
    </r>
  </si>
  <si>
    <r>
      <rPr>
        <rFont val="Arial, sans-serif"/>
        <color rgb="FF1155CC"/>
        <u/>
      </rPr>
      <t>https://horizondirect.gorgias.com/app/ticket/378559165</t>
    </r>
  </si>
  <si>
    <r>
      <rPr>
        <rFont val="Arial, sans-serif"/>
        <color rgb="FF1155CC"/>
        <u/>
      </rPr>
      <t>https://4ammedia.zendesk.com/agent/tickets/271761</t>
    </r>
  </si>
  <si>
    <r>
      <rPr>
        <rFont val="Arial, sans-serif"/>
        <color rgb="FF1155CC"/>
        <u/>
      </rPr>
      <t>https://4ammedia.zendesk.com/agent/tickets/176359</t>
    </r>
  </si>
  <si>
    <t>CAc9a58f20694e36b81fbe211522214f24</t>
  </si>
  <si>
    <r>
      <rPr>
        <rFont val="Arial, sans-serif"/>
        <color rgb="FF1155CC"/>
        <u/>
      </rPr>
      <t>https://4ammedia.zendesk.com/agent/tickets/176373</t>
    </r>
  </si>
  <si>
    <r>
      <rPr>
        <rFont val="Arial, sans-serif"/>
        <color rgb="FF1155CC"/>
        <u/>
      </rPr>
      <t>https://horizondirect.gorgias.com/app/ticket/378561714</t>
    </r>
  </si>
  <si>
    <r>
      <rPr>
        <rFont val="Arial, sans-serif"/>
        <color rgb="FF1155CC"/>
        <u/>
      </rPr>
      <t>https://4ammedia.zendesk.com/agent/tickets/177396</t>
    </r>
  </si>
  <si>
    <r>
      <rPr>
        <rFont val="Arial, sans-serif"/>
        <color rgb="FF1155CC"/>
        <u/>
      </rPr>
      <t>https://horizondirect.gorgias.com/app/ticket/378570340</t>
    </r>
  </si>
  <si>
    <t>CA362da391a4e40bea3a7f0e3eb65bfc53</t>
  </si>
  <si>
    <r>
      <rPr>
        <rFont val="Arial, sans-serif"/>
        <color rgb="FF1155CC"/>
        <u/>
      </rPr>
      <t>https://4ammedia.zendesk.com/agent/tickets/177498</t>
    </r>
  </si>
  <si>
    <r>
      <rPr>
        <rFont val="Arial, sans-serif"/>
        <color rgb="FF1155CC"/>
        <u/>
      </rPr>
      <t>https://horizondirect.gorgias.com/app/ticket/378634159</t>
    </r>
  </si>
  <si>
    <r>
      <rPr>
        <rFont val="Arial, sans-serif"/>
        <color rgb="FF1155CC"/>
        <u/>
      </rPr>
      <t>https://4ammedia.zendesk.com/agent/tickets/177512</t>
    </r>
  </si>
  <si>
    <r>
      <rPr>
        <rFont val="Arial, sans-serif"/>
        <color rgb="FF1155CC"/>
        <u/>
      </rPr>
      <t>https://4ammedia.zendesk.com/agent/tickets/143411</t>
    </r>
  </si>
  <si>
    <r>
      <rPr>
        <rFont val="Arial, sans-serif"/>
        <color rgb="FF1155CC"/>
        <u/>
      </rPr>
      <t>https://4ammedia.zendesk.com/agent/tickets/178248</t>
    </r>
  </si>
  <si>
    <r>
      <rPr>
        <rFont val="Arial, sans-serif"/>
        <color rgb="FF1155CC"/>
        <u/>
      </rPr>
      <t>https://4ammedia.zendesk.com/agent/tickets/143744</t>
    </r>
  </si>
  <si>
    <r>
      <rPr>
        <rFont val="Arial, sans-serif"/>
        <color rgb="FF1155CC"/>
        <u/>
      </rPr>
      <t>https://4ammedia.zendesk.com/agent/tickets/178276</t>
    </r>
  </si>
  <si>
    <r>
      <rPr>
        <rFont val="Arial, sans-serif"/>
        <color rgb="FF1155CC"/>
        <u/>
      </rPr>
      <t>https://horizondirect.gorgias.com/app/ticket/378647453</t>
    </r>
  </si>
  <si>
    <r>
      <rPr>
        <rFont val="Arial, sans-serif"/>
        <color rgb="FF1155CC"/>
        <u/>
      </rPr>
      <t>https://4ammedia.zendesk.com/agent/tickets/178336</t>
    </r>
  </si>
  <si>
    <r>
      <rPr>
        <rFont val="Arial, sans-serif"/>
        <color rgb="FF1155CC"/>
        <u/>
      </rPr>
      <t>https://4ammedia.zendesk.com/agent/tickets/143910</t>
    </r>
  </si>
  <si>
    <t xml:space="preserve">GREAT CALL! </t>
  </si>
  <si>
    <r>
      <rPr>
        <rFont val="Arial, sans-serif"/>
        <color rgb="FF1155CC"/>
        <u/>
      </rPr>
      <t>https://horizondirect.gorgias.com/app/ticket/378653378</t>
    </r>
  </si>
  <si>
    <r>
      <rPr>
        <rFont val="Arial, sans-serif"/>
        <color rgb="FF1155CC"/>
        <u/>
      </rPr>
      <t>https://4ammedia.zendesk.com/agent/tickets/145043</t>
    </r>
  </si>
  <si>
    <r>
      <rPr>
        <rFont val="Arial, sans-serif"/>
        <color rgb="FF1155CC"/>
        <u/>
      </rPr>
      <t>https://horizondirect.gorgias.com/app/ticket/378716252</t>
    </r>
  </si>
  <si>
    <r>
      <rPr>
        <rFont val="Arial, sans-serif"/>
        <color rgb="FF1155CC"/>
        <u/>
      </rPr>
      <t>https://4ammedia.zendesk.com/agent/tickets/145171</t>
    </r>
  </si>
  <si>
    <r>
      <rPr>
        <rFont val="Arial, sans-serif"/>
        <color rgb="FF1155CC"/>
        <u/>
      </rPr>
      <t>https://horizondirect.gorgias.com/app/ticket/378730626</t>
    </r>
  </si>
  <si>
    <r>
      <rPr>
        <rFont val="Arial, sans-serif"/>
        <color rgb="FF1155CC"/>
        <u/>
      </rPr>
      <t>https://4ammedia.zendesk.com/agent/tickets/145275</t>
    </r>
  </si>
  <si>
    <r>
      <rPr>
        <rFont val="Arial, sans-serif"/>
        <color rgb="FF1155CC"/>
        <u/>
      </rPr>
      <t>https://horizondirect.gorgias.com/app/ticket/378741814</t>
    </r>
  </si>
  <si>
    <r>
      <rPr>
        <rFont val="Arial, sans-serif"/>
        <color rgb="FF1155CC"/>
        <u/>
      </rPr>
      <t>https://4ammedia.zendesk.com/agent/tickets/147867</t>
    </r>
  </si>
  <si>
    <r>
      <rPr>
        <rFont val="Arial, sans-serif"/>
        <color rgb="FF1155CC"/>
        <u/>
      </rPr>
      <t>https://horizondirect.gorgias.com/app/ticket/376298025</t>
    </r>
  </si>
  <si>
    <r>
      <rPr>
        <rFont val="Arial, sans-serif"/>
        <color rgb="FF1155CC"/>
        <u/>
      </rPr>
      <t>https://4ammedia.zendesk.com/agent/tickets/147882</t>
    </r>
  </si>
  <si>
    <r>
      <rPr>
        <rFont val="Arial, sans-serif"/>
        <color rgb="FF1155CC"/>
        <u/>
      </rPr>
      <t>https://horizondirect.gorgias.com/app/ticket/378841700</t>
    </r>
  </si>
  <si>
    <r>
      <rPr>
        <rFont val="Arial, sans-serif"/>
        <color rgb="FF1155CC"/>
        <u/>
      </rPr>
      <t>https://4ammedia.zendesk.com/agent/tickets/147915</t>
    </r>
  </si>
  <si>
    <r>
      <rPr>
        <rFont val="Arial, sans-serif"/>
        <color rgb="FF1155CC"/>
        <u/>
      </rPr>
      <t>https://horizondirect.gorgias.com/app/ticket/378868070</t>
    </r>
  </si>
  <si>
    <r>
      <rPr>
        <rFont val="Arial, sans-serif"/>
        <color rgb="FF1155CC"/>
        <u/>
      </rPr>
      <t>https://horizondirect.gorgias.com/app/ticket/378880750</t>
    </r>
  </si>
  <si>
    <r>
      <rPr>
        <rFont val="Arial, sans-serif"/>
        <color rgb="FF1155CC"/>
        <u/>
      </rPr>
      <t>https://4ammedia.zendesk.com/agent/tickets/189906</t>
    </r>
  </si>
  <si>
    <t>CSR failed to offer BTE to cx</t>
  </si>
  <si>
    <r>
      <rPr>
        <rFont val="Arial, sans-serif"/>
        <color rgb="FF1155CC"/>
        <u/>
      </rPr>
      <t>https://horizondirect.gorgias.com/app/ticket/378983013</t>
    </r>
  </si>
  <si>
    <r>
      <rPr>
        <rFont val="Arial, sans-serif"/>
        <color rgb="FF1155CC"/>
        <u/>
      </rPr>
      <t>https://4ammedia.zendesk.com/agent/tickets/189952</t>
    </r>
  </si>
  <si>
    <r>
      <rPr>
        <rFont val="Arial, sans-serif"/>
        <color rgb="FF1155CC"/>
        <u/>
      </rPr>
      <t>https://horizondirect.gorgias.com/app/ticket/379681295</t>
    </r>
  </si>
  <si>
    <r>
      <rPr>
        <rFont val="Arial, sans-serif"/>
        <color rgb="FF1155CC"/>
        <u/>
      </rPr>
      <t>https://horizondirect.gorgias.com/app/ticket/379002874</t>
    </r>
  </si>
  <si>
    <r>
      <rPr>
        <rFont val="Arial, sans-serif"/>
        <color rgb="FF1155CC"/>
        <u/>
      </rPr>
      <t>https://4ammedia.zendesk.com/agent/tickets/149594</t>
    </r>
  </si>
  <si>
    <r>
      <rPr>
        <rFont val="Arial, sans-serif"/>
        <color rgb="FF1155CC"/>
        <u/>
      </rPr>
      <t>https://horizondirect.gorgias.com/app/ticket/379687319</t>
    </r>
  </si>
  <si>
    <r>
      <rPr>
        <rFont val="Arial, sans-serif"/>
        <color rgb="FF1155CC"/>
        <u/>
      </rPr>
      <t>https://4ammedia.zendesk.com/agent/tickets/190138</t>
    </r>
  </si>
  <si>
    <r>
      <rPr>
        <rFont val="Arial, sans-serif"/>
        <color rgb="FF1155CC"/>
        <u/>
      </rPr>
      <t>https://horizondirect.gorgias.com/app/ticket/379008799</t>
    </r>
  </si>
  <si>
    <t xml:space="preserve">Lacks of probing. CSR  Immediately resorted to Audiologist consultation and return. </t>
  </si>
  <si>
    <r>
      <rPr>
        <rFont val="Arial, sans-serif"/>
        <color rgb="FF1155CC"/>
        <u/>
      </rPr>
      <t>https://horizondirect.gorgias.com/app/ticket/379704478</t>
    </r>
  </si>
  <si>
    <r>
      <rPr>
        <rFont val="Arial, sans-serif"/>
        <color rgb="FF1155CC"/>
        <u/>
      </rPr>
      <t>https://4ammedia.zendesk.com/agent/tickets/192070</t>
    </r>
  </si>
  <si>
    <r>
      <rPr>
        <rFont val="Arial, sans-serif"/>
        <color rgb="FF1155CC"/>
        <u/>
      </rPr>
      <t>https://4ammedia.zendesk.com/agent/tickets/149654</t>
    </r>
  </si>
  <si>
    <r>
      <rPr>
        <rFont val="Arial, sans-serif"/>
        <color rgb="FF1155CC"/>
        <u/>
      </rPr>
      <t>https://4ammedia.zendesk.com/agent/tickets/192130</t>
    </r>
  </si>
  <si>
    <r>
      <rPr>
        <rFont val="Arial, sans-serif"/>
        <color rgb="FF1155CC"/>
        <u/>
      </rPr>
      <t>https://horizondirect.gorgias.com/app/ticket/379822783</t>
    </r>
  </si>
  <si>
    <r>
      <rPr>
        <rFont val="Arial, sans-serif"/>
        <color rgb="FF1155CC"/>
        <u/>
      </rPr>
      <t>https://horizondirect.gorgias.com/app/ticket/379829980</t>
    </r>
  </si>
  <si>
    <r>
      <rPr>
        <rFont val="Arial, sans-serif"/>
        <color rgb="FF1155CC"/>
        <u/>
      </rPr>
      <t>https://4ammedia.zendesk.com/agent/tickets/149667</t>
    </r>
  </si>
  <si>
    <r>
      <rPr>
        <rFont val="Arial, sans-serif"/>
        <color rgb="FF1155CC"/>
        <u/>
      </rPr>
      <t>https://4ammedia.zendesk.com/agent/tickets/191591</t>
    </r>
  </si>
  <si>
    <r>
      <rPr>
        <rFont val="Arial, sans-serif"/>
        <color rgb="FF1155CC"/>
        <u/>
      </rPr>
      <t>https://horizondirect.gorgias.com/app/ticket/379842607</t>
    </r>
  </si>
  <si>
    <r>
      <rPr>
        <rFont val="Arial, sans-serif"/>
        <color rgb="FF1155CC"/>
        <u/>
      </rPr>
      <t>https://4ammedia.zendesk.com/agent/tickets/193495</t>
    </r>
  </si>
  <si>
    <r>
      <rPr>
        <rFont val="Arial, sans-serif"/>
        <color rgb="FF1155CC"/>
        <u/>
      </rPr>
      <t>https://4ammedia.zendesk.com/agent/tickets/150946</t>
    </r>
  </si>
  <si>
    <r>
      <rPr>
        <rFont val="Arial, sans-serif"/>
        <color rgb="FF1155CC"/>
        <u/>
      </rPr>
      <t>https://horizondirect.gorgias.com/app/ticket/380116275</t>
    </r>
  </si>
  <si>
    <r>
      <rPr>
        <rFont val="Arial, sans-serif"/>
        <color rgb="FF1155CC"/>
        <u/>
      </rPr>
      <t>https://horizondirect.gorgias.com/app/ticket/379242998</t>
    </r>
  </si>
  <si>
    <r>
      <rPr>
        <rFont val="Arial, sans-serif"/>
        <color rgb="FF1155CC"/>
        <u/>
      </rPr>
      <t>https://horizondirect.gorgias.com/app/ticket/380141921</t>
    </r>
  </si>
  <si>
    <r>
      <rPr>
        <rFont val="Arial, sans-serif"/>
        <color rgb="FF1155CC"/>
        <u/>
      </rPr>
      <t>https://4ammedia.zendesk.com/agent/tickets/151054</t>
    </r>
  </si>
  <si>
    <r>
      <rPr>
        <rFont val="Arial, sans-serif"/>
        <color rgb="FF1155CC"/>
        <u/>
      </rPr>
      <t>https://horizondirect.gorgias.com/app/ticket/380156559</t>
    </r>
  </si>
  <si>
    <r>
      <rPr>
        <rFont val="Arial, sans-serif"/>
        <color rgb="FF1155CC"/>
        <u/>
      </rPr>
      <t>https://4ammedia.zendesk.com/agent/tickets/193540</t>
    </r>
  </si>
  <si>
    <r>
      <rPr>
        <rFont val="Arial, sans-serif"/>
        <color rgb="FF1155CC"/>
        <u/>
      </rPr>
      <t>https://horizondirect.gorgias.com/app/ticket/379253964</t>
    </r>
  </si>
  <si>
    <r>
      <rPr>
        <rFont val="Arial, sans-serif"/>
        <color rgb="FF1155CC"/>
        <u/>
      </rPr>
      <t>https://4ammedia.zendesk.com/agent/tickets/151299</t>
    </r>
  </si>
  <si>
    <t xml:space="preserve">International order is not eligible for return - we only 50% refund. Since cx will ocver custome fees which i </t>
  </si>
  <si>
    <t>https://horizondirect.gorgias.com/app/ticket/380244984</t>
  </si>
  <si>
    <r>
      <rPr>
        <rFont val="Arial, sans-serif"/>
        <color rgb="FF1155CC"/>
        <u/>
      </rPr>
      <t>https://4ammedia.zendesk.com/agent/tickets/193613</t>
    </r>
  </si>
  <si>
    <r>
      <rPr>
        <rFont val="Arial"/>
        <color rgb="FF1155CC"/>
        <u/>
      </rPr>
      <t>https://horizondirect.gorgias.com/app/ticket/380260616</t>
    </r>
  </si>
  <si>
    <r>
      <rPr>
        <rFont val="Arial, sans-serif"/>
        <color rgb="FF1155CC"/>
        <u/>
      </rPr>
      <t>https://4ammedia.zendesk.com/agent/tickets/152332</t>
    </r>
  </si>
  <si>
    <r>
      <rPr>
        <rFont val="Arial, sans-serif"/>
        <color rgb="FF1155CC"/>
        <u/>
      </rPr>
      <t>https://4ammedia.zendesk.com/agent/tickets/197743</t>
    </r>
  </si>
  <si>
    <r>
      <rPr>
        <rFont val="Arial, sans-serif"/>
        <color rgb="FF1155CC"/>
        <u/>
      </rPr>
      <t>https://horizondirect.gorgias.com/app/ticket/379270072</t>
    </r>
  </si>
  <si>
    <r>
      <rPr>
        <rFont val="Arial"/>
        <color rgb="FF1155CC"/>
        <u/>
      </rPr>
      <t>https://horizondirect.gorgias.com/app/ticket/380275873</t>
    </r>
  </si>
  <si>
    <r>
      <rPr>
        <rFont val="Arial, sans-serif"/>
        <color rgb="FF1155CC"/>
        <u/>
      </rPr>
      <t>https://4ammedia.zendesk.com/agent/tickets/197923</t>
    </r>
  </si>
  <si>
    <r>
      <rPr>
        <rFont val="Arial"/>
        <color rgb="FF1155CC"/>
        <u/>
      </rPr>
      <t>https://horizondirect.gorgias.com/app/ticket/380350488</t>
    </r>
  </si>
  <si>
    <r>
      <rPr>
        <rFont val="Arial, sans-serif"/>
        <color rgb="FF1155CC"/>
        <u/>
      </rPr>
      <t>https://4ammedia.zendesk.com/agent/tickets/197931</t>
    </r>
  </si>
  <si>
    <t>The sales tax for the hearing aid has been refunded, but the sales tax for the warrant and initial shipping cost is non refundable as those item are not eligible for refund</t>
  </si>
  <si>
    <r>
      <rPr>
        <rFont val="Arial, sans-serif"/>
        <color rgb="FF1155CC"/>
        <u/>
      </rPr>
      <t>https://horizondirect.gorgias.com/app/ticket/379373715</t>
    </r>
  </si>
  <si>
    <r>
      <rPr>
        <rFont val="Arial"/>
        <color rgb="FF1155CC"/>
        <u/>
      </rPr>
      <t>https://horizondirect.gorgias.com/app/ticket/380370488</t>
    </r>
  </si>
  <si>
    <r>
      <rPr>
        <rFont val="Arial, sans-serif"/>
        <color rgb="FF1155CC"/>
        <u/>
      </rPr>
      <t>https://4ammedia.zendesk.com/agent/tickets/152633</t>
    </r>
  </si>
  <si>
    <r>
      <rPr>
        <rFont val="Arial, sans-serif"/>
        <color rgb="FF1155CC"/>
        <u/>
      </rPr>
      <t>https://4ammedia.zendesk.com/agent/tickets/198625</t>
    </r>
  </si>
  <si>
    <r>
      <rPr>
        <rFont val="Arial"/>
        <color rgb="FF1155CC"/>
        <u/>
      </rPr>
      <t>https://horizondirect.gorgias.com/app/ticket/380371686</t>
    </r>
  </si>
  <si>
    <r>
      <rPr>
        <rFont val="Arial, sans-serif"/>
        <color rgb="FF1155CC"/>
        <u/>
      </rPr>
      <t>https://4ammedia.zendesk.com/agent/tickets/152796</t>
    </r>
  </si>
  <si>
    <r>
      <rPr>
        <rFont val="Arial, sans-serif"/>
        <color rgb="FF1155CC"/>
        <u/>
      </rPr>
      <t>https://horizondirect.gorgias.com/app/ticket/379380602</t>
    </r>
  </si>
  <si>
    <r>
      <rPr>
        <rFont val="Arial, sans-serif"/>
        <color rgb="FF1155CC"/>
        <u/>
      </rPr>
      <t>https://4ammedia.zendesk.com/agent/tickets/198713</t>
    </r>
  </si>
  <si>
    <t>No detailed troubleshooting notes incldued</t>
  </si>
  <si>
    <r>
      <rPr>
        <rFont val="Arial, sans-serif"/>
        <color rgb="FF1155CC"/>
        <u/>
      </rPr>
      <t>https://4ammedia.zendesk.com/agent/tickets/198852</t>
    </r>
  </si>
  <si>
    <r>
      <rPr>
        <rFont val="Arial, sans-serif"/>
        <color rgb="FF1155CC"/>
        <u/>
      </rPr>
      <t>https://4ammedia.zendesk.com/agent/tickets/156826</t>
    </r>
  </si>
  <si>
    <r>
      <rPr>
        <rFont val="Arial, sans-serif"/>
        <color rgb="FF1155CC"/>
        <u/>
      </rPr>
      <t>https://horizondirect.gorgias.com/app/ticket/379408347</t>
    </r>
  </si>
  <si>
    <t>https://horizondirect.gorgias.com/app/ticket/380324822</t>
  </si>
  <si>
    <r>
      <rPr>
        <rFont val="Arial, sans-serif"/>
        <color rgb="FF1155CC"/>
        <u/>
      </rPr>
      <t>https://4ammedia.zendesk.com/agent/tickets/156991</t>
    </r>
  </si>
  <si>
    <r>
      <rPr>
        <rFont val="Arial"/>
        <color rgb="FF1155CC"/>
        <u/>
      </rPr>
      <t>https://horizondirect.gorgias.com/app/ticket/379468952</t>
    </r>
  </si>
  <si>
    <r>
      <rPr>
        <rFont val="Arial, sans-serif"/>
        <color rgb="FF1155CC"/>
        <u/>
      </rPr>
      <t>https://4ammedia.zendesk.com/agent/tickets/156991</t>
    </r>
  </si>
  <si>
    <t>https://horizondirect.gorgias.com/app/ticket/380716614</t>
  </si>
  <si>
    <t>https://horizondirect.gorgias.com/app/ticket/379574136</t>
  </si>
  <si>
    <r>
      <rPr>
        <rFont val="Arial, sans-serif"/>
        <color rgb="FF1155CC"/>
        <u/>
      </rPr>
      <t>https://4ammedia.zendesk.com/agent/tickets/157904</t>
    </r>
  </si>
  <si>
    <r>
      <rPr>
        <rFont val="Arial, sans-serif"/>
        <color rgb="FF1155CC"/>
        <u/>
      </rPr>
      <t>https://4ammedia.zendesk.com/agent/tickets/200598</t>
    </r>
  </si>
  <si>
    <r>
      <rPr>
        <rFont val="Arial, sans-serif"/>
        <color rgb="FF1155CC"/>
        <u/>
      </rPr>
      <t>https://horizondirect.gorgias.com/app/ticket/380726963</t>
    </r>
  </si>
  <si>
    <r>
      <rPr>
        <rFont val="Arial, sans-serif"/>
        <color rgb="FF1155CC"/>
        <u/>
      </rPr>
      <t>https://4ammedia.zendesk.com/agent/tickets/158171</t>
    </r>
  </si>
  <si>
    <r>
      <rPr>
        <rFont val="Arial, sans-serif"/>
        <color rgb="FF1155CC"/>
        <u/>
      </rPr>
      <t>https://horizondirect.gorgias.com/app/ticket/379436702</t>
    </r>
  </si>
  <si>
    <r>
      <rPr>
        <rFont val="Arial, sans-serif"/>
        <color rgb="FF1155CC"/>
        <u/>
      </rPr>
      <t>https://4ammedia.zendesk.com/agent/tickets/158187</t>
    </r>
  </si>
  <si>
    <r>
      <rPr>
        <rFont val="Arial, sans-serif"/>
        <color rgb="FF1155CC"/>
        <u/>
      </rPr>
      <t>https://horizondirect.gorgias.com/app/ticket/380714408</t>
    </r>
  </si>
  <si>
    <r>
      <rPr>
        <rFont val="Arial, sans-serif"/>
        <color rgb="FF1155CC"/>
        <u/>
      </rPr>
      <t>https://4ammedia.zendesk.com/agent/tickets/200746</t>
    </r>
  </si>
  <si>
    <r>
      <rPr>
        <rFont val="Arial"/>
        <color rgb="FF1155CC"/>
        <u/>
      </rPr>
      <t>https://horizondirect.gorgias.com/app/ticket/379472122</t>
    </r>
  </si>
  <si>
    <t>https://horizondirect.gorgias.com/app/ticket/381251575</t>
  </si>
  <si>
    <r>
      <rPr>
        <rFont val="Arial, sans-serif"/>
        <color rgb="FF1155CC"/>
        <u/>
      </rPr>
      <t>https://4ammedia.zendesk.com/agent/tickets/200997</t>
    </r>
  </si>
  <si>
    <t>https://horizondirect.gorgias.com/app/ticket/381254037</t>
  </si>
  <si>
    <r>
      <rPr>
        <rFont val="Arial, sans-serif"/>
        <color rgb="FF1155CC"/>
        <u/>
      </rPr>
      <t>https://4ammedia.zendesk.com/agent/tickets/202394</t>
    </r>
  </si>
  <si>
    <r>
      <rPr>
        <rFont val="Arial, sans-serif"/>
        <color rgb="FF1155CC"/>
        <u/>
      </rPr>
      <t>https://horizondirect.gorgias.com/app/ticket/381255027</t>
    </r>
  </si>
  <si>
    <r>
      <rPr>
        <rFont val="Arial, sans-serif"/>
        <color rgb="FF1155CC"/>
        <u/>
      </rPr>
      <t>https://horizondirect.gorgias.com/app/ticket/381376489</t>
    </r>
  </si>
  <si>
    <r>
      <rPr>
        <rFont val="Arial, sans-serif"/>
        <color rgb="FF1155CC"/>
        <u/>
      </rPr>
      <t>https://4ammedia.zendesk.com/agent/tickets/202653</t>
    </r>
  </si>
  <si>
    <r>
      <rPr>
        <rFont val="Arial"/>
        <color rgb="FF1155CC"/>
        <u/>
      </rPr>
      <t>https://horizondirect.gorgias.com/app/ticket/379479181</t>
    </r>
  </si>
  <si>
    <r>
      <rPr>
        <rFont val="Arial"/>
        <color theme="1"/>
      </rPr>
      <t xml:space="preserve">Tagging should be </t>
    </r>
    <r>
      <rPr>
        <rFont val="Arial"/>
        <b/>
        <i/>
        <color rgb="FF990000"/>
      </rPr>
      <t>Complaint        &gt; Order_Creation        &gt; Order Status - Order not found        Resolved - With Reply</t>
    </r>
  </si>
  <si>
    <r>
      <rPr>
        <rFont val="Arial, sans-serif"/>
        <color rgb="FF1155CC"/>
        <u/>
      </rPr>
      <t>https://4ammedia.zendesk.com/agent/tickets/202708</t>
    </r>
  </si>
  <si>
    <r>
      <rPr>
        <rFont val="Arial, sans-serif"/>
        <color rgb="FF1155CC"/>
        <u/>
      </rPr>
      <t>https://horizondirect.gorgias.com/app/ticket/381349939</t>
    </r>
  </si>
  <si>
    <t xml:space="preserve">BTE should be manually turned on and CX should hear beeping prompt tone to verify that the deivce is turned on </t>
  </si>
  <si>
    <r>
      <rPr>
        <rFont val="Arial, sans-serif"/>
        <color rgb="FF1155CC"/>
        <u/>
      </rPr>
      <t>https://4ammedia.zendesk.com/agent/tickets/204426</t>
    </r>
  </si>
  <si>
    <r>
      <rPr>
        <rFont val="Arial, sans-serif"/>
        <color rgb="FF1155CC"/>
        <u/>
      </rPr>
      <t>https://horizondirect.gorgias.com/app/ticket/381370391</t>
    </r>
  </si>
  <si>
    <r>
      <rPr>
        <rFont val="Arial, sans-serif"/>
        <color rgb="FF1155CC"/>
        <u/>
      </rPr>
      <t>https://4ammedia.zendesk.com/agent/tickets/159641</t>
    </r>
  </si>
  <si>
    <t>CSR should've suggested cleaning the charging ports or the hearing aid. Also try using a differnent charging cord. Lacks of probing and TS</t>
  </si>
  <si>
    <r>
      <rPr>
        <rFont val="Arial, sans-serif"/>
        <color rgb="FF1155CC"/>
        <u/>
      </rPr>
      <t>https://horizondirect.gorgias.com/app/ticket/381365022</t>
    </r>
  </si>
  <si>
    <r>
      <rPr>
        <rFont val="Arial, sans-serif"/>
        <color rgb="FF1155CC"/>
        <u/>
      </rPr>
      <t>https://4ammedia.zendesk.com/agent/tickets/204607</t>
    </r>
  </si>
  <si>
    <r>
      <rPr>
        <rFont val="Arial, sans-serif"/>
        <color rgb="FF1155CC"/>
        <u/>
      </rPr>
      <t>https://horizondirect.gorgias.com/app/ticket/381367783</t>
    </r>
  </si>
  <si>
    <r>
      <rPr>
        <rFont val="Arial, sans-serif"/>
        <color rgb="FF1155CC"/>
        <u/>
      </rPr>
      <t>https://horizondirect.gorgias.com/app/ticket/381381449</t>
    </r>
  </si>
  <si>
    <r>
      <rPr>
        <rFont val="Arial, sans-serif"/>
        <color rgb="FF1155CC"/>
        <u/>
      </rPr>
      <t>https://4ammedia.zendesk.com/agent/tickets/159291</t>
    </r>
  </si>
  <si>
    <r>
      <rPr>
        <rFont val="Arial, sans-serif"/>
        <color rgb="FF1155CC"/>
        <u/>
      </rPr>
      <t>https://horizondirect.gorgias.com/app/ticket/379681295</t>
    </r>
  </si>
  <si>
    <r>
      <rPr>
        <rFont val="Arial, sans-serif"/>
        <color rgb="FF1155CC"/>
        <u/>
      </rPr>
      <t>https://4ammedia.zendesk.com/agent/tickets/159850</t>
    </r>
  </si>
  <si>
    <r>
      <rPr>
        <rFont val="Arial, sans-serif"/>
        <color rgb="FF1155CC"/>
        <u/>
      </rPr>
      <t>https://4ammedia.zendesk.com/agent/tickets/204706</t>
    </r>
  </si>
  <si>
    <r>
      <rPr>
        <rFont val="Arial, sans-serif"/>
        <color rgb="FF1155CC"/>
        <u/>
      </rPr>
      <t>https://4ammedia.zendesk.com/agent/tickets/161440</t>
    </r>
  </si>
  <si>
    <r>
      <rPr>
        <rFont val="Arial, sans-serif"/>
        <color rgb="FF1155CC"/>
        <u/>
      </rPr>
      <t>https://horizondirect.gorgias.com/app/ticket/381481478</t>
    </r>
  </si>
  <si>
    <r>
      <rPr>
        <rFont val="Arial, sans-serif"/>
        <color rgb="FF1155CC"/>
        <u/>
      </rPr>
      <t>https://4ammedia.zendesk.com/agent/tickets/209291</t>
    </r>
  </si>
  <si>
    <r>
      <rPr>
        <rFont val="Arial, sans-serif"/>
        <color rgb="FF1155CC"/>
        <u/>
      </rPr>
      <t>https://4ammedia.zendesk.com/agent/tickets/209470</t>
    </r>
  </si>
  <si>
    <r>
      <rPr>
        <rFont val="Arial, sans-serif"/>
        <color rgb="FF1155CC"/>
        <u/>
      </rPr>
      <t>https://4ammedia.zendesk.com/agent/tickets/161469</t>
    </r>
  </si>
  <si>
    <r>
      <rPr>
        <rFont val="Arial, sans-serif"/>
        <color rgb="FF1155CC"/>
        <u/>
      </rPr>
      <t>https://horizondirect.gorgias.com/app/ticket/381484631</t>
    </r>
  </si>
  <si>
    <r>
      <rPr>
        <rFont val="Arial, sans-serif"/>
        <color rgb="FF1155CC"/>
        <u/>
      </rPr>
      <t>https://4ammedia.zendesk.com/agent/tickets/209476</t>
    </r>
  </si>
  <si>
    <r>
      <rPr>
        <rFont val="Arial, sans-serif"/>
        <color rgb="FF1155CC"/>
        <u/>
      </rPr>
      <t>https://horizondirect.gorgias.com/app/ticket/379687319</t>
    </r>
  </si>
  <si>
    <r>
      <rPr>
        <rFont val="Arial, sans-serif"/>
        <color rgb="FF1155CC"/>
        <u/>
      </rPr>
      <t>https://horizondirect.gorgias.com/app/ticket/381488126</t>
    </r>
  </si>
  <si>
    <r>
      <rPr>
        <rFont val="Arial, sans-serif"/>
        <color rgb="FF1155CC"/>
        <u/>
      </rPr>
      <t>https://4ammedia.zendesk.com/agent/tickets/210405</t>
    </r>
  </si>
  <si>
    <t>https://horizondirect.gorgias.com/app/ticket/381646153</t>
  </si>
  <si>
    <r>
      <rPr>
        <rFont val="Arial, sans-serif"/>
        <color rgb="FF1155CC"/>
        <u/>
      </rPr>
      <t>https://4ammedia.zendesk.com/agent/tickets/210571</t>
    </r>
  </si>
  <si>
    <r>
      <rPr>
        <rFont val="Arial, sans-serif"/>
        <color rgb="FF1155CC"/>
        <u/>
      </rPr>
      <t>https://horizondirect.gorgias.com/app/ticket/379704478</t>
    </r>
  </si>
  <si>
    <t>CSR should've tried to offer guidance on proper insertion of the hearing aid</t>
  </si>
  <si>
    <r>
      <rPr>
        <rFont val="Arial, sans-serif"/>
        <color rgb="FF1155CC"/>
        <u/>
      </rPr>
      <t>https://4ammedia.zendesk.com/agent/tickets/161502</t>
    </r>
  </si>
  <si>
    <t>https://horizondirect.gorgias.com/app/ticket/381626764</t>
  </si>
  <si>
    <t>https://horizondirect.gorgias.com/app/ticket/381638990</t>
  </si>
  <si>
    <r>
      <rPr>
        <rFont val="Arial, sans-serif"/>
        <color rgb="FF1155CC"/>
        <u/>
      </rPr>
      <t>https://horizondirect.gorgias.com/app/ticket/381773285</t>
    </r>
  </si>
  <si>
    <r>
      <rPr>
        <rFont val="Arial, sans-serif"/>
        <color rgb="FF1155CC"/>
        <u/>
      </rPr>
      <t>https://horizondirect.gorgias.com/app/ticket/379822783</t>
    </r>
  </si>
  <si>
    <r>
      <rPr>
        <rFont val="Arial, sans-serif"/>
        <color rgb="FF1155CC"/>
        <u/>
      </rPr>
      <t>https://4ammedia.zendesk.com/agent/tickets/162602</t>
    </r>
  </si>
  <si>
    <r>
      <rPr>
        <rFont val="Arial, sans-serif"/>
        <color rgb="FF1155CC"/>
        <u/>
      </rPr>
      <t>https://4ammedia.zendesk.com/agent/tickets/210650</t>
    </r>
  </si>
  <si>
    <r>
      <rPr>
        <rFont val="Arial, sans-serif"/>
        <color rgb="FF1155CC"/>
        <u/>
      </rPr>
      <t>https://horizondirect.gorgias.com/app/ticket/381782889</t>
    </r>
  </si>
  <si>
    <r>
      <rPr>
        <rFont val="Arial, sans-serif"/>
        <color rgb="FF1155CC"/>
        <u/>
      </rPr>
      <t>https://4ammedia.zendesk.com/agent/tickets/162678</t>
    </r>
  </si>
  <si>
    <r>
      <rPr>
        <rFont val="Arial, sans-serif"/>
        <color rgb="FF1155CC"/>
        <u/>
      </rPr>
      <t>https://horizondirect.gorgias.com/app/ticket/379829980</t>
    </r>
  </si>
  <si>
    <r>
      <rPr>
        <rFont val="Arial, sans-serif"/>
        <color rgb="FF1155CC"/>
        <u/>
      </rPr>
      <t>https://horizondirect.gorgias.com/app/ticket/381800966</t>
    </r>
  </si>
  <si>
    <t>https://horizondirect.gorgias.com/app/ticket/382226917</t>
  </si>
  <si>
    <r>
      <rPr>
        <rFont val="Arial, sans-serif"/>
        <color rgb="FF1155CC"/>
        <u/>
      </rPr>
      <t>https://4ammedia.zendesk.com/agent/tickets/211879</t>
    </r>
  </si>
  <si>
    <r>
      <rPr>
        <rFont val="Arial, sans-serif"/>
        <color rgb="FF1155CC"/>
        <u/>
      </rPr>
      <t>https://4ammedia.zendesk.com/agent/tickets/162878</t>
    </r>
  </si>
  <si>
    <t>https://horizondirect.gorgias.com/app/ticket/382193814</t>
  </si>
  <si>
    <r>
      <rPr>
        <rFont val="Arial, sans-serif"/>
        <color rgb="FF1155CC"/>
        <u/>
      </rPr>
      <t>https://4ammedia.zendesk.com/agent/tickets/167197</t>
    </r>
  </si>
  <si>
    <t>https://horizondirect.gorgias.com/app/ticket/382213811</t>
  </si>
  <si>
    <r>
      <rPr>
        <rFont val="Arial, sans-serif"/>
        <color rgb="FF1155CC"/>
        <u/>
      </rPr>
      <t>https://4ammedia.zendesk.com/agent/tickets/212034</t>
    </r>
  </si>
  <si>
    <r>
      <rPr>
        <rFont val="Arial, sans-serif"/>
        <color rgb="FF1155CC"/>
        <u/>
      </rPr>
      <t>https://horizondirect.gorgias.com/app/ticket/382298673</t>
    </r>
  </si>
  <si>
    <r>
      <rPr>
        <rFont val="Arial, sans-serif"/>
        <color rgb="FF1155CC"/>
        <u/>
      </rPr>
      <t>https://4ammedia.zendesk.com/agent/tickets/167250</t>
    </r>
  </si>
  <si>
    <r>
      <rPr>
        <rFont val="Arial, sans-serif"/>
        <color rgb="FF1155CC"/>
        <u/>
      </rPr>
      <t>https://4ammedia.zendesk.com/agent/tickets/212185</t>
    </r>
  </si>
  <si>
    <r>
      <rPr>
        <rFont val="Arial, sans-serif"/>
        <color rgb="FF1155CC"/>
        <u/>
      </rPr>
      <t>https://horizondirect.gorgias.com/app/ticket/382311350</t>
    </r>
  </si>
  <si>
    <r>
      <rPr>
        <rFont val="Arial, sans-serif"/>
        <color rgb="FF1155CC"/>
        <u/>
      </rPr>
      <t>https://horizondirect.gorgias.com/app/ticket/379842607</t>
    </r>
  </si>
  <si>
    <r>
      <rPr>
        <rFont val="Arial, sans-serif"/>
        <color rgb="FF1155CC"/>
        <u/>
      </rPr>
      <t>https://4ammedia.zendesk.com/agent/tickets/167266</t>
    </r>
  </si>
  <si>
    <r>
      <rPr>
        <rFont val="Arial, sans-serif"/>
        <color rgb="FF1155CC"/>
        <u/>
      </rPr>
      <t>https://horizondirect.gorgias.com/app/ticket/382321079</t>
    </r>
  </si>
  <si>
    <r>
      <rPr>
        <rFont val="Arial, sans-serif"/>
        <color rgb="FF1155CC"/>
        <u/>
      </rPr>
      <t>https://4ammedia.zendesk.com/agent/tickets/213883</t>
    </r>
  </si>
  <si>
    <t>CSR should've asked cx what was the issue they encoutered on our device and provide TS</t>
  </si>
  <si>
    <r>
      <rPr>
        <rFont val="Arial, sans-serif"/>
        <color rgb="FF1155CC"/>
        <u/>
      </rPr>
      <t>https://4ammedia.zendesk.com/agent/tickets/213903</t>
    </r>
  </si>
  <si>
    <r>
      <rPr>
        <rFont val="Arial, sans-serif"/>
        <color rgb="FF1155CC"/>
        <u/>
      </rPr>
      <t>https://horizondirect.gorgias.com/app/ticket/382545099</t>
    </r>
  </si>
  <si>
    <r>
      <rPr>
        <rFont val="Arial, sans-serif"/>
        <color rgb="FF1155CC"/>
        <u/>
      </rPr>
      <t>https://4ammedia.zendesk.com/agent/tickets/214066</t>
    </r>
  </si>
  <si>
    <r>
      <rPr>
        <rFont val="Arial, sans-serif"/>
        <color rgb="FF1155CC"/>
        <u/>
      </rPr>
      <t>https://horizondirect.gorgias.com/app/ticket/380116275</t>
    </r>
  </si>
  <si>
    <r>
      <rPr>
        <rFont val="Arial, sans-serif"/>
        <color rgb="FF1155CC"/>
        <u/>
      </rPr>
      <t>https://4ammedia.zendesk.com/agent/tickets/168094</t>
    </r>
  </si>
  <si>
    <r>
      <rPr>
        <rFont val="Arial, sans-serif"/>
        <color rgb="FF1155CC"/>
        <u/>
      </rPr>
      <t>https://4ammedia.zendesk.com/agent/tickets/215974</t>
    </r>
  </si>
  <si>
    <r>
      <rPr>
        <rFont val="Arial, sans-serif"/>
        <color rgb="FF1155CC"/>
        <u/>
      </rPr>
      <t>https://horizondirect.gorgias.com/app/ticket/382572679</t>
    </r>
  </si>
  <si>
    <r>
      <rPr>
        <rFont val="Arial, sans-serif"/>
        <color rgb="FF1155CC"/>
        <u/>
      </rPr>
      <t>https://4ammedia.zendesk.com/agent/tickets/216062</t>
    </r>
  </si>
  <si>
    <r>
      <rPr>
        <rFont val="Arial, sans-serif"/>
        <color rgb="FF1155CC"/>
        <u/>
      </rPr>
      <t>https://horizondirect.gorgias.com/app/ticket/380141921</t>
    </r>
  </si>
  <si>
    <r>
      <rPr>
        <rFont val="Arial, sans-serif"/>
        <color rgb="FF1155CC"/>
        <u/>
      </rPr>
      <t>https://4ammedia.zendesk.com/agent/tickets/168256</t>
    </r>
  </si>
  <si>
    <t xml:space="preserve">Reminder, all self returned items are not eligible for refund, always disclose this to customer </t>
  </si>
  <si>
    <r>
      <rPr>
        <rFont val="Arial, sans-serif"/>
        <color rgb="FF1155CC"/>
        <u/>
      </rPr>
      <t>https://horizondirect.gorgias.com/app/ticket/382591627</t>
    </r>
  </si>
  <si>
    <r>
      <rPr>
        <rFont val="Arial, sans-serif"/>
        <color rgb="FF1155CC"/>
        <u/>
      </rPr>
      <t>https://4ammedia.zendesk.com/agent/tickets/216078</t>
    </r>
  </si>
  <si>
    <r>
      <rPr>
        <rFont val="Arial, sans-serif"/>
        <color rgb="FF1155CC"/>
        <u/>
      </rPr>
      <t>https://4ammedia.zendesk.com/agent/tickets/221025</t>
    </r>
  </si>
  <si>
    <r>
      <rPr>
        <rFont val="Arial, sans-serif"/>
        <color rgb="FF1155CC"/>
        <u/>
      </rPr>
      <t>https://horizondirect.gorgias.com/app/ticket/380156559</t>
    </r>
  </si>
  <si>
    <r>
      <rPr>
        <rFont val="Arial, sans-serif"/>
        <color rgb="FF1155CC"/>
        <u/>
      </rPr>
      <t>https://4ammedia.zendesk.com/agent/tickets/167529</t>
    </r>
  </si>
  <si>
    <r>
      <rPr>
        <rFont val="Arial, sans-serif"/>
        <color rgb="FF1155CC"/>
        <u/>
      </rPr>
      <t>https://4ammedia.zendesk.com/agent/tickets/221131</t>
    </r>
  </si>
  <si>
    <t>https://horizondirect.gorgias.com/app/ticket/382719493</t>
  </si>
  <si>
    <t>https://horizondirect.gorgias.com/app/ticket/382733618</t>
  </si>
  <si>
    <t>https://horizondirect.gorgias.com/app/ticket/382749837</t>
  </si>
  <si>
    <r>
      <rPr>
        <rFont val="Arial, sans-serif"/>
        <color rgb="FF1155CC"/>
        <u/>
      </rPr>
      <t>https://4ammedia.zendesk.com/agent/tickets/221269</t>
    </r>
  </si>
  <si>
    <r>
      <rPr>
        <rFont val="Arial, sans-serif"/>
        <color rgb="FF1155CC"/>
        <u/>
      </rPr>
      <t>https://horizondirect.gorgias.com/app/ticket/382860297</t>
    </r>
  </si>
  <si>
    <r>
      <rPr>
        <rFont val="Arial, sans-serif"/>
        <color rgb="FF1155CC"/>
        <u/>
      </rPr>
      <t>https://4ammedia.zendesk.com/agent/tickets/169954</t>
    </r>
  </si>
  <si>
    <r>
      <rPr>
        <rFont val="Arial"/>
        <color rgb="FF1155CC"/>
        <u/>
      </rPr>
      <t>https://horizondirect.gorgias.com/app/ticket/380260616</t>
    </r>
  </si>
  <si>
    <r>
      <rPr>
        <rFont val="Arial, sans-serif"/>
        <color rgb="FF1155CC"/>
        <u/>
      </rPr>
      <t>https://4ammedia.zendesk.com/agent/tickets/222388</t>
    </r>
  </si>
  <si>
    <r>
      <rPr>
        <rFont val="Arial, sans-serif"/>
        <color rgb="FF1155CC"/>
        <u/>
      </rPr>
      <t>https://horizondirect.gorgias.com/app/ticket/382872852</t>
    </r>
  </si>
  <si>
    <r>
      <rPr>
        <rFont val="Arial, sans-serif"/>
        <color rgb="FF1155CC"/>
        <u/>
      </rPr>
      <t>https://4ammedia.zendesk.com/agent/tickets/222551</t>
    </r>
  </si>
  <si>
    <r>
      <rPr>
        <rFont val="Arial"/>
        <color rgb="FF1155CC"/>
        <u/>
      </rPr>
      <t>https://horizondirect.gorgias.com/app/ticket/380275873</t>
    </r>
  </si>
  <si>
    <r>
      <rPr>
        <rFont val="Arial, sans-serif"/>
        <color rgb="FF1155CC"/>
        <u/>
      </rPr>
      <t>https://horizondirect.gorgias.com/app/ticket/382891620</t>
    </r>
  </si>
  <si>
    <r>
      <rPr>
        <rFont val="Arial, sans-serif"/>
        <color rgb="FF1155CC"/>
        <u/>
      </rPr>
      <t>https://4ammedia.zendesk.com/agent/tickets/222664</t>
    </r>
  </si>
  <si>
    <r>
      <rPr>
        <rFont val="Arial, sans-serif"/>
        <color rgb="FF1155CC"/>
        <u/>
      </rPr>
      <t>https://4ammedia.zendesk.com/agent/tickets/170176</t>
    </r>
  </si>
  <si>
    <r>
      <rPr>
        <rFont val="Arial, sans-serif"/>
        <color rgb="FF1155CC"/>
        <u/>
      </rPr>
      <t>https://horizondirect.gorgias.com/app/ticket/383132948</t>
    </r>
  </si>
  <si>
    <r>
      <rPr>
        <rFont val="Arial"/>
        <color rgb="FF1155CC"/>
        <u/>
      </rPr>
      <t>https://horizondirect.gorgias.com/app/ticket/380350488</t>
    </r>
  </si>
  <si>
    <r>
      <rPr>
        <rFont val="Arial, sans-serif"/>
        <color rgb="FF1155CC"/>
        <u/>
      </rPr>
      <t>https://horizondirect.gorgias.com/app/ticket/383147677</t>
    </r>
  </si>
  <si>
    <r>
      <rPr>
        <rFont val="Arial, sans-serif"/>
        <color rgb="FF1155CC"/>
        <u/>
      </rPr>
      <t>https://4ammedia.zendesk.com/agent/tickets/224474</t>
    </r>
  </si>
  <si>
    <r>
      <rPr>
        <rFont val="Arial"/>
        <color rgb="FF1155CC"/>
        <u/>
      </rPr>
      <t>https://horizondirect.gorgias.com/app/ticket/380370488</t>
    </r>
  </si>
  <si>
    <r>
      <rPr>
        <rFont val="Arial, sans-serif"/>
        <color rgb="FF1155CC"/>
        <u/>
      </rPr>
      <t>https://horizondirect.gorgias.com/app/ticket/383157291</t>
    </r>
  </si>
  <si>
    <r>
      <rPr>
        <rFont val="Arial, sans-serif"/>
        <color rgb="FF1155CC"/>
        <u/>
      </rPr>
      <t>https://4ammedia.zendesk.com/agent/tickets/170348</t>
    </r>
  </si>
  <si>
    <r>
      <rPr>
        <rFont val="Arial, sans-serif"/>
        <color rgb="FF1155CC"/>
        <u/>
      </rPr>
      <t>https://4ammedia.zendesk.com/agent/tickets/224632</t>
    </r>
  </si>
  <si>
    <r>
      <rPr>
        <rFont val="Arial"/>
        <color rgb="FF1155CC"/>
        <u/>
      </rPr>
      <t>https://horizondirect.gorgias.com/app/ticket/380371686</t>
    </r>
  </si>
  <si>
    <r>
      <rPr>
        <rFont val="Arial, sans-serif"/>
        <color rgb="FF1155CC"/>
        <u/>
      </rPr>
      <t>https://4ammedia.zendesk.com/agent/tickets/224843</t>
    </r>
  </si>
  <si>
    <r>
      <rPr>
        <rFont val="Arial, sans-serif"/>
        <color rgb="FF1155CC"/>
        <u/>
      </rPr>
      <t>https://4ammedia.zendesk.com/agent/tickets/171690</t>
    </r>
  </si>
  <si>
    <r>
      <rPr>
        <rFont val="Arial, sans-serif"/>
        <color rgb="FF1155CC"/>
        <u/>
      </rPr>
      <t>https://4ammedia.zendesk.com/agent/tickets/226829</t>
    </r>
  </si>
  <si>
    <r>
      <rPr>
        <rFont val="Arial, sans-serif"/>
        <color rgb="FF1155CC"/>
        <u/>
      </rPr>
      <t>https://horizondirect.gorgias.com/app/ticket/383221173</t>
    </r>
  </si>
  <si>
    <r>
      <rPr>
        <rFont val="Arial, sans-serif"/>
        <color rgb="FF1155CC"/>
        <u/>
      </rPr>
      <t>https://4ammedia.zendesk.com/agent/tickets/171894</t>
    </r>
  </si>
  <si>
    <r>
      <rPr>
        <rFont val="Arial, sans-serif"/>
        <color rgb="FF1155CC"/>
        <u/>
      </rPr>
      <t>https://4ammedia.zendesk.com/agent/tickets/226954</t>
    </r>
  </si>
  <si>
    <r>
      <rPr>
        <rFont val="Arial, sans-serif"/>
        <color rgb="FF1155CC"/>
        <u/>
      </rPr>
      <t>https://horizondirect.gorgias.com/app/ticket/383228588</t>
    </r>
  </si>
  <si>
    <r>
      <rPr>
        <rFont val="Arial, sans-serif"/>
        <color rgb="FF1155CC"/>
        <u/>
      </rPr>
      <t>https://4ammedia.zendesk.com/agent/tickets/171949</t>
    </r>
  </si>
  <si>
    <r>
      <rPr>
        <rFont val="Arial, sans-serif"/>
        <color rgb="FF1155CC"/>
        <u/>
      </rPr>
      <t>https://4ammedia.zendesk.com/agent/tickets/173164</t>
    </r>
  </si>
  <si>
    <r>
      <rPr>
        <rFont val="Arial, sans-serif"/>
        <color rgb="FF1155CC"/>
        <u/>
      </rPr>
      <t>https://horizondirect.gorgias.com/app/ticket/383243868</t>
    </r>
  </si>
  <si>
    <r>
      <rPr>
        <rFont val="Arial"/>
        <color rgb="FF1155CC"/>
        <u/>
      </rPr>
      <t>https://horizondirect.gorgias.com/app/ticket/380571217</t>
    </r>
  </si>
  <si>
    <r>
      <rPr>
        <rFont val="Arial, sans-serif"/>
        <color rgb="FF1155CC"/>
        <u/>
      </rPr>
      <t>https://4ammedia.zendesk.com/agent/tickets/227093</t>
    </r>
  </si>
  <si>
    <r>
      <rPr>
        <rFont val="Arial, sans-serif"/>
        <color rgb="FF1155CC"/>
        <u/>
      </rPr>
      <t>https://4ammedia.zendesk.com/agent/tickets/173413</t>
    </r>
  </si>
  <si>
    <r>
      <rPr>
        <rFont val="Arial, sans-serif"/>
        <color rgb="FF1155CC"/>
        <u/>
      </rPr>
      <t>https://4ammedia.zendesk.com/agent/tickets/228395</t>
    </r>
  </si>
  <si>
    <r>
      <rPr>
        <rFont val="Arial, sans-serif"/>
        <color rgb="FF1155CC"/>
        <u/>
      </rPr>
      <t>https://4ammedia.zendesk.com/agent/tickets/173556</t>
    </r>
  </si>
  <si>
    <r>
      <rPr>
        <rFont val="Arial, sans-serif"/>
        <color rgb="FF1155CC"/>
        <u/>
      </rPr>
      <t>https://horizondirect.gorgias.com/app/ticket/383431861</t>
    </r>
  </si>
  <si>
    <r>
      <rPr>
        <rFont val="Arial, sans-serif"/>
        <color rgb="FF1155CC"/>
        <u/>
      </rPr>
      <t>https://4ammedia.zendesk.com/agent/tickets/228561</t>
    </r>
  </si>
  <si>
    <r>
      <rPr>
        <rFont val="Arial, sans-serif"/>
        <color rgb="FF1155CC"/>
        <u/>
      </rPr>
      <t>https://4ammedia.zendesk.com/agent/tickets/228734</t>
    </r>
  </si>
  <si>
    <r>
      <rPr>
        <rFont val="Arial"/>
        <color rgb="FF1155CC"/>
        <u/>
      </rPr>
      <t>https://horizondirect.gorgias.com/app/ticket/380582463</t>
    </r>
  </si>
  <si>
    <r>
      <rPr>
        <rFont val="Arial, sans-serif"/>
        <color rgb="FF1155CC"/>
        <u/>
      </rPr>
      <t>https://horizondirect.gorgias.com/app/ticket/383449183</t>
    </r>
  </si>
  <si>
    <r>
      <rPr>
        <rFont val="Arial, sans-serif"/>
        <color rgb="FF1155CC"/>
        <u/>
      </rPr>
      <t>https://4ammedia.zendesk.com/agent/tickets/230594</t>
    </r>
  </si>
  <si>
    <r>
      <rPr>
        <rFont val="Arial"/>
        <color rgb="FF1155CC"/>
        <u/>
      </rPr>
      <t>https://horizondirect.gorgias.com/app/ticket/380621799</t>
    </r>
  </si>
  <si>
    <r>
      <rPr>
        <rFont val="Arial, sans-serif"/>
        <color rgb="FF1155CC"/>
        <u/>
      </rPr>
      <t>https://4ammedia.zendesk.com/agent/tickets/230702</t>
    </r>
  </si>
  <si>
    <r>
      <rPr>
        <rFont val="Arial, sans-serif"/>
        <color rgb="FF1155CC"/>
        <u/>
      </rPr>
      <t>https://horizondirect.gorgias.com/app/ticket/383464294</t>
    </r>
  </si>
  <si>
    <r>
      <rPr>
        <rFont val="Arial, sans-serif"/>
        <color rgb="FF1155CC"/>
        <u/>
      </rPr>
      <t>https://horizondirect.gorgias.com/app/ticket/383702713</t>
    </r>
  </si>
  <si>
    <r>
      <rPr>
        <rFont val="Arial, sans-serif"/>
        <color rgb="FF1155CC"/>
        <u/>
      </rPr>
      <t>https://horizondirect.gorgias.com/app/ticket/383722970</t>
    </r>
  </si>
  <si>
    <r>
      <rPr>
        <rFont val="Arial"/>
        <color rgb="FF1155CC"/>
        <u/>
      </rPr>
      <t>https://horizondirect.gorgias.com/app/ticket/380720922</t>
    </r>
  </si>
  <si>
    <r>
      <rPr>
        <rFont val="Arial, sans-serif"/>
        <color rgb="FF1155CC"/>
        <u/>
      </rPr>
      <t>https://horizondirect.gorgias.com/app/ticket/383735260</t>
    </r>
  </si>
  <si>
    <r>
      <rPr>
        <rFont val="Arial, sans-serif"/>
        <color rgb="FF1155CC"/>
        <u/>
      </rPr>
      <t>https://4ammedia.zendesk.com/agent/tickets/230785</t>
    </r>
  </si>
  <si>
    <r>
      <rPr>
        <rFont val="Arial, sans-serif"/>
        <color rgb="FF000000"/>
      </rPr>
      <t>https://4ammedia.zendesk.com/agent/tickets/176041</t>
    </r>
  </si>
  <si>
    <r>
      <rPr>
        <rFont val="Arial, sans-serif"/>
        <color rgb="FF1155CC"/>
        <u/>
      </rPr>
      <t>https://horizondirect.gorgias.com/app/ticket/383863961</t>
    </r>
  </si>
  <si>
    <r>
      <rPr>
        <rFont val="Arial, sans-serif"/>
        <color rgb="FF1155CC"/>
        <u/>
      </rPr>
      <t>https://4ammedia.zendesk.com/agent/tickets/232553</t>
    </r>
  </si>
  <si>
    <t>https://horizondirect.gorgias.com/app/ticket/380732495</t>
  </si>
  <si>
    <r>
      <rPr>
        <rFont val="Arial, sans-serif"/>
        <color rgb="FF1155CC"/>
        <u/>
      </rPr>
      <t>https://4ammedia.zendesk.com/agent/tickets/176070</t>
    </r>
  </si>
  <si>
    <r>
      <rPr>
        <rFont val="Arial, sans-serif"/>
        <color rgb="FF1155CC"/>
        <u/>
      </rPr>
      <t>https://horizondirect.gorgias.com/app/ticket/383869917</t>
    </r>
  </si>
  <si>
    <r>
      <rPr>
        <rFont val="Arial, sans-serif"/>
        <color rgb="FF1155CC"/>
        <u/>
      </rPr>
      <t>https://4ammedia.zendesk.com/agent/tickets/232668</t>
    </r>
  </si>
  <si>
    <r>
      <rPr>
        <rFont val="Arial, sans-serif"/>
        <color rgb="FF1155CC"/>
        <u/>
      </rPr>
      <t>https://horizondirect.gorgias.com/app/ticket/383880434</t>
    </r>
  </si>
  <si>
    <r>
      <rPr>
        <rFont val="Arial, sans-serif"/>
        <color rgb="FF1155CC"/>
        <u/>
      </rPr>
      <t>https://4ammedia.zendesk.com/agent/tickets/176236</t>
    </r>
  </si>
  <si>
    <t>https://horizondirect.gorgias.com/app/ticket/384093797</t>
  </si>
  <si>
    <r>
      <rPr>
        <rFont val="Arial, sans-serif"/>
        <color rgb="FF1155CC"/>
        <u/>
      </rPr>
      <t>https://4ammedia.zendesk.com/agent/tickets/232818</t>
    </r>
  </si>
  <si>
    <t>https://horizondirect.gorgias.com/app/ticket/384100980</t>
  </si>
  <si>
    <t>https://horizondirect.gorgias.com/app/ticket/384104884</t>
  </si>
  <si>
    <r>
      <rPr>
        <rFont val="Arial, sans-serif"/>
        <color rgb="FF1155CC"/>
        <u/>
      </rPr>
      <t>https://4ammedia.zendesk.com/agent/tickets/236913</t>
    </r>
  </si>
  <si>
    <t xml:space="preserve">CSR was able to process the order upgrade for BTE however failed to include the email address on the order details </t>
  </si>
  <si>
    <t>https://horizondirect.gorgias.com/app/ticket/380733664</t>
  </si>
  <si>
    <t>https://horizondirect.gorgias.com/app/ticket/384168381</t>
  </si>
  <si>
    <t>https://horizondirect.gorgias.com/app/ticket/384173964</t>
  </si>
  <si>
    <r>
      <rPr>
        <rFont val="Arial"/>
        <color rgb="FF1155CC"/>
        <u/>
      </rPr>
      <t>https://horizondirect.gorgias.com/app/ticket/380995720</t>
    </r>
  </si>
  <si>
    <t>https://horizondirect.gorgias.com/app/ticket/384185906</t>
  </si>
  <si>
    <r>
      <rPr>
        <rFont val="Arial, sans-serif"/>
        <color rgb="FF1155CC"/>
        <u/>
      </rPr>
      <t>https://4ammedia.zendesk.com/agent/tickets/236968</t>
    </r>
  </si>
  <si>
    <r>
      <rPr>
        <rFont val="Arial"/>
        <color rgb="FF1155CC"/>
        <u/>
      </rPr>
      <t>https://horizondirect.gorgias.com/app/ticket/381008676</t>
    </r>
  </si>
  <si>
    <r>
      <rPr>
        <rFont val="Arial, sans-serif"/>
        <color rgb="FF1155CC"/>
        <u/>
      </rPr>
      <t>https://4ammedia.zendesk.com/agent/tickets/237096</t>
    </r>
  </si>
  <si>
    <r>
      <rPr>
        <rFont val="Arial, sans-serif"/>
        <color rgb="FF1155CC"/>
        <u/>
      </rPr>
      <t>https://4ammedia.zendesk.com/agent/tickets/238882</t>
    </r>
  </si>
  <si>
    <r>
      <rPr>
        <rFont val="Arial, sans-serif"/>
        <color rgb="FF1155CC"/>
        <u/>
      </rPr>
      <t>https://horizondirect.gorgias.com/app/ticket/384296283</t>
    </r>
  </si>
  <si>
    <t xml:space="preserve">CSR should've suggest to clean the charging ports as well </t>
  </si>
  <si>
    <r>
      <rPr>
        <rFont val="Arial"/>
        <color rgb="FF1155CC"/>
        <u/>
      </rPr>
      <t>https://horizondirect.gorgias.com/app/ticket/381034076</t>
    </r>
  </si>
  <si>
    <r>
      <rPr>
        <rFont val="Arial, sans-serif"/>
        <color rgb="FF1155CC"/>
        <u/>
      </rPr>
      <t>https://4ammedia.zendesk.com/agent/tickets/239043</t>
    </r>
  </si>
  <si>
    <r>
      <rPr>
        <rFont val="Arial, sans-serif"/>
        <color rgb="FF1155CC"/>
        <u/>
      </rPr>
      <t>https://4ammedia.zendesk.com/agent/tickets/239140</t>
    </r>
  </si>
  <si>
    <r>
      <rPr>
        <rFont val="Arial, sans-serif"/>
        <color rgb="FF1155CC"/>
        <u/>
      </rPr>
      <t>https://horizondirect.gorgias.com/app/ticket/381126144</t>
    </r>
  </si>
  <si>
    <r>
      <rPr>
        <rFont val="Arial, sans-serif"/>
        <color rgb="FF1155CC"/>
        <u/>
      </rPr>
      <t>https://horizondirect.gorgias.com/app/ticket/384303422</t>
    </r>
  </si>
  <si>
    <r>
      <rPr>
        <rFont val="Arial, sans-serif"/>
        <color rgb="FF1155CC"/>
        <u/>
      </rPr>
      <t>https://4ammedia.zendesk.com/agent/tickets/241082</t>
    </r>
  </si>
  <si>
    <r>
      <rPr>
        <rFont val="Arial, sans-serif"/>
        <color rgb="FF1155CC"/>
        <u/>
      </rPr>
      <t>https://horizondirect.gorgias.com/app/ticket/384313108</t>
    </r>
  </si>
  <si>
    <r>
      <rPr>
        <rFont val="Arial, sans-serif"/>
        <color rgb="FF1155CC"/>
        <u/>
      </rPr>
      <t>https://4ammedia.zendesk.com/agent/tickets/241283</t>
    </r>
  </si>
  <si>
    <t>CSR should've called back cx immediately</t>
  </si>
  <si>
    <r>
      <rPr>
        <rFont val="Arial, sans-serif"/>
        <color rgb="FF1155CC"/>
        <u/>
      </rPr>
      <t>https://horizondirect.gorgias.com/app/ticket/381143546</t>
    </r>
  </si>
  <si>
    <t>https://horizondirect.gorgias.com/app/ticket/384452602</t>
  </si>
  <si>
    <r>
      <rPr>
        <rFont val="Arial, sans-serif"/>
        <color rgb="FF1155CC"/>
        <u/>
      </rPr>
      <t>https://4ammedia.zendesk.com/agent/tickets/241441</t>
    </r>
  </si>
  <si>
    <t>https://horizondirect.gorgias.com/app/ticket/384461390</t>
  </si>
  <si>
    <r>
      <rPr>
        <rFont val="Arial, sans-serif"/>
        <color rgb="FF1155CC"/>
        <u/>
      </rPr>
      <t>https://horizondirect.gorgias.com/app/ticket/381146065</t>
    </r>
  </si>
  <si>
    <t xml:space="preserve">Process full refund </t>
  </si>
  <si>
    <t>https://horizondirect.gorgias.com/app/ticket/384454691</t>
  </si>
  <si>
    <r>
      <rPr>
        <rFont val="Arial, sans-serif"/>
        <color rgb="FF1155CC"/>
        <u/>
      </rPr>
      <t>https://horizondirect.gorgias.com/app/ticket/384576499</t>
    </r>
  </si>
  <si>
    <r>
      <rPr>
        <rFont val="Arial, sans-serif"/>
        <color rgb="FF1155CC"/>
        <u/>
      </rPr>
      <t>https://4ammedia.zendesk.com/agent/tickets/243296</t>
    </r>
  </si>
  <si>
    <t>https://horizondirect.gorgias.com/app/ticket/381258162</t>
  </si>
  <si>
    <r>
      <rPr>
        <rFont val="Arial, sans-serif"/>
        <color rgb="FF1155CC"/>
        <u/>
      </rPr>
      <t>https://horizondirect.gorgias.com/app/ticket/384586904</t>
    </r>
  </si>
  <si>
    <r>
      <rPr>
        <rFont val="Arial, sans-serif"/>
        <color rgb="FF1155CC"/>
        <u/>
      </rPr>
      <t>https://4ammedia.zendesk.com/agent/tickets/243386</t>
    </r>
  </si>
  <si>
    <r>
      <rPr>
        <rFont val="Arial, sans-serif"/>
        <color rgb="FF1155CC"/>
        <u/>
      </rPr>
      <t>https://horizondirect.gorgias.com/app/ticket/384594944</t>
    </r>
  </si>
  <si>
    <r>
      <rPr>
        <rFont val="Arial, sans-serif"/>
        <color rgb="FF1155CC"/>
        <u/>
      </rPr>
      <t>https://4ammedia.zendesk.com/agent/tickets/243544</t>
    </r>
  </si>
  <si>
    <r>
      <rPr>
        <rFont val="Arial, sans-serif"/>
        <color rgb="FF1155CC"/>
        <u/>
      </rPr>
      <t>https://horizondirect.gorgias.com/app/ticket/384724795</t>
    </r>
  </si>
  <si>
    <t>http://horizondirect.gorgias.com/app/ticket/381253455</t>
  </si>
  <si>
    <t>CSR fail to explain how the $100 voucher works</t>
  </si>
  <si>
    <r>
      <rPr>
        <rFont val="Arial, sans-serif"/>
        <color rgb="FF1155CC"/>
        <u/>
      </rPr>
      <t>https://horizondirect.gorgias.com/app/ticket/384730924</t>
    </r>
  </si>
  <si>
    <r>
      <rPr>
        <rFont val="Arial, sans-serif"/>
        <color rgb="FF1155CC"/>
        <u/>
      </rPr>
      <t>https://4ammedia.zendesk.com/agent/tickets/248355</t>
    </r>
  </si>
  <si>
    <r>
      <rPr>
        <rFont val="Arial, sans-serif"/>
        <color rgb="FF1155CC"/>
        <u/>
      </rPr>
      <t>https://horizondirect.gorgias.com/app/ticket/384741175</t>
    </r>
  </si>
  <si>
    <t>https://horizondirect.gorgias.com/app/ticket/381260313</t>
  </si>
  <si>
    <r>
      <rPr>
        <rFont val="Arial, sans-serif"/>
        <color rgb="FF1155CC"/>
        <u/>
      </rPr>
      <t>https://horizondirect.gorgias.com/app/ticket/385044541</t>
    </r>
  </si>
  <si>
    <r>
      <rPr>
        <rFont val="Arial, sans-serif"/>
        <color rgb="FF1155CC"/>
        <u/>
      </rPr>
      <t>https://horizondirect.gorgias.com/app/ticket/385058950</t>
    </r>
  </si>
  <si>
    <r>
      <rPr>
        <rFont val="Arial, sans-serif"/>
        <color rgb="FF1155CC"/>
        <u/>
      </rPr>
      <t>https://4ammedia.zendesk.com/agent/tickets/189931</t>
    </r>
  </si>
  <si>
    <r>
      <rPr>
        <rFont val="Arial, sans-serif"/>
        <color rgb="FF1155CC"/>
        <u/>
      </rPr>
      <t>https://horizondirect.gorgias.com/app/ticket/385066942</t>
    </r>
  </si>
  <si>
    <r>
      <rPr>
        <rFont val="Arial, sans-serif"/>
        <color rgb="FF1155CC"/>
        <u/>
      </rPr>
      <t>https://4ammedia.zendesk.com/agent/tickets/248429</t>
    </r>
  </si>
  <si>
    <r>
      <rPr>
        <rFont val="Arial, sans-serif"/>
        <color rgb="FF1155CC"/>
        <u/>
      </rPr>
      <t>https://4ammedia.zendesk.com/agent/tickets/248481</t>
    </r>
  </si>
  <si>
    <r>
      <rPr>
        <rFont val="Arial, sans-serif"/>
        <color rgb="FF1155CC"/>
        <u/>
      </rPr>
      <t>https://horizondirect.gorgias.com/app/ticket/385174956</t>
    </r>
  </si>
  <si>
    <r>
      <rPr>
        <rFont val="Arial, sans-serif"/>
        <color rgb="FF1155CC"/>
        <u/>
      </rPr>
      <t>https://horizondirect.gorgias.com/app/ticket/381482770</t>
    </r>
  </si>
  <si>
    <r>
      <rPr>
        <rFont val="Arial, sans-serif"/>
        <color rgb="FF1155CC"/>
        <u/>
      </rPr>
      <t>https://4ammedia.zendesk.com/agent/tickets/190090</t>
    </r>
  </si>
  <si>
    <r>
      <rPr>
        <rFont val="Arial, sans-serif"/>
        <color rgb="FF1155CC"/>
        <u/>
      </rPr>
      <t>https://horizondirect.gorgias.com/app/ticket/385190907</t>
    </r>
  </si>
  <si>
    <r>
      <rPr>
        <rFont val="Arial, sans-serif"/>
        <color rgb="FF1155CC"/>
        <u/>
      </rPr>
      <t>https://horizondirect.gorgias.com/app/ticket/385200575</t>
    </r>
  </si>
  <si>
    <r>
      <rPr>
        <rFont val="Arial, sans-serif"/>
        <color rgb="FF1155CC"/>
        <u/>
      </rPr>
      <t>https://4ammedia.zendesk.com/agent/tickets/190308</t>
    </r>
  </si>
  <si>
    <t>https://horizondirect.gorgias.com/app/ticket/385354904</t>
  </si>
  <si>
    <r>
      <rPr>
        <rFont val="Arial, sans-serif"/>
        <color rgb="FF1155CC"/>
        <u/>
      </rPr>
      <t>https://horizondirect.gorgias.com/app/ticket/381495827</t>
    </r>
  </si>
  <si>
    <t>https://horizondirect.gorgias.com/app/ticket/385338498</t>
  </si>
  <si>
    <t>https://horizondirect.gorgias.com/app/ticket/385341670</t>
  </si>
  <si>
    <r>
      <rPr>
        <rFont val="Arial, sans-serif"/>
        <color rgb="FF1155CC"/>
        <u/>
      </rPr>
      <t>https://horizondirect.gorgias.com/app/ticket/381510489</t>
    </r>
  </si>
  <si>
    <r>
      <rPr>
        <rFont val="Arial, sans-serif"/>
        <color rgb="FF1155CC"/>
        <u/>
      </rPr>
      <t>https://4ammedia.zendesk.com/agent/tickets/250325</t>
    </r>
  </si>
  <si>
    <r>
      <rPr>
        <rFont val="Arial, sans-serif"/>
        <color rgb="FF1155CC"/>
        <u/>
      </rPr>
      <t>https://horizondirect.gorgias.com/app/ticket/385461727</t>
    </r>
  </si>
  <si>
    <t>https://horizondirect.gorgias.com/app/ticket/381523082</t>
  </si>
  <si>
    <r>
      <rPr>
        <rFont val="Arial, sans-serif"/>
        <color rgb="FF1155CC"/>
        <u/>
      </rPr>
      <t>https://horizondirect.gorgias.com/app/ticket/385476457</t>
    </r>
  </si>
  <si>
    <r>
      <rPr>
        <rFont val="Arial, sans-serif"/>
        <color rgb="FF1155CC"/>
        <u/>
      </rPr>
      <t>https://4ammedia.zendesk.com/agent/tickets/191952</t>
    </r>
  </si>
  <si>
    <r>
      <rPr>
        <rFont val="Arial, sans-serif"/>
        <color rgb="FF1155CC"/>
        <u/>
      </rPr>
      <t>https://horizondirect.gorgias.com/app/ticket/385481664</t>
    </r>
  </si>
  <si>
    <r>
      <rPr>
        <rFont val="Arial, sans-serif"/>
        <color rgb="FF1155CC"/>
        <u/>
      </rPr>
      <t>https://4ammedia.zendesk.com/agent/tickets/192141</t>
    </r>
  </si>
  <si>
    <r>
      <rPr>
        <rFont val="Arial, sans-serif"/>
        <color rgb="FF1155CC"/>
        <u/>
      </rPr>
      <t>https://4ammedia.zendesk.com/agent/tickets/250378</t>
    </r>
  </si>
  <si>
    <t>https://horizondirect.gorgias.com/app/ticket/385861537</t>
  </si>
  <si>
    <t>https://horizondirect.gorgias.com/app/ticket/385856072</t>
  </si>
  <si>
    <t>https://horizondirect.gorgias.com/app/ticket/381646966</t>
  </si>
  <si>
    <r>
      <rPr>
        <rFont val="Arial, sans-serif"/>
        <color rgb="FF1155CC"/>
        <u/>
      </rPr>
      <t>https://4ammedia.zendesk.com/agent/tickets/250680</t>
    </r>
  </si>
  <si>
    <r>
      <rPr>
        <rFont val="Arial, sans-serif"/>
        <color rgb="FF1155CC"/>
        <u/>
      </rPr>
      <t>https://4ammedia.zendesk.com/agent/tickets/192149</t>
    </r>
  </si>
  <si>
    <t>https://horizondirect.gorgias.com/app/ticket/385852001</t>
  </si>
  <si>
    <t>https://horizondirect.gorgias.com/app/ticket/381670149</t>
  </si>
  <si>
    <r>
      <rPr>
        <rFont val="Arial, sans-serif"/>
        <color rgb="FF1155CC"/>
        <u/>
      </rPr>
      <t>https://4ammedia.zendesk.com/agent/tickets/251780</t>
    </r>
  </si>
  <si>
    <r>
      <rPr>
        <rFont val="Arial, sans-serif"/>
        <color rgb="FF1155CC"/>
        <u/>
      </rPr>
      <t>https://horizondirect.gorgias.com/app/ticket/381900757</t>
    </r>
  </si>
  <si>
    <r>
      <rPr>
        <color rgb="FF1155CC"/>
        <u/>
      </rPr>
      <t>https://4ammedia.zendesk.com/agent/tickets/252276</t>
    </r>
  </si>
  <si>
    <t>CSR offered replacement even though the order is already passed the return window</t>
  </si>
  <si>
    <r>
      <rPr>
        <rFont val="Arial, sans-serif"/>
        <color rgb="FF1155CC"/>
        <u/>
      </rPr>
      <t>https://horizondirect.gorgias.com/app/ticket/381902905</t>
    </r>
  </si>
  <si>
    <r>
      <rPr>
        <rFont val="Arial, sans-serif"/>
        <color rgb="FF1155CC"/>
        <u/>
      </rPr>
      <t>https://4ammedia.zendesk.com/agent/tickets/251918</t>
    </r>
  </si>
  <si>
    <t>https://horizondirect.gorgias.com/app/ticket/385953180</t>
  </si>
  <si>
    <r>
      <rPr>
        <rFont val="Arial, sans-serif"/>
        <color rgb="FF1155CC"/>
        <u/>
      </rPr>
      <t>https://4ammedia.zendesk.com/agent/tickets/193307</t>
    </r>
  </si>
  <si>
    <r>
      <rPr>
        <rFont val="Arial, sans-serif"/>
        <color rgb="FF1155CC"/>
        <u/>
      </rPr>
      <t>https://horizondirect.gorgias.com/app/ticket/381944327</t>
    </r>
  </si>
  <si>
    <t>https://horizondirect.gorgias.com/app/ticket/385944377</t>
  </si>
  <si>
    <r>
      <rPr>
        <rFont val="Arial, sans-serif"/>
        <color rgb="FF1155CC"/>
        <u/>
      </rPr>
      <t>https://4ammedia.zendesk.com/agent/tickets/254686</t>
    </r>
  </si>
  <si>
    <t>https://horizondirect.gorgias.com/app/ticket/385941473</t>
  </si>
  <si>
    <r>
      <rPr>
        <rFont val="Arial, sans-serif"/>
        <color rgb="FF1155CC"/>
        <u/>
      </rPr>
      <t>https://4ammedia.zendesk.com/agent/tickets/193325</t>
    </r>
  </si>
  <si>
    <t>https://horizondirect.gorgias.com/app/ticket/382200768</t>
  </si>
  <si>
    <r>
      <rPr>
        <rFont val="Arial, sans-serif"/>
        <color rgb="FF1155CC"/>
        <u/>
      </rPr>
      <t>https://4ammedia.zendesk.com/agent/tickets/193355</t>
    </r>
  </si>
  <si>
    <t>https://horizondirect.gorgias.com/app/ticket/382204671</t>
  </si>
  <si>
    <r>
      <rPr>
        <rFont val="Arial, sans-serif"/>
        <color rgb="FF1155CC"/>
        <u/>
      </rPr>
      <t>https://4ammedia.zendesk.com/agent/tickets/254960</t>
    </r>
  </si>
  <si>
    <r>
      <rPr>
        <rFont val="Arial, sans-serif"/>
        <color rgb="FF1155CC"/>
        <u/>
      </rPr>
      <t>https://horizondirect.gorgias.com/app/ticket/386072788</t>
    </r>
  </si>
  <si>
    <t>https://horizondirect.gorgias.com/app/ticket/382213187</t>
  </si>
  <si>
    <r>
      <rPr>
        <rFont val="Arial, sans-serif"/>
        <color rgb="FF1155CC"/>
        <u/>
      </rPr>
      <t>https://4ammedia.zendesk.com/agent/tickets/194974</t>
    </r>
  </si>
  <si>
    <r>
      <rPr>
        <rFont val="Arial, sans-serif"/>
        <color rgb="FF1155CC"/>
        <u/>
      </rPr>
      <t>https://4ammedia.zendesk.com/agent/tickets/255022</t>
    </r>
  </si>
  <si>
    <r>
      <rPr>
        <rFont val="Arial, sans-serif"/>
        <color rgb="FF1155CC"/>
        <u/>
      </rPr>
      <t>https://horizondirect.gorgias.com/app/ticket/386081252</t>
    </r>
  </si>
  <si>
    <r>
      <rPr>
        <rFont val="Arial"/>
        <color rgb="FF1155CC"/>
        <u/>
      </rPr>
      <t>https://horizondirect.gorgias.com/app/ticket/382217432</t>
    </r>
  </si>
  <si>
    <r>
      <rPr>
        <rFont val="Arial, sans-serif"/>
        <color rgb="FF1155CC"/>
        <u/>
      </rPr>
      <t>https://4ammedia.zendesk.com/agent/tickets/260104</t>
    </r>
  </si>
  <si>
    <r>
      <rPr>
        <rFont val="Arial, sans-serif"/>
        <color rgb="FF1155CC"/>
        <u/>
      </rPr>
      <t>https://4ammedia.zendesk.com/agent/tickets/194999</t>
    </r>
  </si>
  <si>
    <r>
      <rPr>
        <rFont val="Arial, sans-serif"/>
        <color rgb="FF1155CC"/>
        <u/>
      </rPr>
      <t>https://horizondirect.gorgias.com/app/ticket/386096588</t>
    </r>
  </si>
  <si>
    <r>
      <rPr>
        <rFont val="Arial, sans-serif"/>
        <color rgb="FF1155CC"/>
        <u/>
      </rPr>
      <t>https://4ammedia.zendesk.com/agent/tickets/260160</t>
    </r>
  </si>
  <si>
    <t>https://horizondirect.gorgias.com/app/ticket/386235092</t>
  </si>
  <si>
    <r>
      <rPr>
        <rFont val="Arial, sans-serif"/>
        <color rgb="FF1155CC"/>
        <u/>
      </rPr>
      <t>https://4ammedia.zendesk.com/agent/tickets/195048</t>
    </r>
  </si>
  <si>
    <t>https://horizondirect.gorgias.com/app/ticket/386228626</t>
  </si>
  <si>
    <r>
      <rPr>
        <rFont val="Arial, sans-serif"/>
        <color rgb="FF1155CC"/>
        <u/>
      </rPr>
      <t>https://4ammedia.zendesk.com/agent/tickets/260193</t>
    </r>
  </si>
  <si>
    <r>
      <rPr>
        <rFont val="Arial"/>
        <color rgb="FF1155CC"/>
        <u/>
      </rPr>
      <t>https://horizondirect.gorgias.com/app/ticket/382317236</t>
    </r>
  </si>
  <si>
    <r>
      <rPr>
        <rFont val="Arial, sans-serif"/>
        <color rgb="FF1155CC"/>
        <u/>
      </rPr>
      <t>https://4ammedia.zendesk.com/agent/tickets/198823</t>
    </r>
  </si>
  <si>
    <t>https://horizondirect.gorgias.com/app/ticket/386224699</t>
  </si>
  <si>
    <r>
      <rPr>
        <rFont val="Arial, sans-serif"/>
        <color rgb="FF1155CC"/>
        <u/>
      </rPr>
      <t>https://4ammedia.zendesk.com/agent/tickets/261437</t>
    </r>
  </si>
  <si>
    <r>
      <rPr>
        <rFont val="Arial"/>
        <color rgb="FF1155CC"/>
        <u/>
      </rPr>
      <t>https://horizondirect.gorgias.com/app/ticket/382327731</t>
    </r>
  </si>
  <si>
    <t>https://horizondirect.gorgias.com/app/ticket/386356120</t>
  </si>
  <si>
    <r>
      <rPr>
        <rFont val="Arial, sans-serif"/>
        <color rgb="FF1155CC"/>
        <u/>
      </rPr>
      <t>https://4ammedia.zendesk.com/agent/tickets/261529</t>
    </r>
  </si>
  <si>
    <r>
      <rPr>
        <rFont val="Arial, sans-serif"/>
        <color rgb="FF1155CC"/>
        <u/>
      </rPr>
      <t>https://4ammedia.zendesk.com/agent/tickets/198954</t>
    </r>
  </si>
  <si>
    <t>https://horizondirect.gorgias.com/app/ticket/386384644</t>
  </si>
  <si>
    <r>
      <rPr>
        <rFont val="Arial, sans-serif"/>
        <color rgb="FF1155CC"/>
        <u/>
      </rPr>
      <t>https://4ammedia.zendesk.com/agent/tickets/261660</t>
    </r>
  </si>
  <si>
    <r>
      <rPr>
        <rFont val="Arial, sans-serif"/>
        <color rgb="FF1155CC"/>
        <u/>
      </rPr>
      <t>https://horizondirect.gorgias.com/app/ticket/386392709</t>
    </r>
  </si>
  <si>
    <r>
      <rPr>
        <rFont val="Arial, sans-serif"/>
        <color rgb="FF1155CC"/>
        <u/>
      </rPr>
      <t>https://horizondirect.gorgias.com/app/ticket/386743035</t>
    </r>
  </si>
  <si>
    <t>https://horizondirect.gorgias.com/app/ticket/382546928</t>
  </si>
  <si>
    <r>
      <rPr>
        <rFont val="Arial, sans-serif"/>
        <color rgb="FF1155CC"/>
        <u/>
      </rPr>
      <t>https://4ammedia.zendesk.com/agent/tickets/199018</t>
    </r>
  </si>
  <si>
    <r>
      <rPr>
        <rFont val="Arial, sans-serif"/>
        <color rgb="FF1155CC"/>
        <u/>
      </rPr>
      <t>https://horizondirect.gorgias.com/app/ticket/386751189</t>
    </r>
  </si>
  <si>
    <r>
      <rPr>
        <rFont val="Arial, sans-serif"/>
        <color rgb="FF1155CC"/>
        <u/>
      </rPr>
      <t>https://horizondirect.gorgias.com/app/ticket/386754490</t>
    </r>
  </si>
  <si>
    <r>
      <rPr>
        <rFont val="Arial, sans-serif"/>
        <color rgb="FF1155CC"/>
        <u/>
      </rPr>
      <t>https://horizondirect.gorgias.com/app/ticket/386840263</t>
    </r>
  </si>
  <si>
    <t>https://horizondirect.gorgias.com/app/ticket/382552088</t>
  </si>
  <si>
    <r>
      <rPr>
        <rFont val="Arial, sans-serif"/>
        <color rgb="FF1155CC"/>
        <u/>
      </rPr>
      <t>https://horizondirect.gorgias.com/app/ticket/386851609</t>
    </r>
  </si>
  <si>
    <t>https://horizondirect.gorgias.com/app/ticket/382567700</t>
  </si>
  <si>
    <r>
      <rPr>
        <rFont val="Arial, sans-serif"/>
        <color rgb="FF1155CC"/>
        <u/>
      </rPr>
      <t>https://4ammedia.zendesk.com/agent/tickets/262991</t>
    </r>
  </si>
  <si>
    <r>
      <rPr>
        <rFont val="Arial, sans-serif"/>
        <color rgb="FF1155CC"/>
        <u/>
      </rPr>
      <t>https://horizondirect.gorgias.com/app/ticket/386862304</t>
    </r>
  </si>
  <si>
    <r>
      <rPr>
        <rFont val="Arial, sans-serif"/>
        <color rgb="FF1155CC"/>
        <u/>
      </rPr>
      <t>https://4ammedia.zendesk.com/agent/tickets/200605</t>
    </r>
  </si>
  <si>
    <r>
      <rPr>
        <rFont val="Arial, sans-serif"/>
        <color rgb="FF1155CC"/>
        <u/>
      </rPr>
      <t>https://4ammedia.zendesk.com/agent/tickets/263282</t>
    </r>
  </si>
  <si>
    <t>https://horizondirect.gorgias.com/app/ticket/382309115</t>
  </si>
  <si>
    <r>
      <rPr>
        <rFont val="Arial, sans-serif"/>
        <color rgb="FF1155CC"/>
        <u/>
      </rPr>
      <t>https://4ammedia.zendesk.com/agent/tickets/200824</t>
    </r>
  </si>
  <si>
    <r>
      <rPr>
        <rFont val="Arial, sans-serif"/>
        <color rgb="FF1155CC"/>
        <u/>
      </rPr>
      <t>https://4ammedia.zendesk.com/agent/tickets/263653</t>
    </r>
  </si>
  <si>
    <r>
      <rPr>
        <rFont val="Arial, sans-serif"/>
        <color rgb="FF1155CC"/>
        <u/>
      </rPr>
      <t>https://4ammedia.zendesk.com/agent/tickets/200846</t>
    </r>
  </si>
  <si>
    <t>https://horizondirect.gorgias.com/app/ticket/382310728</t>
  </si>
  <si>
    <t>CA81ea970126990d8bc963b8b2f0dc0a39</t>
  </si>
  <si>
    <r>
      <rPr>
        <rFont val="Arial, sans-serif"/>
        <color rgb="FF1155CC"/>
        <u/>
      </rPr>
      <t>https://4ammedia.zendesk.com/agent/tickets/265337</t>
    </r>
  </si>
  <si>
    <t>CAff0806c9ceedf14d52da5a6c866c28f1</t>
  </si>
  <si>
    <t>https://horizondirect.gorgias.com/app/ticket/382415078</t>
  </si>
  <si>
    <r>
      <rPr>
        <rFont val="Arial, sans-serif"/>
        <color rgb="FF1155CC"/>
        <u/>
      </rPr>
      <t>https://4ammedia.zendesk.com/agent/tickets/265403</t>
    </r>
  </si>
  <si>
    <t>CA9435cb6a091019f2fdf329c4699f03ad</t>
  </si>
  <si>
    <t>https://horizondirect.gorgias.com/app/ticket/383007309</t>
  </si>
  <si>
    <r>
      <rPr>
        <rFont val="Arial, sans-serif"/>
        <color rgb="FF1155CC"/>
        <u/>
      </rPr>
      <t>https://4ammedia.zendesk.com/agent/tickets/202457</t>
    </r>
  </si>
  <si>
    <r>
      <rPr>
        <rFont val="Arial, sans-serif"/>
        <color rgb="FF1155CC"/>
        <u/>
      </rPr>
      <t>https://4ammedia.zendesk.com/agent/tickets/265441</t>
    </r>
  </si>
  <si>
    <t>CA08ec150b7f1beddc770f160a40140c2b</t>
  </si>
  <si>
    <t>https://horizondirect.gorgias.com/app/ticket/383026331</t>
  </si>
  <si>
    <r>
      <rPr>
        <rFont val="Arial, sans-serif"/>
        <color rgb="FF1155CC"/>
        <u/>
      </rPr>
      <t>https://4ammedia.zendesk.com/agent/tickets/202571</t>
    </r>
  </si>
  <si>
    <r>
      <rPr>
        <rFont val="Arial, sans-serif"/>
        <color rgb="FF1155CC"/>
        <u/>
      </rPr>
      <t>https://4ammedia.zendesk.com/agent/tickets/267801</t>
    </r>
  </si>
  <si>
    <t>CA8c530a11ab705038fe297ec3b8b87afe</t>
  </si>
  <si>
    <r>
      <rPr>
        <rFont val="Arial, sans-serif"/>
        <color rgb="FF1155CC"/>
        <u/>
      </rPr>
      <t>https://4ammedia.zendesk.com/agent/tickets/202618</t>
    </r>
  </si>
  <si>
    <t>https://horizondirect.gorgias.com/app/ticket/383028264</t>
  </si>
  <si>
    <t>CA764065d86b0d858f4246032e5f55797a</t>
  </si>
  <si>
    <r>
      <rPr>
        <rFont val="Arial, sans-serif"/>
        <color rgb="FF1155CC"/>
        <u/>
      </rPr>
      <t>https://4ammedia.zendesk.com/agent/tickets/204627</t>
    </r>
  </si>
  <si>
    <t>CA8efe325abf1cacdbfb3810ed7c7d2c2b</t>
  </si>
  <si>
    <t>https://horizondirect.gorgias.com/app/ticket/383131731</t>
  </si>
  <si>
    <t>CA197cba7ee07e0130eeda5e1009459221</t>
  </si>
  <si>
    <r>
      <rPr>
        <rFont val="Arial, sans-serif"/>
        <color rgb="FF1155CC"/>
        <u/>
      </rPr>
      <t>https://4ammedia.zendesk.com/agent/tickets/204865</t>
    </r>
  </si>
  <si>
    <r>
      <rPr>
        <rFont val="Arial, sans-serif"/>
        <color rgb="FF1155CC"/>
        <u/>
      </rPr>
      <t>https://4ammedia.zendesk.com/agent/tickets/267944</t>
    </r>
  </si>
  <si>
    <t>https://horizondirect.gorgias.com/app/ticket/383135880</t>
  </si>
  <si>
    <t>CA5a7f2196aca26bad7760b927f7dcc7bc</t>
  </si>
  <si>
    <r>
      <rPr>
        <rFont val="Arial, sans-serif"/>
        <color rgb="FF1155CC"/>
        <u/>
      </rPr>
      <t>https://4ammedia.zendesk.com/agent/tickets/204932</t>
    </r>
  </si>
  <si>
    <r>
      <rPr>
        <rFont val="Arial, sans-serif"/>
        <color rgb="FF1155CC"/>
        <u/>
      </rPr>
      <t>https://4ammedia.zendesk.com/agent/tickets/268102</t>
    </r>
  </si>
  <si>
    <t>https://horizondirect.gorgias.com/app/ticket/383144111</t>
  </si>
  <si>
    <r>
      <rPr>
        <rFont val="Arial, sans-serif"/>
        <color rgb="FF1155CC"/>
        <u/>
      </rPr>
      <t>https://horizondirect.gorgias.com/app/ticket/387649084</t>
    </r>
  </si>
  <si>
    <r>
      <rPr>
        <rFont val="Arial, sans-serif"/>
        <color rgb="FF1155CC"/>
        <u/>
      </rPr>
      <t>https://4ammedia.zendesk.com/agent/tickets/209154</t>
    </r>
  </si>
  <si>
    <r>
      <rPr>
        <rFont val="Arial, sans-serif"/>
        <color rgb="FF1155CC"/>
        <u/>
      </rPr>
      <t>https://horizondirect.gorgias.com/app/ticket/387656519</t>
    </r>
  </si>
  <si>
    <t>https://horizondirect.gorgias.com/app/ticket/383222107</t>
  </si>
  <si>
    <r>
      <rPr>
        <rFont val="Arial, sans-serif"/>
        <color rgb="FF1155CC"/>
        <u/>
      </rPr>
      <t>https://4ammedia.zendesk.com/agent/tickets/269513</t>
    </r>
  </si>
  <si>
    <r>
      <rPr>
        <rFont val="Arial, sans-serif"/>
        <color rgb="FF1155CC"/>
        <u/>
      </rPr>
      <t>https://horizondirect.gorgias.com/app/ticket/387661174</t>
    </r>
  </si>
  <si>
    <t>https://horizondirect.gorgias.com/app/ticket/383228629</t>
  </si>
  <si>
    <r>
      <rPr>
        <rFont val="Arial, sans-serif"/>
        <color rgb="FF1155CC"/>
        <u/>
      </rPr>
      <t>https://4ammedia.zendesk.com/agent/tickets/269672</t>
    </r>
  </si>
  <si>
    <r>
      <rPr>
        <rFont val="Arial, sans-serif"/>
        <color rgb="FF1155CC"/>
        <u/>
      </rPr>
      <t>https://4ammedia.zendesk.com/agent/tickets/209261</t>
    </r>
  </si>
  <si>
    <t>https://horizondirect.gorgias.com/app/ticket/383231513</t>
  </si>
  <si>
    <r>
      <rPr>
        <rFont val="Arial, sans-serif"/>
        <color rgb="FF1155CC"/>
        <u/>
      </rPr>
      <t>https://4ammedia.zendesk.com/agent/tickets/269697</t>
    </r>
  </si>
  <si>
    <r>
      <rPr>
        <rFont val="Arial, sans-serif"/>
        <color rgb="FF1155CC"/>
        <u/>
      </rPr>
      <t>https://4ammedia.zendesk.com/agent/tickets/209302</t>
    </r>
  </si>
  <si>
    <r>
      <rPr>
        <rFont val="Arial, sans-serif"/>
        <color rgb="FF1155CC"/>
        <u/>
      </rPr>
      <t>https://horizondirect.gorgias.com/app/ticket/387868394</t>
    </r>
  </si>
  <si>
    <r>
      <rPr>
        <rFont val="Arial, sans-serif"/>
        <color rgb="FF1155CC"/>
        <u/>
      </rPr>
      <t>https://4ammedia.zendesk.com/agent/tickets/210498</t>
    </r>
  </si>
  <si>
    <r>
      <rPr>
        <rFont val="Arial, sans-serif"/>
        <color rgb="FF1155CC"/>
        <u/>
      </rPr>
      <t>https://4ammedia.zendesk.com/agent/tickets/273172</t>
    </r>
  </si>
  <si>
    <r>
      <rPr>
        <rFont val="Arial, sans-serif"/>
        <color rgb="FF1155CC"/>
        <u/>
      </rPr>
      <t>https://4ammedia.zendesk.com/agent/tickets/210514</t>
    </r>
  </si>
  <si>
    <r>
      <rPr>
        <rFont val="Arial, sans-serif"/>
        <color rgb="FF1155CC"/>
        <u/>
      </rPr>
      <t>https://4ammedia.zendesk.com/agent/tickets/273327</t>
    </r>
  </si>
  <si>
    <r>
      <rPr>
        <rFont val="Arial, sans-serif"/>
        <color rgb="FF1155CC"/>
        <u/>
      </rPr>
      <t>https://horizondirect.gorgias.com/app/ticket/387874358</t>
    </r>
  </si>
  <si>
    <r>
      <rPr>
        <rFont val="Arial, sans-serif"/>
        <color rgb="FF1155CC"/>
        <u/>
      </rPr>
      <t>https://4ammedia.zendesk.com/agent/tickets/210563</t>
    </r>
  </si>
  <si>
    <r>
      <rPr>
        <rFont val="Arial, sans-serif"/>
        <color rgb="FF1155CC"/>
        <u/>
      </rPr>
      <t>https://4ammedia.zendesk.com/agent/tickets/273459</t>
    </r>
  </si>
  <si>
    <r>
      <rPr>
        <rFont val="Arial, sans-serif"/>
        <color rgb="FF1155CC"/>
        <u/>
      </rPr>
      <t>https://horizondirect.gorgias.com/app/ticket/387879968</t>
    </r>
  </si>
  <si>
    <t>CA222aa15fc41a303b7db7b6ebef994fc3</t>
  </si>
  <si>
    <t>CA10bee1980d99b0212361e8872340dbb0</t>
  </si>
  <si>
    <t>https://horizondirect.gorgias.com/app/ticket/383432472</t>
  </si>
  <si>
    <t>CAd736c54c53e14bc5bc48c595f4a3ff64</t>
  </si>
  <si>
    <t>CA332f499360309d3527e31a8751b168a5</t>
  </si>
  <si>
    <t>https://horizondirect.gorgias.com/app/ticket/383440265</t>
  </si>
  <si>
    <r>
      <rPr>
        <rFont val="Arial, sans-serif"/>
        <color rgb="FF1155CC"/>
        <u/>
      </rPr>
      <t>https://4ammedia.zendesk.com/agent/tickets/211905</t>
    </r>
  </si>
  <si>
    <t>CA80d7c3857931d8ae5694305442c5f7e5</t>
  </si>
  <si>
    <t>https://horizondirect.gorgias.com/app/ticket/383460072</t>
  </si>
  <si>
    <t>CAaacae88196c25271e9cf74efe07919a7</t>
  </si>
  <si>
    <t>https://horizondirect.gorgias.com/app/ticket/383597788</t>
  </si>
  <si>
    <r>
      <rPr>
        <rFont val="Arial, sans-serif"/>
        <color rgb="FF1155CC"/>
        <u/>
      </rPr>
      <t>https://4ammedia.zendesk.com/agent/tickets/212109</t>
    </r>
  </si>
  <si>
    <t>CAf8be984fa1f0ebc0eff8b63afc51fb83</t>
  </si>
  <si>
    <t>CA5fb2705e4ea5b346435f7aa370069100</t>
  </si>
  <si>
    <t>https://horizondirect.gorgias.com/app/ticket/383582160</t>
  </si>
  <si>
    <r>
      <rPr>
        <rFont val="Arial, sans-serif"/>
        <color rgb="FF1155CC"/>
        <u/>
      </rPr>
      <t>https://4ammedia.zendesk.com/agent/tickets/212269</t>
    </r>
  </si>
  <si>
    <t>CAfaa14fe9e87d12152f84b0c13fa83e65</t>
  </si>
  <si>
    <r>
      <rPr>
        <rFont val="Arial, sans-serif"/>
        <color rgb="FF1155CC"/>
        <u/>
      </rPr>
      <t>https://4ammedia.zendesk.com/agent/tickets/213929</t>
    </r>
  </si>
  <si>
    <t>CAaff9b3dc84eb61bdfef859152b9d8aa8</t>
  </si>
  <si>
    <t>https://horizondirect.gorgias.com/app/ticket/383570385</t>
  </si>
  <si>
    <t>CA294f5170293d745a15a7c2b14b9452f5</t>
  </si>
  <si>
    <r>
      <rPr>
        <rFont val="Arial, sans-serif"/>
        <color rgb="FF1155CC"/>
        <u/>
      </rPr>
      <t>https://4ammedia.zendesk.com/agent/tickets/214018</t>
    </r>
  </si>
  <si>
    <r>
      <rPr>
        <rFont val="Arial, sans-serif"/>
        <color rgb="FF1155CC"/>
        <u/>
      </rPr>
      <t>https://4ammedia.zendesk.com/agent/tickets/214154</t>
    </r>
  </si>
  <si>
    <t>CA1d292713a8ff8b9fe67a54b88af2d3f7</t>
  </si>
  <si>
    <r>
      <rPr>
        <rFont val="Arial, sans-serif"/>
        <color rgb="FF1155CC"/>
        <u/>
      </rPr>
      <t>https://4ammedia.zendesk.com/agent/tickets/215907</t>
    </r>
  </si>
  <si>
    <r>
      <rPr>
        <rFont val="Arial, sans-serif"/>
        <color rgb="FF1155CC"/>
        <u/>
      </rPr>
      <t>https://4ammedia.zendesk.com/agent/tickets/215998</t>
    </r>
  </si>
  <si>
    <t>https://horizondirect.gorgias.com/app/ticket/383847292</t>
  </si>
  <si>
    <t>CA47bb607fcf069c906d516335c8321822</t>
  </si>
  <si>
    <r>
      <rPr>
        <rFont val="Arial, sans-serif"/>
        <color rgb="FF1155CC"/>
        <u/>
      </rPr>
      <t>https://4ammedia.zendesk.com/agent/tickets/216082</t>
    </r>
  </si>
  <si>
    <t>https://horizondirect.gorgias.com/app/ticket/383852909</t>
  </si>
  <si>
    <t>CAc3279351a7ae8e3daa7e1d06597b0c03</t>
  </si>
  <si>
    <t>https://horizondirect.gorgias.com/app/ticket/383853668</t>
  </si>
  <si>
    <t>CA5631babc343532dcdf27a09e2fe01fb0</t>
  </si>
  <si>
    <r>
      <rPr>
        <rFont val="Arial, sans-serif"/>
        <color rgb="FF1155CC"/>
        <u/>
      </rPr>
      <t>https://4ammedia.zendesk.com/agent/tickets/221401</t>
    </r>
  </si>
  <si>
    <t>CA7aef15584393cccaeacded5a0ec75594</t>
  </si>
  <si>
    <r>
      <rPr>
        <rFont val="Arial, sans-serif"/>
        <color rgb="FF1155CC"/>
        <u/>
      </rPr>
      <t>https://4ammedia.zendesk.com/agent/tickets/221411</t>
    </r>
  </si>
  <si>
    <t>CAb65e1da6b3ebbac165014a3f3393e275</t>
  </si>
  <si>
    <t xml:space="preserve">Week:
January 5- January 11 
</t>
  </si>
  <si>
    <t xml:space="preserve">Week:
January 12- January 18
</t>
  </si>
  <si>
    <t xml:space="preserve">Week:
January 19- January 25
</t>
  </si>
  <si>
    <t xml:space="preserve">Week:
January 26- February 1
</t>
  </si>
  <si>
    <t>January 2026
Overall Score</t>
  </si>
  <si>
    <t xml:space="preserve">Week:
Feb 2 - Feb 8
</t>
  </si>
  <si>
    <t xml:space="preserve">Week:
Feb 9 - Feb 15
</t>
  </si>
  <si>
    <t xml:space="preserve">Week:
Feb 16 - Feb 22
</t>
  </si>
  <si>
    <t xml:space="preserve">Week:
Feb 23 - Mar 1
</t>
  </si>
  <si>
    <t>CA4cf3b9d96b5664eb3e58efb7156e3d2a</t>
  </si>
  <si>
    <t>February 2026
Overall Score</t>
  </si>
  <si>
    <t xml:space="preserve">Week:
Mar 2 - Mar 8
</t>
  </si>
  <si>
    <t xml:space="preserve">Week:
Mar 9 - Mar 15
</t>
  </si>
  <si>
    <t xml:space="preserve">Week:
Mar 16 - Mar 22
</t>
  </si>
  <si>
    <t xml:space="preserve">Week:
Mar 23 - Mar 29
</t>
  </si>
  <si>
    <t>March  2026
Overall Score</t>
  </si>
  <si>
    <t xml:space="preserve">Week:
Mar 30 - April 5
</t>
  </si>
  <si>
    <t xml:space="preserve">Week:
April 6 - April 12
</t>
  </si>
  <si>
    <r>
      <rPr>
        <rFont val="Arial, sans-serif"/>
        <color rgb="FF1155CC"/>
        <u/>
      </rPr>
      <t>https://4ammedia.zendesk.com/agent/tickets/221462</t>
    </r>
  </si>
  <si>
    <t xml:space="preserve">Week:
April 13 - April 19
</t>
  </si>
  <si>
    <t xml:space="preserve">Week:
April 20 - April 26
</t>
  </si>
  <si>
    <t>https://horizondirect.gorgias.com/app/ticket/384164234</t>
  </si>
  <si>
    <t xml:space="preserve">Week:
April 27 - May 3
</t>
  </si>
  <si>
    <t>April  2026
Overall Score</t>
  </si>
  <si>
    <t xml:space="preserve">Week:
May 4 - May 10
</t>
  </si>
  <si>
    <t xml:space="preserve">Week:
May 11 - May 17
</t>
  </si>
  <si>
    <t xml:space="preserve">Week:
May 18 - May 24
</t>
  </si>
  <si>
    <t>CAe12d69cabc588e83431cef107a2aa17b</t>
  </si>
  <si>
    <t xml:space="preserve">Week:
May 25 - May 31
</t>
  </si>
  <si>
    <t>May 2026
Overall Score</t>
  </si>
  <si>
    <t>Week:
June 1 - June 7</t>
  </si>
  <si>
    <t xml:space="preserve">
Week:
June 8 - June 14
</t>
  </si>
  <si>
    <t xml:space="preserve">
Week:
June 15 - June 21
</t>
  </si>
  <si>
    <t xml:space="preserve">
Week:
June 22 - June 28
</t>
  </si>
  <si>
    <t>June 2026
Overall Score</t>
  </si>
  <si>
    <r>
      <rPr>
        <rFont val="Arial, sans-serif"/>
        <color rgb="FF1155CC"/>
        <u/>
      </rPr>
      <t>https://4ammedia.zendesk.com/agent/tickets/222562</t>
    </r>
  </si>
  <si>
    <t>Week:
June 29 - July 5</t>
  </si>
  <si>
    <t xml:space="preserve">
Week:
July 6 - July 12
</t>
  </si>
  <si>
    <t xml:space="preserve">
Week:
July 13 - July 19
</t>
  </si>
  <si>
    <t xml:space="preserve">
Week:
July 20 - July 26
</t>
  </si>
  <si>
    <t xml:space="preserve">
Week:
July 27 - Aug 2
</t>
  </si>
  <si>
    <t>July 2026
Overall Score</t>
  </si>
  <si>
    <t>https://horizondirect.gorgias.com/app/ticket/384181193</t>
  </si>
  <si>
    <r>
      <rPr>
        <rFont val="Arial, sans-serif"/>
        <color rgb="FF1155CC"/>
        <u/>
      </rPr>
      <t>https://4ammedia.zendesk.com/agent/tickets/222574</t>
    </r>
  </si>
  <si>
    <t>https://horizondirect.gorgias.com/app/ticket/384186081</t>
  </si>
  <si>
    <t>CAdd8746f01c79c53f43598eaf176c5744</t>
  </si>
  <si>
    <r>
      <rPr>
        <rFont val="Arial, sans-serif"/>
        <color rgb="FF1155CC"/>
        <u/>
      </rPr>
      <t>https://4ammedia.zendesk.com/agent/tickets/222613</t>
    </r>
  </si>
  <si>
    <t>CA1894096b855eef3fde7592ec1e5d259b</t>
  </si>
  <si>
    <t>CA683739d22f63d4d8926cbcaf9b5237de</t>
  </si>
  <si>
    <t>CAd3413f30b9f5bbfc6e9aa785f991729f</t>
  </si>
  <si>
    <t>CA55750570db74b894550509918b7e8931</t>
  </si>
  <si>
    <t>https://horizondirect.gorgias.com/app/ticket/384302466</t>
  </si>
  <si>
    <t>CA53d17c1762374715d265e753cff96570</t>
  </si>
  <si>
    <t>CAdbf4c3a34245ff6d8ff8facfd061cf99</t>
  </si>
  <si>
    <r>
      <rPr>
        <rFont val="Arial, sans-serif"/>
        <color rgb="FF1155CC"/>
        <u/>
      </rPr>
      <t>https://4ammedia.zendesk.com/agent/tickets/224360</t>
    </r>
  </si>
  <si>
    <t>https://horizondirect.gorgias.com/app/ticket/384312945</t>
  </si>
  <si>
    <t>CA84c1b54ade1f00cf5be4172fdfb54491</t>
  </si>
  <si>
    <t>https://horizondirect.gorgias.com/app/ticket/384327072</t>
  </si>
  <si>
    <r>
      <rPr>
        <rFont val="Arial, sans-serif"/>
        <color rgb="FF1155CC"/>
        <u/>
      </rPr>
      <t>https://4ammedia.zendesk.com/agent/tickets/224744</t>
    </r>
  </si>
  <si>
    <t>CA29265196194907f3d7b7e4481c162ddb</t>
  </si>
  <si>
    <t>https://horizondirect.gorgias.com/app/ticket/384437722</t>
  </si>
  <si>
    <r>
      <rPr>
        <rFont val="Arial, sans-serif"/>
        <color rgb="FF1155CC"/>
        <u/>
      </rPr>
      <t>https://4ammedia.zendesk.com/agent/tickets/224998</t>
    </r>
  </si>
  <si>
    <r>
      <rPr>
        <rFont val="Arial, sans-serif"/>
        <color rgb="FF1155CC"/>
        <u/>
      </rPr>
      <t>https://4ammedia.zendesk.com/agent/tickets/226923</t>
    </r>
  </si>
  <si>
    <t>CAef388974c84bb00db79a893056a34711</t>
  </si>
  <si>
    <t>https://horizondirect.gorgias.com/app/ticket/384449534</t>
  </si>
  <si>
    <r>
      <rPr>
        <rFont val="Arial, sans-serif"/>
        <color rgb="FF1155CC"/>
        <u/>
      </rPr>
      <t>https://4ammedia.zendesk.com/agent/tickets/226969</t>
    </r>
  </si>
  <si>
    <t>CAcaf028ee1ea0dd20e6e52716d84a416d</t>
  </si>
  <si>
    <r>
      <rPr>
        <rFont val="Arial, sans-serif"/>
        <color rgb="FF1155CC"/>
        <u/>
      </rPr>
      <t>https://4ammedia.zendesk.com/agent/tickets/227104</t>
    </r>
  </si>
  <si>
    <t>CA8211cd7afb604abee8889efd0979d710</t>
  </si>
  <si>
    <t>https://horizondirect.gorgias.com/app/ticket/384458685</t>
  </si>
  <si>
    <t>CA594ee227bd1b1bcda08032c12f37a224</t>
  </si>
  <si>
    <r>
      <rPr>
        <rFont val="Arial, sans-serif"/>
        <color rgb="FF1155CC"/>
        <u/>
      </rPr>
      <t>https://4ammedia.zendesk.com/agent/tickets/228199</t>
    </r>
  </si>
  <si>
    <r>
      <rPr>
        <rFont val="Arial"/>
        <color rgb="FF1155CC"/>
        <u/>
      </rPr>
      <t>https://horizondirect.gorgias.com/app/ticket/384844382</t>
    </r>
  </si>
  <si>
    <t>CA9c1089971f19ad5c76b497b0831f29be</t>
  </si>
  <si>
    <r>
      <rPr>
        <rFont val="Arial, sans-serif"/>
        <color rgb="FF1155CC"/>
        <u/>
      </rPr>
      <t>https://4ammedia.zendesk.com/agent/tickets/228277</t>
    </r>
  </si>
  <si>
    <t>CA57406181facb5b898bfde0d25f2ecfaf</t>
  </si>
  <si>
    <r>
      <rPr>
        <rFont val="Arial"/>
        <color rgb="FF1155CC"/>
        <u/>
      </rPr>
      <t>https://horizondirect.gorgias.com/app/ticket/384849566</t>
    </r>
  </si>
  <si>
    <t>N/A</t>
  </si>
  <si>
    <t>CA519b47ea9857c62dc01256706ac4bc0e</t>
  </si>
  <si>
    <r>
      <rPr>
        <rFont val="Arial"/>
        <color rgb="FF1155CC"/>
        <u/>
      </rPr>
      <t>https://horizondirect.gorgias.com/app/ticket/384862926</t>
    </r>
  </si>
  <si>
    <t>CA76c9d44a2942b15dba8e9de2c6ae01af</t>
  </si>
  <si>
    <t>https://horizondirect.gorgias.com/app/ticket/384945697</t>
  </si>
  <si>
    <r>
      <rPr>
        <rFont val="Arial, sans-serif"/>
        <color rgb="FF1155CC"/>
        <u/>
      </rPr>
      <t>https://4ammedia.zendesk.com/agent/tickets/228317</t>
    </r>
  </si>
  <si>
    <t>CA08b7715301bdd19e1c18cbb3e8edd3e0</t>
  </si>
  <si>
    <t>CAb89c102f1b9a8dcf2352f94a38540506</t>
  </si>
  <si>
    <t>Joemica Carnio</t>
  </si>
  <si>
    <r>
      <rPr>
        <rFont val="Arial, sans-serif"/>
        <color rgb="FF1155CC"/>
        <u/>
      </rPr>
      <t>https://4ammedia.zendesk.com/agent/tickets/233885</t>
    </r>
  </si>
  <si>
    <t>CA5b3bcf4c347e9083fd6b2890c1833411</t>
  </si>
  <si>
    <r>
      <rPr>
        <rFont val="Arial, sans-serif"/>
        <color rgb="FF1155CC"/>
        <u/>
      </rPr>
      <t>https://4ammedia.zendesk.com/agent/tickets/233931</t>
    </r>
  </si>
  <si>
    <t>CA8f1c472a54ae9d2ba19841143ba33efb</t>
  </si>
  <si>
    <r>
      <rPr>
        <rFont val="Arial, sans-serif"/>
        <color rgb="FF1155CC"/>
        <u/>
      </rPr>
      <t>https://4ammedia.zendesk.com/agent/tickets/234035</t>
    </r>
  </si>
  <si>
    <t>CAfcc4ef8e3f6f0a509d45e2f379e50687</t>
  </si>
  <si>
    <t>https://horizondirect.gorgias.com/app/ticket/384953269</t>
  </si>
  <si>
    <t>CA6548e79b543768d44db230ea8d8e25e1</t>
  </si>
  <si>
    <t>https://horizondirect.gorgias.com/app/ticket/384963151</t>
  </si>
  <si>
    <t>CA6fa579d29216c2194b03ff36cc8abb4d</t>
  </si>
  <si>
    <t>CA69e2d1dfdf417cd90ca0c0321b1a370a</t>
  </si>
  <si>
    <t>https://horizondirect.gorgias.com/app/ticket/385062789</t>
  </si>
  <si>
    <t>CA11fe16bd5b02be232e8f0c9d6669d1bb</t>
  </si>
  <si>
    <r>
      <rPr>
        <rFont val="Arial, sans-serif"/>
        <color rgb="FF1155CC"/>
        <u/>
      </rPr>
      <t>https://4ammedia.zendesk.com/agent/tickets/236969</t>
    </r>
  </si>
  <si>
    <t>https://horizondirect.gorgias.com/app/ticket/385065938</t>
  </si>
  <si>
    <t>CAb4cb97a1408df2319833e61af50df35a</t>
  </si>
  <si>
    <t>CAd908135374fb8eb543247445a264e851</t>
  </si>
  <si>
    <t>https://horizondirect.gorgias.com/app/ticket/385074013</t>
  </si>
  <si>
    <t>CAd53db5546b007092ed1d77351f6be009</t>
  </si>
  <si>
    <r>
      <rPr>
        <rFont val="Arial, sans-serif"/>
        <color rgb="FF1155CC"/>
        <u/>
      </rPr>
      <t>https://4ammedia.zendesk.com/agent/tickets/237078</t>
    </r>
  </si>
  <si>
    <r>
      <rPr>
        <rFont val="Arial, sans-serif"/>
        <color rgb="FF1155CC"/>
        <u/>
      </rPr>
      <t>https://4ammedia.zendesk.com/agent/tickets/145039</t>
    </r>
  </si>
  <si>
    <r>
      <rPr>
        <rFont val="Arial, sans-serif"/>
        <color rgb="FF1155CC"/>
        <u/>
      </rPr>
      <t>https://4ammedia.zendesk.com/agent/tickets/237268</t>
    </r>
  </si>
  <si>
    <r>
      <rPr>
        <rFont val="Arial, sans-serif"/>
        <color rgb="FF1155CC"/>
        <u/>
      </rPr>
      <t>https://4ammedia.zendesk.com/agent/tickets/145228</t>
    </r>
  </si>
  <si>
    <r>
      <rPr>
        <rFont val="Arial, sans-serif"/>
        <color rgb="FF1155CC"/>
        <u/>
      </rPr>
      <t>https://4ammedia.zendesk.com/agent/tickets/145310</t>
    </r>
  </si>
  <si>
    <r>
      <rPr>
        <rFont val="Arial, sans-serif"/>
        <color rgb="FF1155CC"/>
        <u/>
      </rPr>
      <t>https://4ammedia.zendesk.com/agent/tickets/238780</t>
    </r>
  </si>
  <si>
    <t>https://horizondirect.gorgias.com/app/ticket/385167294</t>
  </si>
  <si>
    <r>
      <rPr>
        <rFont val="Arial"/>
        <color rgb="FF1155CC"/>
        <u/>
      </rPr>
      <t>https://4ammedia.zendesk.com/agent/tickets/146395</t>
    </r>
  </si>
  <si>
    <r>
      <rPr>
        <rFont val="Arial, sans-serif"/>
        <color rgb="FF1155CC"/>
        <u/>
      </rPr>
      <t>https://4ammedia.zendesk.com/agent/tickets/239052</t>
    </r>
  </si>
  <si>
    <r>
      <rPr>
        <rFont val="Arial"/>
        <color rgb="FF1155CC"/>
        <u/>
      </rPr>
      <t>https://4ammedia.zendesk.com/agent/tickets/146420</t>
    </r>
  </si>
  <si>
    <r>
      <rPr>
        <rFont val="Arial, sans-serif"/>
        <color rgb="FF1155CC"/>
        <u/>
      </rPr>
      <t>https://4ammedia.zendesk.com/agent/tickets/239128</t>
    </r>
  </si>
  <si>
    <r>
      <rPr>
        <rFont val="Arial"/>
        <color rgb="FF1155CC"/>
        <u/>
      </rPr>
      <t>https://4ammedia.zendesk.com/agent/tickets/146522</t>
    </r>
  </si>
  <si>
    <r>
      <rPr>
        <rFont val="Arial, sans-serif"/>
        <color rgb="FF1155CC"/>
        <u/>
      </rPr>
      <t>http://4ammedia.zendesk.com/agent/tickets/147504</t>
    </r>
  </si>
  <si>
    <r>
      <rPr>
        <rFont val="Arial, sans-serif"/>
        <color rgb="FF1155CC"/>
        <u/>
      </rPr>
      <t>https://4ammedia.zendesk.com/agent/tickets/240800</t>
    </r>
  </si>
  <si>
    <r>
      <rPr>
        <rFont val="Arial, sans-serif"/>
        <color rgb="FF1155CC"/>
        <u/>
      </rPr>
      <t>https://4ammedia.zendesk.com/agent/tickets/147667</t>
    </r>
  </si>
  <si>
    <r>
      <rPr>
        <rFont val="Arial, sans-serif"/>
        <color rgb="FF1155CC"/>
        <u/>
      </rPr>
      <t>https://4ammedia.zendesk.com/agent/tickets/240912</t>
    </r>
  </si>
  <si>
    <r>
      <rPr>
        <rFont val="Arial, sans-serif"/>
        <color rgb="FF1155CC"/>
        <u/>
      </rPr>
      <t>https://4ammedia.zendesk.com/agent/tickets/147798</t>
    </r>
  </si>
  <si>
    <r>
      <rPr>
        <rFont val="Arial, sans-serif"/>
        <color rgb="FF1155CC"/>
        <u/>
      </rPr>
      <t>https://4ammedia.zendesk.com/agent/tickets/240949</t>
    </r>
  </si>
  <si>
    <t>https://horizondirect.gorgias.com/app/ticket/385182098</t>
  </si>
  <si>
    <r>
      <rPr>
        <rFont val="Arial, sans-serif"/>
        <color rgb="FF1155CC"/>
        <u/>
      </rPr>
      <t>https://4ammedia.zendesk.com/agent/tickets/247169</t>
    </r>
  </si>
  <si>
    <r>
      <rPr>
        <rFont val="Arial, sans-serif"/>
        <color rgb="FF1155CC"/>
        <u/>
      </rPr>
      <t>https://4ammedia.zendesk.com/agent/tickets/150861</t>
    </r>
  </si>
  <si>
    <t>https://horizondirect.gorgias.com/app/ticket/385189424</t>
  </si>
  <si>
    <r>
      <rPr>
        <rFont val="Arial, sans-serif"/>
        <color rgb="FF1155CC"/>
        <u/>
      </rPr>
      <t>https://4ammedia.zendesk.com/agent/tickets/247210</t>
    </r>
  </si>
  <si>
    <t>https://horizondirect.gorgias.com/app/ticket/385610600</t>
  </si>
  <si>
    <t>https://horizondirect.gorgias.com/app/ticket/385621649</t>
  </si>
  <si>
    <r>
      <rPr>
        <rFont val="Arial, sans-serif"/>
        <color rgb="FF1155CC"/>
        <u/>
      </rPr>
      <t>https://4ammedia.zendesk.com/agent/tickets/247300</t>
    </r>
  </si>
  <si>
    <r>
      <rPr>
        <rFont val="Arial, sans-serif"/>
        <color rgb="FF1155CC"/>
        <u/>
      </rPr>
      <t>https://4ammedia.zendesk.com/agent/tickets/150997</t>
    </r>
  </si>
  <si>
    <t>https://horizondirect.gorgias.com/app/ticket/385626620</t>
  </si>
  <si>
    <r>
      <rPr>
        <rFont val="Arial, sans-serif"/>
        <color rgb="FF1155CC"/>
        <u/>
      </rPr>
      <t>https://4ammedia.zendesk.com/agent/tickets/151093</t>
    </r>
  </si>
  <si>
    <r>
      <rPr>
        <rFont val="Arial, sans-serif"/>
        <color rgb="FF1155CC"/>
        <u/>
      </rPr>
      <t>https://4ammedia.zendesk.com/agent/tickets/248366</t>
    </r>
  </si>
  <si>
    <t>https://horizondirect.gorgias.com/app/ticket/385747442</t>
  </si>
  <si>
    <r>
      <rPr>
        <rFont val="Arial, sans-serif"/>
        <color rgb="FF1155CC"/>
        <u/>
      </rPr>
      <t>https://4ammedia.zendesk.com/agent/tickets/152495</t>
    </r>
  </si>
  <si>
    <r>
      <rPr>
        <rFont val="Arial, sans-serif"/>
        <color rgb="FF1155CC"/>
        <u/>
      </rPr>
      <t>https://4ammedia.zendesk.com/agent/tickets/248384</t>
    </r>
  </si>
  <si>
    <t>https://horizondirect.gorgias.com/app/ticket/385757767</t>
  </si>
  <si>
    <r>
      <rPr>
        <rFont val="Arial, sans-serif"/>
        <color rgb="FF1155CC"/>
        <u/>
      </rPr>
      <t>https://4ammedia.zendesk.com/agent/tickets/152588</t>
    </r>
  </si>
  <si>
    <r>
      <rPr>
        <rFont val="Arial, sans-serif"/>
        <color rgb="FF1155CC"/>
        <u/>
      </rPr>
      <t>https://4ammedia.zendesk.com/agent/tickets/248396</t>
    </r>
  </si>
  <si>
    <r>
      <rPr>
        <rFont val="Arial, sans-serif"/>
        <color rgb="FF1155CC"/>
        <u/>
      </rPr>
      <t>https://4ammedia.zendesk.com/agent/tickets/152674</t>
    </r>
  </si>
  <si>
    <r>
      <rPr>
        <rFont val="Arial, sans-serif"/>
        <color rgb="FF1155CC"/>
        <u/>
      </rPr>
      <t>https://4ammedia.zendesk.com/agent/tickets/154118</t>
    </r>
  </si>
  <si>
    <t>https://horizondirect.gorgias.com/app/ticket/385759794</t>
  </si>
  <si>
    <r>
      <rPr>
        <rFont val="Arial, sans-serif"/>
        <color rgb="FF1155CC"/>
        <u/>
      </rPr>
      <t>https://4ammedia.zendesk.com/agent/tickets/154217</t>
    </r>
  </si>
  <si>
    <r>
      <rPr>
        <rFont val="Arial, sans-serif"/>
        <color rgb="FF1155CC"/>
        <u/>
      </rPr>
      <t>https://4ammedia.zendesk.com/agent/tickets/250320</t>
    </r>
  </si>
  <si>
    <r>
      <rPr>
        <rFont val="Arial, sans-serif"/>
        <color rgb="FF1155CC"/>
        <u/>
      </rPr>
      <t>https://4ammedia.zendesk.com/agent/tickets/154319</t>
    </r>
  </si>
  <si>
    <t>https://horizondirect.gorgias.com/app/ticket/385866238</t>
  </si>
  <si>
    <r>
      <rPr>
        <rFont val="Arial, sans-serif"/>
        <color rgb="FF1155CC"/>
        <u/>
      </rPr>
      <t>https://4ammedia.zendesk.com/agent/tickets/155577</t>
    </r>
  </si>
  <si>
    <r>
      <rPr>
        <rFont val="Arial"/>
        <color rgb="FF1155CC"/>
        <u/>
      </rPr>
      <t>https://horizondirect.gorgias.com/app/ticket/385844182</t>
    </r>
  </si>
  <si>
    <r>
      <rPr>
        <rFont val="Arial, sans-serif"/>
        <color rgb="FF1155CC"/>
        <u/>
      </rPr>
      <t>https://4ammedia.zendesk.com/agent/tickets/155748</t>
    </r>
  </si>
  <si>
    <r>
      <rPr>
        <rFont val="Arial, sans-serif"/>
        <color rgb="FF1155CC"/>
        <u/>
      </rPr>
      <t>https://4ammedia.zendesk.com/agent/tickets/155903</t>
    </r>
  </si>
  <si>
    <t>https://horizondirect.gorgias.com/app/ticket/385850250</t>
  </si>
  <si>
    <r>
      <rPr>
        <rFont val="Arial, sans-serif"/>
        <color rgb="FF1155CC"/>
        <u/>
      </rPr>
      <t>https://4ammedia.zendesk.com/agent/tickets/250538</t>
    </r>
  </si>
  <si>
    <r>
      <rPr>
        <rFont val="Arial, sans-serif"/>
        <color rgb="FF1155CC"/>
        <u/>
      </rPr>
      <t>https://4ammedia.zendesk.com/agent/tickets/156782</t>
    </r>
  </si>
  <si>
    <r>
      <rPr>
        <rFont val="Arial"/>
        <color rgb="FF1155CC"/>
        <u/>
      </rPr>
      <t>https://horizondirect.gorgias.com/app/ticket/385954276</t>
    </r>
  </si>
  <si>
    <r>
      <rPr>
        <rFont val="Arial, sans-serif"/>
        <color rgb="FF1155CC"/>
        <u/>
      </rPr>
      <t>http://4ammedia.zendesk.com/agent/tickets/155823</t>
    </r>
  </si>
  <si>
    <r>
      <rPr>
        <rFont val="Arial, sans-serif"/>
        <color rgb="FF1155CC"/>
        <u/>
      </rPr>
      <t>https://4ammedia.zendesk.com/agent/tickets/250767</t>
    </r>
  </si>
  <si>
    <r>
      <rPr>
        <rFont val="Arial"/>
        <color rgb="FF1155CC"/>
        <u/>
      </rPr>
      <t>https://horizondirect.gorgias.com/app/ticket/385957319</t>
    </r>
  </si>
  <si>
    <r>
      <rPr>
        <rFont val="Arial, sans-serif"/>
        <color rgb="FF1155CC"/>
        <u/>
      </rPr>
      <t>https://4ammedia.zendesk.com/agent/tickets/157135</t>
    </r>
  </si>
  <si>
    <r>
      <rPr>
        <rFont val="Arial, sans-serif"/>
        <color rgb="FF1155CC"/>
        <u/>
      </rPr>
      <t>https://4ammedia.zendesk.com/agent/tickets/252438</t>
    </r>
  </si>
  <si>
    <r>
      <rPr>
        <rFont val="Arial, sans-serif"/>
        <color rgb="FF1155CC"/>
        <u/>
      </rPr>
      <t>https://4ammedia.zendesk.com/agent/tickets/252513</t>
    </r>
  </si>
  <si>
    <r>
      <rPr>
        <rFont val="Arial, sans-serif"/>
        <color rgb="FF1155CC"/>
        <u/>
      </rPr>
      <t>https://4ammedia.zendesk.com/agent/tickets/252651</t>
    </r>
  </si>
  <si>
    <r>
      <rPr>
        <rFont val="Arial, sans-serif"/>
        <color rgb="FF1155CC"/>
        <u/>
      </rPr>
      <t>https://4ammedia.zendesk.com/agent/tickets/254610</t>
    </r>
  </si>
  <si>
    <r>
      <rPr>
        <rFont val="Arial"/>
        <color rgb="FF1155CC"/>
        <u/>
      </rPr>
      <t>https://horizondirect.gorgias.com/app/ticket/385959345</t>
    </r>
  </si>
  <si>
    <r>
      <rPr>
        <rFont val="Arial, sans-serif"/>
        <color rgb="FF1155CC"/>
        <u/>
      </rPr>
      <t>https://4ammedia.zendesk.com/agent/tickets/254716</t>
    </r>
  </si>
  <si>
    <r>
      <rPr>
        <rFont val="Arial, sans-serif"/>
        <color rgb="FF1155CC"/>
        <u/>
      </rPr>
      <t>https://4ammedia.zendesk.com/agent/tickets/161013</t>
    </r>
  </si>
  <si>
    <r>
      <rPr>
        <rFont val="Arial, sans-serif"/>
        <color rgb="FF1155CC"/>
        <u/>
      </rPr>
      <t>https://4ammedia.zendesk.com/agent/tickets/254781</t>
    </r>
  </si>
  <si>
    <r>
      <rPr>
        <rFont val="Arial, sans-serif"/>
        <color rgb="FF1155CC"/>
        <u/>
      </rPr>
      <t>https://4ammedia.zendesk.com/agent/tickets/259988</t>
    </r>
  </si>
  <si>
    <r>
      <rPr>
        <rFont val="Arial, sans-serif"/>
        <color rgb="FF1155CC"/>
        <u/>
      </rPr>
      <t>https://4ammedia.zendesk.com/agent/tickets/161082</t>
    </r>
  </si>
  <si>
    <t>https://horizondirect.gorgias.com/app/ticket/386073837</t>
  </si>
  <si>
    <r>
      <rPr>
        <rFont val="Arial, sans-serif"/>
        <color rgb="FF1155CC"/>
        <u/>
      </rPr>
      <t>http://4ammedia.zendesk.com/agent/tickets/161195</t>
    </r>
  </si>
  <si>
    <r>
      <rPr>
        <rFont val="Arial, sans-serif"/>
        <color rgb="FF1155CC"/>
        <u/>
      </rPr>
      <t>https://4ammedia.zendesk.com/agent/tickets/260175</t>
    </r>
  </si>
  <si>
    <r>
      <rPr>
        <rFont val="Arial, sans-serif"/>
        <color rgb="FF1155CC"/>
        <u/>
      </rPr>
      <t>https://4ammedia.zendesk.com/agent/tickets/162610</t>
    </r>
  </si>
  <si>
    <r>
      <rPr>
        <rFont val="Arial, sans-serif"/>
        <color rgb="FF1155CC"/>
        <u/>
      </rPr>
      <t>https://4ammedia.zendesk.com/agent/tickets/260386</t>
    </r>
  </si>
  <si>
    <t>https://horizondirect.gorgias.com/app/ticket/386091351</t>
  </si>
  <si>
    <r>
      <rPr>
        <rFont val="Arial, sans-serif"/>
        <color rgb="FF1155CC"/>
        <u/>
      </rPr>
      <t>https://4ammedia.zendesk.com/agent/tickets/162684</t>
    </r>
  </si>
  <si>
    <r>
      <rPr>
        <rFont val="Arial, sans-serif"/>
        <color rgb="FF1155CC"/>
        <u/>
      </rPr>
      <t>https://4ammedia.zendesk.com/agent/tickets/261653</t>
    </r>
  </si>
  <si>
    <t>https://horizondirect.gorgias.com/app/ticket/386100966</t>
  </si>
  <si>
    <r>
      <rPr>
        <rFont val="Arial, sans-serif"/>
        <color rgb="FF1155CC"/>
        <u/>
      </rPr>
      <t>https://4ammedia.zendesk.com/agent/tickets/162833</t>
    </r>
  </si>
  <si>
    <r>
      <rPr>
        <rFont val="Arial, sans-serif"/>
        <color rgb="FF1155CC"/>
        <u/>
      </rPr>
      <t>https://4ammedia.zendesk.com/agent/tickets/261683</t>
    </r>
  </si>
  <si>
    <r>
      <rPr>
        <rFont val="Arial, sans-serif"/>
        <color rgb="FF1155CC"/>
        <u/>
      </rPr>
      <t>https://4ammedia.zendesk.com/agent/tickets/164241</t>
    </r>
  </si>
  <si>
    <r>
      <rPr>
        <rFont val="Arial, sans-serif"/>
        <color rgb="FF1155CC"/>
        <u/>
      </rPr>
      <t>https://4ammedia.zendesk.com/agent/tickets/261720</t>
    </r>
  </si>
  <si>
    <r>
      <rPr>
        <rFont val="Arial, sans-serif"/>
        <color rgb="FF1155CC"/>
        <u/>
      </rPr>
      <t>https://4ammedia.zendesk.com/agent/tickets/164334</t>
    </r>
  </si>
  <si>
    <r>
      <rPr>
        <rFont val="Arial, sans-serif"/>
        <color rgb="FF1155CC"/>
        <u/>
      </rPr>
      <t>https://4ammedia.zendesk.com/agent/tickets/164474</t>
    </r>
  </si>
  <si>
    <t>https://horizondirect.gorgias.com/app/ticket/386506578</t>
  </si>
  <si>
    <r>
      <rPr>
        <rFont val="Arial, sans-serif"/>
        <color rgb="FF1155CC"/>
        <u/>
      </rPr>
      <t>https://4ammedia.zendesk.com/agent/tickets/165632</t>
    </r>
  </si>
  <si>
    <r>
      <rPr>
        <rFont val="Arial, sans-serif"/>
        <color rgb="FF1155CC"/>
        <u/>
      </rPr>
      <t>https://4ammedia.zendesk.com/agent/tickets/263082</t>
    </r>
  </si>
  <si>
    <r>
      <rPr>
        <rFont val="Arial, sans-serif"/>
        <color rgb="FF1155CC"/>
        <u/>
      </rPr>
      <t>https://4ammedia.zendesk.com/agent/tickets/165802</t>
    </r>
  </si>
  <si>
    <t>https://horizondirect.gorgias.com/app/ticket/386511915</t>
  </si>
  <si>
    <r>
      <rPr>
        <rFont val="Arial, sans-serif"/>
        <color rgb="FF1155CC"/>
        <u/>
      </rPr>
      <t>https://4ammedia.zendesk.com/agent/tickets/165873</t>
    </r>
  </si>
  <si>
    <t>https://horizondirect.gorgias.com/app/ticket/386516890</t>
  </si>
  <si>
    <r>
      <rPr>
        <rFont val="Arial, sans-serif"/>
        <color rgb="FF1155CC"/>
        <u/>
      </rPr>
      <t>https://4ammedia.zendesk.com/agent/tickets/167101</t>
    </r>
  </si>
  <si>
    <t>https://horizondirect.gorgias.com/app/ticket/386642822</t>
  </si>
  <si>
    <r>
      <rPr>
        <rFont val="Arial, sans-serif"/>
        <color rgb="FF1155CC"/>
        <u/>
      </rPr>
      <t>https://4ammedia.zendesk.com/agent/tickets/167202</t>
    </r>
  </si>
  <si>
    <r>
      <rPr>
        <rFont val="Arial, sans-serif"/>
        <color rgb="FF1155CC"/>
        <u/>
      </rPr>
      <t>https://4ammedia.zendesk.com/agent/tickets/263348</t>
    </r>
  </si>
  <si>
    <r>
      <rPr>
        <rFont val="Arial, sans-serif"/>
        <color rgb="FF1155CC"/>
        <u/>
      </rPr>
      <t>https://4ammedia.zendesk.com/agent/tickets/167218</t>
    </r>
  </si>
  <si>
    <t>https://horizondirect.gorgias.com/app/ticket/386652755</t>
  </si>
  <si>
    <r>
      <rPr>
        <rFont val="Arial, sans-serif"/>
        <color rgb="FF1155CC"/>
        <u/>
      </rPr>
      <t>https://4ammedia.zendesk.com/agent/tickets/263642</t>
    </r>
  </si>
  <si>
    <t>https://horizondirect.gorgias.com/app/ticket/386659486</t>
  </si>
  <si>
    <r>
      <rPr>
        <rFont val="Arial, sans-serif"/>
        <color rgb="FF1155CC"/>
        <u/>
      </rPr>
      <t>https://4ammedia.zendesk.com/agent/tickets/171480</t>
    </r>
  </si>
  <si>
    <r>
      <rPr>
        <rFont val="Arial, sans-serif"/>
        <color rgb="FF1155CC"/>
        <u/>
      </rPr>
      <t>https://4ammedia.zendesk.com/agent/tickets/265795</t>
    </r>
  </si>
  <si>
    <r>
      <rPr>
        <rFont val="Arial, sans-serif"/>
        <color rgb="FF1155CC"/>
        <u/>
      </rPr>
      <t>https://4ammedia.zendesk.com/agent/tickets/266020</t>
    </r>
  </si>
  <si>
    <r>
      <rPr>
        <rFont val="Arial, sans-serif"/>
        <color rgb="FF1155CC"/>
        <u/>
      </rPr>
      <t>https://4ammedia.zendesk.com/agent/tickets/171752</t>
    </r>
  </si>
  <si>
    <r>
      <rPr>
        <rFont val="Arial, sans-serif"/>
        <color rgb="FF1155CC"/>
        <u/>
      </rPr>
      <t>https://4ammedia.zendesk.com/agent/tickets/266068</t>
    </r>
  </si>
  <si>
    <r>
      <rPr>
        <rFont val="Arial, sans-serif"/>
        <color rgb="FF1155CC"/>
        <u/>
      </rPr>
      <t>https://4ammedia.zendesk.com/agent/tickets/171815</t>
    </r>
  </si>
  <si>
    <t>https://horizondirect.gorgias.com/app/ticket/386740427</t>
  </si>
  <si>
    <r>
      <rPr>
        <rFont val="Arial, sans-serif"/>
        <color rgb="FF1155CC"/>
        <u/>
      </rPr>
      <t>https://4ammedia.zendesk.com/agent/tickets/173125</t>
    </r>
  </si>
  <si>
    <r>
      <rPr>
        <rFont val="Arial, sans-serif"/>
        <color rgb="FF1155CC"/>
        <u/>
      </rPr>
      <t>https://4ammedia.zendesk.com/agent/tickets/267938</t>
    </r>
  </si>
  <si>
    <r>
      <rPr>
        <rFont val="Arial, sans-serif"/>
        <color rgb="FF1155CC"/>
        <u/>
      </rPr>
      <t>https://4ammedia.zendesk.com/agent/tickets/173210</t>
    </r>
  </si>
  <si>
    <t>https://horizondirect.gorgias.com/app/ticket/386758117</t>
  </si>
  <si>
    <r>
      <rPr>
        <rFont val="Arial, sans-serif"/>
        <color rgb="FF1155CC"/>
        <u/>
      </rPr>
      <t>https://4ammedia.zendesk.com/agent/tickets/268090</t>
    </r>
  </si>
  <si>
    <r>
      <rPr>
        <rFont val="Arial, sans-serif"/>
        <color rgb="FF1155CC"/>
        <u/>
      </rPr>
      <t>https://4ammedia.zendesk.com/agent/tickets/173332</t>
    </r>
  </si>
  <si>
    <r>
      <rPr>
        <rFont val="Arial, sans-serif"/>
        <color rgb="FF1155CC"/>
        <u/>
      </rPr>
      <t>http://4ammedia.zendesk.com/agent/tickets/174853</t>
    </r>
  </si>
  <si>
    <t>https://horizondirect.gorgias.com/app/ticket/386760671</t>
  </si>
  <si>
    <r>
      <rPr>
        <rFont val="Arial, sans-serif"/>
        <color rgb="FF1155CC"/>
        <u/>
      </rPr>
      <t>https://4ammedia.zendesk.com/agent/tickets/174904</t>
    </r>
  </si>
  <si>
    <t>https://horizondirect.gorgias.com/app/ticket/386847225</t>
  </si>
  <si>
    <r>
      <rPr>
        <rFont val="Arial, sans-serif"/>
        <color rgb="FF1155CC"/>
        <u/>
      </rPr>
      <t>https://4ammedia.zendesk.com/agent/tickets/174926</t>
    </r>
  </si>
  <si>
    <t>https://horizondirect.gorgias.com/app/ticket/386863135</t>
  </si>
  <si>
    <r>
      <rPr>
        <rFont val="Arial, sans-serif"/>
        <color rgb="FF1155CC"/>
        <u/>
      </rPr>
      <t>https://4ammedia.zendesk.com/agent/tickets/268174</t>
    </r>
  </si>
  <si>
    <r>
      <rPr>
        <rFont val="Arial, sans-serif"/>
        <color rgb="FF1155CC"/>
        <u/>
      </rPr>
      <t>https://4ammedia.zendesk.com/agent/tickets/177313</t>
    </r>
  </si>
  <si>
    <r>
      <rPr>
        <rFont val="Arial, sans-serif"/>
        <color rgb="FF1155CC"/>
        <u/>
      </rPr>
      <t>https://4ammedia.zendesk.com/agent/tickets/273237</t>
    </r>
  </si>
  <si>
    <t>https://horizondirect.gorgias.com/app/ticket/386870220</t>
  </si>
  <si>
    <r>
      <rPr>
        <rFont val="Arial, sans-serif"/>
        <color rgb="FF1155CC"/>
        <u/>
      </rPr>
      <t>https://4ammedia.zendesk.com/agent/tickets/177379</t>
    </r>
  </si>
  <si>
    <r>
      <rPr>
        <rFont val="Arial, sans-serif"/>
        <color rgb="FF1155CC"/>
        <u/>
      </rPr>
      <t>https://4ammedia.zendesk.com/agent/tickets/177465</t>
    </r>
  </si>
  <si>
    <r>
      <rPr>
        <rFont val="Arial, sans-serif"/>
        <color rgb="FF1155CC"/>
        <u/>
      </rPr>
      <t>https://4ammedia.zendesk.com/agent/tickets/273457</t>
    </r>
  </si>
  <si>
    <r>
      <rPr>
        <rFont val="Arial, sans-serif"/>
        <color rgb="FF1155CC"/>
        <u/>
      </rPr>
      <t>https://4ammedia.zendesk.com/agent/tickets/178329</t>
    </r>
  </si>
  <si>
    <r>
      <rPr>
        <rFont val="Arial, sans-serif"/>
        <color rgb="FF1155CC"/>
        <u/>
      </rPr>
      <t>https://4ammedia.zendesk.com/agent/tickets/273516</t>
    </r>
  </si>
  <si>
    <r>
      <rPr>
        <rFont val="Arial, sans-serif"/>
        <color rgb="FF1155CC"/>
        <u/>
      </rPr>
      <t>https://4ammedia.zendesk.com/agent/tickets/178013</t>
    </r>
  </si>
  <si>
    <r>
      <rPr>
        <rFont val="Arial, sans-serif"/>
        <color rgb="FF1155CC"/>
        <u/>
      </rPr>
      <t>https://4ammedia.zendesk.com/agent/tickets/178374</t>
    </r>
  </si>
  <si>
    <t>CA3364d9eb07ef707006932808cb29b042</t>
  </si>
  <si>
    <t>CAb9f87753e4f3428007f29107d33cf7e7</t>
  </si>
  <si>
    <t>CAb49ab9d18ad6aa272c1e5a5fab1a8358</t>
  </si>
  <si>
    <t>https://horizondirect.gorgias.com/app/ticket/387561635</t>
  </si>
  <si>
    <r>
      <rPr>
        <rFont val="Arial"/>
        <color rgb="FF1155CC"/>
        <u/>
      </rPr>
      <t>https://horizondirect.gorgias.com/app/ticket/387563788</t>
    </r>
  </si>
  <si>
    <r>
      <rPr>
        <rFont val="Arial, sans-serif"/>
        <color rgb="FF1155CC"/>
        <u/>
      </rPr>
      <t>https://4ammedia.zendesk.com/agent/tickets/189794</t>
    </r>
  </si>
  <si>
    <t>https://horizondirect.gorgias.com/app/ticket/387583033</t>
  </si>
  <si>
    <r>
      <rPr>
        <rFont val="Arial, sans-serif"/>
        <color rgb="FF1155CC"/>
        <u/>
      </rPr>
      <t>https://4ammedia.zendesk.com/agent/tickets/190065</t>
    </r>
  </si>
  <si>
    <t>https://horizondirect.gorgias.com/app/ticket/387653105</t>
  </si>
  <si>
    <r>
      <rPr>
        <rFont val="Arial, sans-serif"/>
        <color rgb="FF1155CC"/>
        <u/>
      </rPr>
      <t>https://4ammedia.zendesk.com/agent/tickets/190248</t>
    </r>
  </si>
  <si>
    <t>https://horizondirect.gorgias.com/app/ticket/387659457</t>
  </si>
  <si>
    <r>
      <rPr>
        <rFont val="Arial, sans-serif"/>
        <color rgb="FF1155CC"/>
        <u/>
      </rPr>
      <t>https://4ammedia.zendesk.com/agent/tickets/194964</t>
    </r>
  </si>
  <si>
    <r>
      <rPr>
        <rFont val="Arial, sans-serif"/>
        <color rgb="FF1155CC"/>
        <u/>
      </rPr>
      <t>https://4ammedia.zendesk.com/agent/tickets/195174</t>
    </r>
  </si>
  <si>
    <t>https://horizondirect.gorgias.com/app/ticket/387665428</t>
  </si>
  <si>
    <r>
      <rPr>
        <rFont val="Arial, sans-serif"/>
        <color rgb="FF1155CC"/>
        <u/>
      </rPr>
      <t>https://4ammedia.zendesk.com/agent/tickets/195179</t>
    </r>
  </si>
  <si>
    <t>https://horizondirect.gorgias.com/app/ticket/387748419</t>
  </si>
  <si>
    <r>
      <rPr>
        <rFont val="Arial, sans-serif"/>
        <color rgb="FF1155CC"/>
        <u/>
      </rPr>
      <t>https://4ammedia.zendesk.com/agent/tickets/196323</t>
    </r>
  </si>
  <si>
    <r>
      <rPr>
        <rFont val="Arial, sans-serif"/>
        <color rgb="FF1155CC"/>
        <u/>
      </rPr>
      <t>https://4ammedia.zendesk.com/agent/tickets/196471</t>
    </r>
  </si>
  <si>
    <r>
      <rPr>
        <rFont val="Arial, sans-serif"/>
        <color rgb="FF1155CC"/>
        <u/>
      </rPr>
      <t>https://4ammedia.zendesk.com/agent/tickets/196673</t>
    </r>
  </si>
  <si>
    <r>
      <rPr>
        <rFont val="Arial, sans-serif"/>
        <color rgb="FF1155CC"/>
        <u/>
      </rPr>
      <t>https://4ammedia.zendesk.com/agent/tickets/197802</t>
    </r>
  </si>
  <si>
    <r>
      <rPr>
        <rFont val="Arial, sans-serif"/>
        <color rgb="FF1155CC"/>
        <u/>
      </rPr>
      <t>https://4ammedia.zendesk.com/agent/tickets/197887</t>
    </r>
  </si>
  <si>
    <r>
      <rPr>
        <rFont val="Arial, sans-serif"/>
        <color rgb="FF1155CC"/>
        <u/>
      </rPr>
      <t>https://4ammedia.zendesk.com/agent/tickets/197911</t>
    </r>
  </si>
  <si>
    <t>https://horizondirect.gorgias.com/app/ticket/387756628</t>
  </si>
  <si>
    <r>
      <rPr>
        <rFont val="Arial, sans-serif"/>
        <color rgb="FF1155CC"/>
        <u/>
      </rPr>
      <t>https://4ammedia.zendesk.com/agent/tickets/198965</t>
    </r>
  </si>
  <si>
    <r>
      <rPr>
        <rFont val="Arial, sans-serif"/>
        <color rgb="FF1155CC"/>
        <u/>
      </rPr>
      <t>https://4ammedia.zendesk.com/agent/tickets/199004</t>
    </r>
  </si>
  <si>
    <t>https://horizondirect.gorgias.com/app/ticket/387756892</t>
  </si>
  <si>
    <r>
      <rPr>
        <rFont val="Arial, sans-serif"/>
        <color rgb="FF1155CC"/>
        <u/>
      </rPr>
      <t>https://4ammedia.zendesk.com/agent/tickets/199037</t>
    </r>
  </si>
  <si>
    <t>https://horizondirect.gorgias.com/app/ticket/387875048</t>
  </si>
  <si>
    <r>
      <rPr>
        <rFont val="Arial, sans-serif"/>
        <color rgb="FF1155CC"/>
        <u/>
      </rPr>
      <t>https://4ammedia.zendesk.com/agent/tickets/200422</t>
    </r>
  </si>
  <si>
    <t>https://horizondirect.gorgias.com/app/ticket/387877868</t>
  </si>
  <si>
    <r>
      <rPr>
        <rFont val="Arial, sans-serif"/>
        <color rgb="FF1155CC"/>
        <u/>
      </rPr>
      <t>https://4ammedia.zendesk.com/agent/tickets/200644</t>
    </r>
  </si>
  <si>
    <r>
      <rPr>
        <rFont val="Arial, sans-serif"/>
        <color rgb="FF1155CC"/>
        <u/>
      </rPr>
      <t>https://4ammedia.zendesk.com/agent/tickets/200854</t>
    </r>
  </si>
  <si>
    <r>
      <rPr>
        <rFont val="Arial, sans-serif"/>
        <color rgb="FF1155CC"/>
        <u/>
      </rPr>
      <t>https://4ammedia.zendesk.com/agent/tickets/206385</t>
    </r>
  </si>
  <si>
    <t>https://horizondirect.gorgias.com/app/ticket/387879301</t>
  </si>
  <si>
    <r>
      <rPr>
        <rFont val="Arial, sans-serif"/>
        <color rgb="FF1155CC"/>
        <u/>
      </rPr>
      <t>https://4ammedia.zendesk.com/agent/tickets/206399</t>
    </r>
  </si>
  <si>
    <t>CAfd9b2f4fd2a336e82fd54c5dd537bc30</t>
  </si>
  <si>
    <r>
      <rPr>
        <rFont val="Arial, sans-serif"/>
        <color rgb="FF1155CC"/>
        <u/>
      </rPr>
      <t>https://4ammedia.zendesk.com/agent/tickets/206579</t>
    </r>
  </si>
  <si>
    <t>CA4dfd3b52e4db447fae2aed2c77f9a757</t>
  </si>
  <si>
    <r>
      <rPr>
        <rFont val="Arial, sans-serif"/>
        <color rgb="FF1155CC"/>
        <u/>
      </rPr>
      <t>https://4ammedia.zendesk.com/agent/tickets/208171</t>
    </r>
  </si>
  <si>
    <r>
      <rPr>
        <rFont val="Arial, sans-serif"/>
        <color rgb="FF1155CC"/>
        <u/>
      </rPr>
      <t>https://4ammedia.zendesk.com/agent/tickets/208315</t>
    </r>
  </si>
  <si>
    <t>CA36d212bdcd01174480a48726c25d7717</t>
  </si>
  <si>
    <t>CA8b3ebf9af9040281a4874aae35e0a2c5</t>
  </si>
  <si>
    <r>
      <rPr>
        <rFont val="Arial, sans-serif"/>
        <color rgb="FF1155CC"/>
        <u/>
      </rPr>
      <t>https://4ammedia.zendesk.com/agent/tickets/208362</t>
    </r>
  </si>
  <si>
    <t>CA9736f0f22c41cc7370e1f949be57a72f</t>
  </si>
  <si>
    <r>
      <rPr>
        <rFont val="Arial, sans-serif"/>
        <color rgb="FF1155CC"/>
        <u/>
      </rPr>
      <t>https://4ammedia.zendesk.com/agent/tickets/209273</t>
    </r>
  </si>
  <si>
    <t>CAe8db768e04caac05f8bc5e67857cbbd6</t>
  </si>
  <si>
    <r>
      <rPr>
        <rFont val="Arial, sans-serif"/>
        <color rgb="FF1155CC"/>
        <u/>
      </rPr>
      <t>https://4ammedia.zendesk.com/agent/tickets/209394</t>
    </r>
  </si>
  <si>
    <r>
      <rPr>
        <rFont val="Arial, sans-serif"/>
        <color rgb="FF1155CC"/>
        <u/>
      </rPr>
      <t>https://4ammedia.zendesk.com/agent/tickets/209418</t>
    </r>
  </si>
  <si>
    <r>
      <rPr>
        <rFont val="Arial, sans-serif"/>
        <color rgb="FF1155CC"/>
        <u/>
      </rPr>
      <t>https://4ammedia.zendesk.com/agent/tickets/210531</t>
    </r>
  </si>
  <si>
    <r>
      <rPr>
        <rFont val="Arial, sans-serif"/>
        <color rgb="FF1155CC"/>
        <u/>
      </rPr>
      <t>https://4ammedia.zendesk.com/agent/tickets/210661</t>
    </r>
  </si>
  <si>
    <r>
      <rPr>
        <rFont val="Arial, sans-serif"/>
        <color rgb="FF1155CC"/>
        <u/>
      </rPr>
      <t>https://4ammedia.zendesk.com/agent/tickets/210664</t>
    </r>
  </si>
  <si>
    <r>
      <rPr>
        <rFont val="Arial, sans-serif"/>
        <color rgb="FF1155CC"/>
        <u/>
      </rPr>
      <t>https://4ammedia.zendesk.com/agent/tickets/211926</t>
    </r>
  </si>
  <si>
    <r>
      <rPr>
        <rFont val="Arial, sans-serif"/>
        <color rgb="FF1155CC"/>
        <u/>
      </rPr>
      <t>https://4ammedia.zendesk.com/agent/tickets/212101</t>
    </r>
  </si>
  <si>
    <t>CA281a13aebd74de9b469a1ab3c5e65d4b</t>
  </si>
  <si>
    <r>
      <rPr>
        <rFont val="Arial, sans-serif"/>
        <color rgb="FF1155CC"/>
        <u/>
      </rPr>
      <t>https://4ammedia.zendesk.com/agent/tickets/212334</t>
    </r>
  </si>
  <si>
    <r>
      <rPr>
        <rFont val="Arial, sans-serif"/>
        <color rgb="FF1155CC"/>
        <u/>
      </rPr>
      <t>https://4ammedia.zendesk.com/agent/tickets/217526</t>
    </r>
  </si>
  <si>
    <t>CA977cf7570ef9bd59b7700f6cafdfb770</t>
  </si>
  <si>
    <r>
      <rPr>
        <rFont val="Arial, sans-serif"/>
        <color rgb="FF1155CC"/>
        <u/>
      </rPr>
      <t>https://4ammedia.zendesk.com/agent/tickets/217670</t>
    </r>
  </si>
  <si>
    <t>CA4f75f43b21e229f9238a4407edca5606</t>
  </si>
  <si>
    <r>
      <rPr>
        <rFont val="Arial, sans-serif"/>
        <color rgb="FF1155CC"/>
        <u/>
      </rPr>
      <t>https://4ammedia.zendesk.com/agent/tickets/217754</t>
    </r>
  </si>
  <si>
    <r>
      <rPr>
        <rFont val="Arial, sans-serif"/>
        <color rgb="FF1155CC"/>
        <u/>
      </rPr>
      <t>https://4ammedia.zendesk.com/agent/tickets/219252</t>
    </r>
  </si>
  <si>
    <r>
      <rPr>
        <rFont val="Arial, sans-serif"/>
        <color rgb="FF1155CC"/>
        <u/>
      </rPr>
      <t>https://4ammedia.zendesk.com/agent/tickets/219484</t>
    </r>
  </si>
  <si>
    <t>CA9c27f33c6cea533bbeac9832514473a4</t>
  </si>
  <si>
    <r>
      <rPr>
        <rFont val="Arial, sans-serif"/>
        <color rgb="FF1155CC"/>
        <u/>
      </rPr>
      <t>https://4ammedia.zendesk.com/agent/tickets/219536</t>
    </r>
  </si>
  <si>
    <t>CAbd40434296dee194bd5bc424545f71ec</t>
  </si>
  <si>
    <r>
      <rPr>
        <rFont val="Arial, sans-serif"/>
        <color rgb="FF1155CC"/>
        <u/>
      </rPr>
      <t>https://4ammedia.zendesk.com/agent/tickets/221118</t>
    </r>
  </si>
  <si>
    <t>CA7490f6a48a4d0adcfc98be1d328cc960</t>
  </si>
  <si>
    <r>
      <rPr>
        <rFont val="Arial, sans-serif"/>
        <color rgb="FF1155CC"/>
        <u/>
      </rPr>
      <t>https://4ammedia.zendesk.com/agent/tickets/221388</t>
    </r>
  </si>
  <si>
    <t>CAeaff2a9abefdf08979e5ab0db4fbe0e7</t>
  </si>
  <si>
    <r>
      <rPr>
        <rFont val="Arial, sans-serif"/>
        <color rgb="FF1155CC"/>
        <u/>
      </rPr>
      <t>https://4ammedia.zendesk.com/agent/tickets/221412</t>
    </r>
  </si>
  <si>
    <t>CAa30d543675a059e5afe16bad1445b17a</t>
  </si>
  <si>
    <t>CA8185c48519f43cf00f6577620db65fa2</t>
  </si>
  <si>
    <t>CAdda1448c141202007b317f66ba1daaf9</t>
  </si>
  <si>
    <t>CA88b00382f2312501f8ce8ea10e11fd90</t>
  </si>
  <si>
    <t>CA80eb04238e0802705ffc54ffabfb2ade</t>
  </si>
  <si>
    <r>
      <rPr>
        <rFont val="Arial, sans-serif"/>
        <color rgb="FF1155CC"/>
        <u/>
      </rPr>
      <t>https://4ammedia.zendesk.com/agent/tickets/224180</t>
    </r>
  </si>
  <si>
    <t>CA7474e5ea836e657bc9647781b4309bee</t>
  </si>
  <si>
    <t>CAcc363d3c7046771ad385100938a3792c</t>
  </si>
  <si>
    <r>
      <rPr>
        <rFont val="Arial, sans-serif"/>
        <color rgb="FF1155CC"/>
        <u/>
      </rPr>
      <t>https://4ammedia.zendesk.com/agent/tickets/224428</t>
    </r>
  </si>
  <si>
    <t>CA88b653949efdcf6a3ebda19ed023421d</t>
  </si>
  <si>
    <r>
      <rPr>
        <rFont val="Arial, sans-serif"/>
        <color rgb="FF1155CC"/>
        <u/>
      </rPr>
      <t>https://4ammedia.zendesk.com/agent/tickets/224720</t>
    </r>
  </si>
  <si>
    <r>
      <rPr>
        <rFont val="Arial, sans-serif"/>
        <color rgb="FF1155CC"/>
        <u/>
      </rPr>
      <t>https://4ammedia.zendesk.com/agent/tickets/230207</t>
    </r>
  </si>
  <si>
    <r>
      <rPr>
        <rFont val="Arial, sans-serif"/>
        <color rgb="FF1155CC"/>
        <u/>
      </rPr>
      <t>https://4ammedia.zendesk.com/agent/tickets/230436</t>
    </r>
  </si>
  <si>
    <t>CA6e05f590106fffc237fa3f0c75ac7a6f</t>
  </si>
  <si>
    <r>
      <rPr>
        <rFont val="Arial, sans-serif"/>
        <color rgb="FF1155CC"/>
        <u/>
      </rPr>
      <t>https://4ammedia.zendesk.com/agent/tickets/230606</t>
    </r>
  </si>
  <si>
    <r>
      <rPr>
        <rFont val="Arial, sans-serif"/>
        <color rgb="FF1155CC"/>
        <u/>
      </rPr>
      <t>https://4ammedia.zendesk.com/agent/tickets/232412</t>
    </r>
  </si>
  <si>
    <t>CA6698e5647aebe9c560ee560ac794d6af</t>
  </si>
  <si>
    <r>
      <rPr>
        <rFont val="Arial, sans-serif"/>
        <color rgb="FF1155CC"/>
        <u/>
      </rPr>
      <t>https://4ammedia.zendesk.com/agent/tickets/232568</t>
    </r>
  </si>
  <si>
    <t>CA49e2ed5471c33a294462f6f0ab7dcef5</t>
  </si>
  <si>
    <r>
      <rPr>
        <rFont val="Arial, sans-serif"/>
        <color rgb="FF1155CC"/>
        <u/>
      </rPr>
      <t>https://4ammedia.zendesk.com/agent/tickets/232629</t>
    </r>
  </si>
  <si>
    <t>CAe49b8959d8cfc72f8f287752db4644b4</t>
  </si>
  <si>
    <r>
      <rPr>
        <rFont val="Arial, sans-serif"/>
        <color rgb="FF1155CC"/>
        <u/>
      </rPr>
      <t>https://4ammedia.zendesk.com/agent/tickets/233958</t>
    </r>
  </si>
  <si>
    <r>
      <rPr>
        <rFont val="Arial, sans-serif"/>
        <color rgb="FF1155CC"/>
        <u/>
      </rPr>
      <t>https://4ammedia.zendesk.com/agent/tickets/234047</t>
    </r>
  </si>
  <si>
    <r>
      <rPr>
        <rFont val="Arial, sans-serif"/>
        <color rgb="FF1155CC"/>
        <u/>
      </rPr>
      <t>https://4ammedia.zendesk.com/agent/tickets/234008</t>
    </r>
  </si>
  <si>
    <t>CAd0664c00fcf0351037c47e6bc35badd9</t>
  </si>
  <si>
    <t>CAd3d5494c06c3a7c01d18213bc0771fff</t>
  </si>
  <si>
    <t>CA6670b21ae603897e93e9d842ca8a39ad</t>
  </si>
  <si>
    <r>
      <rPr>
        <rFont val="Arial, sans-serif"/>
        <color rgb="FF1155CC"/>
        <u/>
      </rPr>
      <t>https://4ammedia.zendesk.com/agent/tickets/237005</t>
    </r>
  </si>
  <si>
    <t>CAc54fcdf0c0dc9854ea7ef724bd1fa320</t>
  </si>
  <si>
    <t>CAd94cf7a3a610b95fabfc60533d419f68</t>
  </si>
  <si>
    <t>CAd4c8868321b9ac1a6b618eb19f98de7d</t>
  </si>
  <si>
    <r>
      <rPr>
        <rFont val="Arial, sans-serif"/>
        <color rgb="FF1155CC"/>
        <u/>
      </rPr>
      <t>https://4ammedia.zendesk.com/agent/tickets/237064</t>
    </r>
  </si>
  <si>
    <t>CA7d6e75d6c3ededc05473b9eae44cc021</t>
  </si>
  <si>
    <r>
      <rPr>
        <rFont val="Arial, sans-serif"/>
        <color rgb="FF1155CC"/>
        <u/>
      </rPr>
      <t>https://4ammedia.zendesk.com/agent/tickets/237281</t>
    </r>
  </si>
  <si>
    <t>CA08b7046b19d6a1e6bdf381f98ace01da</t>
  </si>
  <si>
    <r>
      <rPr>
        <rFont val="Arial, sans-serif"/>
        <color rgb="FF1155CC"/>
        <u/>
      </rPr>
      <t>https://4ammedia.zendesk.com/agent/tickets/243375</t>
    </r>
  </si>
  <si>
    <r>
      <rPr>
        <rFont val="Arial, sans-serif"/>
        <color rgb="FF1155CC"/>
        <u/>
      </rPr>
      <t>https://4ammedia.zendesk.com/agent/tickets/243530</t>
    </r>
  </si>
  <si>
    <r>
      <rPr>
        <rFont val="Arial, sans-serif"/>
        <color rgb="FF1155CC"/>
        <u/>
      </rPr>
      <t>https://4ammedia.zendesk.com/agent/tickets/243597</t>
    </r>
  </si>
  <si>
    <r>
      <rPr>
        <rFont val="Arial, sans-serif"/>
        <color rgb="FF1155CC"/>
        <u/>
      </rPr>
      <t>https://4ammedia.zendesk.com/agent/tickets/245482</t>
    </r>
  </si>
  <si>
    <r>
      <rPr>
        <rFont val="Arial, sans-serif"/>
        <color rgb="FF1155CC"/>
        <u/>
      </rPr>
      <t>https://4ammedia.zendesk.com/agent/tickets/245630</t>
    </r>
  </si>
  <si>
    <r>
      <rPr>
        <rFont val="Arial, sans-serif"/>
        <color rgb="FF1155CC"/>
        <u/>
      </rPr>
      <t>https://4ammedia.zendesk.com/agent/tickets/245728</t>
    </r>
  </si>
  <si>
    <t>CA1014cbb1a94cfadc6496985e725046a9</t>
  </si>
  <si>
    <r>
      <rPr>
        <rFont val="Arial, sans-serif"/>
        <color rgb="FF1155CC"/>
        <u/>
      </rPr>
      <t>https://4ammedia.zendesk.com/agent/tickets/246811</t>
    </r>
  </si>
  <si>
    <r>
      <rPr>
        <rFont val="Arial, sans-serif"/>
        <color rgb="FF1155CC"/>
        <u/>
      </rPr>
      <t>https://4ammedia.zendesk.com/agent/tickets/246900</t>
    </r>
  </si>
  <si>
    <t>CA499fd9467c1342c3af69303d89e53e98</t>
  </si>
  <si>
    <t>CAa03829a3b4b3d2180b1bea7beeaf9eeb</t>
  </si>
  <si>
    <r>
      <rPr>
        <rFont val="Arial, sans-serif"/>
        <color rgb="FF1155CC"/>
        <u/>
      </rPr>
      <t>https://4ammedia.zendesk.com/agent/tickets/246996</t>
    </r>
  </si>
  <si>
    <r>
      <rPr>
        <rFont val="Arial, sans-serif"/>
        <color rgb="FF1155CC"/>
        <u/>
      </rPr>
      <t>https://4ammedia.zendesk.com/agent/tickets/248385</t>
    </r>
  </si>
  <si>
    <t>CA658b4fe903816a00f0ee002a4c2b9841</t>
  </si>
  <si>
    <r>
      <rPr>
        <rFont val="Arial, sans-serif"/>
        <color rgb="FF1155CC"/>
        <u/>
      </rPr>
      <t>https://4ammedia.zendesk.com/agent/tickets/248422</t>
    </r>
  </si>
  <si>
    <r>
      <rPr>
        <rFont val="Arial, sans-serif"/>
        <color rgb="FF1155CC"/>
        <u/>
      </rPr>
      <t>https://4ammedia.zendesk.com/agent/tickets/248435</t>
    </r>
  </si>
  <si>
    <t>CA7e9e2657fac29e301e9455fec85dc47f</t>
  </si>
  <si>
    <t>CAdbc7717db6fa08f997eeebb7aee4543e</t>
  </si>
  <si>
    <r>
      <rPr>
        <rFont val="Arial"/>
        <color rgb="FF1155CC"/>
        <u/>
      </rPr>
      <t>https://4ammedia.zendesk.com/agent/tickets/143701</t>
    </r>
  </si>
  <si>
    <r>
      <rPr>
        <rFont val="Arial, sans-serif"/>
        <color rgb="FF1155CC"/>
        <u/>
      </rPr>
      <t>https://4ammedia.zendesk.com/agent/tickets/249935</t>
    </r>
  </si>
  <si>
    <r>
      <rPr>
        <rFont val="Arial"/>
        <color rgb="FF1155CC"/>
        <u/>
      </rPr>
      <t>https://4ammedia.zendesk.com/agent/tickets/143739</t>
    </r>
  </si>
  <si>
    <r>
      <rPr>
        <rFont val="Arial, sans-serif"/>
        <color rgb="FF1155CC"/>
        <u/>
      </rPr>
      <t>https://4ammedia.zendesk.com/agent/tickets/250118</t>
    </r>
  </si>
  <si>
    <r>
      <rPr>
        <rFont val="Arial"/>
        <color rgb="FF1155CC"/>
        <u/>
      </rPr>
      <t>https://4ammedia.zendesk.com/agent/tickets/143797</t>
    </r>
  </si>
  <si>
    <r>
      <rPr>
        <rFont val="Arial, sans-serif"/>
        <color rgb="FF1155CC"/>
        <u/>
      </rPr>
      <t>https://4ammedia.zendesk.com/agent/tickets/250321</t>
    </r>
  </si>
  <si>
    <r>
      <rPr>
        <rFont val="Arial, sans-serif"/>
        <color rgb="FF1155CC"/>
        <u/>
      </rPr>
      <t>https://4ammedia.zendesk.com/agent/tickets/256317</t>
    </r>
  </si>
  <si>
    <t>https://4ammedia.zendesk.com/agent/tickets/147638</t>
  </si>
  <si>
    <r>
      <rPr>
        <rFont val="Arial, sans-serif"/>
        <color rgb="FF1155CC"/>
        <u/>
      </rPr>
      <t>https://4ammedia.zendesk.com/agent/tickets/256417</t>
    </r>
  </si>
  <si>
    <t>https://4ammedia.zendesk.com/agent/tickets/147781</t>
  </si>
  <si>
    <r>
      <rPr>
        <rFont val="Arial, sans-serif"/>
        <color rgb="FF1155CC"/>
        <u/>
      </rPr>
      <t>https://4ammedia.zendesk.com/agent/tickets/256576</t>
    </r>
  </si>
  <si>
    <r>
      <rPr>
        <rFont val="Arial"/>
        <color rgb="FF1155CC"/>
        <u/>
      </rPr>
      <t>https://4ammedia.zendesk.com/agent/tickets/147834</t>
    </r>
  </si>
  <si>
    <r>
      <rPr>
        <rFont val="Arial, sans-serif"/>
        <color rgb="FF1155CC"/>
        <u/>
      </rPr>
      <t>https://4ammedia.zendesk.com/agent/tickets/257853</t>
    </r>
  </si>
  <si>
    <r>
      <rPr>
        <rFont val="Arial, sans-serif"/>
        <color rgb="FF1155CC"/>
        <u/>
      </rPr>
      <t>https://4ammedia.zendesk.com/agent/tickets/257899</t>
    </r>
  </si>
  <si>
    <r>
      <rPr>
        <rFont val="Arial, sans-serif"/>
        <color rgb="FF1155CC"/>
        <u/>
      </rPr>
      <t>https://4ammedia.zendesk.com/agent/tickets/257965</t>
    </r>
  </si>
  <si>
    <r>
      <rPr>
        <rFont val="Arial, sans-serif"/>
        <color rgb="FF1155CC"/>
        <u/>
      </rPr>
      <t>https://4ammedia.zendesk.com/agent/tickets/259953</t>
    </r>
  </si>
  <si>
    <t>https://4ammedia.zendesk.com/agent/tickets/149402</t>
  </si>
  <si>
    <r>
      <rPr>
        <rFont val="Arial, sans-serif"/>
        <color rgb="FF1155CC"/>
        <u/>
      </rPr>
      <t>https://4ammedia.zendesk.com/agent/tickets/260296</t>
    </r>
  </si>
  <si>
    <t>https://4ammedia.zendesk.com/agent/tickets/149540</t>
  </si>
  <si>
    <r>
      <rPr>
        <rFont val="Arial, sans-serif"/>
        <color rgb="FF1155CC"/>
        <u/>
      </rPr>
      <t>https://4ammedia.zendesk.com/agent/tickets/260398</t>
    </r>
  </si>
  <si>
    <t>https://4ammedia.zendesk.com/agent/tickets/149587</t>
  </si>
  <si>
    <r>
      <rPr>
        <rFont val="Arial, sans-serif"/>
        <color rgb="FF1155CC"/>
        <u/>
      </rPr>
      <t>https://4ammedia.zendesk.com/agent/tickets/261436</t>
    </r>
  </si>
  <si>
    <r>
      <rPr>
        <rFont val="Arial, sans-serif"/>
        <color rgb="FF1155CC"/>
        <u/>
      </rPr>
      <t>https://4ammedia.zendesk.com/agent/tickets/261644</t>
    </r>
  </si>
  <si>
    <t>https://4ammedia.zendesk.com/agent/tickets/150759</t>
  </si>
  <si>
    <r>
      <rPr>
        <rFont val="Arial, sans-serif"/>
        <color rgb="FF1155CC"/>
        <u/>
      </rPr>
      <t>https://4ammedia.zendesk.com/agent/tickets/261780</t>
    </r>
  </si>
  <si>
    <t>https://4ammedia.zendesk.com/agent/tickets/150987</t>
  </si>
  <si>
    <r>
      <rPr>
        <rFont val="Arial, sans-serif"/>
        <color rgb="FF1155CC"/>
        <u/>
      </rPr>
      <t>https://4ammedia.zendesk.com/agent/tickets/263346</t>
    </r>
  </si>
  <si>
    <t>https://4ammedia.zendesk.com/agent/tickets/151076</t>
  </si>
  <si>
    <t>https://4ammedia.zendesk.com/agent/tickets/152290</t>
  </si>
  <si>
    <r>
      <rPr>
        <rFont val="Arial, sans-serif"/>
        <color rgb="FF1155CC"/>
        <u/>
      </rPr>
      <t>https://4ammedia.zendesk.com/agent/tickets/263668</t>
    </r>
  </si>
  <si>
    <t>https://4ammedia.zendesk.com/agent/tickets/152452</t>
  </si>
  <si>
    <r>
      <rPr>
        <rFont val="Arial, sans-serif"/>
        <color rgb="FF1155CC"/>
        <u/>
      </rPr>
      <t>https://4ammedia.zendesk.com/agent/tickets/263941</t>
    </r>
  </si>
  <si>
    <t>https://4ammedia.zendesk.com/agent/tickets/152553</t>
  </si>
  <si>
    <r>
      <rPr>
        <rFont val="Arial, sans-serif"/>
        <color rgb="FF1155CC"/>
        <u/>
      </rPr>
      <t>https://4ammedia.zendesk.com/agent/tickets/265482</t>
    </r>
  </si>
  <si>
    <r>
      <rPr>
        <rFont val="Arial"/>
        <color rgb="FF1155CC"/>
        <u/>
      </rPr>
      <t>https://4ammedia.zendesk.com/agent/tickets/154051</t>
    </r>
  </si>
  <si>
    <r>
      <rPr>
        <rFont val="Arial, sans-serif"/>
        <color rgb="FF1155CC"/>
        <u/>
      </rPr>
      <t>https://4ammedia.zendesk.com/agent/tickets/265674</t>
    </r>
  </si>
  <si>
    <r>
      <rPr>
        <rFont val="Arial"/>
        <color rgb="FF1155CC"/>
        <u/>
      </rPr>
      <t>https://4ammedia.zendesk.com/agent/tickets/154169</t>
    </r>
  </si>
  <si>
    <r>
      <rPr>
        <rFont val="Arial"/>
        <color rgb="FF1155CC"/>
        <u/>
      </rPr>
      <t>https://4ammedia.zendesk.com/agent/tickets/143609</t>
    </r>
  </si>
  <si>
    <t>https://4ammedia.zendesk.com/agent/tickets/155403</t>
  </si>
  <si>
    <r>
      <rPr>
        <rFont val="Arial, sans-serif"/>
        <color rgb="FF1155CC"/>
        <u/>
      </rPr>
      <t>https://4ammedia.zendesk.com/agent/tickets/265739</t>
    </r>
  </si>
  <si>
    <t>https://4ammedia.zendesk.com/agent/tickets/155439</t>
  </si>
  <si>
    <r>
      <rPr>
        <rFont val="Arial, sans-serif"/>
        <color rgb="FF1155CC"/>
        <u/>
      </rPr>
      <t>https://4ammedia.zendesk.com/agent/tickets/269704</t>
    </r>
  </si>
  <si>
    <t>https://4ammedia.zendesk.com/agent/tickets/155649</t>
  </si>
  <si>
    <r>
      <rPr>
        <rFont val="Arial, sans-serif"/>
        <color rgb="FF1155CC"/>
        <u/>
      </rPr>
      <t>https://4ammedia.zendesk.com/agent/tickets/269791</t>
    </r>
  </si>
  <si>
    <r>
      <rPr>
        <rFont val="Arial, sans-serif"/>
        <color rgb="FF1155CC"/>
        <u/>
      </rPr>
      <t>https://4ammedia.zendesk.com/agent/tickets/269964</t>
    </r>
  </si>
  <si>
    <r>
      <rPr>
        <rFont val="Arial, sans-serif"/>
        <color rgb="FF1155CC"/>
        <u/>
      </rPr>
      <t>https://4ammedia.zendesk.com/agent/tickets/271150</t>
    </r>
  </si>
  <si>
    <r>
      <rPr>
        <rFont val="Arial, sans-serif"/>
        <color rgb="FF1155CC"/>
        <u/>
      </rPr>
      <t>https://4ammedia.zendesk.com/agent/tickets/271203</t>
    </r>
  </si>
  <si>
    <t>http://4ammedia.zendesk.com/agent/tickets/159271</t>
  </si>
  <si>
    <r>
      <rPr>
        <rFont val="Arial, sans-serif"/>
        <color rgb="FF1155CC"/>
        <u/>
      </rPr>
      <t>https://4ammedia.zendesk.com/agent/tickets/271259</t>
    </r>
  </si>
  <si>
    <t>https://4ammedia.zendesk.com/agent/tickets/159313</t>
  </si>
  <si>
    <t xml:space="preserve">CSR RETAINED THE UPSELL INSTEAD THE MAIN </t>
  </si>
  <si>
    <t>https://4ammedia.zendesk.com/agent/tickets/159518</t>
  </si>
  <si>
    <t>https://4ammedia.zendesk.com/agent/tickets/161162</t>
  </si>
  <si>
    <t>https://4ammedia.zendesk.com/agent/tickets/161206</t>
  </si>
  <si>
    <t>https://4ammedia.zendesk.com/agent/tickets/161235</t>
  </si>
  <si>
    <t>https://4ammedia.zendesk.com/agent/tickets/162521</t>
  </si>
  <si>
    <t>https://4ammedia.zendesk.com/agent/tickets/162555</t>
  </si>
  <si>
    <t>https://4ammedia.zendesk.com/agent/tickets/162767</t>
  </si>
  <si>
    <t>https://4ammedia.zendesk.com/agent/tickets/164275</t>
  </si>
  <si>
    <t>https://4ammedia.zendesk.com/agent/tickets/164436</t>
  </si>
  <si>
    <t>https://4ammedia.zendesk.com/agent/tickets/164471</t>
  </si>
  <si>
    <t>https://4ammedia.zendesk.com/agent/tickets/165674</t>
  </si>
  <si>
    <t>https://4ammedia.zendesk.com/agent/tickets/165869</t>
  </si>
  <si>
    <t>https://4ammedia.zendesk.com/agent/tickets/166000</t>
  </si>
  <si>
    <t>https://4ammedia.zendesk.com/agent/tickets/169898</t>
  </si>
  <si>
    <t>https://4ammedia.zendesk.com/agent/tickets/170147</t>
  </si>
  <si>
    <t>https://4ammedia.zendesk.com/agent/tickets/170340</t>
  </si>
  <si>
    <t>https://4ammedia.zendesk.com/agent/tickets/171487</t>
  </si>
  <si>
    <t>https://4ammedia.zendesk.com/agent/tickets/171743</t>
  </si>
  <si>
    <t>https://4ammedia.zendesk.com/agent/tickets/171904</t>
  </si>
  <si>
    <t>https://4ammedia.zendesk.com/agent/tickets/173182</t>
  </si>
  <si>
    <t>https://4ammedia.zendesk.com/agent/tickets/173227</t>
  </si>
  <si>
    <t>https://4ammedia.zendesk.com/agent/tickets/173346</t>
  </si>
  <si>
    <t>https://4ammedia.zendesk.com/agent/tickets/174689</t>
  </si>
  <si>
    <t>https://4ammedia.zendesk.com/agent/tickets/174846</t>
  </si>
  <si>
    <t>https://4ammedia.zendesk.com/agent/tickets/174880</t>
  </si>
  <si>
    <t>https://4ammedia.zendesk.com/agent/tickets/175861</t>
  </si>
  <si>
    <t>https://4ammedia.zendesk.com/agent/tickets/175932</t>
  </si>
  <si>
    <t>https://4ammedia.zendesk.com/agent/tickets/175973</t>
  </si>
  <si>
    <t>https://4ammedia.zendesk.com/agent/tickets/189622</t>
  </si>
  <si>
    <t>https://4ammedia.zendesk.com/agent/tickets/189804</t>
  </si>
  <si>
    <t>https://4ammedia.zendesk.com/agent/tickets/189914</t>
  </si>
  <si>
    <t>https://assets.aircall.io/calls/3894006920/recording/info</t>
  </si>
  <si>
    <t>https://assets.aircall.io/calls/3894179319/recording/info</t>
  </si>
  <si>
    <t>https://assets.aircall.io/calls/3893668333/recording/info</t>
  </si>
  <si>
    <t>https://4ammedia.zendesk.com/agent/tickets/193096</t>
  </si>
  <si>
    <t>https://4ammedia.zendesk.com/agent/tickets/193383</t>
  </si>
  <si>
    <t>https://4ammedia.zendesk.com/agent/tickets/193536</t>
  </si>
  <si>
    <t>https://4ammedia.zendesk.com/agent/tickets/194847</t>
  </si>
  <si>
    <t>https://4ammedia.zendesk.com/agent/tickets/194996</t>
  </si>
  <si>
    <t>https://4ammedia.zendesk.com/agent/tickets/195066</t>
  </si>
  <si>
    <t>https://4ammedia.zendesk.com/agent/tickets/196337</t>
  </si>
  <si>
    <t>https://4ammedia.zendesk.com/agent/tickets/196577</t>
  </si>
  <si>
    <t>https://4ammedia.zendesk.com/agent/tickets/196612</t>
  </si>
  <si>
    <t>https://4ammedia.zendesk.com/agent/tickets/200108</t>
  </si>
  <si>
    <t>https://4ammedia.zendesk.com/agent/tickets/200445</t>
  </si>
  <si>
    <t>https://4ammedia.zendesk.com/agent/tickets/200878</t>
  </si>
  <si>
    <t>https://4ammedia.zendesk.com/agent/tickets/202029</t>
  </si>
  <si>
    <t>https://4ammedia.zendesk.com/agent/tickets/202135</t>
  </si>
  <si>
    <t>https://4ammedia.zendesk.com/agent/tickets/202257</t>
  </si>
  <si>
    <t>https://4ammedia.zendesk.com/agent/tickets/204049</t>
  </si>
  <si>
    <t>https://4ammedia.zendesk.com/agent/tickets/204266</t>
  </si>
  <si>
    <t>https://4ammedia.zendesk.com/agent/tickets/204439</t>
  </si>
  <si>
    <t>https://4ammedia.zendesk.com/agent/tickets/206348</t>
  </si>
  <si>
    <t>https://4ammedia.zendesk.com/agent/tickets/206501</t>
  </si>
  <si>
    <t>https://4ammedia.zendesk.com/agent/tickets/206669</t>
  </si>
  <si>
    <t>https://4ammedia.zendesk.com/agent/tickets/211561</t>
  </si>
  <si>
    <t>https://4ammedia.zendesk.com/agent/tickets/211701</t>
  </si>
  <si>
    <t>https://4ammedia.zendesk.com/agent/tickets/211968</t>
  </si>
  <si>
    <t>https://4ammedia.zendesk.com/agent/tickets/213751</t>
  </si>
  <si>
    <r>
      <rPr>
        <rFont val="Arial"/>
        <color rgb="FF1155CC"/>
        <u/>
      </rPr>
      <t>https://4ammedia.zendesk.com/agent/tickets/213877</t>
    </r>
  </si>
  <si>
    <t>https://4ammedia.zendesk.com/agent/tickets/214172</t>
  </si>
  <si>
    <t>https://4ammedia.zendesk.com/agent/tickets/215432</t>
  </si>
  <si>
    <t>https://4ammedia.zendesk.com/agent/tickets/215636</t>
  </si>
  <si>
    <t>https://4ammedia.zendesk.com/agent/tickets/215806</t>
  </si>
  <si>
    <t>https://4ammedia.zendesk.com/agent/tickets/217170</t>
  </si>
  <si>
    <t>https://4ammedia.zendesk.com/agent/tickets/217281</t>
  </si>
  <si>
    <t>https://4ammedia.zendesk.com/agent/tickets/217357</t>
  </si>
  <si>
    <t>https://4ammedia.zendesk.com/agent/tickets/227019</t>
  </si>
  <si>
    <t>https://4ammedia.zendesk.com/agent/tickets/227038</t>
  </si>
  <si>
    <t>https://4ammedia.zendesk.com/agent/tickets/227067</t>
  </si>
  <si>
    <t>https://4ammedia.zendesk.com/agent/tickets/228158</t>
  </si>
  <si>
    <t>https://4ammedia.zendesk.com/agent/tickets/228281</t>
  </si>
  <si>
    <t>https://4ammedia.zendesk.com/agent/tickets/228564</t>
  </si>
  <si>
    <t>https://4ammedia.zendesk.com/agent/tickets/230036</t>
  </si>
  <si>
    <t>https://4ammedia.zendesk.com/agent/tickets/230255</t>
  </si>
  <si>
    <t>https://4ammedia.zendesk.com/agent/tickets/230293</t>
  </si>
  <si>
    <r>
      <rPr>
        <rFont val="Arial"/>
        <color rgb="FF1155CC"/>
        <u/>
      </rPr>
      <t>https://4ammedia.zendesk.com/agent/tickets/236878</t>
    </r>
  </si>
  <si>
    <r>
      <rPr>
        <rFont val="Arial"/>
        <color rgb="FF1155CC"/>
        <u/>
      </rPr>
      <t>https://4ammedia.zendesk.com/agent/tickets/236921</t>
    </r>
  </si>
  <si>
    <r>
      <rPr>
        <rFont val="Arial"/>
        <color rgb="FF1155CC"/>
        <u/>
      </rPr>
      <t>https://4ammedia.zendesk.com/agent/tickets/236975</t>
    </r>
  </si>
  <si>
    <r>
      <rPr>
        <rFont val="Arial"/>
        <color rgb="FF1155CC"/>
        <u/>
      </rPr>
      <t>https://4ammedia.zendesk.com/agent/tickets/238861</t>
    </r>
  </si>
  <si>
    <r>
      <rPr>
        <rFont val="Arial"/>
        <color rgb="FF1155CC"/>
        <u/>
      </rPr>
      <t>https://4ammedia.zendesk.com/agent/tickets/238954</t>
    </r>
  </si>
  <si>
    <r>
      <rPr>
        <rFont val="Arial"/>
        <color rgb="FF1155CC"/>
        <u/>
      </rPr>
      <t>https://4ammedia.zendesk.com/agent/tickets/239074</t>
    </r>
  </si>
  <si>
    <r>
      <rPr>
        <rFont val="Arial"/>
        <color rgb="FF1155CC"/>
        <u/>
      </rPr>
      <t>https://4ammedia.zendesk.com/agent/tickets/240593</t>
    </r>
  </si>
  <si>
    <r>
      <rPr>
        <rFont val="Arial"/>
        <color rgb="FF1155CC"/>
        <u/>
      </rPr>
      <t>https://4ammedia.zendesk.com/agent/tickets/240702</t>
    </r>
  </si>
  <si>
    <r>
      <rPr>
        <rFont val="Arial"/>
        <color rgb="FF1155CC"/>
        <u/>
      </rPr>
      <t>https://4ammedia.zendesk.com/agent/tickets/240795</t>
    </r>
  </si>
  <si>
    <r>
      <rPr>
        <rFont val="Arial"/>
        <color rgb="FF1155CC"/>
        <u/>
      </rPr>
      <t>https://4ammedia.zendesk.com/agent/tickets/242818</t>
    </r>
  </si>
  <si>
    <r>
      <rPr>
        <rFont val="Arial"/>
        <color rgb="FF1155CC"/>
        <u/>
      </rPr>
      <t>https://4ammedia.zendesk.com/agent/tickets/242904</t>
    </r>
  </si>
  <si>
    <r>
      <rPr>
        <rFont val="Arial"/>
        <color rgb="FF1155CC"/>
        <u/>
      </rPr>
      <t>https://4ammedia.zendesk.com/agent/tickets/242978</t>
    </r>
  </si>
  <si>
    <r>
      <rPr>
        <rFont val="Arial"/>
        <color rgb="FF1155CC"/>
        <u/>
      </rPr>
      <t>https://4ammedia.zendesk.com/agent/tickets/244949</t>
    </r>
  </si>
  <si>
    <r>
      <rPr>
        <rFont val="Arial"/>
        <color rgb="FF1155CC"/>
        <u/>
      </rPr>
      <t>https://4ammedia.zendesk.com/agent/tickets/245113</t>
    </r>
  </si>
  <si>
    <r>
      <rPr>
        <rFont val="Arial"/>
        <color rgb="FF1155CC"/>
        <u/>
      </rPr>
      <t>https://4ammedia.zendesk.com/agent/tickets/245174</t>
    </r>
  </si>
  <si>
    <r>
      <rPr>
        <rFont val="Arial"/>
        <color rgb="FF1155CC"/>
        <u/>
      </rPr>
      <t>https://4ammedia.zendesk.com/agent/tickets/249692</t>
    </r>
  </si>
  <si>
    <r>
      <rPr>
        <rFont val="Arial"/>
        <color rgb="FF1155CC"/>
        <u/>
      </rPr>
      <t>https://4ammedia.zendesk.com/agent/tickets/249944</t>
    </r>
  </si>
  <si>
    <r>
      <rPr>
        <rFont val="Arial"/>
        <color rgb="FF1155CC"/>
        <u/>
      </rPr>
      <t>https://4ammedia.zendesk.com/agent/tickets/250102</t>
    </r>
  </si>
  <si>
    <r>
      <rPr>
        <rFont val="Arial"/>
        <color rgb="FF1155CC"/>
        <u/>
      </rPr>
      <t>https://4ammedia.zendesk.com/agent/tickets/252173</t>
    </r>
  </si>
  <si>
    <r>
      <rPr>
        <rFont val="Arial"/>
        <color rgb="FF1155CC"/>
        <u/>
      </rPr>
      <t>https://4ammedia.zendesk.com/agent/tickets/252323</t>
    </r>
  </si>
  <si>
    <r>
      <rPr>
        <rFont val="Arial"/>
        <color rgb="FF1155CC"/>
        <u/>
      </rPr>
      <t>https://4ammedia.zendesk.com/agent/tickets/252429</t>
    </r>
  </si>
  <si>
    <r>
      <rPr>
        <rFont val="Arial"/>
        <color rgb="FF1155CC"/>
        <u/>
      </rPr>
      <t>https://4ammedia.zendesk.com/agent/tickets/253913</t>
    </r>
  </si>
  <si>
    <r>
      <rPr>
        <rFont val="Arial"/>
        <color rgb="FF1155CC"/>
        <u/>
      </rPr>
      <t>https://4ammedia.zendesk.com/agent/tickets/254062</t>
    </r>
  </si>
  <si>
    <r>
      <rPr>
        <rFont val="Arial"/>
        <color rgb="FF1155CC"/>
        <u/>
      </rPr>
      <t>https://4ammedia.zendesk.com/agent/tickets/254224</t>
    </r>
  </si>
  <si>
    <r>
      <rPr>
        <rFont val="Arial"/>
        <color rgb="FF1155CC"/>
        <u/>
      </rPr>
      <t>https://4ammedia.zendesk.com/agent/tickets/254871</t>
    </r>
  </si>
  <si>
    <r>
      <rPr>
        <rFont val="Arial"/>
        <color rgb="FF1155CC"/>
        <u/>
      </rPr>
      <t>https://4ammedia.zendesk.com/agent/tickets/256010</t>
    </r>
  </si>
  <si>
    <r>
      <rPr>
        <rFont val="Arial"/>
        <color rgb="FF1155CC"/>
        <u/>
      </rPr>
      <t>https://4ammedia.zendesk.com/agent/tickets/256167</t>
    </r>
  </si>
  <si>
    <r>
      <rPr>
        <rFont val="Arial"/>
        <color rgb="FF1155CC"/>
        <u/>
      </rPr>
      <t>https://4ammedia.zendesk.com/agent/tickets/257830</t>
    </r>
  </si>
  <si>
    <r>
      <rPr>
        <rFont val="Arial"/>
        <color rgb="FF1155CC"/>
        <u/>
      </rPr>
      <t>https://4ammedia.zendesk.com/agent/tickets/258140</t>
    </r>
  </si>
  <si>
    <r>
      <rPr>
        <rFont val="Arial"/>
        <color rgb="FF1155CC"/>
        <u/>
      </rPr>
      <t>https://4ammedia.zendesk.com/agent/tickets/258184</t>
    </r>
  </si>
  <si>
    <r>
      <rPr>
        <rFont val="Arial"/>
        <color rgb="FF1155CC"/>
        <u/>
      </rPr>
      <t>https://4ammedia.zendesk.com/agent/tickets/262574</t>
    </r>
  </si>
  <si>
    <r>
      <rPr>
        <rFont val="Arial"/>
        <color rgb="FF1155CC"/>
        <u/>
      </rPr>
      <t>https://4ammedia.zendesk.com/agent/tickets/262672</t>
    </r>
  </si>
  <si>
    <r>
      <rPr>
        <rFont val="Arial"/>
        <color rgb="FF1155CC"/>
        <u/>
      </rPr>
      <t>https://4ammedia.zendesk.com/agent/tickets/262784</t>
    </r>
  </si>
  <si>
    <r>
      <rPr>
        <rFont val="Arial"/>
        <color rgb="FF1155CC"/>
        <u/>
      </rPr>
      <t>https://4ammedia.zendesk.com/agent/tickets/267118</t>
    </r>
  </si>
  <si>
    <r>
      <rPr>
        <rFont val="Arial"/>
        <color rgb="FF1155CC"/>
        <u/>
      </rPr>
      <t>https://4ammedia.zendesk.com/agent/tickets/267248</t>
    </r>
  </si>
  <si>
    <r>
      <rPr>
        <rFont val="Arial"/>
        <color rgb="FF1155CC"/>
        <u/>
      </rPr>
      <t>https://4ammedia.zendesk.com/agent/tickets/267387</t>
    </r>
  </si>
  <si>
    <r>
      <rPr>
        <rFont val="Arial"/>
        <color rgb="FF1155CC"/>
        <u/>
      </rPr>
      <t>https://4ammedia.zendesk.com/agent/tickets/269525</t>
    </r>
  </si>
  <si>
    <r>
      <rPr>
        <rFont val="Arial"/>
        <color rgb="FF1155CC"/>
        <u/>
      </rPr>
      <t>https://4ammedia.zendesk.com/agent/tickets/269727</t>
    </r>
  </si>
  <si>
    <r>
      <rPr>
        <rFont val="Arial"/>
        <color rgb="FF1155CC"/>
        <u/>
      </rPr>
      <t>https://4ammedia.zendesk.com/agent/tickets/269773</t>
    </r>
  </si>
  <si>
    <r>
      <rPr>
        <rFont val="Arial"/>
        <color rgb="FF1155CC"/>
        <u/>
      </rPr>
      <t>https://4ammedia.zendesk.com/agent/tickets/270757</t>
    </r>
  </si>
  <si>
    <r>
      <rPr>
        <rFont val="Arial"/>
        <color rgb="FF1155CC"/>
        <u/>
      </rPr>
      <t>https://4ammedia.zendesk.com/agent/tickets/270854</t>
    </r>
  </si>
  <si>
    <r>
      <rPr>
        <rFont val="Arial"/>
        <color rgb="FF1155CC"/>
        <u/>
      </rPr>
      <t>https://4ammedia.zendesk.com/agent/tickets/270902</t>
    </r>
  </si>
  <si>
    <r>
      <rPr>
        <rFont val="Arial"/>
        <color rgb="FF1155CC"/>
        <u/>
      </rPr>
      <t>https://4ammedia.zendesk.com/agent/tickets/272879</t>
    </r>
  </si>
  <si>
    <r>
      <rPr>
        <rFont val="Arial"/>
        <color rgb="FF1155CC"/>
        <u/>
      </rPr>
      <t>https://4ammedia.zendesk.com/agent/tickets/272995</t>
    </r>
  </si>
  <si>
    <r>
      <rPr>
        <rFont val="Arial"/>
        <color rgb="FF1155CC"/>
        <u/>
      </rPr>
      <t>https://4ammedia.zendesk.com/agent/tickets/273006</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</si>
</sst>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 d,yyyy"/>
    <numFmt numFmtId="165" formatCode="mmmm d, yyyy"/>
    <numFmt numFmtId="166" formatCode="mmmm yyyy"/>
    <numFmt numFmtId="167" formatCode="m/d"/>
    <numFmt numFmtId="168" formatCode="mmm d, yyyy"/>
    <numFmt numFmtId="169" formatCode="00.00"/>
    <numFmt numFmtId="170" formatCode="hh:mm:ss"/>
    <numFmt numFmtId="171" formatCode="d-mmm-yy"/>
  </numFmts>
  <fonts count="100">
    <font>
      <sz val="10.0"/>
      <color rgb="FF000000"/>
      <name val="Arial"/>
      <scheme val="minor"/>
    </font>
    <font>
      <b/>
      <color theme="1"/>
      <name val="Arial"/>
    </font>
    <font>
      <color theme="1"/>
      <name val="Arial"/>
    </font>
    <font>
      <sz val="11.0"/>
      <color theme="1"/>
      <name val="Arial"/>
    </font>
    <font>
      <b/>
      <color rgb="FFFFFFFF"/>
      <name val="Arial"/>
      <scheme val="minor"/>
    </font>
    <font>
      <b/>
      <color theme="1"/>
      <name val="Arial"/>
      <scheme val="minor"/>
    </font>
    <font>
      <b/>
      <color rgb="FF000000"/>
      <name val="Arial"/>
      <scheme val="minor"/>
    </font>
    <font/>
    <font>
      <i/>
      <color rgb="FF000000"/>
      <name val="Arial"/>
    </font>
    <font>
      <b/>
      <color rgb="FFFFFFFF"/>
      <name val="Arial"/>
    </font>
    <font>
      <b/>
      <sz val="11.0"/>
      <color theme="1"/>
      <name val="Arial"/>
    </font>
    <font>
      <b/>
      <sz val="11.0"/>
      <color theme="1"/>
      <name val="Calibri"/>
    </font>
    <font>
      <b/>
      <sz val="11.0"/>
      <color rgb="FFFFFFFF"/>
      <name val="Calibri"/>
    </font>
    <font>
      <sz val="11.0"/>
      <color theme="1"/>
      <name val="Calibri"/>
    </font>
    <font>
      <color theme="1"/>
      <name val="Arial"/>
      <scheme val="minor"/>
    </font>
    <font>
      <sz val="10.0"/>
      <color theme="1"/>
      <name val="Calibri"/>
    </font>
    <font>
      <b/>
      <color rgb="FF000000"/>
      <name val="Arial"/>
    </font>
    <font>
      <color rgb="FFFFFFFF"/>
      <name val="Arial"/>
    </font>
    <font>
      <b/>
      <sz val="11.0"/>
      <color rgb="FF000000"/>
      <name val="Calibri"/>
    </font>
    <font>
      <b/>
      <sz val="11.0"/>
      <color rgb="FFFFE8E8"/>
      <name val="Calibri"/>
    </font>
    <font>
      <b/>
      <sz val="8.0"/>
      <color rgb="FFFFE8E8"/>
      <name val="Bree Serif"/>
    </font>
    <font>
      <b/>
      <color theme="1"/>
      <name val="Roboto"/>
    </font>
    <font>
      <b/>
      <color rgb="FFFFE8E8"/>
      <name val="Bree Serif"/>
    </font>
    <font>
      <b/>
      <sz val="8.0"/>
      <color theme="1"/>
      <name val="Bree Serif"/>
    </font>
    <font>
      <b/>
      <color theme="1"/>
      <name val="Bree Serif"/>
    </font>
    <font>
      <color rgb="FF000000"/>
      <name val="Arial"/>
    </font>
    <font>
      <b/>
      <i/>
      <color theme="1"/>
      <name val="Arial"/>
    </font>
    <font>
      <u/>
      <color rgb="FF1155CC"/>
      <name val="Arial"/>
    </font>
    <font>
      <b/>
      <i/>
      <color theme="1"/>
      <name val="Arial"/>
      <scheme val="minor"/>
    </font>
    <font>
      <u/>
      <color rgb="FF0000FF"/>
    </font>
    <font>
      <u/>
      <color rgb="FF1155CC"/>
      <name val="Arial"/>
    </font>
    <font>
      <b/>
      <sz val="11.0"/>
      <color rgb="FFFFFFFF"/>
      <name val="Arial"/>
    </font>
    <font>
      <sz val="11.0"/>
      <color rgb="FF000000"/>
      <name val="Arial"/>
    </font>
    <font>
      <u/>
      <color rgb="FF1155CC"/>
      <name val="Arial"/>
    </font>
    <font>
      <sz val="7.0"/>
      <color theme="1"/>
      <name val="Calibri"/>
    </font>
    <font>
      <u/>
      <color rgb="FF1155CC"/>
      <name val="Arial"/>
    </font>
    <font>
      <color rgb="FF274E13"/>
      <name val="Arial"/>
    </font>
    <font>
      <u/>
      <color rgb="FF0000FF"/>
      <name val="Arial"/>
    </font>
    <font>
      <u/>
      <color rgb="FF1155CC"/>
      <name val="Arial"/>
    </font>
    <font>
      <b/>
      <color rgb="FF274E13"/>
      <name val="Arial"/>
    </font>
    <font>
      <color theme="1"/>
      <name val="Calibri"/>
    </font>
    <font>
      <b/>
      <u/>
      <color rgb="FFFFFFFF"/>
      <name val="Arial"/>
    </font>
    <font>
      <u/>
      <color rgb="FF1155CC"/>
      <name val="Arial"/>
    </font>
    <font>
      <b/>
      <sz val="11.0"/>
      <color rgb="FFCC0000"/>
      <name val="Calibri"/>
    </font>
    <font>
      <u/>
      <color rgb="FF0000FF"/>
      <name val="Arial"/>
    </font>
    <font>
      <u/>
      <color rgb="FF1155CC"/>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b/>
      <color rgb="FF1F1F1F"/>
      <name val="Arial"/>
    </font>
    <font>
      <u/>
      <color rgb="FF0000FF"/>
    </font>
    <font>
      <u/>
      <color rgb="FF1155CC"/>
      <name val="Arial"/>
    </font>
    <font>
      <b/>
      <i/>
      <color theme="1"/>
      <name val="Roboto"/>
    </font>
    <font>
      <u/>
      <color rgb="FF0000FF"/>
      <name val="Arial"/>
    </font>
    <font>
      <u/>
      <color rgb="FF0000FF"/>
      <name val="Arial"/>
    </font>
    <font>
      <u/>
      <color rgb="FF000000"/>
      <name val="Arial"/>
    </font>
    <font>
      <u/>
      <color rgb="FF000000"/>
      <name val="Arial"/>
    </font>
    <font>
      <u/>
      <color rgb="FF0000FF"/>
    </font>
    <font>
      <u/>
      <color rgb="FF0000FF"/>
      <name val="Arial"/>
    </font>
    <font>
      <u/>
      <color rgb="FF1155CC"/>
      <name val="Arial"/>
    </font>
    <font>
      <b/>
      <u/>
      <color rgb="FF1155CC"/>
      <name val="Arial"/>
    </font>
    <font>
      <u/>
      <color rgb="FF0000FF"/>
      <name val="Arial"/>
    </font>
    <font>
      <b/>
      <u/>
      <color rgb="FF0000FF"/>
      <name val="Roboto"/>
    </font>
    <font>
      <u/>
      <color rgb="FF1155CC"/>
      <name val="Arial"/>
    </font>
    <font>
      <u/>
      <color rgb="FF1155CC"/>
      <name val="Arial"/>
    </font>
    <font>
      <u/>
      <color rgb="FF467886"/>
      <name val="Arial"/>
    </font>
    <font>
      <u/>
      <sz val="10.0"/>
      <color rgb="FF0000FF"/>
      <name val="Arial"/>
    </font>
    <font>
      <u/>
      <color rgb="FF0000FF"/>
      <name val="Arial"/>
    </font>
    <font>
      <u/>
      <color rgb="FF1155CC"/>
      <name val="Arial"/>
    </font>
    <font>
      <u/>
      <color rgb="FF1155CC"/>
      <name val="Arial"/>
    </font>
    <font>
      <u/>
      <color rgb="FF0000FF"/>
    </font>
    <font>
      <u/>
      <sz val="9.0"/>
      <color rgb="FF050505"/>
      <name val="Inherit"/>
    </font>
    <font>
      <u/>
      <color rgb="FF0000FF"/>
      <name val="Arial"/>
    </font>
    <font>
      <u/>
      <color rgb="FF0000FF"/>
    </font>
    <font>
      <u/>
      <color rgb="FF1155CC"/>
      <name val="Arial"/>
    </font>
    <font>
      <u/>
      <color rgb="FF1155CC"/>
      <name val="Arial"/>
    </font>
    <font>
      <u/>
      <color rgb="FF0000FF"/>
      <name val="Arial"/>
    </font>
    <font>
      <u/>
      <color rgb="FF1155CC"/>
      <name val="Arial"/>
    </font>
    <font>
      <u/>
      <color rgb="FF0000FF"/>
      <name val="Arial"/>
    </font>
    <font>
      <u/>
      <color rgb="FF1155CC"/>
      <name val="Arial"/>
    </font>
    <font>
      <i/>
      <color theme="1"/>
      <name val="Roboto"/>
    </font>
    <font>
      <color theme="1"/>
      <name val="Roboto"/>
    </font>
    <font>
      <i/>
      <color theme="1"/>
      <name val="Arial"/>
      <scheme val="minor"/>
    </font>
    <font>
      <i/>
      <color theme="1"/>
      <name val="Arial"/>
    </font>
    <font>
      <u/>
      <color rgb="FF467886"/>
      <name val="Arial"/>
    </font>
    <font>
      <u/>
      <color rgb="FF1155CC"/>
      <name val="Arial"/>
    </font>
    <font>
      <u/>
      <color rgb="FF0000FF"/>
      <name val="Arial"/>
    </font>
    <font>
      <u/>
      <color rgb="FF467886"/>
      <name val="Arial"/>
    </font>
    <font>
      <u/>
      <color rgb="FF467886"/>
      <name val="Arial"/>
    </font>
    <font>
      <color rgb="FF467886"/>
      <name val="Arial"/>
    </font>
  </fonts>
  <fills count="28">
    <fill>
      <patternFill patternType="none"/>
    </fill>
    <fill>
      <patternFill patternType="lightGray"/>
    </fill>
    <fill>
      <patternFill patternType="solid">
        <fgColor rgb="FFFFCCCC"/>
        <bgColor rgb="FFFFCCCC"/>
      </patternFill>
    </fill>
    <fill>
      <patternFill patternType="solid">
        <fgColor rgb="FF842246"/>
        <bgColor rgb="FF842246"/>
      </patternFill>
    </fill>
    <fill>
      <patternFill patternType="solid">
        <fgColor rgb="FFFFDDF0"/>
        <bgColor rgb="FFFFDDF0"/>
      </patternFill>
    </fill>
    <fill>
      <patternFill patternType="solid">
        <fgColor rgb="FFFFB9C8"/>
        <bgColor rgb="FFFFB9C8"/>
      </patternFill>
    </fill>
    <fill>
      <patternFill patternType="solid">
        <fgColor rgb="FF434343"/>
        <bgColor rgb="FF434343"/>
      </patternFill>
    </fill>
    <fill>
      <patternFill patternType="solid">
        <fgColor rgb="FFCFE2F3"/>
        <bgColor rgb="FFCFE2F3"/>
      </patternFill>
    </fill>
    <fill>
      <patternFill patternType="solid">
        <fgColor rgb="FFD9E1F2"/>
        <bgColor rgb="FFD9E1F2"/>
      </patternFill>
    </fill>
    <fill>
      <patternFill patternType="solid">
        <fgColor rgb="FF4472C4"/>
        <bgColor rgb="FF4472C4"/>
      </patternFill>
    </fill>
    <fill>
      <patternFill patternType="solid">
        <fgColor rgb="FF00FFFF"/>
        <bgColor rgb="FF00FFFF"/>
      </patternFill>
    </fill>
    <fill>
      <patternFill patternType="solid">
        <fgColor rgb="FFC9DAF8"/>
        <bgColor rgb="FFC9DAF8"/>
      </patternFill>
    </fill>
    <fill>
      <patternFill patternType="solid">
        <fgColor rgb="FFFFE6DD"/>
        <bgColor rgb="FFFFE6DD"/>
      </patternFill>
    </fill>
    <fill>
      <patternFill patternType="solid">
        <fgColor rgb="FFFF679F"/>
        <bgColor rgb="FFFF679F"/>
      </patternFill>
    </fill>
    <fill>
      <patternFill patternType="solid">
        <fgColor rgb="FFD9D9D9"/>
        <bgColor rgb="FFD9D9D9"/>
      </patternFill>
    </fill>
    <fill>
      <patternFill patternType="solid">
        <fgColor rgb="FFFFF2CC"/>
        <bgColor rgb="FFFFF2CC"/>
      </patternFill>
    </fill>
    <fill>
      <patternFill patternType="solid">
        <fgColor rgb="FF9FC5E8"/>
        <bgColor rgb="FF9FC5E8"/>
      </patternFill>
    </fill>
    <fill>
      <patternFill patternType="solid">
        <fgColor rgb="FFFFFFFF"/>
        <bgColor rgb="FFFFFFFF"/>
      </patternFill>
    </fill>
    <fill>
      <patternFill patternType="solid">
        <fgColor rgb="FFF8F9FA"/>
        <bgColor rgb="FFF8F9FA"/>
      </patternFill>
    </fill>
    <fill>
      <patternFill patternType="solid">
        <fgColor rgb="FFFFE8E8"/>
        <bgColor rgb="FFFFE8E8"/>
      </patternFill>
    </fill>
    <fill>
      <patternFill patternType="solid">
        <fgColor rgb="FFF4CCCC"/>
        <bgColor rgb="FFF4CCCC"/>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990000"/>
        <bgColor rgb="FF990000"/>
      </patternFill>
    </fill>
    <fill>
      <patternFill patternType="solid">
        <fgColor rgb="FFB6D7A8"/>
        <bgColor rgb="FFB6D7A8"/>
      </patternFill>
    </fill>
    <fill>
      <patternFill patternType="solid">
        <fgColor rgb="FFF3F3F3"/>
        <bgColor rgb="FFF3F3F3"/>
      </patternFill>
    </fill>
    <fill>
      <patternFill patternType="solid">
        <fgColor rgb="FFFFDDED"/>
        <bgColor rgb="FFFFDDED"/>
      </patternFill>
    </fill>
  </fills>
  <borders count="41">
    <border/>
    <border>
      <left style="thin">
        <color rgb="FF000000"/>
      </left>
      <right style="thin">
        <color rgb="FF000000"/>
      </right>
      <top style="thin">
        <color rgb="FF000000"/>
      </top>
      <bottom style="thin">
        <color rgb="FF000000"/>
      </bottom>
    </border>
    <border>
      <left style="thin">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s>
  <cellStyleXfs count="1">
    <xf borderId="0" fillId="0" fontId="0" numFmtId="0" applyAlignment="1" applyFont="1"/>
  </cellStyleXfs>
  <cellXfs count="563">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2" fontId="1" numFmtId="0" xfId="0" applyAlignment="1" applyBorder="1" applyFont="1">
      <alignment horizontal="center" vertical="bottom"/>
    </xf>
    <xf borderId="1" fillId="0" fontId="2" numFmtId="0" xfId="0" applyAlignment="1" applyBorder="1" applyFont="1">
      <alignment vertical="bottom"/>
    </xf>
    <xf borderId="1" fillId="0" fontId="3" numFmtId="0" xfId="0" applyAlignment="1" applyBorder="1" applyFont="1">
      <alignment vertical="bottom"/>
    </xf>
    <xf borderId="0" fillId="3" fontId="4" numFmtId="0" xfId="0" applyAlignment="1" applyFill="1" applyFont="1">
      <alignment readingOrder="0"/>
    </xf>
    <xf borderId="0" fillId="3" fontId="4" numFmtId="0" xfId="0" applyAlignment="1" applyFont="1">
      <alignment horizontal="center" readingOrder="0"/>
    </xf>
    <xf borderId="2" fillId="4" fontId="5" numFmtId="0" xfId="0" applyAlignment="1" applyBorder="1" applyFill="1" applyFont="1">
      <alignment horizontal="center" readingOrder="0" vertical="center"/>
    </xf>
    <xf borderId="3" fillId="4" fontId="5" numFmtId="164" xfId="0" applyAlignment="1" applyBorder="1" applyFont="1" applyNumberFormat="1">
      <alignment horizontal="center" readingOrder="0" vertical="center"/>
    </xf>
    <xf borderId="3" fillId="4" fontId="6" numFmtId="164" xfId="0" applyAlignment="1" applyBorder="1" applyFont="1" applyNumberFormat="1">
      <alignment horizontal="center" readingOrder="0" vertical="center"/>
    </xf>
    <xf borderId="2" fillId="4" fontId="6" numFmtId="0" xfId="0" applyAlignment="1" applyBorder="1" applyFont="1">
      <alignment horizontal="center" readingOrder="0" vertical="center"/>
    </xf>
    <xf borderId="4" fillId="0" fontId="7" numFmtId="0" xfId="0" applyBorder="1" applyFont="1"/>
    <xf borderId="3" fillId="4" fontId="8" numFmtId="0" xfId="0" applyAlignment="1" applyBorder="1" applyFont="1">
      <alignment horizontal="center" vertical="center"/>
    </xf>
    <xf borderId="1" fillId="2" fontId="1" numFmtId="0" xfId="0" applyAlignment="1" applyBorder="1" applyFont="1">
      <alignment horizontal="center" vertical="bottom"/>
    </xf>
    <xf borderId="1" fillId="2" fontId="1" numFmtId="0" xfId="0" applyAlignment="1" applyBorder="1" applyFont="1">
      <alignment horizontal="center" readingOrder="0" vertical="bottom"/>
    </xf>
    <xf borderId="1" fillId="0" fontId="2" numFmtId="0" xfId="0" applyAlignment="1" applyBorder="1" applyFont="1">
      <alignment readingOrder="0" vertical="bottom"/>
    </xf>
    <xf borderId="3" fillId="0" fontId="5" numFmtId="0" xfId="0" applyAlignment="1" applyBorder="1" applyFont="1">
      <alignment readingOrder="0"/>
    </xf>
    <xf borderId="1" fillId="0" fontId="1" numFmtId="0" xfId="0" applyAlignment="1" applyBorder="1" applyFont="1">
      <alignment readingOrder="0" vertical="bottom"/>
    </xf>
    <xf borderId="3" fillId="5" fontId="1" numFmtId="0" xfId="0" applyAlignment="1" applyBorder="1" applyFill="1" applyFont="1">
      <alignment horizontal="center" vertical="bottom"/>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3" numFmtId="165" xfId="0" applyAlignment="1" applyBorder="1" applyFont="1" applyNumberFormat="1">
      <alignment horizontal="right" readingOrder="0" vertical="bottom"/>
    </xf>
    <xf borderId="1" fillId="0" fontId="3" numFmtId="49" xfId="0" applyAlignment="1" applyBorder="1" applyFont="1" applyNumberFormat="1">
      <alignment horizontal="right" readingOrder="0" vertical="bottom"/>
    </xf>
    <xf borderId="1" fillId="0" fontId="1" numFmtId="0" xfId="0" applyAlignment="1" applyBorder="1" applyFont="1">
      <alignment vertical="bottom"/>
    </xf>
    <xf borderId="1" fillId="0" fontId="3" numFmtId="0" xfId="0" applyAlignment="1" applyBorder="1" applyFont="1">
      <alignment vertical="bottom"/>
    </xf>
    <xf borderId="1" fillId="0" fontId="3" numFmtId="0" xfId="0" applyAlignment="1" applyBorder="1" applyFont="1">
      <alignment horizontal="right" vertical="bottom"/>
    </xf>
    <xf borderId="1" fillId="0" fontId="3" numFmtId="165" xfId="0" applyAlignment="1" applyBorder="1" applyFont="1" applyNumberFormat="1">
      <alignment horizontal="right" vertical="bottom"/>
    </xf>
    <xf borderId="1" fillId="0" fontId="3" numFmtId="49" xfId="0" applyAlignment="1" applyBorder="1" applyFont="1" applyNumberFormat="1">
      <alignment horizontal="right" vertical="bottom"/>
    </xf>
    <xf borderId="3" fillId="0" fontId="2" numFmtId="0" xfId="0" applyAlignment="1" applyBorder="1" applyFont="1">
      <alignment horizontal="center" vertical="bottom"/>
    </xf>
    <xf borderId="3" fillId="6" fontId="9" numFmtId="0" xfId="0" applyAlignment="1" applyBorder="1" applyFill="1" applyFont="1">
      <alignment horizontal="center" vertical="bottom"/>
    </xf>
    <xf borderId="5" fillId="5" fontId="1" numFmtId="9" xfId="0" applyAlignment="1" applyBorder="1" applyFont="1" applyNumberFormat="1">
      <alignment horizontal="center" vertical="bottom"/>
    </xf>
    <xf borderId="1" fillId="0" fontId="10" numFmtId="0" xfId="0" applyAlignment="1" applyBorder="1" applyFont="1">
      <alignment vertical="bottom"/>
    </xf>
    <xf borderId="6" fillId="7" fontId="11" numFmtId="0" xfId="0" applyAlignment="1" applyBorder="1" applyFill="1" applyFont="1">
      <alignment horizontal="center" shrinkToFit="0" wrapText="1"/>
    </xf>
    <xf borderId="7" fillId="7" fontId="11" numFmtId="0" xfId="0" applyAlignment="1" applyBorder="1" applyFont="1">
      <alignment horizontal="center" readingOrder="0" shrinkToFit="0" wrapText="1"/>
    </xf>
    <xf borderId="8" fillId="0" fontId="7" numFmtId="0" xfId="0" applyBorder="1" applyFont="1"/>
    <xf borderId="9" fillId="0" fontId="7" numFmtId="0" xfId="0" applyBorder="1" applyFont="1"/>
    <xf borderId="10" fillId="7" fontId="11" numFmtId="0" xfId="0" applyAlignment="1" applyBorder="1" applyFont="1">
      <alignment horizontal="center" readingOrder="0" shrinkToFit="0" wrapText="1"/>
    </xf>
    <xf borderId="11" fillId="8" fontId="11" numFmtId="0" xfId="0" applyAlignment="1" applyBorder="1" applyFill="1" applyFont="1">
      <alignment horizontal="center" readingOrder="0" shrinkToFit="0" wrapText="1"/>
    </xf>
    <xf borderId="12" fillId="9" fontId="12" numFmtId="0" xfId="0" applyAlignment="1" applyBorder="1" applyFill="1" applyFont="1">
      <alignment horizontal="center" shrinkToFit="0" vertical="bottom" wrapText="1"/>
    </xf>
    <xf borderId="1" fillId="9" fontId="12" numFmtId="0" xfId="0" applyAlignment="1" applyBorder="1" applyFont="1">
      <alignment horizontal="center" shrinkToFit="0" vertical="bottom" wrapText="1"/>
    </xf>
    <xf borderId="1" fillId="9" fontId="12" numFmtId="0" xfId="0" applyAlignment="1" applyBorder="1" applyFont="1">
      <alignment horizontal="center" shrinkToFit="0" vertical="bottom" wrapText="1"/>
    </xf>
    <xf borderId="13" fillId="9" fontId="12" numFmtId="0" xfId="0" applyAlignment="1" applyBorder="1" applyFont="1">
      <alignment horizontal="center" shrinkToFit="0" vertical="bottom" wrapText="1"/>
    </xf>
    <xf borderId="10" fillId="9" fontId="12" numFmtId="0" xfId="0" applyAlignment="1" applyBorder="1" applyFont="1">
      <alignment horizontal="center" shrinkToFit="0" vertical="bottom" wrapText="1"/>
    </xf>
    <xf borderId="1" fillId="5" fontId="1" numFmtId="0" xfId="0" applyAlignment="1" applyBorder="1" applyFont="1">
      <alignment horizontal="center" vertical="bottom"/>
    </xf>
    <xf borderId="13" fillId="10" fontId="13" numFmtId="0" xfId="0" applyAlignment="1" applyBorder="1" applyFill="1" applyFont="1">
      <alignment horizontal="center" vertical="bottom"/>
    </xf>
    <xf borderId="14" fillId="10" fontId="11" numFmtId="0" xfId="0" applyAlignment="1" applyBorder="1" applyFont="1">
      <alignment horizontal="center" shrinkToFit="0" vertical="bottom" wrapText="1"/>
    </xf>
    <xf borderId="15" fillId="0" fontId="7" numFmtId="0" xfId="0" applyBorder="1" applyFont="1"/>
    <xf borderId="16" fillId="0" fontId="7" numFmtId="0" xfId="0" applyBorder="1" applyFont="1"/>
    <xf borderId="10" fillId="0" fontId="14" numFmtId="0" xfId="0" applyBorder="1" applyFont="1"/>
    <xf borderId="0" fillId="2" fontId="5" numFmtId="166" xfId="0" applyAlignment="1" applyFont="1" applyNumberFormat="1">
      <alignment readingOrder="0"/>
    </xf>
    <xf borderId="0" fillId="0" fontId="11" numFmtId="0" xfId="0" applyAlignment="1" applyFont="1">
      <alignment readingOrder="0" vertical="bottom"/>
    </xf>
    <xf borderId="13" fillId="8" fontId="11" numFmtId="49" xfId="0" applyAlignment="1" applyBorder="1" applyFont="1" applyNumberFormat="1">
      <alignment horizontal="center" shrinkToFit="0" vertical="bottom" wrapText="1"/>
    </xf>
    <xf borderId="0" fillId="11" fontId="5" numFmtId="0" xfId="0" applyAlignment="1" applyFill="1" applyFont="1">
      <alignment readingOrder="0"/>
    </xf>
    <xf borderId="17" fillId="8" fontId="13" numFmtId="167" xfId="0" applyAlignment="1" applyBorder="1" applyFont="1" applyNumberFormat="1">
      <alignment vertical="bottom"/>
    </xf>
    <xf borderId="18" fillId="0" fontId="7" numFmtId="0" xfId="0" applyBorder="1" applyFont="1"/>
    <xf borderId="0" fillId="12" fontId="5" numFmtId="0" xfId="0" applyAlignment="1" applyFill="1" applyFont="1">
      <alignment readingOrder="0"/>
    </xf>
    <xf borderId="19" fillId="0" fontId="7" numFmtId="0" xfId="0" applyBorder="1" applyFont="1"/>
    <xf borderId="20" fillId="13" fontId="9" numFmtId="0" xfId="0" applyAlignment="1" applyBorder="1" applyFill="1" applyFont="1">
      <alignment vertical="center"/>
    </xf>
    <xf borderId="13" fillId="14" fontId="11" numFmtId="49" xfId="0" applyAlignment="1" applyBorder="1" applyFill="1" applyFont="1" applyNumberFormat="1">
      <alignment horizontal="right"/>
    </xf>
    <xf borderId="21" fillId="13" fontId="9" numFmtId="0" xfId="0" applyAlignment="1" applyBorder="1" applyFont="1">
      <alignment horizontal="center" vertical="center"/>
    </xf>
    <xf borderId="12" fillId="0" fontId="15" numFmtId="4" xfId="0" applyAlignment="1" applyBorder="1" applyFont="1" applyNumberFormat="1">
      <alignment horizontal="center"/>
    </xf>
    <xf borderId="1" fillId="0" fontId="15" numFmtId="4" xfId="0" applyAlignment="1" applyBorder="1" applyFont="1" applyNumberFormat="1">
      <alignment horizontal="center"/>
    </xf>
    <xf borderId="1" fillId="13" fontId="9" numFmtId="168" xfId="0" applyAlignment="1" applyBorder="1" applyFont="1" applyNumberFormat="1">
      <alignment horizontal="center" readingOrder="0" vertical="center"/>
    </xf>
    <xf borderId="1" fillId="0" fontId="10" numFmtId="0" xfId="0" applyAlignment="1" applyBorder="1" applyFont="1">
      <alignment readingOrder="0" vertical="bottom"/>
    </xf>
    <xf borderId="1" fillId="0" fontId="15" numFmtId="4" xfId="0" applyAlignment="1" applyBorder="1" applyFont="1" applyNumberFormat="1">
      <alignment horizontal="center" readingOrder="0"/>
    </xf>
    <xf borderId="3" fillId="0" fontId="2" numFmtId="0" xfId="0" applyAlignment="1" applyBorder="1" applyFont="1">
      <alignment vertical="bottom"/>
    </xf>
    <xf borderId="13" fillId="0" fontId="15" numFmtId="4" xfId="0" applyAlignment="1" applyBorder="1" applyFont="1" applyNumberFormat="1">
      <alignment horizontal="center"/>
    </xf>
    <xf borderId="10" fillId="0" fontId="15" numFmtId="4" xfId="0" applyAlignment="1" applyBorder="1" applyFont="1" applyNumberFormat="1">
      <alignment horizontal="center"/>
    </xf>
    <xf borderId="13" fillId="14" fontId="11" numFmtId="0" xfId="0" applyAlignment="1" applyBorder="1" applyFont="1">
      <alignment horizontal="right"/>
    </xf>
    <xf borderId="5" fillId="14" fontId="11" numFmtId="4" xfId="0" applyAlignment="1" applyBorder="1" applyFont="1" applyNumberFormat="1">
      <alignment horizontal="right" vertical="bottom"/>
    </xf>
    <xf borderId="1" fillId="14" fontId="11" numFmtId="4" xfId="0" applyAlignment="1" applyBorder="1" applyFont="1" applyNumberFormat="1">
      <alignment horizontal="right" vertical="bottom"/>
    </xf>
    <xf borderId="13" fillId="14" fontId="11" numFmtId="4" xfId="0" applyAlignment="1" applyBorder="1" applyFont="1" applyNumberFormat="1">
      <alignment horizontal="right" vertical="bottom"/>
    </xf>
    <xf borderId="10" fillId="14" fontId="11" numFmtId="4" xfId="0" applyAlignment="1" applyBorder="1" applyFont="1" applyNumberFormat="1">
      <alignment horizontal="right" vertical="bottom"/>
    </xf>
    <xf borderId="13" fillId="15" fontId="11" numFmtId="0" xfId="0" applyAlignment="1" applyBorder="1" applyFill="1" applyFont="1">
      <alignment horizontal="right" vertical="bottom"/>
    </xf>
    <xf borderId="12" fillId="15" fontId="11" numFmtId="10" xfId="0" applyAlignment="1" applyBorder="1" applyFont="1" applyNumberFormat="1">
      <alignment horizontal="center" vertical="bottom"/>
    </xf>
    <xf borderId="1" fillId="15" fontId="11" numFmtId="10" xfId="0" applyAlignment="1" applyBorder="1" applyFont="1" applyNumberFormat="1">
      <alignment horizontal="center" vertical="bottom"/>
    </xf>
    <xf borderId="22" fillId="16" fontId="16" numFmtId="0" xfId="0" applyAlignment="1" applyBorder="1" applyFill="1" applyFont="1">
      <alignment horizontal="center" vertical="center"/>
    </xf>
    <xf borderId="13" fillId="15" fontId="11" numFmtId="10" xfId="0" applyAlignment="1" applyBorder="1" applyFont="1" applyNumberFormat="1">
      <alignment horizontal="center" vertical="bottom"/>
    </xf>
    <xf borderId="21" fillId="16" fontId="16" numFmtId="0" xfId="0" applyAlignment="1" applyBorder="1" applyFont="1">
      <alignment horizontal="center" vertical="center"/>
    </xf>
    <xf borderId="10" fillId="15" fontId="11" numFmtId="10" xfId="0" applyAlignment="1" applyBorder="1" applyFont="1" applyNumberFormat="1">
      <alignment horizontal="center" vertical="bottom"/>
    </xf>
    <xf borderId="23" fillId="0" fontId="7" numFmtId="0" xfId="0" applyBorder="1" applyFont="1"/>
    <xf borderId="24" fillId="0" fontId="7" numFmtId="0" xfId="0" applyBorder="1" applyFont="1"/>
    <xf borderId="1" fillId="13" fontId="17" numFmtId="0" xfId="0" applyAlignment="1" applyBorder="1" applyFont="1">
      <alignment horizontal="center" vertical="center"/>
    </xf>
    <xf borderId="13" fillId="14" fontId="11" numFmtId="49" xfId="0" applyAlignment="1" applyBorder="1" applyFont="1" applyNumberFormat="1">
      <alignment horizontal="right" vertical="bottom"/>
    </xf>
    <xf borderId="12" fillId="0" fontId="13" numFmtId="49" xfId="0" applyAlignment="1" applyBorder="1" applyFont="1" applyNumberFormat="1">
      <alignment horizontal="center"/>
    </xf>
    <xf borderId="1" fillId="0" fontId="13" numFmtId="49" xfId="0" applyAlignment="1" applyBorder="1" applyFont="1" applyNumberFormat="1">
      <alignment horizontal="center"/>
    </xf>
    <xf borderId="13" fillId="0" fontId="13" numFmtId="49" xfId="0" applyAlignment="1" applyBorder="1" applyFont="1" applyNumberFormat="1">
      <alignment horizontal="center"/>
    </xf>
    <xf borderId="10" fillId="0" fontId="13" numFmtId="49" xfId="0" applyAlignment="1" applyBorder="1" applyFont="1" applyNumberFormat="1">
      <alignment horizontal="center"/>
    </xf>
    <xf borderId="13" fillId="14" fontId="11" numFmtId="0" xfId="0" applyAlignment="1" applyBorder="1" applyFont="1">
      <alignment horizontal="right" vertical="bottom"/>
    </xf>
    <xf borderId="0" fillId="15" fontId="18" numFmtId="166" xfId="0" applyAlignment="1" applyFont="1" applyNumberFormat="1">
      <alignment readingOrder="0" vertical="bottom"/>
    </xf>
    <xf borderId="12" fillId="14" fontId="11" numFmtId="169" xfId="0" applyAlignment="1" applyBorder="1" applyFont="1" applyNumberFormat="1">
      <alignment horizontal="right" readingOrder="0" vertical="bottom"/>
    </xf>
    <xf borderId="0" fillId="15" fontId="19" numFmtId="0" xfId="0" applyAlignment="1" applyFont="1">
      <alignment readingOrder="0" vertical="bottom"/>
    </xf>
    <xf borderId="25" fillId="0" fontId="7" numFmtId="0" xfId="0" applyBorder="1" applyFont="1"/>
    <xf borderId="1" fillId="14" fontId="11" numFmtId="169" xfId="0" applyAlignment="1" applyBorder="1" applyFont="1" applyNumberFormat="1">
      <alignment horizontal="right" readingOrder="0" vertical="bottom"/>
    </xf>
    <xf borderId="0" fillId="15" fontId="20" numFmtId="0" xfId="0" applyAlignment="1" applyFont="1">
      <alignment horizontal="center" shrinkToFit="0" vertical="center" wrapText="1"/>
    </xf>
    <xf borderId="26" fillId="17" fontId="21" numFmtId="0" xfId="0" applyAlignment="1" applyBorder="1" applyFill="1" applyFont="1">
      <alignment shrinkToFit="0" vertical="bottom" wrapText="0"/>
    </xf>
    <xf borderId="0" fillId="15" fontId="20" numFmtId="0" xfId="0" applyAlignment="1" applyFont="1">
      <alignment horizontal="center" vertical="center"/>
    </xf>
    <xf borderId="13" fillId="14" fontId="11" numFmtId="169" xfId="0" applyAlignment="1" applyBorder="1" applyFont="1" applyNumberFormat="1">
      <alignment horizontal="right" readingOrder="0" vertical="bottom"/>
    </xf>
    <xf borderId="3" fillId="0" fontId="14" numFmtId="0" xfId="0" applyAlignment="1" applyBorder="1" applyFont="1">
      <alignment horizontal="center"/>
    </xf>
    <xf borderId="10" fillId="14" fontId="11" numFmtId="169" xfId="0" applyAlignment="1" applyBorder="1" applyFont="1" applyNumberFormat="1">
      <alignment horizontal="right" readingOrder="0" vertical="bottom"/>
    </xf>
    <xf borderId="1" fillId="17" fontId="21" numFmtId="0" xfId="0" applyAlignment="1" applyBorder="1" applyFont="1">
      <alignment horizontal="center" shrinkToFit="0" vertical="bottom" wrapText="0"/>
    </xf>
    <xf borderId="0" fillId="15" fontId="22" numFmtId="0" xfId="0" applyAlignment="1" applyFont="1">
      <alignment horizontal="center" readingOrder="0" vertical="center"/>
    </xf>
    <xf borderId="0" fillId="15" fontId="22" numFmtId="0" xfId="0" applyAlignment="1" applyFont="1">
      <alignment horizontal="center" vertical="center"/>
    </xf>
    <xf borderId="3" fillId="0" fontId="14" numFmtId="10" xfId="0" applyAlignment="1" applyBorder="1" applyFont="1" applyNumberFormat="1">
      <alignment horizontal="center" readingOrder="0"/>
    </xf>
    <xf borderId="3" fillId="0" fontId="14" numFmtId="170" xfId="0" applyAlignment="1" applyBorder="1" applyFont="1" applyNumberFormat="1">
      <alignment horizontal="center" readingOrder="0"/>
    </xf>
    <xf borderId="27" fillId="13" fontId="12" numFmtId="0" xfId="0" applyAlignment="1" applyBorder="1" applyFont="1">
      <alignment readingOrder="0" vertical="bottom"/>
    </xf>
    <xf borderId="28" fillId="0" fontId="7" numFmtId="0" xfId="0" applyBorder="1" applyFont="1"/>
    <xf borderId="29" fillId="0" fontId="7" numFmtId="0" xfId="0" applyBorder="1" applyFont="1"/>
    <xf borderId="1" fillId="0" fontId="2" numFmtId="0" xfId="0" applyAlignment="1" applyBorder="1" applyFont="1">
      <alignment horizontal="center" readingOrder="0" vertical="bottom"/>
    </xf>
    <xf borderId="0" fillId="17" fontId="23" numFmtId="0" xfId="0" applyAlignment="1" applyFont="1">
      <alignment horizontal="center" shrinkToFit="0" vertical="center" wrapText="1"/>
    </xf>
    <xf borderId="0" fillId="17" fontId="23" numFmtId="0" xfId="0" applyAlignment="1" applyFont="1">
      <alignment horizontal="center" vertical="center"/>
    </xf>
    <xf borderId="0" fillId="17" fontId="24" numFmtId="0" xfId="0" applyAlignment="1" applyFont="1">
      <alignment horizontal="center" readingOrder="0" vertical="center"/>
    </xf>
    <xf borderId="1" fillId="0" fontId="2" numFmtId="0" xfId="0" applyAlignment="1" applyBorder="1" applyFont="1">
      <alignment horizontal="center" readingOrder="0" vertical="bottom"/>
    </xf>
    <xf borderId="0" fillId="17" fontId="24" numFmtId="0" xfId="0" applyAlignment="1" applyFont="1">
      <alignment horizontal="center" vertical="center"/>
    </xf>
    <xf borderId="1" fillId="0" fontId="25" numFmtId="10" xfId="0" applyAlignment="1" applyBorder="1" applyFont="1" applyNumberFormat="1">
      <alignment horizontal="center" readingOrder="0" vertical="bottom"/>
    </xf>
    <xf borderId="1" fillId="2" fontId="24" numFmtId="0" xfId="0" applyAlignment="1" applyBorder="1" applyFont="1">
      <alignment horizontal="center" readingOrder="0" vertical="center"/>
    </xf>
    <xf borderId="1" fillId="5" fontId="26" numFmtId="0" xfId="0" applyAlignment="1" applyBorder="1" applyFont="1">
      <alignment horizontal="center" vertical="bottom"/>
    </xf>
    <xf borderId="3" fillId="0" fontId="14" numFmtId="10" xfId="0" applyAlignment="1" applyBorder="1" applyFont="1" applyNumberFormat="1">
      <alignment horizontal="center"/>
    </xf>
    <xf borderId="5" fillId="16" fontId="1" numFmtId="9" xfId="0" applyAlignment="1" applyBorder="1" applyFont="1" applyNumberFormat="1">
      <alignment horizontal="center" vertical="bottom"/>
    </xf>
    <xf borderId="1" fillId="2" fontId="24" numFmtId="0" xfId="0" applyAlignment="1" applyBorder="1" applyFont="1">
      <alignment horizontal="center" vertical="center"/>
    </xf>
    <xf borderId="1" fillId="2" fontId="23" numFmtId="0" xfId="0" applyAlignment="1" applyBorder="1" applyFont="1">
      <alignment horizontal="center" shrinkToFit="0" vertical="center" wrapText="1"/>
    </xf>
    <xf borderId="1" fillId="2" fontId="23" numFmtId="0" xfId="0" applyAlignment="1" applyBorder="1" applyFont="1">
      <alignment horizontal="center" vertical="center"/>
    </xf>
    <xf borderId="5" fillId="0" fontId="13" numFmtId="49" xfId="0" applyAlignment="1" applyBorder="1" applyFont="1" applyNumberFormat="1">
      <alignment horizontal="center" readingOrder="0" vertical="bottom"/>
    </xf>
    <xf borderId="1" fillId="0" fontId="13" numFmtId="49" xfId="0" applyAlignment="1" applyBorder="1" applyFont="1" applyNumberFormat="1">
      <alignment horizontal="center" readingOrder="0" vertical="bottom"/>
    </xf>
    <xf borderId="1" fillId="0" fontId="13" numFmtId="49" xfId="0" applyAlignment="1" applyBorder="1" applyFont="1" applyNumberFormat="1">
      <alignment horizontal="center" vertical="bottom"/>
    </xf>
    <xf borderId="1" fillId="16" fontId="1" numFmtId="0" xfId="0" applyAlignment="1" applyBorder="1" applyFont="1">
      <alignment horizontal="center" vertical="bottom"/>
    </xf>
    <xf borderId="13" fillId="0" fontId="13" numFmtId="49" xfId="0" applyAlignment="1" applyBorder="1" applyFont="1" applyNumberFormat="1">
      <alignment horizontal="center" vertical="bottom"/>
    </xf>
    <xf borderId="26" fillId="18" fontId="21" numFmtId="0" xfId="0" applyAlignment="1" applyBorder="1" applyFill="1" applyFont="1">
      <alignment shrinkToFit="0" vertical="bottom" wrapText="0"/>
    </xf>
    <xf borderId="10" fillId="0" fontId="13" numFmtId="49" xfId="0" applyAlignment="1" applyBorder="1" applyFont="1" applyNumberFormat="1">
      <alignment horizontal="center" vertical="bottom"/>
    </xf>
    <xf borderId="5" fillId="0" fontId="13" numFmtId="49" xfId="0" applyAlignment="1" applyBorder="1" applyFont="1" applyNumberFormat="1">
      <alignment horizontal="center" vertical="bottom"/>
    </xf>
    <xf borderId="1" fillId="18" fontId="21" numFmtId="0" xfId="0" applyAlignment="1" applyBorder="1" applyFont="1">
      <alignment horizontal="center" shrinkToFit="0" vertical="bottom" wrapText="0"/>
    </xf>
    <xf borderId="1" fillId="0" fontId="27" numFmtId="0" xfId="0" applyAlignment="1" applyBorder="1" applyFont="1">
      <alignment horizontal="center" vertical="bottom"/>
    </xf>
    <xf borderId="1" fillId="0" fontId="14" numFmtId="171" xfId="0" applyAlignment="1" applyBorder="1" applyFont="1" applyNumberFormat="1">
      <alignment horizontal="center" readingOrder="0"/>
    </xf>
    <xf borderId="1" fillId="0" fontId="14" numFmtId="0" xfId="0" applyAlignment="1" applyBorder="1" applyFont="1">
      <alignment horizontal="center"/>
    </xf>
    <xf borderId="1" fillId="14" fontId="13" numFmtId="3" xfId="0" applyAlignment="1" applyBorder="1" applyFont="1" applyNumberFormat="1">
      <alignment horizontal="center" vertical="bottom"/>
    </xf>
    <xf borderId="0" fillId="0" fontId="14" numFmtId="0" xfId="0" applyAlignment="1" applyFont="1">
      <alignment readingOrder="0"/>
    </xf>
    <xf borderId="1" fillId="18" fontId="21" numFmtId="10" xfId="0" applyAlignment="1" applyBorder="1" applyFont="1" applyNumberFormat="1">
      <alignment horizontal="center" shrinkToFit="0" vertical="bottom" wrapText="0"/>
    </xf>
    <xf borderId="1" fillId="0" fontId="2" numFmtId="0" xfId="0" applyAlignment="1" applyBorder="1" applyFont="1">
      <alignment readingOrder="0" vertical="bottom"/>
    </xf>
    <xf borderId="3" fillId="0" fontId="14" numFmtId="9" xfId="0" applyAlignment="1" applyBorder="1" applyFont="1" applyNumberFormat="1">
      <alignment readingOrder="0"/>
    </xf>
    <xf borderId="13" fillId="14" fontId="13" numFmtId="3" xfId="0" applyAlignment="1" applyBorder="1" applyFont="1" applyNumberFormat="1">
      <alignment horizontal="right" vertical="bottom"/>
    </xf>
    <xf borderId="10" fillId="14" fontId="13" numFmtId="3" xfId="0" applyAlignment="1" applyBorder="1" applyFont="1" applyNumberFormat="1">
      <alignment horizontal="right" vertical="bottom"/>
    </xf>
    <xf borderId="1" fillId="17" fontId="2" numFmtId="0" xfId="0" applyAlignment="1" applyBorder="1" applyFont="1">
      <alignment horizontal="center" vertical="bottom"/>
    </xf>
    <xf borderId="3" fillId="5" fontId="5" numFmtId="10" xfId="0" applyAlignment="1" applyBorder="1" applyFont="1" applyNumberFormat="1">
      <alignment horizontal="center"/>
    </xf>
    <xf borderId="1" fillId="17" fontId="2" numFmtId="10" xfId="0" applyAlignment="1" applyBorder="1" applyFont="1" applyNumberFormat="1">
      <alignment vertical="bottom"/>
    </xf>
    <xf borderId="1" fillId="18" fontId="21" numFmtId="0" xfId="0" applyAlignment="1" applyBorder="1" applyFont="1">
      <alignment vertical="bottom"/>
    </xf>
    <xf borderId="3" fillId="5" fontId="5" numFmtId="0" xfId="0" applyAlignment="1" applyBorder="1" applyFont="1">
      <alignment horizontal="center" readingOrder="0"/>
    </xf>
    <xf borderId="3" fillId="0" fontId="14" numFmtId="0" xfId="0" applyBorder="1" applyFont="1"/>
    <xf borderId="1" fillId="17" fontId="2" numFmtId="0" xfId="0" applyAlignment="1" applyBorder="1" applyFont="1">
      <alignment readingOrder="0" vertical="bottom"/>
    </xf>
    <xf borderId="1" fillId="17" fontId="21" numFmtId="0" xfId="0" applyAlignment="1" applyBorder="1" applyFont="1">
      <alignment readingOrder="0" vertical="bottom"/>
    </xf>
    <xf borderId="0" fillId="0" fontId="5" numFmtId="0" xfId="0" applyAlignment="1" applyFont="1">
      <alignment readingOrder="0"/>
    </xf>
    <xf borderId="0" fillId="0" fontId="28" numFmtId="0" xfId="0" applyAlignment="1" applyFont="1">
      <alignment readingOrder="0"/>
    </xf>
    <xf borderId="1" fillId="0" fontId="25" numFmtId="0" xfId="0" applyAlignment="1" applyBorder="1" applyFont="1">
      <alignment horizontal="center" readingOrder="0" vertical="bottom"/>
    </xf>
    <xf borderId="12" fillId="14" fontId="11" numFmtId="10" xfId="0" applyAlignment="1" applyBorder="1" applyFont="1" applyNumberFormat="1">
      <alignment horizontal="right" vertical="bottom"/>
    </xf>
    <xf borderId="1" fillId="14" fontId="11" numFmtId="10" xfId="0" applyAlignment="1" applyBorder="1" applyFont="1" applyNumberFormat="1">
      <alignment horizontal="right" vertical="bottom"/>
    </xf>
    <xf borderId="13" fillId="14" fontId="11" numFmtId="10" xfId="0" applyAlignment="1" applyBorder="1" applyFont="1" applyNumberFormat="1">
      <alignment horizontal="right" vertical="bottom"/>
    </xf>
    <xf borderId="10" fillId="14" fontId="11" numFmtId="10" xfId="0" applyAlignment="1" applyBorder="1" applyFont="1" applyNumberFormat="1">
      <alignment horizontal="right" vertical="bottom"/>
    </xf>
    <xf borderId="1" fillId="0" fontId="29" numFmtId="0" xfId="0" applyAlignment="1" applyBorder="1" applyFont="1">
      <alignment readingOrder="0"/>
    </xf>
    <xf borderId="5" fillId="14" fontId="11" numFmtId="10" xfId="0" applyAlignment="1" applyBorder="1" applyFont="1" applyNumberFormat="1">
      <alignment horizontal="right" vertical="bottom"/>
    </xf>
    <xf borderId="21" fillId="13" fontId="4" numFmtId="0" xfId="0" applyAlignment="1" applyBorder="1" applyFont="1">
      <alignment horizontal="center" readingOrder="0" vertical="center"/>
    </xf>
    <xf borderId="13" fillId="15" fontId="11" numFmtId="49" xfId="0" applyAlignment="1" applyBorder="1" applyFont="1" applyNumberFormat="1">
      <alignment horizontal="right" vertical="bottom"/>
    </xf>
    <xf borderId="5" fillId="15" fontId="11" numFmtId="10" xfId="0" applyAlignment="1" applyBorder="1" applyFont="1" applyNumberFormat="1">
      <alignment horizontal="center" vertical="bottom"/>
    </xf>
    <xf borderId="21" fillId="7" fontId="6" numFmtId="0" xfId="0" applyAlignment="1" applyBorder="1" applyFont="1">
      <alignment horizontal="center" readingOrder="0" vertical="center"/>
    </xf>
    <xf borderId="24" fillId="18" fontId="7" numFmtId="0" xfId="0" applyBorder="1" applyFont="1"/>
    <xf borderId="1" fillId="19" fontId="2" numFmtId="0" xfId="0" applyAlignment="1" applyBorder="1" applyFill="1" applyFont="1">
      <alignment horizontal="center" readingOrder="0" vertical="bottom"/>
    </xf>
    <xf borderId="1" fillId="19" fontId="2" numFmtId="0" xfId="0" applyAlignment="1" applyBorder="1" applyFont="1">
      <alignment horizontal="center" vertical="bottom"/>
    </xf>
    <xf borderId="12" fillId="14" fontId="11" numFmtId="2" xfId="0" applyAlignment="1" applyBorder="1" applyFont="1" applyNumberFormat="1">
      <alignment horizontal="right" vertical="bottom"/>
    </xf>
    <xf borderId="1" fillId="14" fontId="11" numFmtId="2" xfId="0" applyAlignment="1" applyBorder="1" applyFont="1" applyNumberFormat="1">
      <alignment horizontal="right" vertical="bottom"/>
    </xf>
    <xf borderId="1" fillId="19" fontId="13" numFmtId="10" xfId="0" applyAlignment="1" applyBorder="1" applyFont="1" applyNumberFormat="1">
      <alignment horizontal="center" vertical="bottom"/>
    </xf>
    <xf borderId="13" fillId="14" fontId="11" numFmtId="2" xfId="0" applyAlignment="1" applyBorder="1" applyFont="1" applyNumberFormat="1">
      <alignment horizontal="right" vertical="bottom"/>
    </xf>
    <xf borderId="1" fillId="19" fontId="2" numFmtId="170" xfId="0" applyAlignment="1" applyBorder="1" applyFont="1" applyNumberFormat="1">
      <alignment horizontal="center" readingOrder="0" vertical="bottom"/>
    </xf>
    <xf borderId="10" fillId="14" fontId="11" numFmtId="2" xfId="0" applyAlignment="1" applyBorder="1" applyFont="1" applyNumberFormat="1">
      <alignment horizontal="right" vertical="bottom"/>
    </xf>
    <xf borderId="1" fillId="7" fontId="28" numFmtId="0" xfId="0" applyAlignment="1" applyBorder="1" applyFont="1">
      <alignment horizontal="center"/>
    </xf>
    <xf borderId="1" fillId="2" fontId="2" numFmtId="0" xfId="0" applyAlignment="1" applyBorder="1" applyFont="1">
      <alignment horizontal="center" readingOrder="0" vertical="bottom"/>
    </xf>
    <xf borderId="1" fillId="2" fontId="13" numFmtId="10" xfId="0" applyAlignment="1" applyBorder="1" applyFont="1" applyNumberFormat="1">
      <alignment horizontal="center" vertical="bottom"/>
    </xf>
    <xf borderId="1" fillId="2" fontId="2" numFmtId="170" xfId="0" applyAlignment="1" applyBorder="1" applyFont="1" applyNumberFormat="1">
      <alignment horizontal="center" readingOrder="0" vertical="bottom"/>
    </xf>
    <xf borderId="12" fillId="0" fontId="13" numFmtId="49" xfId="0" applyAlignment="1" applyBorder="1" applyFont="1" applyNumberFormat="1">
      <alignment horizontal="right" vertical="bottom"/>
    </xf>
    <xf borderId="1" fillId="0" fontId="13" numFmtId="49" xfId="0" applyAlignment="1" applyBorder="1" applyFont="1" applyNumberFormat="1">
      <alignment horizontal="right" vertical="bottom"/>
    </xf>
    <xf borderId="0" fillId="0" fontId="30" numFmtId="0" xfId="0" applyAlignment="1" applyFont="1">
      <alignment horizontal="center" vertical="bottom"/>
    </xf>
    <xf borderId="13" fillId="0" fontId="13" numFmtId="49" xfId="0" applyAlignment="1" applyBorder="1" applyFont="1" applyNumberFormat="1">
      <alignment horizontal="right" vertical="bottom"/>
    </xf>
    <xf borderId="10" fillId="0" fontId="13" numFmtId="49" xfId="0" applyAlignment="1" applyBorder="1" applyFont="1" applyNumberFormat="1">
      <alignment horizontal="right" vertical="bottom"/>
    </xf>
    <xf borderId="13" fillId="8" fontId="11" numFmtId="0" xfId="0" applyAlignment="1" applyBorder="1" applyFont="1">
      <alignment horizontal="center" shrinkToFit="0" vertical="bottom" wrapText="1"/>
    </xf>
    <xf borderId="12" fillId="14" fontId="13" numFmtId="2" xfId="0" applyAlignment="1" applyBorder="1" applyFont="1" applyNumberFormat="1">
      <alignment horizontal="right" vertical="bottom"/>
    </xf>
    <xf borderId="1" fillId="14" fontId="13" numFmtId="2" xfId="0" applyAlignment="1" applyBorder="1" applyFont="1" applyNumberFormat="1">
      <alignment horizontal="right" vertical="bottom"/>
    </xf>
    <xf borderId="13" fillId="14" fontId="13" numFmtId="2" xfId="0" applyAlignment="1" applyBorder="1" applyFont="1" applyNumberFormat="1">
      <alignment horizontal="right" vertical="bottom"/>
    </xf>
    <xf borderId="10" fillId="14" fontId="13" numFmtId="2" xfId="0" applyAlignment="1" applyBorder="1" applyFont="1" applyNumberFormat="1">
      <alignment horizontal="right" vertical="bottom"/>
    </xf>
    <xf borderId="5" fillId="14" fontId="13" numFmtId="2" xfId="0" applyAlignment="1" applyBorder="1" applyFont="1" applyNumberFormat="1">
      <alignment horizontal="right" vertical="bottom"/>
    </xf>
    <xf borderId="1" fillId="0" fontId="2" numFmtId="0" xfId="0" applyAlignment="1" applyBorder="1" applyFont="1">
      <alignment horizontal="center" vertical="bottom"/>
    </xf>
    <xf borderId="13" fillId="14" fontId="11" numFmtId="0" xfId="0" applyAlignment="1" applyBorder="1" applyFont="1">
      <alignment horizontal="center" shrinkToFit="0" vertical="bottom" wrapText="1"/>
    </xf>
    <xf borderId="12" fillId="15" fontId="11" numFmtId="10" xfId="0" applyAlignment="1" applyBorder="1" applyFont="1" applyNumberFormat="1">
      <alignment horizontal="center"/>
    </xf>
    <xf borderId="0" fillId="0" fontId="14" numFmtId="0" xfId="0" applyAlignment="1" applyFont="1">
      <alignment horizontal="center"/>
    </xf>
    <xf borderId="1" fillId="15" fontId="11" numFmtId="10" xfId="0" applyAlignment="1" applyBorder="1" applyFont="1" applyNumberFormat="1">
      <alignment horizontal="center"/>
    </xf>
    <xf borderId="1" fillId="20" fontId="5" numFmtId="0" xfId="0" applyAlignment="1" applyBorder="1" applyFill="1" applyFont="1">
      <alignment readingOrder="0"/>
    </xf>
    <xf borderId="1" fillId="13" fontId="31" numFmtId="0" xfId="0" applyAlignment="1" applyBorder="1" applyFont="1">
      <alignment horizontal="center" vertical="bottom"/>
    </xf>
    <xf borderId="1" fillId="13" fontId="9" numFmtId="0" xfId="0" applyAlignment="1" applyBorder="1" applyFont="1">
      <alignment horizontal="center" readingOrder="0" shrinkToFit="0" vertical="bottom" wrapText="1"/>
    </xf>
    <xf borderId="13" fillId="15" fontId="11" numFmtId="10" xfId="0" applyAlignment="1" applyBorder="1" applyFont="1" applyNumberFormat="1">
      <alignment horizontal="center"/>
    </xf>
    <xf borderId="1" fillId="11" fontId="16" numFmtId="0" xfId="0" applyAlignment="1" applyBorder="1" applyFont="1">
      <alignment horizontal="center" readingOrder="0" shrinkToFit="0" vertical="bottom" wrapText="1"/>
    </xf>
    <xf borderId="10" fillId="15" fontId="11" numFmtId="10" xfId="0" applyAlignment="1" applyBorder="1" applyFont="1" applyNumberFormat="1">
      <alignment horizontal="center"/>
    </xf>
    <xf borderId="1" fillId="13" fontId="9" numFmtId="0" xfId="0" applyAlignment="1" applyBorder="1" applyFont="1">
      <alignment horizontal="center" shrinkToFit="0" vertical="bottom" wrapText="1"/>
    </xf>
    <xf borderId="1" fillId="20" fontId="21" numFmtId="10" xfId="0" applyAlignment="1" applyBorder="1" applyFont="1" applyNumberFormat="1">
      <alignment horizontal="center" shrinkToFit="0" vertical="bottom" wrapText="0"/>
    </xf>
    <xf borderId="1" fillId="21" fontId="16" numFmtId="0" xfId="0" applyAlignment="1" applyBorder="1" applyFill="1" applyFont="1">
      <alignment horizontal="center" readingOrder="0" shrinkToFit="0" vertical="bottom" wrapText="1"/>
    </xf>
    <xf borderId="0" fillId="0" fontId="2" numFmtId="0" xfId="0" applyAlignment="1" applyFont="1">
      <alignment readingOrder="0" vertical="bottom"/>
    </xf>
    <xf borderId="0" fillId="17" fontId="14" numFmtId="0" xfId="0" applyFont="1"/>
    <xf borderId="1" fillId="19" fontId="21" numFmtId="0" xfId="0" applyAlignment="1" applyBorder="1" applyFont="1">
      <alignment shrinkToFit="0" vertical="bottom" wrapText="0"/>
    </xf>
    <xf borderId="12" fillId="0" fontId="13" numFmtId="0" xfId="0" applyAlignment="1" applyBorder="1" applyFont="1">
      <alignment readingOrder="0" vertical="bottom"/>
    </xf>
    <xf borderId="1" fillId="20" fontId="5" numFmtId="10" xfId="0" applyBorder="1" applyFont="1" applyNumberFormat="1"/>
    <xf borderId="1" fillId="0" fontId="13" numFmtId="0" xfId="0" applyAlignment="1" applyBorder="1" applyFont="1">
      <alignment vertical="bottom"/>
    </xf>
    <xf borderId="30" fillId="13" fontId="12" numFmtId="0" xfId="0" applyAlignment="1" applyBorder="1" applyFont="1">
      <alignment readingOrder="0" vertical="bottom"/>
    </xf>
    <xf borderId="31" fillId="0" fontId="7" numFmtId="0" xfId="0" applyBorder="1" applyFont="1"/>
    <xf borderId="32" fillId="0" fontId="7" numFmtId="0" xfId="0" applyBorder="1" applyFont="1"/>
    <xf borderId="1" fillId="19" fontId="3" numFmtId="10" xfId="0" applyAlignment="1" applyBorder="1" applyFont="1" applyNumberFormat="1">
      <alignment horizontal="center" readingOrder="0" vertical="bottom"/>
    </xf>
    <xf borderId="1" fillId="11" fontId="32" numFmtId="10" xfId="0" applyAlignment="1" applyBorder="1" applyFont="1" applyNumberFormat="1">
      <alignment horizontal="center" readingOrder="0" vertical="bottom"/>
    </xf>
    <xf borderId="1" fillId="0" fontId="13" numFmtId="0" xfId="0" applyAlignment="1" applyBorder="1" applyFont="1">
      <alignment readingOrder="0" vertical="bottom"/>
    </xf>
    <xf borderId="13" fillId="0" fontId="13" numFmtId="0" xfId="0" applyAlignment="1" applyBorder="1" applyFont="1">
      <alignment vertical="bottom"/>
    </xf>
    <xf borderId="10" fillId="0" fontId="13" numFmtId="0" xfId="0" applyAlignment="1" applyBorder="1" applyFont="1">
      <alignment vertical="bottom"/>
    </xf>
    <xf borderId="1" fillId="19" fontId="3" numFmtId="10" xfId="0" applyAlignment="1" applyBorder="1" applyFont="1" applyNumberFormat="1">
      <alignment horizontal="center" vertical="bottom"/>
    </xf>
    <xf borderId="33" fillId="8" fontId="11" numFmtId="0" xfId="0" applyAlignment="1" applyBorder="1" applyFont="1">
      <alignment horizontal="center" shrinkToFit="0" vertical="bottom" wrapText="1"/>
    </xf>
    <xf borderId="34" fillId="0" fontId="13" numFmtId="167" xfId="0" applyAlignment="1" applyBorder="1" applyFont="1" applyNumberFormat="1">
      <alignment vertical="bottom"/>
    </xf>
    <xf borderId="35" fillId="0" fontId="13" numFmtId="167" xfId="0" applyAlignment="1" applyBorder="1" applyFont="1" applyNumberFormat="1">
      <alignment vertical="bottom"/>
    </xf>
    <xf borderId="1" fillId="21" fontId="14" numFmtId="0" xfId="0" applyBorder="1" applyFont="1"/>
    <xf borderId="1" fillId="0" fontId="33" numFmtId="0" xfId="0" applyAlignment="1" applyBorder="1" applyFont="1">
      <alignment horizontal="center" readingOrder="0" vertical="bottom"/>
    </xf>
    <xf borderId="1" fillId="17" fontId="21" numFmtId="0" xfId="0" applyAlignment="1" applyBorder="1" applyFont="1">
      <alignment shrinkToFit="0" vertical="bottom" wrapText="0"/>
    </xf>
    <xf borderId="36" fillId="0" fontId="34" numFmtId="0" xfId="0" applyAlignment="1" applyBorder="1" applyFont="1">
      <alignment shrinkToFit="0" vertical="bottom" wrapText="1"/>
    </xf>
    <xf borderId="10" fillId="0" fontId="34" numFmtId="0" xfId="0" applyAlignment="1" applyBorder="1" applyFont="1">
      <alignment shrinkToFit="0" vertical="bottom" wrapText="1"/>
    </xf>
    <xf borderId="1" fillId="17" fontId="3" numFmtId="10" xfId="0" applyAlignment="1" applyBorder="1" applyFont="1" applyNumberFormat="1">
      <alignment horizontal="center" readingOrder="0" vertical="bottom"/>
    </xf>
    <xf borderId="11" fillId="22" fontId="11" numFmtId="0" xfId="0" applyAlignment="1" applyBorder="1" applyFill="1" applyFont="1">
      <alignment horizontal="center" readingOrder="0" shrinkToFit="0" wrapText="1"/>
    </xf>
    <xf borderId="14" fillId="22" fontId="11" numFmtId="0" xfId="0" applyAlignment="1" applyBorder="1" applyFont="1">
      <alignment horizontal="center" readingOrder="0" shrinkToFit="0" wrapText="1"/>
    </xf>
    <xf borderId="1" fillId="17" fontId="3" numFmtId="10" xfId="0" applyAlignment="1" applyBorder="1" applyFont="1" applyNumberFormat="1">
      <alignment horizontal="center" vertical="bottom"/>
    </xf>
    <xf borderId="1" fillId="12" fontId="21" numFmtId="0" xfId="0" applyAlignment="1" applyBorder="1" applyFont="1">
      <alignment shrinkToFit="0" vertical="bottom" wrapText="0"/>
    </xf>
    <xf borderId="11" fillId="8" fontId="11" numFmtId="0" xfId="0" applyAlignment="1" applyBorder="1" applyFont="1">
      <alignment horizontal="center" readingOrder="0" shrinkToFit="0" vertical="center" wrapText="1"/>
    </xf>
    <xf borderId="1" fillId="12" fontId="3" numFmtId="10" xfId="0" applyAlignment="1" applyBorder="1" applyFont="1" applyNumberFormat="1">
      <alignment horizontal="center" readingOrder="0" vertical="bottom"/>
    </xf>
    <xf borderId="12" fillId="9" fontId="12" numFmtId="0" xfId="0" applyAlignment="1" applyBorder="1" applyFont="1">
      <alignment horizontal="center" shrinkToFit="0" vertical="center" wrapText="1"/>
    </xf>
    <xf borderId="1" fillId="11" fontId="32" numFmtId="10" xfId="0" applyAlignment="1" applyBorder="1" applyFont="1" applyNumberFormat="1">
      <alignment horizontal="center" vertical="bottom"/>
    </xf>
    <xf borderId="1" fillId="12" fontId="3" numFmtId="10" xfId="0" applyAlignment="1" applyBorder="1" applyFont="1" applyNumberFormat="1">
      <alignment horizontal="center" vertical="bottom"/>
    </xf>
    <xf borderId="1" fillId="9" fontId="12" numFmtId="0" xfId="0" applyAlignment="1" applyBorder="1" applyFont="1">
      <alignment horizontal="center" shrinkToFit="0" vertical="center" wrapText="1"/>
    </xf>
    <xf borderId="1" fillId="9" fontId="12" numFmtId="0" xfId="0" applyAlignment="1" applyBorder="1" applyFont="1">
      <alignment horizontal="center" shrinkToFit="0" vertical="center" wrapText="1"/>
    </xf>
    <xf borderId="13" fillId="9" fontId="12" numFmtId="0" xfId="0" applyAlignment="1" applyBorder="1" applyFont="1">
      <alignment horizontal="center" shrinkToFit="0" vertical="center" wrapText="1"/>
    </xf>
    <xf borderId="1" fillId="12" fontId="21" numFmtId="0" xfId="0" applyAlignment="1" applyBorder="1" applyFont="1">
      <alignment vertical="bottom"/>
    </xf>
    <xf borderId="10" fillId="9" fontId="12" numFmtId="0" xfId="0" applyAlignment="1" applyBorder="1" applyFont="1">
      <alignment horizontal="center" shrinkToFit="0" vertical="center" wrapText="1"/>
    </xf>
    <xf borderId="14" fillId="10" fontId="11" numFmtId="0" xfId="0" applyAlignment="1" applyBorder="1" applyFont="1">
      <alignment horizontal="center" readingOrder="0" shrinkToFit="0" vertical="bottom" wrapText="1"/>
    </xf>
    <xf borderId="10" fillId="10" fontId="11" numFmtId="0" xfId="0" applyAlignment="1" applyBorder="1" applyFont="1">
      <alignment horizontal="center" readingOrder="0" shrinkToFit="0" vertical="bottom" wrapText="1"/>
    </xf>
    <xf borderId="10" fillId="8" fontId="13" numFmtId="167" xfId="0" applyAlignment="1" applyBorder="1" applyFont="1" applyNumberFormat="1">
      <alignment vertical="bottom"/>
    </xf>
    <xf borderId="1" fillId="17" fontId="21" numFmtId="0" xfId="0" applyAlignment="1" applyBorder="1" applyFont="1">
      <alignment readingOrder="0" vertical="bottom"/>
    </xf>
    <xf borderId="12" fillId="0" fontId="13" numFmtId="4" xfId="0" applyAlignment="1" applyBorder="1" applyFont="1" applyNumberFormat="1">
      <alignment horizontal="center" vertical="bottom"/>
    </xf>
    <xf borderId="1" fillId="0" fontId="13" numFmtId="4" xfId="0" applyAlignment="1" applyBorder="1" applyFont="1" applyNumberFormat="1">
      <alignment horizontal="center" vertical="bottom"/>
    </xf>
    <xf borderId="5" fillId="0" fontId="13" numFmtId="4" xfId="0" applyAlignment="1" applyBorder="1" applyFont="1" applyNumberFormat="1">
      <alignment horizontal="center" vertical="bottom"/>
    </xf>
    <xf borderId="1" fillId="12" fontId="21" numFmtId="0" xfId="0" applyAlignment="1" applyBorder="1" applyFont="1">
      <alignment readingOrder="0" vertical="bottom"/>
    </xf>
    <xf borderId="13" fillId="0" fontId="13" numFmtId="4" xfId="0" applyAlignment="1" applyBorder="1" applyFont="1" applyNumberFormat="1">
      <alignment horizontal="center" vertical="bottom"/>
    </xf>
    <xf borderId="10" fillId="0" fontId="13" numFmtId="4" xfId="0" applyAlignment="1" applyBorder="1" applyFont="1" applyNumberFormat="1">
      <alignment horizontal="center" vertical="bottom"/>
    </xf>
    <xf borderId="12" fillId="14" fontId="11" numFmtId="4" xfId="0" applyAlignment="1" applyBorder="1" applyFont="1" applyNumberFormat="1">
      <alignment horizontal="right" vertical="bottom"/>
    </xf>
    <xf borderId="25" fillId="14" fontId="11" numFmtId="4" xfId="0" applyAlignment="1" applyBorder="1" applyFont="1" applyNumberFormat="1">
      <alignment horizontal="right" vertical="bottom"/>
    </xf>
    <xf borderId="0" fillId="17" fontId="21" numFmtId="0" xfId="0" applyAlignment="1" applyFont="1">
      <alignment readingOrder="0" vertical="bottom"/>
    </xf>
    <xf borderId="0" fillId="17" fontId="3" numFmtId="10" xfId="0" applyAlignment="1" applyFont="1" applyNumberFormat="1">
      <alignment horizontal="center" readingOrder="0" vertical="bottom"/>
    </xf>
    <xf borderId="0" fillId="17" fontId="32" numFmtId="10" xfId="0" applyAlignment="1" applyFont="1" applyNumberFormat="1">
      <alignment horizontal="center" readingOrder="0" vertical="bottom"/>
    </xf>
    <xf borderId="0" fillId="17" fontId="32" numFmtId="10" xfId="0" applyAlignment="1" applyFont="1" applyNumberFormat="1">
      <alignment horizontal="center" vertical="bottom"/>
    </xf>
    <xf borderId="0" fillId="17" fontId="3" numFmtId="10" xfId="0" applyAlignment="1" applyFont="1" applyNumberFormat="1">
      <alignment horizontal="center" vertical="bottom"/>
    </xf>
    <xf borderId="1" fillId="0" fontId="35" numFmtId="0" xfId="0" applyAlignment="1" applyBorder="1" applyFont="1">
      <alignment horizontal="center" vertical="bottom"/>
    </xf>
    <xf borderId="21" fillId="13" fontId="31" numFmtId="0" xfId="0" applyAlignment="1" applyBorder="1" applyFont="1">
      <alignment horizontal="center" vertical="center"/>
    </xf>
    <xf borderId="21" fillId="21" fontId="1" numFmtId="2" xfId="0" applyAlignment="1" applyBorder="1" applyFont="1" applyNumberFormat="1">
      <alignment horizontal="center" shrinkToFit="0" vertical="center" wrapText="1"/>
    </xf>
    <xf borderId="24" fillId="12" fontId="7" numFmtId="0" xfId="0" applyBorder="1" applyFont="1"/>
    <xf borderId="12" fillId="0" fontId="13" numFmtId="49" xfId="0" applyAlignment="1" applyBorder="1" applyFont="1" applyNumberFormat="1">
      <alignment horizontal="center" vertical="bottom"/>
    </xf>
    <xf borderId="12" fillId="14" fontId="11" numFmtId="169" xfId="0" applyAlignment="1" applyBorder="1" applyFont="1" applyNumberFormat="1">
      <alignment horizontal="right" vertical="bottom"/>
    </xf>
    <xf borderId="1" fillId="14" fontId="11" numFmtId="169" xfId="0" applyAlignment="1" applyBorder="1" applyFont="1" applyNumberFormat="1">
      <alignment horizontal="right" vertical="bottom"/>
    </xf>
    <xf borderId="13" fillId="14" fontId="11" numFmtId="169" xfId="0" applyAlignment="1" applyBorder="1" applyFont="1" applyNumberFormat="1">
      <alignment horizontal="right" vertical="bottom"/>
    </xf>
    <xf borderId="10" fillId="14" fontId="11" numFmtId="169" xfId="0" applyAlignment="1" applyBorder="1" applyFont="1" applyNumberFormat="1">
      <alignment horizontal="right" vertical="bottom"/>
    </xf>
    <xf borderId="1" fillId="21" fontId="36" numFmtId="4" xfId="0" applyAlignment="1" applyBorder="1" applyFont="1" applyNumberFormat="1">
      <alignment horizontal="center" shrinkToFit="0" vertical="bottom" wrapText="1"/>
    </xf>
    <xf borderId="1" fillId="17" fontId="1" numFmtId="2" xfId="0" applyAlignment="1" applyBorder="1" applyFont="1" applyNumberFormat="1">
      <alignment horizontal="center" vertical="bottom"/>
    </xf>
    <xf borderId="1" fillId="17" fontId="1" numFmtId="2" xfId="0" applyAlignment="1" applyBorder="1" applyFont="1" applyNumberFormat="1">
      <alignment horizontal="center" readingOrder="0" vertical="bottom"/>
    </xf>
    <xf borderId="1" fillId="12" fontId="1" numFmtId="2" xfId="0" applyAlignment="1" applyBorder="1" applyFont="1" applyNumberFormat="1">
      <alignment horizontal="center" readingOrder="0" vertical="bottom"/>
    </xf>
    <xf borderId="1" fillId="12" fontId="1" numFmtId="2" xfId="0" applyAlignment="1" applyBorder="1" applyFont="1" applyNumberFormat="1">
      <alignment horizontal="center" vertical="bottom"/>
    </xf>
    <xf borderId="0" fillId="0" fontId="37" numFmtId="0" xfId="0" applyAlignment="1" applyFont="1">
      <alignment horizontal="center" readingOrder="0" shrinkToFit="0" vertical="bottom" wrapText="0"/>
    </xf>
    <xf borderId="1" fillId="0" fontId="2" numFmtId="171" xfId="0" applyAlignment="1" applyBorder="1" applyFont="1" applyNumberFormat="1">
      <alignment horizontal="center" vertical="bottom"/>
    </xf>
    <xf borderId="12" fillId="14" fontId="13" numFmtId="3" xfId="0" applyAlignment="1" applyBorder="1" applyFont="1" applyNumberFormat="1">
      <alignment horizontal="right" vertical="bottom"/>
    </xf>
    <xf borderId="1" fillId="17" fontId="21" numFmtId="0" xfId="0" applyAlignment="1" applyBorder="1" applyFont="1">
      <alignment vertical="bottom"/>
    </xf>
    <xf borderId="1" fillId="14" fontId="13" numFmtId="3" xfId="0" applyAlignment="1" applyBorder="1" applyFont="1" applyNumberFormat="1">
      <alignment horizontal="right" vertical="bottom"/>
    </xf>
    <xf borderId="1" fillId="0" fontId="2" numFmtId="171" xfId="0" applyAlignment="1" applyBorder="1" applyFont="1" applyNumberFormat="1">
      <alignment horizontal="center" readingOrder="0" vertical="bottom"/>
    </xf>
    <xf borderId="1" fillId="2" fontId="23" numFmtId="0" xfId="0" applyAlignment="1" applyBorder="1" applyFont="1">
      <alignment horizontal="center" readingOrder="0" shrinkToFit="0" vertical="center" wrapText="1"/>
    </xf>
    <xf borderId="1" fillId="2" fontId="23" numFmtId="0" xfId="0" applyAlignment="1" applyBorder="1" applyFont="1">
      <alignment horizontal="center" readingOrder="0" vertical="center"/>
    </xf>
    <xf borderId="0" fillId="0" fontId="14" numFmtId="0" xfId="0" applyAlignment="1" applyFont="1">
      <alignment horizontal="center" readingOrder="0"/>
    </xf>
    <xf borderId="1" fillId="23" fontId="1" numFmtId="0" xfId="0" applyAlignment="1" applyBorder="1" applyFill="1" applyFont="1">
      <alignment horizontal="center" readingOrder="0" vertical="bottom"/>
    </xf>
    <xf borderId="12" fillId="14" fontId="11" numFmtId="10" xfId="0" applyAlignment="1" applyBorder="1" applyFont="1" applyNumberFormat="1">
      <alignment horizontal="center" vertical="bottom"/>
    </xf>
    <xf borderId="1" fillId="14" fontId="11" numFmtId="10" xfId="0" applyAlignment="1" applyBorder="1" applyFont="1" applyNumberFormat="1">
      <alignment horizontal="center" vertical="bottom"/>
    </xf>
    <xf borderId="13" fillId="14" fontId="11" numFmtId="10" xfId="0" applyAlignment="1" applyBorder="1" applyFont="1" applyNumberFormat="1">
      <alignment horizontal="center" vertical="bottom"/>
    </xf>
    <xf borderId="10" fillId="14" fontId="11" numFmtId="10" xfId="0" applyAlignment="1" applyBorder="1" applyFont="1" applyNumberFormat="1">
      <alignment horizontal="center" vertical="bottom"/>
    </xf>
    <xf borderId="12" fillId="0" fontId="13" numFmtId="0" xfId="0" applyAlignment="1" applyBorder="1" applyFont="1">
      <alignment vertical="bottom"/>
    </xf>
    <xf borderId="1" fillId="0" fontId="13" numFmtId="0" xfId="0" applyAlignment="1" applyBorder="1" applyFont="1">
      <alignment vertical="bottom"/>
    </xf>
    <xf borderId="13" fillId="0" fontId="13" numFmtId="0" xfId="0" applyAlignment="1" applyBorder="1" applyFont="1">
      <alignment vertical="bottom"/>
    </xf>
    <xf borderId="10" fillId="0" fontId="13" numFmtId="0" xfId="0" applyAlignment="1" applyBorder="1" applyFont="1">
      <alignment vertical="bottom"/>
    </xf>
    <xf borderId="13" fillId="9" fontId="12" numFmtId="0" xfId="0" applyAlignment="1" applyBorder="1" applyFont="1">
      <alignment horizontal="center" readingOrder="0" shrinkToFit="0" vertical="center" wrapText="1"/>
    </xf>
    <xf borderId="10" fillId="9" fontId="12" numFmtId="0" xfId="0" applyAlignment="1" applyBorder="1" applyFont="1">
      <alignment horizontal="center" readingOrder="0" shrinkToFit="0" vertical="center" wrapText="1"/>
    </xf>
    <xf borderId="37" fillId="10" fontId="11" numFmtId="0" xfId="0" applyAlignment="1" applyBorder="1" applyFont="1">
      <alignment horizontal="center" readingOrder="0" shrinkToFit="0" vertical="bottom" wrapText="1"/>
    </xf>
    <xf borderId="38" fillId="0" fontId="7" numFmtId="0" xfId="0" applyBorder="1" applyFont="1"/>
    <xf borderId="39" fillId="0" fontId="7" numFmtId="0" xfId="0" applyBorder="1" applyFont="1"/>
    <xf borderId="12" fillId="0" fontId="13" numFmtId="4" xfId="0" applyAlignment="1" applyBorder="1" applyFont="1" applyNumberFormat="1">
      <alignment horizontal="center" readingOrder="0" vertical="bottom"/>
    </xf>
    <xf borderId="1" fillId="0" fontId="13" numFmtId="4" xfId="0" applyAlignment="1" applyBorder="1" applyFont="1" applyNumberFormat="1">
      <alignment horizontal="center" readingOrder="0" vertical="bottom"/>
    </xf>
    <xf borderId="13" fillId="0" fontId="13" numFmtId="4" xfId="0" applyAlignment="1" applyBorder="1" applyFont="1" applyNumberFormat="1">
      <alignment horizontal="center" readingOrder="0" vertical="bottom"/>
    </xf>
    <xf borderId="10" fillId="0" fontId="13" numFmtId="4" xfId="0" applyAlignment="1" applyBorder="1" applyFont="1" applyNumberFormat="1">
      <alignment horizontal="center" readingOrder="0" vertical="bottom"/>
    </xf>
    <xf borderId="1" fillId="14" fontId="11" numFmtId="4" xfId="0" applyAlignment="1" applyBorder="1" applyFont="1" applyNumberFormat="1">
      <alignment horizontal="right" readingOrder="0" vertical="bottom"/>
    </xf>
    <xf borderId="12" fillId="15" fontId="11" numFmtId="10" xfId="0" applyAlignment="1" applyBorder="1" applyFont="1" applyNumberFormat="1">
      <alignment horizontal="right" vertical="bottom"/>
    </xf>
    <xf borderId="1" fillId="15" fontId="11" numFmtId="10" xfId="0" applyAlignment="1" applyBorder="1" applyFont="1" applyNumberFormat="1">
      <alignment horizontal="right" vertical="bottom"/>
    </xf>
    <xf borderId="13" fillId="15" fontId="11" numFmtId="10" xfId="0" applyAlignment="1" applyBorder="1" applyFont="1" applyNumberFormat="1">
      <alignment horizontal="right" vertical="bottom"/>
    </xf>
    <xf borderId="10" fillId="15" fontId="11" numFmtId="10" xfId="0" applyAlignment="1" applyBorder="1" applyFont="1" applyNumberFormat="1">
      <alignment horizontal="right" vertical="bottom"/>
    </xf>
    <xf borderId="13" fillId="0" fontId="13" numFmtId="49" xfId="0" applyAlignment="1" applyBorder="1" applyFont="1" applyNumberFormat="1">
      <alignment horizontal="center" readingOrder="0" vertical="bottom"/>
    </xf>
    <xf borderId="10" fillId="0" fontId="13" numFmtId="49" xfId="0" applyAlignment="1" applyBorder="1" applyFont="1" applyNumberFormat="1">
      <alignment horizontal="center" readingOrder="0" vertical="bottom"/>
    </xf>
    <xf borderId="0" fillId="0" fontId="38" numFmtId="0" xfId="0" applyAlignment="1" applyFont="1">
      <alignment horizontal="center" vertical="bottom"/>
    </xf>
    <xf borderId="13" fillId="14" fontId="13" numFmtId="3" xfId="0" applyAlignment="1" applyBorder="1" applyFont="1" applyNumberFormat="1">
      <alignment horizontal="right" readingOrder="0" vertical="bottom"/>
    </xf>
    <xf borderId="10" fillId="14" fontId="13" numFmtId="3" xfId="0" applyAlignment="1" applyBorder="1" applyFont="1" applyNumberFormat="1">
      <alignment horizontal="right" readingOrder="0" vertical="bottom"/>
    </xf>
    <xf borderId="12" fillId="0" fontId="13" numFmtId="49" xfId="0" applyAlignment="1" applyBorder="1" applyFont="1" applyNumberFormat="1">
      <alignment horizontal="center" readingOrder="0" vertical="bottom"/>
    </xf>
    <xf borderId="0" fillId="12" fontId="21" numFmtId="0" xfId="0" applyAlignment="1" applyFont="1">
      <alignment readingOrder="0" vertical="bottom"/>
    </xf>
    <xf borderId="24" fillId="17" fontId="7" numFmtId="0" xfId="0" applyBorder="1" applyFont="1"/>
    <xf borderId="0" fillId="21" fontId="36" numFmtId="4" xfId="0" applyAlignment="1" applyFont="1" applyNumberFormat="1">
      <alignment horizontal="center" shrinkToFit="0" vertical="bottom" wrapText="1"/>
    </xf>
    <xf borderId="0" fillId="17" fontId="1" numFmtId="2" xfId="0" applyAlignment="1" applyFont="1" applyNumberFormat="1">
      <alignment horizontal="center" vertical="bottom"/>
    </xf>
    <xf borderId="0" fillId="17" fontId="1" numFmtId="2" xfId="0" applyAlignment="1" applyFont="1" applyNumberFormat="1">
      <alignment horizontal="center" readingOrder="0" vertical="bottom"/>
    </xf>
    <xf borderId="1" fillId="12" fontId="5" numFmtId="0" xfId="0" applyAlignment="1" applyBorder="1" applyFont="1">
      <alignment readingOrder="0"/>
    </xf>
    <xf borderId="1" fillId="21" fontId="39" numFmtId="4" xfId="0" applyAlignment="1" applyBorder="1" applyFont="1" applyNumberFormat="1">
      <alignment horizontal="center" readingOrder="0" shrinkToFit="0" vertical="bottom" wrapText="1"/>
    </xf>
    <xf borderId="1" fillId="17" fontId="25" numFmtId="0" xfId="0" applyAlignment="1" applyBorder="1" applyFont="1">
      <alignment horizontal="center" readingOrder="0" vertical="bottom"/>
    </xf>
    <xf borderId="13" fillId="0" fontId="13" numFmtId="0" xfId="0" applyAlignment="1" applyBorder="1" applyFont="1">
      <alignment readingOrder="0" vertical="bottom"/>
    </xf>
    <xf borderId="10" fillId="0" fontId="13" numFmtId="0" xfId="0" applyAlignment="1" applyBorder="1" applyFont="1">
      <alignment readingOrder="0" vertical="bottom"/>
    </xf>
    <xf borderId="40" fillId="9" fontId="12" numFmtId="0" xfId="0" applyAlignment="1" applyBorder="1" applyFont="1">
      <alignment horizontal="center" shrinkToFit="0" vertical="center" wrapText="1"/>
    </xf>
    <xf borderId="21" fillId="9" fontId="12" numFmtId="0" xfId="0" applyAlignment="1" applyBorder="1" applyFont="1">
      <alignment horizontal="center" shrinkToFit="0" vertical="center" wrapText="1"/>
    </xf>
    <xf borderId="21" fillId="9" fontId="12" numFmtId="0" xfId="0" applyAlignment="1" applyBorder="1" applyFont="1">
      <alignment horizontal="center" shrinkToFit="0" vertical="center" wrapText="1"/>
    </xf>
    <xf borderId="33" fillId="9" fontId="12" numFmtId="0" xfId="0" applyAlignment="1" applyBorder="1" applyFont="1">
      <alignment horizontal="center" readingOrder="0" shrinkToFit="0" vertical="center" wrapText="1"/>
    </xf>
    <xf borderId="37" fillId="10" fontId="11" numFmtId="0" xfId="0" applyAlignment="1" applyBorder="1" applyFont="1">
      <alignment horizontal="center" shrinkToFit="0" vertical="bottom" wrapText="1"/>
    </xf>
    <xf borderId="10" fillId="10" fontId="11" numFmtId="0" xfId="0" applyAlignment="1" applyBorder="1" applyFont="1">
      <alignment horizontal="center" shrinkToFit="0" vertical="bottom" wrapText="1"/>
    </xf>
    <xf borderId="1" fillId="19" fontId="2" numFmtId="0" xfId="0" applyAlignment="1" applyBorder="1" applyFont="1">
      <alignment horizontal="center" vertical="bottom"/>
    </xf>
    <xf borderId="1" fillId="19" fontId="2" numFmtId="170" xfId="0" applyAlignment="1" applyBorder="1" applyFont="1" applyNumberFormat="1">
      <alignment horizontal="center" vertical="bottom"/>
    </xf>
    <xf borderId="1" fillId="2" fontId="2" numFmtId="0" xfId="0" applyAlignment="1" applyBorder="1" applyFont="1">
      <alignment horizontal="center" vertical="bottom"/>
    </xf>
    <xf borderId="1" fillId="2" fontId="2" numFmtId="0" xfId="0" applyAlignment="1" applyBorder="1" applyFont="1">
      <alignment horizontal="center" vertical="bottom"/>
    </xf>
    <xf borderId="1" fillId="2" fontId="2" numFmtId="170" xfId="0" applyAlignment="1" applyBorder="1" applyFont="1" applyNumberFormat="1">
      <alignment horizontal="center" vertical="bottom"/>
    </xf>
    <xf borderId="21" fillId="20" fontId="5" numFmtId="0" xfId="0" applyAlignment="1" applyBorder="1" applyFont="1">
      <alignment readingOrder="0"/>
    </xf>
    <xf borderId="21" fillId="20" fontId="5" numFmtId="10" xfId="0" applyBorder="1" applyFont="1" applyNumberFormat="1"/>
    <xf borderId="12" fillId="0" fontId="13" numFmtId="4" xfId="0" applyAlignment="1" applyBorder="1" applyFont="1" applyNumberFormat="1">
      <alignment vertical="bottom"/>
    </xf>
    <xf borderId="1" fillId="0" fontId="13" numFmtId="4" xfId="0" applyAlignment="1" applyBorder="1" applyFont="1" applyNumberFormat="1">
      <alignment vertical="bottom"/>
    </xf>
    <xf borderId="13" fillId="0" fontId="13" numFmtId="4" xfId="0" applyAlignment="1" applyBorder="1" applyFont="1" applyNumberFormat="1">
      <alignment vertical="bottom"/>
    </xf>
    <xf borderId="10" fillId="0" fontId="13" numFmtId="4" xfId="0" applyAlignment="1" applyBorder="1" applyFont="1" applyNumberFormat="1">
      <alignment vertical="bottom"/>
    </xf>
    <xf borderId="26" fillId="0" fontId="13" numFmtId="4" xfId="0" applyAlignment="1" applyBorder="1" applyFont="1" applyNumberFormat="1">
      <alignment horizontal="center" vertical="bottom"/>
    </xf>
    <xf borderId="5" fillId="0" fontId="7" numFmtId="0" xfId="0" applyBorder="1" applyFont="1"/>
    <xf borderId="12" fillId="0" fontId="40" numFmtId="4" xfId="0" applyAlignment="1" applyBorder="1" applyFont="1" applyNumberFormat="1">
      <alignment horizontal="center" vertical="bottom"/>
    </xf>
    <xf borderId="1" fillId="0" fontId="40" numFmtId="4" xfId="0" applyAlignment="1" applyBorder="1" applyFont="1" applyNumberFormat="1">
      <alignment horizontal="center" vertical="bottom"/>
    </xf>
    <xf borderId="0" fillId="0" fontId="40" numFmtId="4" xfId="0" applyAlignment="1" applyFont="1" applyNumberFormat="1">
      <alignment horizontal="center" vertical="bottom"/>
    </xf>
    <xf borderId="13" fillId="0" fontId="40" numFmtId="4" xfId="0" applyAlignment="1" applyBorder="1" applyFont="1" applyNumberFormat="1">
      <alignment horizontal="center" vertical="bottom"/>
    </xf>
    <xf borderId="10" fillId="0" fontId="40" numFmtId="4" xfId="0" applyAlignment="1" applyBorder="1" applyFont="1" applyNumberFormat="1">
      <alignment horizontal="center" vertical="bottom"/>
    </xf>
    <xf borderId="1" fillId="24" fontId="41" numFmtId="0" xfId="0" applyAlignment="1" applyBorder="1" applyFill="1" applyFont="1">
      <alignment horizontal="center" readingOrder="0" vertical="bottom"/>
    </xf>
    <xf borderId="1" fillId="0" fontId="40" numFmtId="4" xfId="0" applyAlignment="1" applyBorder="1" applyFont="1" applyNumberFormat="1">
      <alignment horizontal="center" readingOrder="0" vertical="bottom"/>
    </xf>
    <xf borderId="1" fillId="17" fontId="42" numFmtId="0" xfId="0" applyAlignment="1" applyBorder="1" applyFont="1">
      <alignment horizontal="center" readingOrder="0" vertical="bottom"/>
    </xf>
    <xf borderId="1" fillId="17" fontId="14" numFmtId="171" xfId="0" applyAlignment="1" applyBorder="1" applyFont="1" applyNumberFormat="1">
      <alignment horizontal="center" readingOrder="0"/>
    </xf>
    <xf borderId="1" fillId="0" fontId="13" numFmtId="4" xfId="0" applyAlignment="1" applyBorder="1" applyFont="1" applyNumberFormat="1">
      <alignment horizontal="right" vertical="bottom"/>
    </xf>
    <xf borderId="1" fillId="15" fontId="43" numFmtId="10" xfId="0" applyAlignment="1" applyBorder="1" applyFont="1" applyNumberFormat="1">
      <alignment horizontal="center" vertical="bottom"/>
    </xf>
    <xf borderId="12" fillId="0" fontId="3" numFmtId="0" xfId="0" applyAlignment="1" applyBorder="1" applyFont="1">
      <alignment vertical="bottom"/>
    </xf>
    <xf borderId="1" fillId="0" fontId="3" numFmtId="0" xfId="0" applyAlignment="1" applyBorder="1" applyFont="1">
      <alignment vertical="bottom"/>
    </xf>
    <xf borderId="10" fillId="0" fontId="3" numFmtId="0" xfId="0" applyAlignment="1" applyBorder="1" applyFont="1">
      <alignment vertical="bottom"/>
    </xf>
    <xf borderId="35" fillId="0" fontId="13" numFmtId="167" xfId="0" applyAlignment="1" applyBorder="1" applyFont="1" applyNumberFormat="1">
      <alignment shrinkToFit="0" vertical="bottom" wrapText="1"/>
    </xf>
    <xf borderId="36" fillId="0" fontId="13" numFmtId="0" xfId="0" applyAlignment="1" applyBorder="1" applyFont="1">
      <alignment vertical="bottom"/>
    </xf>
    <xf borderId="11" fillId="22" fontId="11" numFmtId="166" xfId="0" applyAlignment="1" applyBorder="1" applyFont="1" applyNumberFormat="1">
      <alignment horizontal="center" readingOrder="0" shrinkToFit="0" wrapText="1"/>
    </xf>
    <xf borderId="24" fillId="0" fontId="13" numFmtId="4" xfId="0" applyAlignment="1" applyBorder="1" applyFont="1" applyNumberFormat="1">
      <alignment horizontal="center" vertical="bottom"/>
    </xf>
    <xf borderId="13" fillId="0" fontId="40" numFmtId="4" xfId="0" applyAlignment="1" applyBorder="1" applyFont="1" applyNumberFormat="1">
      <alignment horizontal="center" readingOrder="0" vertical="bottom"/>
    </xf>
    <xf borderId="19" fillId="14" fontId="11" numFmtId="4" xfId="0" applyAlignment="1" applyBorder="1" applyFont="1" applyNumberFormat="1">
      <alignment horizontal="right" vertical="bottom"/>
    </xf>
    <xf borderId="12" fillId="0" fontId="2" numFmtId="4" xfId="0" applyAlignment="1" applyBorder="1" applyFont="1" applyNumberFormat="1">
      <alignment horizontal="center" vertical="bottom"/>
    </xf>
    <xf borderId="1" fillId="0" fontId="2" numFmtId="4" xfId="0" applyAlignment="1" applyBorder="1" applyFont="1" applyNumberFormat="1">
      <alignment horizontal="center" vertical="bottom"/>
    </xf>
    <xf borderId="1" fillId="17" fontId="21" numFmtId="0" xfId="0" applyAlignment="1" applyBorder="1" applyFont="1">
      <alignment horizontal="center" readingOrder="0" shrinkToFit="0" vertical="bottom" wrapText="0"/>
    </xf>
    <xf borderId="1" fillId="25" fontId="1" numFmtId="0" xfId="0" applyAlignment="1" applyBorder="1" applyFill="1" applyFont="1">
      <alignment horizontal="center" readingOrder="0" vertical="bottom"/>
    </xf>
    <xf borderId="1" fillId="11" fontId="32" numFmtId="0" xfId="0" applyAlignment="1" applyBorder="1" applyFont="1">
      <alignment horizontal="center" readingOrder="0" vertical="bottom"/>
    </xf>
    <xf borderId="12" fillId="0" fontId="3" numFmtId="0" xfId="0" applyAlignment="1" applyBorder="1" applyFont="1">
      <alignment readingOrder="0" vertical="bottom"/>
    </xf>
    <xf borderId="1" fillId="0" fontId="3" numFmtId="0" xfId="0" applyAlignment="1" applyBorder="1" applyFont="1">
      <alignment readingOrder="0" vertical="bottom"/>
    </xf>
    <xf borderId="13" fillId="0" fontId="3" numFmtId="0" xfId="0" applyAlignment="1" applyBorder="1" applyFont="1">
      <alignment vertical="bottom"/>
    </xf>
    <xf borderId="36" fillId="0" fontId="13" numFmtId="0" xfId="0" applyAlignment="1" applyBorder="1" applyFont="1">
      <alignment readingOrder="0" vertical="bottom"/>
    </xf>
    <xf borderId="12" fillId="0" fontId="2" numFmtId="4" xfId="0" applyAlignment="1" applyBorder="1" applyFont="1" applyNumberFormat="1">
      <alignment horizontal="center" readingOrder="0" vertical="bottom"/>
    </xf>
    <xf borderId="1" fillId="0" fontId="2" numFmtId="4" xfId="0" applyAlignment="1" applyBorder="1" applyFont="1" applyNumberFormat="1">
      <alignment horizontal="center" readingOrder="0" vertical="bottom"/>
    </xf>
    <xf borderId="1" fillId="0" fontId="44" numFmtId="0" xfId="0" applyAlignment="1" applyBorder="1" applyFont="1">
      <alignment horizontal="center" vertical="bottom"/>
    </xf>
    <xf borderId="5" fillId="17" fontId="14" numFmtId="171" xfId="0" applyAlignment="1" applyBorder="1" applyFont="1" applyNumberFormat="1">
      <alignment horizontal="center" readingOrder="0"/>
    </xf>
    <xf borderId="1" fillId="15" fontId="18" numFmtId="10" xfId="0" applyAlignment="1" applyBorder="1" applyFont="1" applyNumberFormat="1">
      <alignment horizontal="center" vertical="bottom"/>
    </xf>
    <xf borderId="13" fillId="0" fontId="3" numFmtId="0" xfId="0" applyAlignment="1" applyBorder="1" applyFont="1">
      <alignment readingOrder="0" vertical="bottom"/>
    </xf>
    <xf borderId="24" fillId="0" fontId="13" numFmtId="4" xfId="0" applyAlignment="1" applyBorder="1" applyFont="1" applyNumberFormat="1">
      <alignment horizontal="center" readingOrder="0" vertical="bottom"/>
    </xf>
    <xf borderId="12" fillId="14" fontId="11" numFmtId="4" xfId="0" applyAlignment="1" applyBorder="1" applyFont="1" applyNumberFormat="1">
      <alignment horizontal="right" readingOrder="0" vertical="bottom"/>
    </xf>
    <xf borderId="21" fillId="2" fontId="24" numFmtId="0" xfId="0" applyAlignment="1" applyBorder="1" applyFont="1">
      <alignment horizontal="center" readingOrder="0" vertical="center"/>
    </xf>
    <xf borderId="1" fillId="0" fontId="2" numFmtId="0" xfId="0" applyAlignment="1" applyBorder="1" applyFont="1">
      <alignment vertical="bottom"/>
    </xf>
    <xf borderId="1" fillId="0" fontId="2" numFmtId="0" xfId="0" applyAlignment="1" applyBorder="1" applyFont="1">
      <alignment vertical="bottom"/>
    </xf>
    <xf borderId="0" fillId="0" fontId="45" numFmtId="0" xfId="0" applyAlignment="1" applyFont="1">
      <alignment horizontal="center" readingOrder="0" vertical="bottom"/>
    </xf>
    <xf borderId="13" fillId="0" fontId="13" numFmtId="4" xfId="0" applyAlignment="1" applyBorder="1" applyFont="1" applyNumberFormat="1">
      <alignment readingOrder="0" vertical="bottom"/>
    </xf>
    <xf borderId="0" fillId="0" fontId="2" numFmtId="0" xfId="0" applyAlignment="1" applyFont="1">
      <alignment horizontal="center" vertical="bottom"/>
    </xf>
    <xf borderId="0" fillId="0" fontId="25" numFmtId="0" xfId="0" applyAlignment="1" applyFont="1">
      <alignment horizontal="center" readingOrder="0" vertical="bottom"/>
    </xf>
    <xf borderId="1" fillId="0" fontId="46" numFmtId="0" xfId="0" applyAlignment="1" applyBorder="1" applyFont="1">
      <alignment horizontal="center" readingOrder="0" shrinkToFit="0" vertical="bottom" wrapText="0"/>
    </xf>
    <xf borderId="1" fillId="18" fontId="21" numFmtId="10" xfId="0" applyAlignment="1" applyBorder="1" applyFont="1" applyNumberFormat="1">
      <alignment horizontal="center" shrinkToFit="0" vertical="bottom" wrapText="0"/>
    </xf>
    <xf borderId="1" fillId="18" fontId="2" numFmtId="0" xfId="0" applyAlignment="1" applyBorder="1" applyFont="1">
      <alignment readingOrder="0" vertical="bottom"/>
    </xf>
    <xf borderId="1" fillId="17" fontId="21" numFmtId="10" xfId="0" applyAlignment="1" applyBorder="1" applyFont="1" applyNumberFormat="1">
      <alignment horizontal="center" shrinkToFit="0" vertical="bottom" wrapText="0"/>
    </xf>
    <xf borderId="0" fillId="17" fontId="2" numFmtId="0" xfId="0" applyAlignment="1" applyFont="1">
      <alignment readingOrder="0" vertical="bottom"/>
    </xf>
    <xf borderId="32" fillId="18" fontId="7" numFmtId="0" xfId="0" applyBorder="1" applyFont="1"/>
    <xf borderId="0" fillId="0" fontId="47" numFmtId="0" xfId="0" applyAlignment="1" applyFont="1">
      <alignment horizontal="center" readingOrder="0" shrinkToFit="0" vertical="bottom" wrapText="0"/>
    </xf>
    <xf borderId="1" fillId="0" fontId="48" numFmtId="0" xfId="0" applyAlignment="1" applyBorder="1" applyFont="1">
      <alignment horizontal="center" readingOrder="0" vertical="bottom"/>
    </xf>
    <xf borderId="3" fillId="26" fontId="49" numFmtId="0" xfId="0" applyAlignment="1" applyBorder="1" applyFill="1" applyFont="1">
      <alignment shrinkToFit="0" wrapText="0"/>
    </xf>
    <xf borderId="3" fillId="17" fontId="50" numFmtId="0" xfId="0" applyAlignment="1" applyBorder="1" applyFont="1">
      <alignment shrinkToFit="0" wrapText="0"/>
    </xf>
    <xf borderId="1" fillId="17" fontId="51" numFmtId="0" xfId="0" applyAlignment="1" applyBorder="1" applyFont="1">
      <alignment shrinkToFit="0" wrapText="0"/>
    </xf>
    <xf borderId="1" fillId="26" fontId="52" numFmtId="0" xfId="0" applyAlignment="1" applyBorder="1" applyFont="1">
      <alignment shrinkToFit="0" wrapText="0"/>
    </xf>
    <xf borderId="1" fillId="17" fontId="53" numFmtId="0" xfId="0" applyBorder="1" applyFont="1"/>
    <xf borderId="0" fillId="17" fontId="54" numFmtId="0" xfId="0" applyAlignment="1" applyFont="1">
      <alignment shrinkToFit="0" wrapText="0"/>
    </xf>
    <xf borderId="0" fillId="26" fontId="55" numFmtId="0" xfId="0" applyAlignment="1" applyFont="1">
      <alignment shrinkToFit="0" wrapText="0"/>
    </xf>
    <xf borderId="23" fillId="12" fontId="7" numFmtId="0" xfId="0" applyBorder="1" applyFont="1"/>
    <xf borderId="26" fillId="17" fontId="21" numFmtId="0" xfId="0" applyAlignment="1" applyBorder="1" applyFont="1">
      <alignment shrinkToFit="0" vertical="bottom" wrapText="0"/>
    </xf>
    <xf borderId="1" fillId="17" fontId="21" numFmtId="0" xfId="0" applyAlignment="1" applyBorder="1" applyFont="1">
      <alignment horizontal="center" shrinkToFit="0" vertical="bottom" wrapText="0"/>
    </xf>
    <xf borderId="1" fillId="17" fontId="2" numFmtId="0" xfId="0" applyAlignment="1" applyBorder="1" applyFont="1">
      <alignment horizontal="center" readingOrder="0" vertical="bottom"/>
    </xf>
    <xf borderId="26" fillId="12" fontId="21" numFmtId="0" xfId="0" applyAlignment="1" applyBorder="1" applyFont="1">
      <alignment shrinkToFit="0" vertical="bottom" wrapText="0"/>
    </xf>
    <xf borderId="1" fillId="12" fontId="21" numFmtId="0" xfId="0" applyAlignment="1" applyBorder="1" applyFont="1">
      <alignment horizontal="center" shrinkToFit="0" vertical="bottom" wrapText="0"/>
    </xf>
    <xf borderId="1" fillId="12" fontId="2" numFmtId="0" xfId="0" applyAlignment="1" applyBorder="1" applyFont="1">
      <alignment horizontal="center" readingOrder="0" vertical="bottom"/>
    </xf>
    <xf borderId="1" fillId="17" fontId="56" numFmtId="0" xfId="0" applyAlignment="1" applyBorder="1" applyFont="1">
      <alignment vertical="bottom"/>
    </xf>
    <xf borderId="0" fillId="0" fontId="57" numFmtId="0" xfId="0" applyAlignment="1" applyFont="1">
      <alignment horizontal="center" readingOrder="0" vertical="bottom"/>
    </xf>
    <xf borderId="1" fillId="17" fontId="21" numFmtId="0" xfId="0" applyAlignment="1" applyBorder="1" applyFont="1">
      <alignment horizontal="center" readingOrder="0" shrinkToFit="0" vertical="bottom" wrapText="0"/>
    </xf>
    <xf borderId="1" fillId="12" fontId="21" numFmtId="0" xfId="0" applyAlignment="1" applyBorder="1" applyFont="1">
      <alignment horizontal="center" readingOrder="0" shrinkToFit="0" vertical="bottom" wrapText="0"/>
    </xf>
    <xf borderId="1" fillId="17" fontId="13" numFmtId="10" xfId="0" applyAlignment="1" applyBorder="1" applyFont="1" applyNumberFormat="1">
      <alignment horizontal="center" vertical="bottom"/>
    </xf>
    <xf borderId="1" fillId="17" fontId="2" numFmtId="170" xfId="0" applyAlignment="1" applyBorder="1" applyFont="1" applyNumberFormat="1">
      <alignment horizontal="center" readingOrder="0" vertical="bottom"/>
    </xf>
    <xf borderId="1" fillId="12" fontId="2" numFmtId="0" xfId="0" applyAlignment="1" applyBorder="1" applyFont="1">
      <alignment horizontal="center" vertical="bottom"/>
    </xf>
    <xf borderId="1" fillId="12" fontId="13" numFmtId="10" xfId="0" applyAlignment="1" applyBorder="1" applyFont="1" applyNumberFormat="1">
      <alignment horizontal="center" vertical="bottom"/>
    </xf>
    <xf borderId="1" fillId="12" fontId="2" numFmtId="170" xfId="0" applyAlignment="1" applyBorder="1" applyFont="1" applyNumberFormat="1">
      <alignment horizontal="center" readingOrder="0" vertical="bottom"/>
    </xf>
    <xf borderId="1" fillId="17" fontId="58" numFmtId="0" xfId="0" applyAlignment="1" applyBorder="1" applyFont="1">
      <alignment readingOrder="0" shrinkToFit="0" wrapText="0"/>
    </xf>
    <xf borderId="1" fillId="0" fontId="59" numFmtId="0" xfId="0" applyAlignment="1" applyBorder="1" applyFont="1">
      <alignment horizontal="center" readingOrder="0" vertical="bottom"/>
    </xf>
    <xf borderId="3" fillId="0" fontId="60" numFmtId="0" xfId="0" applyAlignment="1" applyBorder="1" applyFont="1">
      <alignment horizontal="left" readingOrder="0" shrinkToFit="0" vertical="center" wrapText="0"/>
    </xf>
    <xf borderId="23" fillId="17" fontId="7" numFmtId="0" xfId="0" applyBorder="1" applyFont="1"/>
    <xf borderId="3" fillId="17" fontId="61" numFmtId="0" xfId="0" applyAlignment="1" applyBorder="1" applyFont="1">
      <alignment readingOrder="0" shrinkToFit="0" wrapText="0"/>
    </xf>
    <xf borderId="11" fillId="22" fontId="11" numFmtId="166" xfId="0" applyAlignment="1" applyBorder="1" applyFont="1" applyNumberFormat="1">
      <alignment horizontal="center" readingOrder="0" shrinkToFit="0" vertical="bottom" wrapText="1"/>
    </xf>
    <xf borderId="14" fillId="22" fontId="2" numFmtId="0" xfId="0" applyAlignment="1" applyBorder="1" applyFont="1">
      <alignment vertical="bottom"/>
    </xf>
    <xf borderId="1" fillId="17" fontId="2" numFmtId="171" xfId="0" applyAlignment="1" applyBorder="1" applyFont="1" applyNumberFormat="1">
      <alignment horizontal="center" vertical="bottom"/>
    </xf>
    <xf borderId="0" fillId="17" fontId="14" numFmtId="0" xfId="0" applyAlignment="1" applyFont="1">
      <alignment horizontal="center" readingOrder="0"/>
    </xf>
    <xf borderId="1" fillId="17" fontId="2" numFmtId="171" xfId="0" applyAlignment="1" applyBorder="1" applyFont="1" applyNumberFormat="1">
      <alignment horizontal="center" readingOrder="0" vertical="bottom"/>
    </xf>
    <xf borderId="0" fillId="17" fontId="14" numFmtId="0" xfId="0" applyAlignment="1" applyFont="1">
      <alignment readingOrder="0"/>
    </xf>
    <xf borderId="26" fillId="17" fontId="62" numFmtId="0" xfId="0" applyAlignment="1" applyBorder="1" applyFont="1">
      <alignment shrinkToFit="0" vertical="bottom" wrapText="0"/>
    </xf>
    <xf borderId="1" fillId="12" fontId="62" numFmtId="0" xfId="0" applyAlignment="1" applyBorder="1" applyFont="1">
      <alignment vertical="bottom"/>
    </xf>
    <xf borderId="1" fillId="12" fontId="62" numFmtId="0" xfId="0" applyAlignment="1" applyBorder="1" applyFont="1">
      <alignment readingOrder="0" vertical="bottom"/>
    </xf>
    <xf borderId="0" fillId="12" fontId="14" numFmtId="0" xfId="0" applyAlignment="1" applyFont="1">
      <alignment readingOrder="0"/>
    </xf>
    <xf borderId="1" fillId="0" fontId="63" numFmtId="0" xfId="0" applyAlignment="1" applyBorder="1" applyFont="1">
      <alignment horizontal="center" readingOrder="0" vertical="bottom"/>
    </xf>
    <xf borderId="0" fillId="12" fontId="14" numFmtId="0" xfId="0" applyAlignment="1" applyFont="1">
      <alignment horizontal="center" readingOrder="0"/>
    </xf>
    <xf borderId="1" fillId="0" fontId="2" numFmtId="0" xfId="0" applyAlignment="1" applyBorder="1" applyFont="1">
      <alignment horizontal="center" vertical="bottom"/>
    </xf>
    <xf borderId="26" fillId="12" fontId="62" numFmtId="0" xfId="0" applyAlignment="1" applyBorder="1" applyFont="1">
      <alignment shrinkToFit="0" vertical="bottom" wrapText="0"/>
    </xf>
    <xf borderId="1" fillId="17" fontId="62" numFmtId="0" xfId="0" applyAlignment="1" applyBorder="1" applyFont="1">
      <alignment vertical="bottom"/>
    </xf>
    <xf borderId="1" fillId="17" fontId="62" numFmtId="0" xfId="0" applyAlignment="1" applyBorder="1" applyFont="1">
      <alignment readingOrder="0" vertical="bottom"/>
    </xf>
    <xf borderId="1" fillId="11" fontId="32" numFmtId="9" xfId="0" applyAlignment="1" applyBorder="1" applyFont="1" applyNumberFormat="1">
      <alignment horizontal="center" readingOrder="0" vertical="bottom"/>
    </xf>
    <xf borderId="0" fillId="0" fontId="64" numFmtId="0" xfId="0" applyAlignment="1" applyFont="1">
      <alignment horizontal="center" vertical="bottom"/>
    </xf>
    <xf borderId="0" fillId="20" fontId="1" numFmtId="166" xfId="0" applyAlignment="1" applyFont="1" applyNumberFormat="1">
      <alignment horizontal="right" readingOrder="0" vertical="bottom"/>
    </xf>
    <xf borderId="11" fillId="22" fontId="11" numFmtId="166" xfId="0" applyAlignment="1" applyBorder="1" applyFont="1" applyNumberFormat="1">
      <alignment horizontal="center" shrinkToFit="0" vertical="bottom" wrapText="1"/>
    </xf>
    <xf borderId="1" fillId="0" fontId="65" numFmtId="0" xfId="0" applyAlignment="1" applyBorder="1" applyFont="1">
      <alignment horizontal="center" readingOrder="0" shrinkToFit="0" vertical="bottom" wrapText="0"/>
    </xf>
    <xf borderId="35" fillId="0" fontId="13" numFmtId="0" xfId="0" applyAlignment="1" applyBorder="1" applyFont="1">
      <alignment readingOrder="0" vertical="bottom"/>
    </xf>
    <xf borderId="0" fillId="0" fontId="66" numFmtId="0" xfId="0" applyAlignment="1" applyFont="1">
      <alignment horizontal="center" readingOrder="0" shrinkToFit="0" vertical="bottom" wrapText="0"/>
    </xf>
    <xf borderId="14" fillId="22" fontId="2" numFmtId="167" xfId="0" applyAlignment="1" applyBorder="1" applyFont="1" applyNumberFormat="1">
      <alignment vertical="bottom"/>
    </xf>
    <xf borderId="6" fillId="7" fontId="2" numFmtId="0" xfId="0" applyAlignment="1" applyBorder="1" applyFont="1">
      <alignment vertical="bottom"/>
    </xf>
    <xf borderId="7" fillId="7" fontId="11" numFmtId="167" xfId="0" applyAlignment="1" applyBorder="1" applyFont="1" applyNumberFormat="1">
      <alignment horizontal="center" shrinkToFit="0" vertical="bottom" wrapText="1"/>
    </xf>
    <xf borderId="11" fillId="8" fontId="2" numFmtId="0" xfId="0" applyBorder="1" applyFont="1"/>
    <xf borderId="40" fillId="9" fontId="12" numFmtId="167" xfId="0" applyAlignment="1" applyBorder="1" applyFont="1" applyNumberFormat="1">
      <alignment horizontal="center" shrinkToFit="0" wrapText="1"/>
    </xf>
    <xf borderId="21" fillId="9" fontId="12" numFmtId="167" xfId="0" applyAlignment="1" applyBorder="1" applyFont="1" applyNumberFormat="1">
      <alignment horizontal="center" shrinkToFit="0" wrapText="1"/>
    </xf>
    <xf borderId="33" fillId="9" fontId="12" numFmtId="0" xfId="0" applyAlignment="1" applyBorder="1" applyFont="1">
      <alignment horizontal="center" shrinkToFit="0" wrapText="1"/>
    </xf>
    <xf borderId="17" fillId="8" fontId="2" numFmtId="167" xfId="0" applyAlignment="1" applyBorder="1" applyFont="1" applyNumberFormat="1">
      <alignment vertical="bottom"/>
    </xf>
    <xf borderId="12" fillId="0" fontId="2" numFmtId="4" xfId="0" applyAlignment="1" applyBorder="1" applyFont="1" applyNumberFormat="1">
      <alignment vertical="bottom"/>
    </xf>
    <xf borderId="1" fillId="0" fontId="2" numFmtId="4" xfId="0" applyAlignment="1" applyBorder="1" applyFont="1" applyNumberFormat="1">
      <alignment vertical="bottom"/>
    </xf>
    <xf borderId="13" fillId="0" fontId="2" numFmtId="4" xfId="0" applyAlignment="1" applyBorder="1" applyFont="1" applyNumberFormat="1">
      <alignment vertical="bottom"/>
    </xf>
    <xf borderId="12" fillId="0" fontId="2" numFmtId="49" xfId="0" applyAlignment="1" applyBorder="1" applyFont="1" applyNumberFormat="1">
      <alignment vertical="bottom"/>
    </xf>
    <xf borderId="1" fillId="0" fontId="2" numFmtId="49" xfId="0" applyAlignment="1" applyBorder="1" applyFont="1" applyNumberFormat="1">
      <alignment vertical="bottom"/>
    </xf>
    <xf borderId="26" fillId="0" fontId="2" numFmtId="4" xfId="0" applyAlignment="1" applyBorder="1" applyFont="1" applyNumberFormat="1">
      <alignment vertical="bottom"/>
    </xf>
    <xf borderId="12" fillId="0" fontId="3" numFmtId="167" xfId="0" applyAlignment="1" applyBorder="1" applyFont="1" applyNumberFormat="1">
      <alignment vertical="bottom"/>
    </xf>
    <xf borderId="1" fillId="0" fontId="3" numFmtId="167" xfId="0" applyAlignment="1" applyBorder="1" applyFont="1" applyNumberFormat="1">
      <alignment vertical="bottom"/>
    </xf>
    <xf borderId="34" fillId="0" fontId="2" numFmtId="167" xfId="0" applyAlignment="1" applyBorder="1" applyFont="1" applyNumberFormat="1">
      <alignment vertical="bottom"/>
    </xf>
    <xf borderId="35" fillId="0" fontId="2" numFmtId="167" xfId="0" applyAlignment="1" applyBorder="1" applyFont="1" applyNumberFormat="1">
      <alignment vertical="bottom"/>
    </xf>
    <xf borderId="36" fillId="0" fontId="2" numFmtId="0" xfId="0" applyAlignment="1" applyBorder="1" applyFont="1">
      <alignment vertical="bottom"/>
    </xf>
    <xf borderId="0" fillId="8" fontId="11" numFmtId="0" xfId="0" applyAlignment="1" applyFont="1">
      <alignment horizontal="center" shrinkToFit="0" vertical="bottom" wrapText="1"/>
    </xf>
    <xf borderId="0" fillId="0" fontId="13" numFmtId="167" xfId="0" applyAlignment="1" applyFont="1" applyNumberFormat="1">
      <alignment vertical="bottom"/>
    </xf>
    <xf borderId="0" fillId="0" fontId="34" numFmtId="0" xfId="0" applyAlignment="1" applyFont="1">
      <alignment shrinkToFit="0" vertical="bottom" wrapText="1"/>
    </xf>
    <xf borderId="2" fillId="0" fontId="67" numFmtId="0" xfId="0" applyAlignment="1" applyBorder="1" applyFont="1">
      <alignment horizontal="left" readingOrder="0" shrinkToFit="0" vertical="center" wrapText="0"/>
    </xf>
    <xf borderId="1" fillId="12" fontId="2" numFmtId="0" xfId="0" applyAlignment="1" applyBorder="1" applyFont="1">
      <alignment horizontal="center" vertical="bottom"/>
    </xf>
    <xf borderId="1" fillId="12" fontId="2" numFmtId="170" xfId="0" applyAlignment="1" applyBorder="1" applyFont="1" applyNumberFormat="1">
      <alignment horizontal="center" vertical="bottom"/>
    </xf>
    <xf borderId="1" fillId="17" fontId="2" numFmtId="0" xfId="0" applyAlignment="1" applyBorder="1" applyFont="1">
      <alignment horizontal="center" vertical="bottom"/>
    </xf>
    <xf borderId="1" fillId="17" fontId="2" numFmtId="170" xfId="0" applyAlignment="1" applyBorder="1" applyFont="1" applyNumberFormat="1">
      <alignment horizontal="center" vertical="bottom"/>
    </xf>
    <xf borderId="1" fillId="0" fontId="68" numFmtId="0" xfId="0" applyAlignment="1" applyBorder="1" applyFont="1">
      <alignment readingOrder="0" vertical="bottom"/>
    </xf>
    <xf borderId="1" fillId="26" fontId="69" numFmtId="0" xfId="0" applyAlignment="1" applyBorder="1" applyFont="1">
      <alignment readingOrder="0" shrinkToFit="0" wrapText="0"/>
    </xf>
    <xf borderId="1" fillId="0" fontId="70" numFmtId="0" xfId="0" applyAlignment="1" applyBorder="1" applyFont="1">
      <alignment horizontal="center" readingOrder="0" vertical="bottom"/>
    </xf>
    <xf borderId="1" fillId="17" fontId="71" numFmtId="0" xfId="0" applyAlignment="1" applyBorder="1" applyFont="1">
      <alignment readingOrder="0" vertical="bottom"/>
    </xf>
    <xf borderId="1" fillId="17" fontId="72" numFmtId="0" xfId="0" applyAlignment="1" applyBorder="1" applyFont="1">
      <alignment horizontal="center" readingOrder="0" shrinkToFit="0" vertical="bottom" wrapText="0"/>
    </xf>
    <xf borderId="1" fillId="17" fontId="73" numFmtId="0" xfId="0" applyAlignment="1" applyBorder="1" applyFont="1">
      <alignment horizontal="center" vertical="bottom"/>
    </xf>
    <xf borderId="0" fillId="0" fontId="14" numFmtId="0" xfId="0" applyAlignment="1" applyFont="1">
      <alignment horizontal="center" vertical="center"/>
    </xf>
    <xf borderId="1" fillId="0" fontId="74" numFmtId="0" xfId="0" applyAlignment="1" applyBorder="1" applyFont="1">
      <alignment vertical="bottom"/>
    </xf>
    <xf borderId="1" fillId="18" fontId="2" numFmtId="0" xfId="0" applyAlignment="1" applyBorder="1" applyFont="1">
      <alignment vertical="bottom"/>
    </xf>
    <xf borderId="1" fillId="17" fontId="2" numFmtId="0" xfId="0" applyAlignment="1" applyBorder="1" applyFont="1">
      <alignment vertical="bottom"/>
    </xf>
    <xf borderId="1" fillId="17" fontId="2" numFmtId="0" xfId="0" applyAlignment="1" applyBorder="1" applyFont="1">
      <alignment vertical="bottom"/>
    </xf>
    <xf borderId="0" fillId="12" fontId="1" numFmtId="2" xfId="0" applyAlignment="1" applyFont="1" applyNumberFormat="1">
      <alignment horizontal="center" vertical="bottom"/>
    </xf>
    <xf borderId="0" fillId="12" fontId="1" numFmtId="2" xfId="0" applyAlignment="1" applyFont="1" applyNumberFormat="1">
      <alignment horizontal="center" readingOrder="0" vertical="bottom"/>
    </xf>
    <xf borderId="0" fillId="0" fontId="75" numFmtId="0" xfId="0" applyAlignment="1" applyFont="1">
      <alignment horizontal="center" vertical="bottom"/>
    </xf>
    <xf borderId="0" fillId="0" fontId="76" numFmtId="0" xfId="0" applyAlignment="1" applyFont="1">
      <alignment horizontal="center" readingOrder="0" shrinkToFit="0" vertical="bottom" wrapText="0"/>
    </xf>
    <xf borderId="0" fillId="0" fontId="77" numFmtId="0" xfId="0" applyAlignment="1" applyFont="1">
      <alignment horizontal="center" readingOrder="0" vertical="bottom"/>
    </xf>
    <xf borderId="1" fillId="0" fontId="2" numFmtId="0" xfId="0" applyAlignment="1" applyBorder="1" applyFont="1">
      <alignment horizontal="center" readingOrder="0" vertical="bottom"/>
    </xf>
    <xf borderId="3" fillId="26" fontId="78" numFmtId="0" xfId="0" applyBorder="1" applyFont="1"/>
    <xf borderId="3" fillId="17" fontId="79" numFmtId="0" xfId="0" applyBorder="1" applyFont="1"/>
    <xf borderId="1" fillId="0" fontId="80" numFmtId="0" xfId="0" applyAlignment="1" applyBorder="1" applyFont="1">
      <alignment horizontal="left" readingOrder="0" shrinkToFit="0" vertical="center" wrapText="0"/>
    </xf>
    <xf borderId="1" fillId="0" fontId="81" numFmtId="0" xfId="0" applyAlignment="1" applyBorder="1" applyFont="1">
      <alignment vertical="bottom"/>
    </xf>
    <xf borderId="1" fillId="0" fontId="2" numFmtId="0" xfId="0" applyAlignment="1" applyBorder="1" applyFont="1">
      <alignment horizontal="center" readingOrder="0" shrinkToFit="0" vertical="bottom" wrapText="0"/>
    </xf>
    <xf borderId="0" fillId="0" fontId="82" numFmtId="0" xfId="0" applyAlignment="1" applyFont="1">
      <alignment horizontal="center" readingOrder="0" vertical="bottom"/>
    </xf>
    <xf borderId="0" fillId="0" fontId="83" numFmtId="0" xfId="0" applyAlignment="1" applyFont="1">
      <alignment readingOrder="0"/>
    </xf>
    <xf borderId="1" fillId="26" fontId="84" numFmtId="0" xfId="0" applyAlignment="1" applyBorder="1" applyFont="1">
      <alignment vertical="bottom"/>
    </xf>
    <xf borderId="0" fillId="26" fontId="85" numFmtId="0" xfId="0" applyAlignment="1" applyFont="1">
      <alignment vertical="bottom"/>
    </xf>
    <xf borderId="11" fillId="0" fontId="86" numFmtId="0" xfId="0" applyAlignment="1" applyBorder="1" applyFont="1">
      <alignment horizontal="center" vertical="bottom"/>
    </xf>
    <xf borderId="11" fillId="0" fontId="87" numFmtId="0" xfId="0" applyAlignment="1" applyBorder="1" applyFont="1">
      <alignment horizontal="center" vertical="bottom"/>
    </xf>
    <xf borderId="11" fillId="0" fontId="88" numFmtId="0" xfId="0" applyAlignment="1" applyBorder="1" applyFont="1">
      <alignment horizontal="center" readingOrder="0" shrinkToFit="0" vertical="bottom" wrapText="0"/>
    </xf>
    <xf borderId="1" fillId="0" fontId="25" numFmtId="0" xfId="0" applyAlignment="1" applyBorder="1" applyFont="1">
      <alignment horizontal="center" vertical="bottom"/>
    </xf>
    <xf borderId="3" fillId="26" fontId="89" numFmtId="0" xfId="0" applyAlignment="1" applyBorder="1" applyFont="1">
      <alignment shrinkToFit="0" vertical="top" wrapText="0"/>
    </xf>
    <xf borderId="13" fillId="27" fontId="16" numFmtId="0" xfId="0" applyAlignment="1" applyBorder="1" applyFill="1" applyFont="1">
      <alignment horizontal="center" readingOrder="0" vertical="center"/>
    </xf>
    <xf borderId="5" fillId="27" fontId="6" numFmtId="0" xfId="0" applyAlignment="1" applyBorder="1" applyFont="1">
      <alignment horizontal="center" readingOrder="0" vertical="center"/>
    </xf>
    <xf borderId="1" fillId="27" fontId="6" numFmtId="0" xfId="0" applyAlignment="1" applyBorder="1" applyFont="1">
      <alignment horizontal="center" readingOrder="0" vertical="center"/>
    </xf>
    <xf borderId="13" fillId="21" fontId="6" numFmtId="0" xfId="0" applyAlignment="1" applyBorder="1" applyFont="1">
      <alignment horizontal="center" readingOrder="0" vertical="center"/>
    </xf>
    <xf borderId="5" fillId="27" fontId="1" numFmtId="0" xfId="0" applyAlignment="1" applyBorder="1" applyFont="1">
      <alignment horizontal="center" readingOrder="0" vertical="center"/>
    </xf>
    <xf borderId="13" fillId="21" fontId="1" numFmtId="0" xfId="0" applyAlignment="1" applyBorder="1" applyFont="1">
      <alignment horizontal="center" readingOrder="0" vertical="center"/>
    </xf>
    <xf borderId="13" fillId="21" fontId="1" numFmtId="0" xfId="0" applyAlignment="1" applyBorder="1" applyFont="1">
      <alignment horizontal="center" readingOrder="0"/>
    </xf>
    <xf borderId="13" fillId="17" fontId="21" numFmtId="0" xfId="0" applyAlignment="1" applyBorder="1" applyFont="1">
      <alignment shrinkToFit="0" vertical="center" wrapText="0"/>
    </xf>
    <xf borderId="5" fillId="17" fontId="90" numFmtId="10" xfId="0" applyAlignment="1" applyBorder="1" applyFont="1" applyNumberFormat="1">
      <alignment horizontal="center" readingOrder="0" shrinkToFit="0" vertical="center" wrapText="0"/>
    </xf>
    <xf borderId="1" fillId="17" fontId="90" numFmtId="10" xfId="0" applyAlignment="1" applyBorder="1" applyFont="1" applyNumberFormat="1">
      <alignment horizontal="center" readingOrder="0" shrinkToFit="0" vertical="center" wrapText="0"/>
    </xf>
    <xf borderId="13" fillId="15" fontId="90" numFmtId="10" xfId="0" applyAlignment="1" applyBorder="1" applyFont="1" applyNumberFormat="1">
      <alignment horizontal="center" readingOrder="0" shrinkToFit="0" vertical="center" wrapText="0"/>
    </xf>
    <xf borderId="25" fillId="11" fontId="91" numFmtId="10" xfId="0" applyAlignment="1" applyBorder="1" applyFont="1" applyNumberFormat="1">
      <alignment horizontal="center" readingOrder="0" shrinkToFit="0" vertical="center" wrapText="0"/>
    </xf>
    <xf borderId="24" fillId="0" fontId="14" numFmtId="10" xfId="0" applyAlignment="1" applyBorder="1" applyFont="1" applyNumberFormat="1">
      <alignment horizontal="center" readingOrder="0" vertical="center"/>
    </xf>
    <xf borderId="1" fillId="0" fontId="14" numFmtId="10" xfId="0" applyAlignment="1" applyBorder="1" applyFont="1" applyNumberFormat="1">
      <alignment horizontal="center" readingOrder="0" vertical="center"/>
    </xf>
    <xf borderId="13" fillId="15" fontId="92" numFmtId="10" xfId="0" applyAlignment="1" applyBorder="1" applyFont="1" applyNumberFormat="1">
      <alignment horizontal="center" vertical="center"/>
    </xf>
    <xf borderId="26" fillId="0" fontId="14" numFmtId="10" xfId="0" applyAlignment="1" applyBorder="1" applyFont="1" applyNumberFormat="1">
      <alignment horizontal="center" readingOrder="0" vertical="center"/>
    </xf>
    <xf borderId="13" fillId="11" fontId="28" numFmtId="10" xfId="0" applyAlignment="1" applyBorder="1" applyFont="1" applyNumberFormat="1">
      <alignment horizontal="center" vertical="center"/>
    </xf>
    <xf borderId="25" fillId="17" fontId="91" numFmtId="10" xfId="0" applyAlignment="1" applyBorder="1" applyFont="1" applyNumberFormat="1">
      <alignment horizontal="center" readingOrder="0" shrinkToFit="0" vertical="center" wrapText="0"/>
    </xf>
    <xf borderId="24" fillId="17" fontId="2" numFmtId="10" xfId="0" applyAlignment="1" applyBorder="1" applyFont="1" applyNumberFormat="1">
      <alignment horizontal="center" readingOrder="0" vertical="center"/>
    </xf>
    <xf borderId="1" fillId="17" fontId="2" numFmtId="10" xfId="0" applyAlignment="1" applyBorder="1" applyFont="1" applyNumberFormat="1">
      <alignment horizontal="center" readingOrder="0" vertical="center"/>
    </xf>
    <xf borderId="13" fillId="15" fontId="93" numFmtId="10" xfId="0" applyAlignment="1" applyBorder="1" applyFont="1" applyNumberFormat="1">
      <alignment horizontal="center" vertical="center"/>
    </xf>
    <xf borderId="25" fillId="17" fontId="91" numFmtId="10" xfId="0" applyAlignment="1" applyBorder="1" applyFont="1" applyNumberFormat="1">
      <alignment horizontal="center" readingOrder="0" shrinkToFit="0" wrapText="0"/>
    </xf>
    <xf borderId="24" fillId="17" fontId="2" numFmtId="10" xfId="0" applyAlignment="1" applyBorder="1" applyFont="1" applyNumberFormat="1">
      <alignment horizontal="center" readingOrder="0"/>
    </xf>
    <xf borderId="1" fillId="21" fontId="1" numFmtId="10" xfId="0" applyAlignment="1" applyBorder="1" applyFont="1" applyNumberFormat="1">
      <alignment horizontal="center" readingOrder="0"/>
    </xf>
    <xf borderId="1" fillId="17" fontId="2" numFmtId="10" xfId="0" applyAlignment="1" applyBorder="1" applyFont="1" applyNumberFormat="1">
      <alignment horizontal="center" readingOrder="0"/>
    </xf>
    <xf borderId="13" fillId="15" fontId="1" numFmtId="10" xfId="0" applyAlignment="1" applyBorder="1" applyFont="1" applyNumberFormat="1">
      <alignment horizontal="center"/>
    </xf>
    <xf borderId="13" fillId="18" fontId="21" numFmtId="0" xfId="0" applyAlignment="1" applyBorder="1" applyFont="1">
      <alignment shrinkToFit="0" vertical="center" wrapText="0"/>
    </xf>
    <xf borderId="5" fillId="18" fontId="90" numFmtId="10" xfId="0" applyAlignment="1" applyBorder="1" applyFont="1" applyNumberFormat="1">
      <alignment horizontal="center" readingOrder="0" shrinkToFit="0" vertical="center" wrapText="0"/>
    </xf>
    <xf borderId="1" fillId="18" fontId="90" numFmtId="10" xfId="0" applyAlignment="1" applyBorder="1" applyFont="1" applyNumberFormat="1">
      <alignment horizontal="center" readingOrder="0" shrinkToFit="0" vertical="center" wrapText="0"/>
    </xf>
    <xf borderId="13" fillId="11" fontId="62" numFmtId="10" xfId="0" applyAlignment="1" applyBorder="1" applyFont="1" applyNumberFormat="1">
      <alignment horizontal="center" readingOrder="0" shrinkToFit="0" vertical="center" wrapText="0"/>
    </xf>
    <xf borderId="5" fillId="11" fontId="91" numFmtId="10" xfId="0" applyAlignment="1" applyBorder="1" applyFont="1" applyNumberFormat="1">
      <alignment horizontal="center" readingOrder="0" shrinkToFit="0" vertical="center" wrapText="0"/>
    </xf>
    <xf borderId="5" fillId="21" fontId="91" numFmtId="10" xfId="0" applyAlignment="1" applyBorder="1" applyFont="1" applyNumberFormat="1">
      <alignment horizontal="center" readingOrder="0" shrinkToFit="0" vertical="center" wrapText="0"/>
    </xf>
    <xf borderId="5" fillId="21" fontId="91" numFmtId="10" xfId="0" applyAlignment="1" applyBorder="1" applyFont="1" applyNumberFormat="1">
      <alignment horizontal="center" readingOrder="0" shrinkToFit="0" vertical="center" wrapText="0"/>
    </xf>
    <xf borderId="1" fillId="12" fontId="2" numFmtId="10" xfId="0" applyAlignment="1" applyBorder="1" applyFont="1" applyNumberFormat="1">
      <alignment horizontal="center" readingOrder="0" vertical="center"/>
    </xf>
    <xf borderId="13" fillId="20" fontId="26" numFmtId="10" xfId="0" applyAlignment="1" applyBorder="1" applyFont="1" applyNumberFormat="1">
      <alignment horizontal="center" vertical="center"/>
    </xf>
    <xf borderId="5" fillId="12" fontId="91" numFmtId="10" xfId="0" applyAlignment="1" applyBorder="1" applyFont="1" applyNumberFormat="1">
      <alignment horizontal="center" readingOrder="0" shrinkToFit="0" wrapText="0"/>
    </xf>
    <xf borderId="24" fillId="12" fontId="2" numFmtId="10" xfId="0" applyAlignment="1" applyBorder="1" applyFont="1" applyNumberFormat="1">
      <alignment horizontal="center" readingOrder="0"/>
    </xf>
    <xf borderId="1" fillId="12" fontId="2" numFmtId="10" xfId="0" applyAlignment="1" applyBorder="1" applyFont="1" applyNumberFormat="1">
      <alignment horizontal="center" readingOrder="0"/>
    </xf>
    <xf borderId="13" fillId="20" fontId="62" numFmtId="10" xfId="0" applyAlignment="1" applyBorder="1" applyFont="1" applyNumberFormat="1">
      <alignment horizontal="center" readingOrder="0" shrinkToFit="0" vertical="center" wrapText="0"/>
    </xf>
    <xf borderId="5" fillId="20" fontId="91" numFmtId="10" xfId="0" applyAlignment="1" applyBorder="1" applyFont="1" applyNumberFormat="1">
      <alignment horizontal="center" readingOrder="0" shrinkToFit="0" vertical="center" wrapText="0"/>
    </xf>
    <xf borderId="1" fillId="20" fontId="14" numFmtId="10" xfId="0" applyAlignment="1" applyBorder="1" applyFont="1" applyNumberFormat="1">
      <alignment horizontal="center" readingOrder="0" vertical="center"/>
    </xf>
    <xf borderId="13" fillId="20" fontId="28" numFmtId="10" xfId="0" applyAlignment="1" applyBorder="1" applyFont="1" applyNumberFormat="1">
      <alignment horizontal="center" vertical="center"/>
    </xf>
    <xf borderId="5" fillId="17" fontId="91" numFmtId="10" xfId="0" applyAlignment="1" applyBorder="1" applyFont="1" applyNumberFormat="1">
      <alignment horizontal="center" readingOrder="0" shrinkToFit="0" vertical="center" wrapText="0"/>
    </xf>
    <xf borderId="5" fillId="17" fontId="91" numFmtId="10" xfId="0" applyAlignment="1" applyBorder="1" applyFont="1" applyNumberFormat="1">
      <alignment horizontal="center" readingOrder="0" shrinkToFit="0" wrapText="0"/>
    </xf>
    <xf borderId="5" fillId="12" fontId="91" numFmtId="10" xfId="0" applyAlignment="1" applyBorder="1" applyFont="1" applyNumberFormat="1">
      <alignment horizontal="center" readingOrder="0" shrinkToFit="0" vertical="center" wrapText="0"/>
    </xf>
    <xf borderId="13" fillId="21" fontId="26" numFmtId="10" xfId="0" applyAlignment="1" applyBorder="1" applyFont="1" applyNumberFormat="1">
      <alignment horizontal="center" vertical="center"/>
    </xf>
    <xf borderId="13" fillId="18" fontId="21" numFmtId="0" xfId="0" applyAlignment="1" applyBorder="1" applyFont="1">
      <alignment vertical="center"/>
    </xf>
    <xf borderId="5" fillId="18" fontId="90" numFmtId="10" xfId="0" applyAlignment="1" applyBorder="1" applyFont="1" applyNumberFormat="1">
      <alignment horizontal="center" readingOrder="0" vertical="center"/>
    </xf>
    <xf borderId="1" fillId="18" fontId="90" numFmtId="10" xfId="0" applyAlignment="1" applyBorder="1" applyFont="1" applyNumberFormat="1">
      <alignment horizontal="center" readingOrder="0" vertical="center"/>
    </xf>
    <xf borderId="13" fillId="17" fontId="21" numFmtId="0" xfId="0" applyAlignment="1" applyBorder="1" applyFont="1">
      <alignment readingOrder="0" vertical="center"/>
    </xf>
    <xf borderId="5" fillId="17" fontId="90" numFmtId="10" xfId="0" applyAlignment="1" applyBorder="1" applyFont="1" applyNumberFormat="1">
      <alignment horizontal="center" readingOrder="0" vertical="center"/>
    </xf>
    <xf borderId="1" fillId="17" fontId="90" numFmtId="10" xfId="0" applyAlignment="1" applyBorder="1" applyFont="1" applyNumberFormat="1">
      <alignment horizontal="center" readingOrder="0" vertical="center"/>
    </xf>
    <xf borderId="1" fillId="21" fontId="14" numFmtId="10" xfId="0" applyAlignment="1" applyBorder="1" applyFont="1" applyNumberFormat="1">
      <alignment horizontal="center" readingOrder="0" vertical="center"/>
    </xf>
    <xf borderId="13" fillId="21" fontId="28" numFmtId="10" xfId="0" applyAlignment="1" applyBorder="1" applyFont="1" applyNumberFormat="1">
      <alignment horizontal="center" vertical="center"/>
    </xf>
    <xf borderId="1" fillId="21" fontId="2" numFmtId="10" xfId="0" applyAlignment="1" applyBorder="1" applyFont="1" applyNumberFormat="1">
      <alignment horizontal="center" readingOrder="0" vertical="center"/>
    </xf>
    <xf borderId="1" fillId="21" fontId="2" numFmtId="10" xfId="0" applyAlignment="1" applyBorder="1" applyFont="1" applyNumberFormat="1">
      <alignment horizontal="center" readingOrder="0" vertical="center"/>
    </xf>
    <xf borderId="5" fillId="21" fontId="21" numFmtId="10" xfId="0" applyAlignment="1" applyBorder="1" applyFont="1" applyNumberFormat="1">
      <alignment horizontal="center" readingOrder="0" shrinkToFit="0" wrapText="0"/>
    </xf>
    <xf borderId="5" fillId="17" fontId="62" numFmtId="0" xfId="0" applyAlignment="1" applyBorder="1" applyFont="1">
      <alignment horizontal="center" readingOrder="0" vertical="center"/>
    </xf>
    <xf borderId="13" fillId="15" fontId="90" numFmtId="0" xfId="0" applyAlignment="1" applyBorder="1" applyFont="1">
      <alignment horizontal="center" readingOrder="0" shrinkToFit="0" vertical="center" wrapText="0"/>
    </xf>
    <xf borderId="5" fillId="11" fontId="91" numFmtId="0" xfId="0" applyAlignment="1" applyBorder="1" applyFont="1">
      <alignment horizontal="center" readingOrder="0" shrinkToFit="0" vertical="center" wrapText="0"/>
    </xf>
    <xf borderId="1" fillId="0" fontId="94" numFmtId="0" xfId="0" applyAlignment="1" applyBorder="1" applyFont="1">
      <alignment horizontal="center" vertical="bottom"/>
    </xf>
    <xf borderId="4" fillId="17" fontId="95" numFmtId="0" xfId="0" applyAlignment="1" applyBorder="1" applyFont="1">
      <alignment readingOrder="0" shrinkToFit="0" wrapText="0"/>
    </xf>
    <xf borderId="1" fillId="17" fontId="96" numFmtId="0" xfId="0" applyAlignment="1" applyBorder="1" applyFont="1">
      <alignment readingOrder="0" shrinkToFit="0" wrapText="0"/>
    </xf>
    <xf borderId="0" fillId="0" fontId="97" numFmtId="0" xfId="0" applyAlignment="1" applyFont="1">
      <alignment horizontal="center" readingOrder="0" vertical="bottom"/>
    </xf>
    <xf borderId="1" fillId="0" fontId="98" numFmtId="0" xfId="0" applyAlignment="1" applyBorder="1" applyFont="1">
      <alignment horizontal="center" readingOrder="0" vertical="bottom"/>
    </xf>
    <xf borderId="1" fillId="0" fontId="99" numFmtId="0" xfId="0" applyAlignment="1" applyBorder="1" applyFont="1">
      <alignment horizontal="center" vertical="bottom"/>
    </xf>
  </cellXfs>
  <cellStyles count="1">
    <cellStyle xfId="0" name="Normal" builtinId="0"/>
  </cellStyles>
  <dxfs count="13">
    <dxf>
      <font/>
      <fill>
        <patternFill patternType="none"/>
      </fill>
      <border/>
    </dxf>
    <dxf>
      <font/>
      <fill>
        <patternFill patternType="solid">
          <fgColor rgb="FFFFCCCC"/>
          <bgColor rgb="FFFFCCCC"/>
        </patternFill>
      </fill>
      <border/>
    </dxf>
    <dxf>
      <font/>
      <fill>
        <patternFill patternType="solid">
          <fgColor rgb="FFFFFFFF"/>
          <bgColor rgb="FFFFFFFF"/>
        </patternFill>
      </fill>
      <border/>
    </dxf>
    <dxf>
      <font/>
      <fill>
        <patternFill patternType="solid">
          <fgColor rgb="FFFFDDED"/>
          <bgColor rgb="FFFFDDED"/>
        </patternFill>
      </fill>
      <border/>
    </dxf>
    <dxf>
      <font/>
      <fill>
        <patternFill patternType="solid">
          <fgColor rgb="FFFFE6DD"/>
          <bgColor rgb="FFFFE6DD"/>
        </patternFill>
      </fill>
      <border/>
    </dxf>
    <dxf>
      <font/>
      <fill>
        <patternFill patternType="solid">
          <fgColor rgb="FFF8F9FA"/>
          <bgColor rgb="FFF8F9FA"/>
        </patternFill>
      </fill>
      <border/>
    </dxf>
    <dxf>
      <font>
        <color rgb="FFFFFFFF"/>
      </font>
      <fill>
        <patternFill patternType="solid">
          <fgColor rgb="FF990000"/>
          <bgColor rgb="FF990000"/>
        </patternFill>
      </fill>
      <border/>
    </dxf>
    <dxf>
      <font>
        <b/>
        <strike/>
        <color rgb="FFFFFFFF"/>
      </font>
      <fill>
        <patternFill patternType="solid">
          <fgColor rgb="FF0B5394"/>
          <bgColor rgb="FF0B5394"/>
        </patternFill>
      </fill>
      <border/>
    </dxf>
    <dxf>
      <font>
        <b/>
      </font>
      <fill>
        <patternFill patternType="solid">
          <fgColor rgb="FF434343"/>
          <bgColor rgb="FF434343"/>
        </patternFill>
      </fill>
      <border/>
    </dxf>
    <dxf>
      <font>
        <b/>
      </font>
      <fill>
        <patternFill patternType="solid">
          <fgColor rgb="FF990000"/>
          <bgColor rgb="FF990000"/>
        </patternFill>
      </fill>
      <border/>
    </dxf>
    <dxf>
      <font>
        <b/>
      </font>
      <fill>
        <patternFill patternType="solid">
          <fgColor rgb="FF0B5394"/>
          <bgColor rgb="FF0B5394"/>
        </patternFill>
      </fill>
      <border/>
    </dxf>
    <dxf>
      <font>
        <b/>
        <color rgb="FFFFFFFF"/>
      </font>
      <fill>
        <patternFill patternType="solid">
          <fgColor rgb="FF434343"/>
          <bgColor rgb="FF434343"/>
        </patternFill>
      </fill>
      <border/>
    </dxf>
    <dxf>
      <font>
        <b/>
        <color rgb="FFFFFFFF"/>
      </font>
      <fill>
        <patternFill patternType="solid">
          <fgColor rgb="FF0B5394"/>
          <bgColor rgb="FF0B5394"/>
        </patternFill>
      </fill>
      <border/>
    </dxf>
  </dxfs>
  <tableStyles count="153">
    <tableStyle count="3" pivot="0" name="Team Info-style">
      <tableStyleElement dxfId="1" type="headerRow"/>
      <tableStyleElement dxfId="2" type="firstRowStripe"/>
      <tableStyleElement dxfId="3" type="secondRowStripe"/>
    </tableStyle>
    <tableStyle count="2" pivot="0" name="Daily and Weekly Call Stats-style">
      <tableStyleElement dxfId="4" type="firstRowStripe"/>
      <tableStyleElement dxfId="2" type="secondRowStripe"/>
    </tableStyle>
    <tableStyle count="2" pivot="0" name="TEAM STATS-style">
      <tableStyleElement dxfId="2" type="firstRowStripe"/>
      <tableStyleElement dxfId="4" type="secondRowStripe"/>
    </tableStyle>
    <tableStyle count="2" pivot="0" name="TEAM STATS-style 2">
      <tableStyleElement dxfId="2" type="firstRowStripe"/>
      <tableStyleElement dxfId="4" type="secondRowStripe"/>
    </tableStyle>
    <tableStyle count="2" pivot="0" name="TEAM STATS-style 3">
      <tableStyleElement dxfId="2" type="firstRowStripe"/>
      <tableStyleElement dxfId="4" type="secondRowStripe"/>
    </tableStyle>
    <tableStyle count="2" pivot="0" name="TEAM STATS-style 4">
      <tableStyleElement dxfId="2" type="firstRowStripe"/>
      <tableStyleElement dxfId="4" type="secondRowStripe"/>
    </tableStyle>
    <tableStyle count="2" pivot="0" name="TEAM STATS-style 5">
      <tableStyleElement dxfId="2" type="firstRowStripe"/>
      <tableStyleElement dxfId="4" type="secondRowStripe"/>
    </tableStyle>
    <tableStyle count="2" pivot="0" name="TEAM STATS-style 6">
      <tableStyleElement dxfId="2" type="firstRowStripe"/>
      <tableStyleElement dxfId="4" type="secondRowStripe"/>
    </tableStyle>
    <tableStyle count="2" pivot="0" name="TEAM STATS-style 7">
      <tableStyleElement dxfId="2" type="firstRowStripe"/>
      <tableStyleElement dxfId="4" type="secondRowStripe"/>
    </tableStyle>
    <tableStyle count="2" pivot="0" name="TEAM STATS-style 8">
      <tableStyleElement dxfId="2" type="firstRowStripe"/>
      <tableStyleElement dxfId="4" type="secondRowStripe"/>
    </tableStyle>
    <tableStyle count="2" pivot="0" name="TEAM STATS-style 9">
      <tableStyleElement dxfId="2" type="firstRowStripe"/>
      <tableStyleElement dxfId="4" type="secondRowStripe"/>
    </tableStyle>
    <tableStyle count="2" pivot="0" name="TEAM STATS-style 10">
      <tableStyleElement dxfId="2" type="firstRowStripe"/>
      <tableStyleElement dxfId="4" type="secondRowStripe"/>
    </tableStyle>
    <tableStyle count="2" pivot="0" name="TEAM STATS-style 11">
      <tableStyleElement dxfId="2" type="firstRowStripe"/>
      <tableStyleElement dxfId="4" type="secondRowStripe"/>
    </tableStyle>
    <tableStyle count="2" pivot="0" name="TEAM STATS-style 12">
      <tableStyleElement dxfId="2" type="firstRowStripe"/>
      <tableStyleElement dxfId="4" type="secondRowStripe"/>
    </tableStyle>
    <tableStyle count="2" pivot="0" name="TEAM STATS-style 13">
      <tableStyleElement dxfId="2" type="firstRowStripe"/>
      <tableStyleElement dxfId="4" type="secondRowStripe"/>
    </tableStyle>
    <tableStyle count="2" pivot="0" name="TEAM STATS-style 14">
      <tableStyleElement dxfId="2" type="firstRowStripe"/>
      <tableStyleElement dxfId="4" type="secondRowStripe"/>
    </tableStyle>
    <tableStyle count="2" pivot="0" name="TEAM STATS-style 15">
      <tableStyleElement dxfId="2" type="firstRowStripe"/>
      <tableStyleElement dxfId="4" type="secondRowStripe"/>
    </tableStyle>
    <tableStyle count="2" pivot="0" name="TEAM STATS-style 16">
      <tableStyleElement dxfId="2" type="firstRowStripe"/>
      <tableStyleElement dxfId="4" type="secondRowStripe"/>
    </tableStyle>
    <tableStyle count="2" pivot="0" name="TEAM STATS-style 17">
      <tableStyleElement dxfId="2" type="firstRowStripe"/>
      <tableStyleElement dxfId="4" type="secondRowStripe"/>
    </tableStyle>
    <tableStyle count="2" pivot="0" name="TEAM STATS-style 18">
      <tableStyleElement dxfId="2" type="firstRowStripe"/>
      <tableStyleElement dxfId="4" type="secondRowStripe"/>
    </tableStyle>
    <tableStyle count="2" pivot="0" name="TEAM STATS-style 19">
      <tableStyleElement dxfId="2" type="firstRowStripe"/>
      <tableStyleElement dxfId="4" type="secondRowStripe"/>
    </tableStyle>
    <tableStyle count="2" pivot="0" name="TEAM STATS-style 20">
      <tableStyleElement dxfId="2" type="firstRowStripe"/>
      <tableStyleElement dxfId="4" type="secondRowStripe"/>
    </tableStyle>
    <tableStyle count="2" pivot="0" name="TEAM STATS-style 21">
      <tableStyleElement dxfId="2" type="firstRowStripe"/>
      <tableStyleElement dxfId="4" type="secondRowStripe"/>
    </tableStyle>
    <tableStyle count="2" pivot="0" name="TEAM STATS-style 22">
      <tableStyleElement dxfId="2" type="firstRowStripe"/>
      <tableStyleElement dxfId="4" type="secondRowStripe"/>
    </tableStyle>
    <tableStyle count="2" pivot="0" name="TEAM STATS-style 23">
      <tableStyleElement dxfId="2" type="firstRowStripe"/>
      <tableStyleElement dxfId="4" type="secondRowStripe"/>
    </tableStyle>
    <tableStyle count="2" pivot="0" name="TEAM STATS-style 24">
      <tableStyleElement dxfId="2" type="firstRowStripe"/>
      <tableStyleElement dxfId="4" type="secondRowStripe"/>
    </tableStyle>
    <tableStyle count="2" pivot="0" name="TEAM STATS-style 25">
      <tableStyleElement dxfId="2" type="firstRowStripe"/>
      <tableStyleElement dxfId="4" type="secondRowStripe"/>
    </tableStyle>
    <tableStyle count="2" pivot="0" name="TEAM STATS-style 26">
      <tableStyleElement dxfId="2" type="firstRowStripe"/>
      <tableStyleElement dxfId="4" type="secondRowStripe"/>
    </tableStyle>
    <tableStyle count="2" pivot="0" name="TEAM STATS-style 27">
      <tableStyleElement dxfId="2" type="firstRowStripe"/>
      <tableStyleElement dxfId="4" type="secondRowStripe"/>
    </tableStyle>
    <tableStyle count="2" pivot="0" name="TEAM STATS-style 28">
      <tableStyleElement dxfId="2" type="firstRowStripe"/>
      <tableStyleElement dxfId="4" type="secondRowStripe"/>
    </tableStyle>
    <tableStyle count="2" pivot="0" name="TEAM STATS-style 29">
      <tableStyleElement dxfId="2" type="firstRowStripe"/>
      <tableStyleElement dxfId="4" type="secondRowStripe"/>
    </tableStyle>
    <tableStyle count="2" pivot="0" name="TEAM STATS-style 30">
      <tableStyleElement dxfId="2" type="firstRowStripe"/>
      <tableStyleElement dxfId="4" type="secondRowStripe"/>
    </tableStyle>
    <tableStyle count="2" pivot="0" name="TEAM STATS-style 31">
      <tableStyleElement dxfId="2" type="firstRowStripe"/>
      <tableStyleElement dxfId="4" type="secondRowStripe"/>
    </tableStyle>
    <tableStyle count="2" pivot="0" name="TEAM STATS-style 32">
      <tableStyleElement dxfId="2" type="firstRowStripe"/>
      <tableStyleElement dxfId="4" type="secondRowStripe"/>
    </tableStyle>
    <tableStyle count="2" pivot="0" name="TEAM STATS-style 33">
      <tableStyleElement dxfId="2" type="firstRowStripe"/>
      <tableStyleElement dxfId="4" type="secondRowStripe"/>
    </tableStyle>
    <tableStyle count="2" pivot="0" name="TEAM STATS-style 34">
      <tableStyleElement dxfId="2" type="firstRowStripe"/>
      <tableStyleElement dxfId="4" type="secondRowStripe"/>
    </tableStyle>
    <tableStyle count="2" pivot="0" name="TEAM STATS-style 35">
      <tableStyleElement dxfId="2" type="firstRowStripe"/>
      <tableStyleElement dxfId="4" type="secondRowStripe"/>
    </tableStyle>
    <tableStyle count="2" pivot="0" name="TEAM STATS-style 36">
      <tableStyleElement dxfId="2" type="firstRowStripe"/>
      <tableStyleElement dxfId="4" type="secondRowStripe"/>
    </tableStyle>
    <tableStyle count="2" pivot="0" name="TEAM STATS-style 37">
      <tableStyleElement dxfId="2" type="firstRowStripe"/>
      <tableStyleElement dxfId="4" type="secondRowStripe"/>
    </tableStyle>
    <tableStyle count="2" pivot="0" name="TEAM STATS-style 38">
      <tableStyleElement dxfId="2" type="firstRowStripe"/>
      <tableStyleElement dxfId="4" type="secondRowStripe"/>
    </tableStyle>
    <tableStyle count="2" pivot="0" name="TEAM STATS-style 39">
      <tableStyleElement dxfId="2" type="firstRowStripe"/>
      <tableStyleElement dxfId="4" type="secondRowStripe"/>
    </tableStyle>
    <tableStyle count="2" pivot="0" name="TEAM STATS-style 40">
      <tableStyleElement dxfId="2" type="firstRowStripe"/>
      <tableStyleElement dxfId="4" type="secondRowStripe"/>
    </tableStyle>
    <tableStyle count="2" pivot="0" name="TEAM STATS-style 41">
      <tableStyleElement dxfId="2" type="firstRowStripe"/>
      <tableStyleElement dxfId="4" type="secondRowStripe"/>
    </tableStyle>
    <tableStyle count="2" pivot="0" name="TEAM STATS-style 42">
      <tableStyleElement dxfId="2" type="firstRowStripe"/>
      <tableStyleElement dxfId="4" type="secondRowStripe"/>
    </tableStyle>
    <tableStyle count="2" pivot="0" name="TEAM STATS-style 43">
      <tableStyleElement dxfId="2" type="firstRowStripe"/>
      <tableStyleElement dxfId="4" type="secondRowStripe"/>
    </tableStyle>
    <tableStyle count="2" pivot="0" name="Dan-style">
      <tableStyleElement dxfId="2" type="firstRowStripe"/>
      <tableStyleElement dxfId="5" type="secondRowStripe"/>
    </tableStyle>
    <tableStyle count="2" pivot="0" name="Dan-style 2">
      <tableStyleElement dxfId="2" type="firstRowStripe"/>
      <tableStyleElement dxfId="5" type="secondRowStripe"/>
    </tableStyle>
    <tableStyle count="2" pivot="0" name="Dan-style 3">
      <tableStyleElement dxfId="2" type="firstRowStripe"/>
      <tableStyleElement dxfId="5" type="secondRowStripe"/>
    </tableStyle>
    <tableStyle count="2" pivot="0" name="Dan-style 4">
      <tableStyleElement dxfId="2" type="firstRowStripe"/>
      <tableStyleElement dxfId="5" type="secondRowStripe"/>
    </tableStyle>
    <tableStyle count="2" pivot="0" name="Dan-style 5">
      <tableStyleElement dxfId="2" type="firstRowStripe"/>
      <tableStyleElement dxfId="5" type="secondRowStripe"/>
    </tableStyle>
    <tableStyle count="2" pivot="0" name="Dan-style 6">
      <tableStyleElement dxfId="2" type="firstRowStripe"/>
      <tableStyleElement dxfId="5" type="secondRowStripe"/>
    </tableStyle>
    <tableStyle count="2" pivot="0" name="Dan-style 7">
      <tableStyleElement dxfId="2" type="firstRowStripe"/>
      <tableStyleElement dxfId="5" type="secondRowStripe"/>
    </tableStyle>
    <tableStyle count="2" pivot="0" name="Dan-style 8">
      <tableStyleElement dxfId="2" type="firstRowStripe"/>
      <tableStyleElement dxfId="5" type="secondRowStripe"/>
    </tableStyle>
    <tableStyle count="2" pivot="0" name="Dan-style 9">
      <tableStyleElement dxfId="2" type="firstRowStripe"/>
      <tableStyleElement dxfId="5" type="secondRowStripe"/>
    </tableStyle>
    <tableStyle count="2" pivot="0" name="Dan-style 10">
      <tableStyleElement dxfId="2" type="firstRowStripe"/>
      <tableStyleElement dxfId="5" type="secondRowStripe"/>
    </tableStyle>
    <tableStyle count="2" pivot="0" name="Dan-style 11">
      <tableStyleElement dxfId="2" type="firstRowStripe"/>
      <tableStyleElement dxfId="5" type="secondRowStripe"/>
    </tableStyle>
    <tableStyle count="2" pivot="0" name="Dan-style 12">
      <tableStyleElement dxfId="2" type="firstRowStripe"/>
      <tableStyleElement dxfId="5" type="secondRowStripe"/>
    </tableStyle>
    <tableStyle count="2" pivot="0" name="Dan-style 13">
      <tableStyleElement dxfId="2" type="firstRowStripe"/>
      <tableStyleElement dxfId="5" type="secondRowStripe"/>
    </tableStyle>
    <tableStyle count="2" pivot="0" name="Dan-style 14">
      <tableStyleElement dxfId="2" type="firstRowStripe"/>
      <tableStyleElement dxfId="5" type="secondRowStripe"/>
    </tableStyle>
    <tableStyle count="2" pivot="0" name="Dan-style 15">
      <tableStyleElement dxfId="2" type="firstRowStripe"/>
      <tableStyleElement dxfId="5" type="secondRowStripe"/>
    </tableStyle>
    <tableStyle count="2" pivot="0" name="Dan-style 16">
      <tableStyleElement dxfId="2" type="firstRowStripe"/>
      <tableStyleElement dxfId="5" type="secondRowStripe"/>
    </tableStyle>
    <tableStyle count="2" pivot="0" name="Dan-style 17">
      <tableStyleElement dxfId="2" type="firstRowStripe"/>
      <tableStyleElement dxfId="5" type="secondRowStripe"/>
    </tableStyle>
    <tableStyle count="2" pivot="0" name="Dan-style 18">
      <tableStyleElement dxfId="2" type="firstRowStripe"/>
      <tableStyleElement dxfId="5" type="secondRowStripe"/>
    </tableStyle>
    <tableStyle count="2" pivot="0" name="Dan-style 19">
      <tableStyleElement dxfId="2" type="firstRowStripe"/>
      <tableStyleElement dxfId="5" type="secondRowStripe"/>
    </tableStyle>
    <tableStyle count="2" pivot="0" name="Dan-style 20">
      <tableStyleElement dxfId="2" type="firstRowStripe"/>
      <tableStyleElement dxfId="5" type="secondRowStripe"/>
    </tableStyle>
    <tableStyle count="2" pivot="0" name="Dan-style 21">
      <tableStyleElement dxfId="2" type="firstRowStripe"/>
      <tableStyleElement dxfId="5" type="secondRowStripe"/>
    </tableStyle>
    <tableStyle count="2" pivot="0" name="Dan-style 22">
      <tableStyleElement dxfId="2" type="firstRowStripe"/>
      <tableStyleElement dxfId="5" type="secondRowStripe"/>
    </tableStyle>
    <tableStyle count="2" pivot="0" name="Godwin-style">
      <tableStyleElement dxfId="2" type="firstRowStripe"/>
      <tableStyleElement dxfId="5" type="secondRowStripe"/>
    </tableStyle>
    <tableStyle count="2" pivot="0" name="Godwin-style 2">
      <tableStyleElement dxfId="2" type="firstRowStripe"/>
      <tableStyleElement dxfId="5" type="secondRowStripe"/>
    </tableStyle>
    <tableStyle count="2" pivot="0" name="Godwin-style 3">
      <tableStyleElement dxfId="2" type="firstRowStripe"/>
      <tableStyleElement dxfId="5" type="secondRowStripe"/>
    </tableStyle>
    <tableStyle count="2" pivot="0" name="Godwin-style 4">
      <tableStyleElement dxfId="2" type="firstRowStripe"/>
      <tableStyleElement dxfId="5" type="secondRowStripe"/>
    </tableStyle>
    <tableStyle count="2" pivot="0" name="Godwin-style 5">
      <tableStyleElement dxfId="2" type="firstRowStripe"/>
      <tableStyleElement dxfId="5" type="secondRowStripe"/>
    </tableStyle>
    <tableStyle count="2" pivot="0" name="Godwin-style 6">
      <tableStyleElement dxfId="2" type="firstRowStripe"/>
      <tableStyleElement dxfId="5" type="secondRowStripe"/>
    </tableStyle>
    <tableStyle count="2" pivot="0" name="Godwin-style 7">
      <tableStyleElement dxfId="2" type="firstRowStripe"/>
      <tableStyleElement dxfId="5" type="secondRowStripe"/>
    </tableStyle>
    <tableStyle count="2" pivot="0" name="Godwin-style 8">
      <tableStyleElement dxfId="2" type="firstRowStripe"/>
      <tableStyleElement dxfId="5" type="secondRowStripe"/>
    </tableStyle>
    <tableStyle count="2" pivot="0" name="Godwin-style 9">
      <tableStyleElement dxfId="2" type="firstRowStripe"/>
      <tableStyleElement dxfId="5" type="secondRowStripe"/>
    </tableStyle>
    <tableStyle count="2" pivot="0" name="Godwin-style 10">
      <tableStyleElement dxfId="2" type="firstRowStripe"/>
      <tableStyleElement dxfId="5" type="secondRowStripe"/>
    </tableStyle>
    <tableStyle count="2" pivot="0" name="Godwin-style 11">
      <tableStyleElement dxfId="2" type="firstRowStripe"/>
      <tableStyleElement dxfId="5" type="secondRowStripe"/>
    </tableStyle>
    <tableStyle count="2" pivot="0" name="Godwin-style 12">
      <tableStyleElement dxfId="2" type="firstRowStripe"/>
      <tableStyleElement dxfId="5" type="secondRowStripe"/>
    </tableStyle>
    <tableStyle count="2" pivot="0" name="Godwin-style 13">
      <tableStyleElement dxfId="2" type="firstRowStripe"/>
      <tableStyleElement dxfId="5" type="secondRowStripe"/>
    </tableStyle>
    <tableStyle count="2" pivot="0" name="Godwin-style 14">
      <tableStyleElement dxfId="2" type="firstRowStripe"/>
      <tableStyleElement dxfId="5" type="secondRowStripe"/>
    </tableStyle>
    <tableStyle count="2" pivot="0" name="Godwin-style 15">
      <tableStyleElement dxfId="2" type="firstRowStripe"/>
      <tableStyleElement dxfId="5" type="secondRowStripe"/>
    </tableStyle>
    <tableStyle count="2" pivot="0" name="Godwin-style 16">
      <tableStyleElement dxfId="2" type="firstRowStripe"/>
      <tableStyleElement dxfId="5" type="secondRowStripe"/>
    </tableStyle>
    <tableStyle count="2" pivot="0" name="Godwin-style 17">
      <tableStyleElement dxfId="2" type="firstRowStripe"/>
      <tableStyleElement dxfId="5" type="secondRowStripe"/>
    </tableStyle>
    <tableStyle count="2" pivot="0" name="Godwin-style 18">
      <tableStyleElement dxfId="2" type="firstRowStripe"/>
      <tableStyleElement dxfId="5" type="secondRowStripe"/>
    </tableStyle>
    <tableStyle count="2" pivot="0" name="Godwin-style 19">
      <tableStyleElement dxfId="2" type="firstRowStripe"/>
      <tableStyleElement dxfId="5" type="secondRowStripe"/>
    </tableStyle>
    <tableStyle count="2" pivot="0" name="Godwin-style 20">
      <tableStyleElement dxfId="2" type="firstRowStripe"/>
      <tableStyleElement dxfId="5" type="secondRowStripe"/>
    </tableStyle>
    <tableStyle count="2" pivot="0" name="Godwin-style 21">
      <tableStyleElement dxfId="2" type="firstRowStripe"/>
      <tableStyleElement dxfId="5" type="secondRowStripe"/>
    </tableStyle>
    <tableStyle count="2" pivot="0" name="Godwin-style 22">
      <tableStyleElement dxfId="2" type="firstRowStripe"/>
      <tableStyleElement dxfId="5" type="secondRowStripe"/>
    </tableStyle>
    <tableStyle count="2" pivot="0" name="Candy-style">
      <tableStyleElement dxfId="2" type="firstRowStripe"/>
      <tableStyleElement dxfId="5" type="secondRowStripe"/>
    </tableStyle>
    <tableStyle count="2" pivot="0" name="Candy-style 2">
      <tableStyleElement dxfId="2" type="firstRowStripe"/>
      <tableStyleElement dxfId="5" type="secondRowStripe"/>
    </tableStyle>
    <tableStyle count="2" pivot="0" name="Candy-style 3">
      <tableStyleElement dxfId="2" type="firstRowStripe"/>
      <tableStyleElement dxfId="5" type="secondRowStripe"/>
    </tableStyle>
    <tableStyle count="2" pivot="0" name="Candy-style 4">
      <tableStyleElement dxfId="2" type="firstRowStripe"/>
      <tableStyleElement dxfId="5" type="secondRowStripe"/>
    </tableStyle>
    <tableStyle count="2" pivot="0" name="Candy-style 5">
      <tableStyleElement dxfId="2" type="firstRowStripe"/>
      <tableStyleElement dxfId="5" type="secondRowStripe"/>
    </tableStyle>
    <tableStyle count="2" pivot="0" name="Candy-style 6">
      <tableStyleElement dxfId="2" type="firstRowStripe"/>
      <tableStyleElement dxfId="5" type="secondRowStripe"/>
    </tableStyle>
    <tableStyle count="2" pivot="0" name="Candy-style 7">
      <tableStyleElement dxfId="2" type="firstRowStripe"/>
      <tableStyleElement dxfId="5" type="secondRowStripe"/>
    </tableStyle>
    <tableStyle count="2" pivot="0" name="Candy-style 8">
      <tableStyleElement dxfId="2" type="firstRowStripe"/>
      <tableStyleElement dxfId="5" type="secondRowStripe"/>
    </tableStyle>
    <tableStyle count="2" pivot="0" name="Candy-style 9">
      <tableStyleElement dxfId="2" type="firstRowStripe"/>
      <tableStyleElement dxfId="5" type="secondRowStripe"/>
    </tableStyle>
    <tableStyle count="2" pivot="0" name="Candy-style 10">
      <tableStyleElement dxfId="2" type="firstRowStripe"/>
      <tableStyleElement dxfId="5" type="secondRowStripe"/>
    </tableStyle>
    <tableStyle count="2" pivot="0" name="Candy-style 11">
      <tableStyleElement dxfId="2" type="firstRowStripe"/>
      <tableStyleElement dxfId="5" type="secondRowStripe"/>
    </tableStyle>
    <tableStyle count="2" pivot="0" name="Candy-style 12">
      <tableStyleElement dxfId="2" type="firstRowStripe"/>
      <tableStyleElement dxfId="5" type="secondRowStripe"/>
    </tableStyle>
    <tableStyle count="2" pivot="0" name="Candy-style 13">
      <tableStyleElement dxfId="2" type="firstRowStripe"/>
      <tableStyleElement dxfId="5" type="secondRowStripe"/>
    </tableStyle>
    <tableStyle count="2" pivot="0" name="Candy-style 14">
      <tableStyleElement dxfId="2" type="firstRowStripe"/>
      <tableStyleElement dxfId="5" type="secondRowStripe"/>
    </tableStyle>
    <tableStyle count="2" pivot="0" name="Candy-style 15">
      <tableStyleElement dxfId="2" type="firstRowStripe"/>
      <tableStyleElement dxfId="5" type="secondRowStripe"/>
    </tableStyle>
    <tableStyle count="2" pivot="0" name="Claudette-style">
      <tableStyleElement dxfId="2" type="firstRowStripe"/>
      <tableStyleElement dxfId="5" type="secondRowStripe"/>
    </tableStyle>
    <tableStyle count="2" pivot="0" name="Claudette-style 2">
      <tableStyleElement dxfId="2" type="firstRowStripe"/>
      <tableStyleElement dxfId="5" type="secondRowStripe"/>
    </tableStyle>
    <tableStyle count="2" pivot="0" name="Claudette-style 3">
      <tableStyleElement dxfId="2" type="firstRowStripe"/>
      <tableStyleElement dxfId="5" type="secondRowStripe"/>
    </tableStyle>
    <tableStyle count="2" pivot="0" name="Claudette-style 4">
      <tableStyleElement dxfId="2" type="firstRowStripe"/>
      <tableStyleElement dxfId="5" type="secondRowStripe"/>
    </tableStyle>
    <tableStyle count="2" pivot="0" name="Claudette-style 5">
      <tableStyleElement dxfId="2" type="firstRowStripe"/>
      <tableStyleElement dxfId="5" type="secondRowStripe"/>
    </tableStyle>
    <tableStyle count="2" pivot="0" name="Claudette-style 6">
      <tableStyleElement dxfId="2" type="firstRowStripe"/>
      <tableStyleElement dxfId="5" type="secondRowStripe"/>
    </tableStyle>
    <tableStyle count="2" pivot="0" name="Claudette-style 7">
      <tableStyleElement dxfId="2" type="firstRowStripe"/>
      <tableStyleElement dxfId="5" type="secondRowStripe"/>
    </tableStyle>
    <tableStyle count="2" pivot="0" name="Claudette-style 8">
      <tableStyleElement dxfId="2" type="firstRowStripe"/>
      <tableStyleElement dxfId="5" type="secondRowStripe"/>
    </tableStyle>
    <tableStyle count="2" pivot="0" name="Claudette-style 9">
      <tableStyleElement dxfId="2" type="firstRowStripe"/>
      <tableStyleElement dxfId="5" type="secondRowStripe"/>
    </tableStyle>
    <tableStyle count="2" pivot="0" name="Claudette-style 10">
      <tableStyleElement dxfId="2" type="firstRowStripe"/>
      <tableStyleElement dxfId="5" type="secondRowStripe"/>
    </tableStyle>
    <tableStyle count="2" pivot="0" name="Claudette-style 11">
      <tableStyleElement dxfId="2" type="firstRowStripe"/>
      <tableStyleElement dxfId="5" type="secondRowStripe"/>
    </tableStyle>
    <tableStyle count="2" pivot="0" name="Claudette-style 12">
      <tableStyleElement dxfId="2" type="firstRowStripe"/>
      <tableStyleElement dxfId="5" type="secondRowStripe"/>
    </tableStyle>
    <tableStyle count="2" pivot="0" name="Claudette-style 13">
      <tableStyleElement dxfId="2" type="firstRowStripe"/>
      <tableStyleElement dxfId="5" type="secondRowStripe"/>
    </tableStyle>
    <tableStyle count="2" pivot="0" name="Claudette-style 14">
      <tableStyleElement dxfId="2" type="firstRowStripe"/>
      <tableStyleElement dxfId="5" type="secondRowStripe"/>
    </tableStyle>
    <tableStyle count="2" pivot="0" name="Claudette-style 15">
      <tableStyleElement dxfId="2" type="firstRowStripe"/>
      <tableStyleElement dxfId="5" type="secondRowStripe"/>
    </tableStyle>
    <tableStyle count="2" pivot="0" name="Claudette-style 16">
      <tableStyleElement dxfId="2" type="firstRowStripe"/>
      <tableStyleElement dxfId="5" type="secondRowStripe"/>
    </tableStyle>
    <tableStyle count="2" pivot="0" name="Claudette-style 17">
      <tableStyleElement dxfId="2" type="firstRowStripe"/>
      <tableStyleElement dxfId="5" type="secondRowStripe"/>
    </tableStyle>
    <tableStyle count="2" pivot="0" name="Claudette-style 18">
      <tableStyleElement dxfId="2" type="firstRowStripe"/>
      <tableStyleElement dxfId="5" type="secondRowStripe"/>
    </tableStyle>
    <tableStyle count="2" pivot="0" name="Claudette-style 19">
      <tableStyleElement dxfId="2" type="firstRowStripe"/>
      <tableStyleElement dxfId="5" type="secondRowStripe"/>
    </tableStyle>
    <tableStyle count="2" pivot="0" name="Claudette-style 20">
      <tableStyleElement dxfId="2" type="firstRowStripe"/>
      <tableStyleElement dxfId="5" type="secondRowStripe"/>
    </tableStyle>
    <tableStyle count="2" pivot="0" name="Claudette-style 21">
      <tableStyleElement dxfId="2" type="firstRowStripe"/>
      <tableStyleElement dxfId="5" type="secondRowStripe"/>
    </tableStyle>
    <tableStyle count="2" pivot="0" name="Claudette-style 22">
      <tableStyleElement dxfId="2" type="firstRowStripe"/>
      <tableStyleElement dxfId="5" type="secondRowStripe"/>
    </tableStyle>
    <tableStyle count="2" pivot="0" name="Sofhia-style">
      <tableStyleElement dxfId="2" type="firstRowStripe"/>
      <tableStyleElement dxfId="5" type="secondRowStripe"/>
    </tableStyle>
    <tableStyle count="2" pivot="0" name="Sofhia-style 2">
      <tableStyleElement dxfId="2" type="firstRowStripe"/>
      <tableStyleElement dxfId="5" type="secondRowStripe"/>
    </tableStyle>
    <tableStyle count="2" pivot="0" name="Sofhia-style 3">
      <tableStyleElement dxfId="2" type="firstRowStripe"/>
      <tableStyleElement dxfId="5" type="secondRowStripe"/>
    </tableStyle>
    <tableStyle count="2" pivot="0" name="Sofhia-style 4">
      <tableStyleElement dxfId="2" type="firstRowStripe"/>
      <tableStyleElement dxfId="5" type="secondRowStripe"/>
    </tableStyle>
    <tableStyle count="2" pivot="0" name="Sofhia-style 5">
      <tableStyleElement dxfId="2" type="firstRowStripe"/>
      <tableStyleElement dxfId="5" type="secondRowStripe"/>
    </tableStyle>
    <tableStyle count="2" pivot="0" name="Sofhia-style 6">
      <tableStyleElement dxfId="2" type="firstRowStripe"/>
      <tableStyleElement dxfId="5" type="secondRowStripe"/>
    </tableStyle>
    <tableStyle count="2" pivot="0" name="Sofhia-style 7">
      <tableStyleElement dxfId="2" type="firstRowStripe"/>
      <tableStyleElement dxfId="5" type="secondRowStripe"/>
    </tableStyle>
    <tableStyle count="2" pivot="0" name="Sofhia-style 8">
      <tableStyleElement dxfId="2" type="firstRowStripe"/>
      <tableStyleElement dxfId="5" type="secondRowStripe"/>
    </tableStyle>
    <tableStyle count="2" pivot="0" name="Sofhia-style 9">
      <tableStyleElement dxfId="2" type="firstRowStripe"/>
      <tableStyleElement dxfId="5" type="secondRowStripe"/>
    </tableStyle>
    <tableStyle count="2" pivot="0" name="Sofhia-style 10">
      <tableStyleElement dxfId="2" type="firstRowStripe"/>
      <tableStyleElement dxfId="5" type="secondRowStripe"/>
    </tableStyle>
    <tableStyle count="2" pivot="0" name="Sofhia-style 11">
      <tableStyleElement dxfId="2" type="firstRowStripe"/>
      <tableStyleElement dxfId="5" type="secondRowStripe"/>
    </tableStyle>
    <tableStyle count="2" pivot="0" name="Sofhia-style 12">
      <tableStyleElement dxfId="2" type="firstRowStripe"/>
      <tableStyleElement dxfId="5" type="secondRowStripe"/>
    </tableStyle>
    <tableStyle count="2" pivot="0" name="Sofhia-style 13">
      <tableStyleElement dxfId="2" type="firstRowStripe"/>
      <tableStyleElement dxfId="5" type="secondRowStripe"/>
    </tableStyle>
    <tableStyle count="2" pivot="0" name="Sofhia-style 14">
      <tableStyleElement dxfId="2" type="firstRowStripe"/>
      <tableStyleElement dxfId="5" type="secondRowStripe"/>
    </tableStyle>
    <tableStyle count="2" pivot="0" name="Sofhia-style 15">
      <tableStyleElement dxfId="2" type="firstRowStripe"/>
      <tableStyleElement dxfId="5" type="secondRowStripe"/>
    </tableStyle>
    <tableStyle count="2" pivot="0" name="Sofhia-style 16">
      <tableStyleElement dxfId="2" type="firstRowStripe"/>
      <tableStyleElement dxfId="5" type="secondRowStripe"/>
    </tableStyle>
    <tableStyle count="2" pivot="0" name="Sofhia-style 17">
      <tableStyleElement dxfId="2" type="firstRowStripe"/>
      <tableStyleElement dxfId="5" type="secondRowStripe"/>
    </tableStyle>
    <tableStyle count="2" pivot="0" name="Sofhia-style 18">
      <tableStyleElement dxfId="2" type="firstRowStripe"/>
      <tableStyleElement dxfId="5" type="secondRowStripe"/>
    </tableStyle>
    <tableStyle count="2" pivot="0" name="Sofhia-style 19">
      <tableStyleElement dxfId="2" type="firstRowStripe"/>
      <tableStyleElement dxfId="5" type="secondRowStripe"/>
    </tableStyle>
    <tableStyle count="2" pivot="0" name="Sofhia-style 20">
      <tableStyleElement dxfId="2" type="firstRowStripe"/>
      <tableStyleElement dxfId="5" type="secondRowStripe"/>
    </tableStyle>
    <tableStyle count="2" pivot="0" name="Sofhia-style 21">
      <tableStyleElement dxfId="2" type="firstRowStripe"/>
      <tableStyleElement dxfId="5" type="secondRowStripe"/>
    </tableStyle>
    <tableStyle count="2" pivot="0" name="Sofhia-style 22">
      <tableStyleElement dxfId="2" type="firstRowStripe"/>
      <tableStyleElement dxfId="5" type="secondRowStripe"/>
    </tableStyle>
    <tableStyle count="2" pivot="0" name="Cherry-style">
      <tableStyleElement dxfId="2" type="firstRowStripe"/>
      <tableStyleElement dxfId="5" type="secondRowStripe"/>
    </tableStyle>
    <tableStyle count="2" pivot="0" name="Lyra-style">
      <tableStyleElement dxfId="5" type="firstRowStripe"/>
      <tableStyleElement dxfId="2" type="secondRowStripe"/>
    </tableStyle>
    <tableStyle count="2" pivot="0" name="Mikka-style">
      <tableStyleElement dxfId="5" type="firstRowStripe"/>
      <tableStyleElement dxfId="2" type="secondRowStripe"/>
    </tableStyle>
    <tableStyle count="2" pivot="0" name="Mikka-style 2">
      <tableStyleElement dxfId="5" type="firstRowStripe"/>
      <tableStyleElement dxfId="2" type="secondRowStripe"/>
    </tableStyle>
    <tableStyle count="2" pivot="0" name="MONTHLY SCORECARD-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 displayName="Table_1" name="Table_1" id="1">
  <tableColumns count="10">
    <tableColumn name="Agent Name" id="1"/>
    <tableColumn name="Email Address" id="2"/>
    <tableColumn name="Contact Number" id="3"/>
    <tableColumn name="Birthday" id="4"/>
    <tableColumn name="Home Address" id="5"/>
    <tableColumn name="Baranggay" id="6"/>
    <tableColumn name="Municipality" id="7"/>
    <tableColumn name="Province" id="8"/>
    <tableColumn name="Zip Code" id="9"/>
    <tableColumn name="Landmark" id="10"/>
  </tableColumns>
  <tableStyleInfo name="Team Info-style" showColumnStripes="0" showFirstColumn="1" showLastColumn="1" showRowStripes="1"/>
</table>
</file>

<file path=xl/tables/table2.xml><?xml version="1.0" encoding="utf-8"?>
<table xmlns="http://schemas.openxmlformats.org/spreadsheetml/2006/main" headerRowCount="0" ref="A6:L12"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showColumnStripes="0" showFirstColumn="1" showLastColumn="1" showRowStripes="1"/>
</table>
</file>

<file path=xl/tables/table3.xml><?xml version="1.0" encoding="utf-8"?>
<table xmlns="http://schemas.openxmlformats.org/spreadsheetml/2006/main" headerRowCount="0" ref="A17:A24" displayName="Table_4" name="Table_4" id="4">
  <tableColumns count="1">
    <tableColumn name="Column1" id="1"/>
  </tableColumns>
  <tableStyleInfo name="TEAM STATS-style 2" showColumnStripes="0" showFirstColumn="1" showLastColumn="1" showRowStripes="1"/>
</table>
</file>

<file path=xl/tables/table4.xml><?xml version="1.0" encoding="utf-8"?>
<table xmlns="http://schemas.openxmlformats.org/spreadsheetml/2006/main" headerRowCount="0" ref="B17:H24"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TEAM STATS-style 3" showColumnStripes="0" showFirstColumn="1" showLastColumn="1" showRowStripes="1"/>
</table>
</file>

<file path=xl/tables/table5.xml><?xml version="1.0" encoding="utf-8"?>
<table xmlns="http://schemas.openxmlformats.org/spreadsheetml/2006/main" headerRowCount="0" ref="D48:J48"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TEAM STATS-style 4" showColumnStripes="0" showFirstColumn="1" showLastColumn="1" showRowStripes="1"/>
</table>
</file>

<file path=xl/tables/table6.xml><?xml version="1.0" encoding="utf-8"?>
<table xmlns="http://schemas.openxmlformats.org/spreadsheetml/2006/main" headerRowCount="0" ref="A50:L57" displayName="Table_7" name="Table_7"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5" showColumnStripes="0" showFirstColumn="1" showLastColumn="1" showRowStripes="1"/>
</table>
</file>

<file path=xl/tables/table7.xml><?xml version="1.0" encoding="utf-8"?>
<table xmlns="http://schemas.openxmlformats.org/spreadsheetml/2006/main" headerRowCount="0" ref="A62:A69" displayName="Table_8" name="Table_8" id="8">
  <tableColumns count="1">
    <tableColumn name="Column1" id="1"/>
  </tableColumns>
  <tableStyleInfo name="TEAM STATS-style 6" showColumnStripes="0" showFirstColumn="1" showLastColumn="1" showRowStripes="1"/>
</table>
</file>

<file path=xl/tables/table8.xml><?xml version="1.0" encoding="utf-8"?>
<table xmlns="http://schemas.openxmlformats.org/spreadsheetml/2006/main" headerRowCount="0" ref="B62:H69"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TEAM STATS-style 7" showColumnStripes="0" showFirstColumn="1" showLastColumn="1" showRowStripes="1"/>
</table>
</file>

<file path=xl/tables/table9.xml><?xml version="1.0" encoding="utf-8"?>
<table xmlns="http://schemas.openxmlformats.org/spreadsheetml/2006/main" headerRowCount="0" ref="D97:J97"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TEAM STATS-style 8" showColumnStripes="0" showFirstColumn="1" showLastColumn="1" showRowStripes="1"/>
</table>
</file>

<file path=xl/tables/table10.xml><?xml version="1.0" encoding="utf-8"?>
<table xmlns="http://schemas.openxmlformats.org/spreadsheetml/2006/main" headerRowCount="0" ref="A99:L106" displayName="Table_11" name="Table_11" id="1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9" showColumnStripes="0" showFirstColumn="1" showLastColumn="1" showRowStripes="1"/>
</table>
</file>

<file path=xl/tables/table11.xml><?xml version="1.0" encoding="utf-8"?>
<table xmlns="http://schemas.openxmlformats.org/spreadsheetml/2006/main" headerRowCount="0" ref="A111:A118" displayName="Table_12" name="Table_12" id="12">
  <tableColumns count="1">
    <tableColumn name="Column1" id="1"/>
  </tableColumns>
  <tableStyleInfo name="TEAM STATS-style 10" showColumnStripes="0" showFirstColumn="1" showLastColumn="1" showRowStripes="1"/>
</table>
</file>

<file path=xl/tables/table12.xml><?xml version="1.0" encoding="utf-8"?>
<table xmlns="http://schemas.openxmlformats.org/spreadsheetml/2006/main" headerRowCount="0" ref="B111:H118"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TEAM STATS-style 11" showColumnStripes="0" showFirstColumn="1" showLastColumn="1" showRowStripes="1"/>
</table>
</file>

<file path=xl/tables/table13.xml><?xml version="1.0" encoding="utf-8"?>
<table xmlns="http://schemas.openxmlformats.org/spreadsheetml/2006/main" headerRowCount="0" ref="D145:J145"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TEAM STATS-style 12" showColumnStripes="0" showFirstColumn="1" showLastColumn="1" showRowStripes="1"/>
</table>
</file>

<file path=xl/tables/table14.xml><?xml version="1.0" encoding="utf-8"?>
<table xmlns="http://schemas.openxmlformats.org/spreadsheetml/2006/main" headerRowCount="0" ref="A147:L153" displayName="Table_15" name="Table_15" id="1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13" showColumnStripes="0" showFirstColumn="1" showLastColumn="1" showRowStripes="1"/>
</table>
</file>

<file path=xl/tables/table15.xml><?xml version="1.0" encoding="utf-8"?>
<table xmlns="http://schemas.openxmlformats.org/spreadsheetml/2006/main" headerRowCount="0" ref="A158:A164" displayName="Table_16" name="Table_16" id="16">
  <tableColumns count="1">
    <tableColumn name="Column1" id="1"/>
  </tableColumns>
  <tableStyleInfo name="TEAM STATS-style 14" showColumnStripes="0" showFirstColumn="1" showLastColumn="1" showRowStripes="1"/>
</table>
</file>

<file path=xl/tables/table16.xml><?xml version="1.0" encoding="utf-8"?>
<table xmlns="http://schemas.openxmlformats.org/spreadsheetml/2006/main" headerRowCount="0" ref="B158:H164" displayName="Table_17" name="Table_17" id="17">
  <tableColumns count="7">
    <tableColumn name="Column1" id="1"/>
    <tableColumn name="Column2" id="2"/>
    <tableColumn name="Column3" id="3"/>
    <tableColumn name="Column4" id="4"/>
    <tableColumn name="Column5" id="5"/>
    <tableColumn name="Column6" id="6"/>
    <tableColumn name="Column7" id="7"/>
  </tableColumns>
  <tableStyleInfo name="TEAM STATS-style 15" showColumnStripes="0" showFirstColumn="1" showLastColumn="1" showRowStripes="1"/>
</table>
</file>

<file path=xl/tables/table17.xml><?xml version="1.0" encoding="utf-8"?>
<table xmlns="http://schemas.openxmlformats.org/spreadsheetml/2006/main" headerRowCount="0" ref="D192:J192" displayName="Table_18" name="Table_18" id="18">
  <tableColumns count="7">
    <tableColumn name="Column1" id="1"/>
    <tableColumn name="Column2" id="2"/>
    <tableColumn name="Column3" id="3"/>
    <tableColumn name="Column4" id="4"/>
    <tableColumn name="Column5" id="5"/>
    <tableColumn name="Column6" id="6"/>
    <tableColumn name="Column7" id="7"/>
  </tableColumns>
  <tableStyleInfo name="TEAM STATS-style 16" showColumnStripes="0" showFirstColumn="1" showLastColumn="1" showRowStripes="1"/>
</table>
</file>

<file path=xl/tables/table18.xml><?xml version="1.0" encoding="utf-8"?>
<table xmlns="http://schemas.openxmlformats.org/spreadsheetml/2006/main" headerRowCount="0" ref="A194:L201" displayName="Table_19" name="Table_19" id="1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17" showColumnStripes="0" showFirstColumn="1" showLastColumn="1" showRowStripes="1"/>
</table>
</file>

<file path=xl/tables/table19.xml><?xml version="1.0" encoding="utf-8"?>
<table xmlns="http://schemas.openxmlformats.org/spreadsheetml/2006/main" headerRowCount="0" ref="A206:A213" displayName="Table_20" name="Table_20" id="20">
  <tableColumns count="1">
    <tableColumn name="Column1" id="1"/>
  </tableColumns>
  <tableStyleInfo name="TEAM STATS-style 18" showColumnStripes="0" showFirstColumn="1" showLastColumn="1" showRowStripes="1"/>
</table>
</file>

<file path=xl/tables/table20.xml><?xml version="1.0" encoding="utf-8"?>
<table xmlns="http://schemas.openxmlformats.org/spreadsheetml/2006/main" headerRowCount="0" ref="B206:H213" displayName="Table_21" name="Table_21" id="21">
  <tableColumns count="7">
    <tableColumn name="Column1" id="1"/>
    <tableColumn name="Column2" id="2"/>
    <tableColumn name="Column3" id="3"/>
    <tableColumn name="Column4" id="4"/>
    <tableColumn name="Column5" id="5"/>
    <tableColumn name="Column6" id="6"/>
    <tableColumn name="Column7" id="7"/>
  </tableColumns>
  <tableStyleInfo name="TEAM STATS-style 19" showColumnStripes="0" showFirstColumn="1" showLastColumn="1" showRowStripes="1"/>
</table>
</file>

<file path=xl/tables/table21.xml><?xml version="1.0" encoding="utf-8"?>
<table xmlns="http://schemas.openxmlformats.org/spreadsheetml/2006/main" headerRowCount="0" ref="D240:J240" displayName="Table_22" name="Table_22" id="22">
  <tableColumns count="7">
    <tableColumn name="Column1" id="1"/>
    <tableColumn name="Column2" id="2"/>
    <tableColumn name="Column3" id="3"/>
    <tableColumn name="Column4" id="4"/>
    <tableColumn name="Column5" id="5"/>
    <tableColumn name="Column6" id="6"/>
    <tableColumn name="Column7" id="7"/>
  </tableColumns>
  <tableStyleInfo name="TEAM STATS-style 20" showColumnStripes="0" showFirstColumn="1" showLastColumn="1" showRowStripes="1"/>
</table>
</file>

<file path=xl/tables/table22.xml><?xml version="1.0" encoding="utf-8"?>
<table xmlns="http://schemas.openxmlformats.org/spreadsheetml/2006/main" headerRowCount="0" ref="A242:L249" displayName="Table_23" name="Table_23" id="2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1" showColumnStripes="0" showFirstColumn="1" showLastColumn="1" showRowStripes="1"/>
</table>
</file>

<file path=xl/tables/table23.xml><?xml version="1.0" encoding="utf-8"?>
<table xmlns="http://schemas.openxmlformats.org/spreadsheetml/2006/main" headerRowCount="0" ref="A254:A261" displayName="Table_24" name="Table_24" id="24">
  <tableColumns count="1">
    <tableColumn name="Column1" id="1"/>
  </tableColumns>
  <tableStyleInfo name="TEAM STATS-style 22" showColumnStripes="0" showFirstColumn="1" showLastColumn="1" showRowStripes="1"/>
</table>
</file>

<file path=xl/tables/table24.xml><?xml version="1.0" encoding="utf-8"?>
<table xmlns="http://schemas.openxmlformats.org/spreadsheetml/2006/main" headerRowCount="0" ref="B254:H261" displayName="Table_25" name="Table_25" id="25">
  <tableColumns count="7">
    <tableColumn name="Column1" id="1"/>
    <tableColumn name="Column2" id="2"/>
    <tableColumn name="Column3" id="3"/>
    <tableColumn name="Column4" id="4"/>
    <tableColumn name="Column5" id="5"/>
    <tableColumn name="Column6" id="6"/>
    <tableColumn name="Column7" id="7"/>
  </tableColumns>
  <tableStyleInfo name="TEAM STATS-style 23" showColumnStripes="0" showFirstColumn="1" showLastColumn="1" showRowStripes="1"/>
</table>
</file>

<file path=xl/tables/table25.xml><?xml version="1.0" encoding="utf-8"?>
<table xmlns="http://schemas.openxmlformats.org/spreadsheetml/2006/main" headerRowCount="0" ref="D288:J288" displayName="Table_26" name="Table_26" id="26">
  <tableColumns count="7">
    <tableColumn name="Column1" id="1"/>
    <tableColumn name="Column2" id="2"/>
    <tableColumn name="Column3" id="3"/>
    <tableColumn name="Column4" id="4"/>
    <tableColumn name="Column5" id="5"/>
    <tableColumn name="Column6" id="6"/>
    <tableColumn name="Column7" id="7"/>
  </tableColumns>
  <tableStyleInfo name="TEAM STATS-style 24" showColumnStripes="0" showFirstColumn="1" showLastColumn="1" showRowStripes="1"/>
</table>
</file>

<file path=xl/tables/table26.xml><?xml version="1.0" encoding="utf-8"?>
<table xmlns="http://schemas.openxmlformats.org/spreadsheetml/2006/main" headerRowCount="0" ref="A290:L297" displayName="Table_27" name="Table_27" id="2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5" showColumnStripes="0" showFirstColumn="1" showLastColumn="1" showRowStripes="1"/>
</table>
</file>

<file path=xl/tables/table27.xml><?xml version="1.0" encoding="utf-8"?>
<table xmlns="http://schemas.openxmlformats.org/spreadsheetml/2006/main" headerRowCount="0" ref="A302:A309" displayName="Table_28" name="Table_28" id="28">
  <tableColumns count="1">
    <tableColumn name="Column1" id="1"/>
  </tableColumns>
  <tableStyleInfo name="TEAM STATS-style 26" showColumnStripes="0" showFirstColumn="1" showLastColumn="1" showRowStripes="1"/>
</table>
</file>

<file path=xl/tables/table28.xml><?xml version="1.0" encoding="utf-8"?>
<table xmlns="http://schemas.openxmlformats.org/spreadsheetml/2006/main" headerRowCount="0" ref="B302:H309" displayName="Table_29" name="Table_29" id="29">
  <tableColumns count="7">
    <tableColumn name="Column1" id="1"/>
    <tableColumn name="Column2" id="2"/>
    <tableColumn name="Column3" id="3"/>
    <tableColumn name="Column4" id="4"/>
    <tableColumn name="Column5" id="5"/>
    <tableColumn name="Column6" id="6"/>
    <tableColumn name="Column7" id="7"/>
  </tableColumns>
  <tableStyleInfo name="TEAM STATS-style 27" showColumnStripes="0" showFirstColumn="1" showLastColumn="1" showRowStripes="1"/>
</table>
</file>

<file path=xl/tables/table29.xml><?xml version="1.0" encoding="utf-8"?>
<table xmlns="http://schemas.openxmlformats.org/spreadsheetml/2006/main" headerRowCount="0" ref="D336:J336" displayName="Table_30" name="Table_30" id="30">
  <tableColumns count="7">
    <tableColumn name="Column1" id="1"/>
    <tableColumn name="Column2" id="2"/>
    <tableColumn name="Column3" id="3"/>
    <tableColumn name="Column4" id="4"/>
    <tableColumn name="Column5" id="5"/>
    <tableColumn name="Column6" id="6"/>
    <tableColumn name="Column7" id="7"/>
  </tableColumns>
  <tableStyleInfo name="TEAM STATS-style 28" showColumnStripes="0" showFirstColumn="1" showLastColumn="1" showRowStripes="1"/>
</table>
</file>

<file path=xl/tables/table30.xml><?xml version="1.0" encoding="utf-8"?>
<table xmlns="http://schemas.openxmlformats.org/spreadsheetml/2006/main" headerRowCount="0" ref="A338:L345" displayName="Table_31" name="Table_31" id="3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9" showColumnStripes="0" showFirstColumn="1" showLastColumn="1" showRowStripes="1"/>
</table>
</file>

<file path=xl/tables/table31.xml><?xml version="1.0" encoding="utf-8"?>
<table xmlns="http://schemas.openxmlformats.org/spreadsheetml/2006/main" headerRowCount="0" ref="A350:A357" displayName="Table_32" name="Table_32" id="32">
  <tableColumns count="1">
    <tableColumn name="Column1" id="1"/>
  </tableColumns>
  <tableStyleInfo name="TEAM STATS-style 30" showColumnStripes="0" showFirstColumn="1" showLastColumn="1" showRowStripes="1"/>
</table>
</file>

<file path=xl/tables/table32.xml><?xml version="1.0" encoding="utf-8"?>
<table xmlns="http://schemas.openxmlformats.org/spreadsheetml/2006/main" headerRowCount="0" ref="B350:H357" displayName="Table_33" name="Table_33" id="33">
  <tableColumns count="7">
    <tableColumn name="Column1" id="1"/>
    <tableColumn name="Column2" id="2"/>
    <tableColumn name="Column3" id="3"/>
    <tableColumn name="Column4" id="4"/>
    <tableColumn name="Column5" id="5"/>
    <tableColumn name="Column6" id="6"/>
    <tableColumn name="Column7" id="7"/>
  </tableColumns>
  <tableStyleInfo name="TEAM STATS-style 31" showColumnStripes="0" showFirstColumn="1" showLastColumn="1" showRowStripes="1"/>
</table>
</file>

<file path=xl/tables/table33.xml><?xml version="1.0" encoding="utf-8"?>
<table xmlns="http://schemas.openxmlformats.org/spreadsheetml/2006/main" headerRowCount="0" ref="D384:J384" displayName="Table_34" name="Table_34" id="34">
  <tableColumns count="7">
    <tableColumn name="Column1" id="1"/>
    <tableColumn name="Column2" id="2"/>
    <tableColumn name="Column3" id="3"/>
    <tableColumn name="Column4" id="4"/>
    <tableColumn name="Column5" id="5"/>
    <tableColumn name="Column6" id="6"/>
    <tableColumn name="Column7" id="7"/>
  </tableColumns>
  <tableStyleInfo name="TEAM STATS-style 32" showColumnStripes="0" showFirstColumn="1" showLastColumn="1" showRowStripes="1"/>
</table>
</file>

<file path=xl/tables/table34.xml><?xml version="1.0" encoding="utf-8"?>
<table xmlns="http://schemas.openxmlformats.org/spreadsheetml/2006/main" headerRowCount="0" ref="A386:L393" displayName="Table_35" name="Table_35" id="3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33" showColumnStripes="0" showFirstColumn="1" showLastColumn="1" showRowStripes="1"/>
</table>
</file>

<file path=xl/tables/table35.xml><?xml version="1.0" encoding="utf-8"?>
<table xmlns="http://schemas.openxmlformats.org/spreadsheetml/2006/main" headerRowCount="0" ref="A398:A405" displayName="Table_36" name="Table_36" id="36">
  <tableColumns count="1">
    <tableColumn name="Column1" id="1"/>
  </tableColumns>
  <tableStyleInfo name="TEAM STATS-style 34" showColumnStripes="0" showFirstColumn="1" showLastColumn="1" showRowStripes="1"/>
</table>
</file>

<file path=xl/tables/table36.xml><?xml version="1.0" encoding="utf-8"?>
<table xmlns="http://schemas.openxmlformats.org/spreadsheetml/2006/main" headerRowCount="0" ref="B398:H405" displayName="Table_37" name="Table_37" id="37">
  <tableColumns count="7">
    <tableColumn name="Column1" id="1"/>
    <tableColumn name="Column2" id="2"/>
    <tableColumn name="Column3" id="3"/>
    <tableColumn name="Column4" id="4"/>
    <tableColumn name="Column5" id="5"/>
    <tableColumn name="Column6" id="6"/>
    <tableColumn name="Column7" id="7"/>
  </tableColumns>
  <tableStyleInfo name="TEAM STATS-style 35" showColumnStripes="0" showFirstColumn="1" showLastColumn="1" showRowStripes="1"/>
</table>
</file>

<file path=xl/tables/table37.xml><?xml version="1.0" encoding="utf-8"?>
<table xmlns="http://schemas.openxmlformats.org/spreadsheetml/2006/main" headerRowCount="0" ref="D433:J433" displayName="Table_38" name="Table_38" id="38">
  <tableColumns count="7">
    <tableColumn name="Column1" id="1"/>
    <tableColumn name="Column2" id="2"/>
    <tableColumn name="Column3" id="3"/>
    <tableColumn name="Column4" id="4"/>
    <tableColumn name="Column5" id="5"/>
    <tableColumn name="Column6" id="6"/>
    <tableColumn name="Column7" id="7"/>
  </tableColumns>
  <tableStyleInfo name="TEAM STATS-style 36" showColumnStripes="0" showFirstColumn="1" showLastColumn="1" showRowStripes="1"/>
</table>
</file>

<file path=xl/tables/table38.xml><?xml version="1.0" encoding="utf-8"?>
<table xmlns="http://schemas.openxmlformats.org/spreadsheetml/2006/main" headerRowCount="0" ref="A435:L442" displayName="Table_39" name="Table_39" id="3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37" showColumnStripes="0" showFirstColumn="1" showLastColumn="1" showRowStripes="1"/>
</table>
</file>

<file path=xl/tables/table39.xml><?xml version="1.0" encoding="utf-8"?>
<table xmlns="http://schemas.openxmlformats.org/spreadsheetml/2006/main" headerRowCount="0" ref="A447:A454" displayName="Table_40" name="Table_40" id="40">
  <tableColumns count="1">
    <tableColumn name="Column1" id="1"/>
  </tableColumns>
  <tableStyleInfo name="TEAM STATS-style 38" showColumnStripes="0" showFirstColumn="1" showLastColumn="1" showRowStripes="1"/>
</table>
</file>

<file path=xl/tables/table40.xml><?xml version="1.0" encoding="utf-8"?>
<table xmlns="http://schemas.openxmlformats.org/spreadsheetml/2006/main" headerRowCount="0" ref="B447:H454" displayName="Table_41" name="Table_41" id="41">
  <tableColumns count="7">
    <tableColumn name="Column1" id="1"/>
    <tableColumn name="Column2" id="2"/>
    <tableColumn name="Column3" id="3"/>
    <tableColumn name="Column4" id="4"/>
    <tableColumn name="Column5" id="5"/>
    <tableColumn name="Column6" id="6"/>
    <tableColumn name="Column7" id="7"/>
  </tableColumns>
  <tableStyleInfo name="TEAM STATS-style 39" showColumnStripes="0" showFirstColumn="1" showLastColumn="1" showRowStripes="1"/>
</table>
</file>

<file path=xl/tables/table41.xml><?xml version="1.0" encoding="utf-8"?>
<table xmlns="http://schemas.openxmlformats.org/spreadsheetml/2006/main" headerRowCount="0" ref="D481:J481" displayName="Table_42" name="Table_42" id="42">
  <tableColumns count="7">
    <tableColumn name="Column1" id="1"/>
    <tableColumn name="Column2" id="2"/>
    <tableColumn name="Column3" id="3"/>
    <tableColumn name="Column4" id="4"/>
    <tableColumn name="Column5" id="5"/>
    <tableColumn name="Column6" id="6"/>
    <tableColumn name="Column7" id="7"/>
  </tableColumns>
  <tableStyleInfo name="TEAM STATS-style 40" showColumnStripes="0" showFirstColumn="1" showLastColumn="1" showRowStripes="1"/>
</table>
</file>

<file path=xl/tables/table42.xml><?xml version="1.0" encoding="utf-8"?>
<table xmlns="http://schemas.openxmlformats.org/spreadsheetml/2006/main" headerRowCount="0" ref="A483:L490" displayName="Table_43" name="Table_43" id="4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41" showColumnStripes="0" showFirstColumn="1" showLastColumn="1" showRowStripes="1"/>
</table>
</file>

<file path=xl/tables/table43.xml><?xml version="1.0" encoding="utf-8"?>
<table xmlns="http://schemas.openxmlformats.org/spreadsheetml/2006/main" headerRowCount="0" ref="A495:A502" displayName="Table_44" name="Table_44" id="44">
  <tableColumns count="1">
    <tableColumn name="Column1" id="1"/>
  </tableColumns>
  <tableStyleInfo name="TEAM STATS-style 42" showColumnStripes="0" showFirstColumn="1" showLastColumn="1" showRowStripes="1"/>
</table>
</file>

<file path=xl/tables/table44.xml><?xml version="1.0" encoding="utf-8"?>
<table xmlns="http://schemas.openxmlformats.org/spreadsheetml/2006/main" headerRowCount="0" ref="B495:H502" displayName="Table_45" name="Table_45" id="45">
  <tableColumns count="7">
    <tableColumn name="Column1" id="1"/>
    <tableColumn name="Column2" id="2"/>
    <tableColumn name="Column3" id="3"/>
    <tableColumn name="Column4" id="4"/>
    <tableColumn name="Column5" id="5"/>
    <tableColumn name="Column6" id="6"/>
    <tableColumn name="Column7" id="7"/>
  </tableColumns>
  <tableStyleInfo name="TEAM STATS-style 43" showColumnStripes="0" showFirstColumn="1" showLastColumn="1" showRowStripes="1"/>
</table>
</file>

<file path=xl/tables/table45.xml><?xml version="1.0" encoding="utf-8"?>
<table xmlns="http://schemas.openxmlformats.org/spreadsheetml/2006/main" headerRowCount="0" ref="G17:H24" displayName="Table_2" name="Table_2" id="2">
  <tableColumns count="2">
    <tableColumn name="Column1" id="1"/>
    <tableColumn name="Column2" id="2"/>
  </tableColumns>
  <tableStyleInfo name="Daily and Weekly Call Stats-style" showColumnStripes="0" showFirstColumn="1" showLastColumn="1" showRowStripes="1"/>
</table>
</file>

<file path=xl/tables/table46.xml><?xml version="1.0" encoding="utf-8"?>
<table xmlns="http://schemas.openxmlformats.org/spreadsheetml/2006/main" headerRowCount="0" ref="D3:E19" displayName="Table_46" name="Table_46" id="46">
  <tableColumns count="2">
    <tableColumn name="Column1" id="1"/>
    <tableColumn name="Column2" id="2"/>
  </tableColumns>
  <tableStyleInfo name="Dan-style" showColumnStripes="0" showFirstColumn="1" showLastColumn="1" showRowStripes="1"/>
</table>
</file>

<file path=xl/tables/table47.xml><?xml version="1.0" encoding="utf-8"?>
<table xmlns="http://schemas.openxmlformats.org/spreadsheetml/2006/main" headerRowCount="0" ref="D21:E37" displayName="Table_47" name="Table_47" id="47">
  <tableColumns count="2">
    <tableColumn name="Column1" id="1"/>
    <tableColumn name="Column2" id="2"/>
  </tableColumns>
  <tableStyleInfo name="Dan-style 2" showColumnStripes="0" showFirstColumn="1" showLastColumn="1" showRowStripes="1"/>
</table>
</file>

<file path=xl/tables/table48.xml><?xml version="1.0" encoding="utf-8"?>
<table xmlns="http://schemas.openxmlformats.org/spreadsheetml/2006/main" headerRowCount="0" ref="D39:E55" displayName="Table_48" name="Table_48" id="48">
  <tableColumns count="2">
    <tableColumn name="Column1" id="1"/>
    <tableColumn name="Column2" id="2"/>
  </tableColumns>
  <tableStyleInfo name="Dan-style 3" showColumnStripes="0" showFirstColumn="1" showLastColumn="1" showRowStripes="1"/>
</table>
</file>

<file path=xl/tables/table49.xml><?xml version="1.0" encoding="utf-8"?>
<table xmlns="http://schemas.openxmlformats.org/spreadsheetml/2006/main" headerRowCount="0" ref="D58:E74" displayName="Table_49" name="Table_49" id="49">
  <tableColumns count="2">
    <tableColumn name="Column1" id="1"/>
    <tableColumn name="Column2" id="2"/>
  </tableColumns>
  <tableStyleInfo name="Dan-style 4" showColumnStripes="0" showFirstColumn="1" showLastColumn="1" showRowStripes="1"/>
</table>
</file>

<file path=xl/tables/table50.xml><?xml version="1.0" encoding="utf-8"?>
<table xmlns="http://schemas.openxmlformats.org/spreadsheetml/2006/main" headerRowCount="0" ref="D76:E92" displayName="Table_50" name="Table_50" id="50">
  <tableColumns count="2">
    <tableColumn name="Column1" id="1"/>
    <tableColumn name="Column2" id="2"/>
  </tableColumns>
  <tableStyleInfo name="Dan-style 5" showColumnStripes="0" showFirstColumn="1" showLastColumn="1" showRowStripes="1"/>
</table>
</file>

<file path=xl/tables/table51.xml><?xml version="1.0" encoding="utf-8"?>
<table xmlns="http://schemas.openxmlformats.org/spreadsheetml/2006/main" headerRowCount="0" ref="D94:E110" displayName="Table_51" name="Table_51" id="51">
  <tableColumns count="2">
    <tableColumn name="Column1" id="1"/>
    <tableColumn name="Column2" id="2"/>
  </tableColumns>
  <tableStyleInfo name="Dan-style 6" showColumnStripes="0" showFirstColumn="1" showLastColumn="1" showRowStripes="1"/>
</table>
</file>

<file path=xl/tables/table52.xml><?xml version="1.0" encoding="utf-8"?>
<table xmlns="http://schemas.openxmlformats.org/spreadsheetml/2006/main" headerRowCount="0" ref="D112:E128" displayName="Table_52" name="Table_52" id="52">
  <tableColumns count="2">
    <tableColumn name="Column1" id="1"/>
    <tableColumn name="Column2" id="2"/>
  </tableColumns>
  <tableStyleInfo name="Dan-style 7" showColumnStripes="0" showFirstColumn="1" showLastColumn="1" showRowStripes="1"/>
</table>
</file>

<file path=xl/tables/table53.xml><?xml version="1.0" encoding="utf-8"?>
<table xmlns="http://schemas.openxmlformats.org/spreadsheetml/2006/main" headerRowCount="0" ref="D130:E146" displayName="Table_53" name="Table_53" id="53">
  <tableColumns count="2">
    <tableColumn name="Column1" id="1"/>
    <tableColumn name="Column2" id="2"/>
  </tableColumns>
  <tableStyleInfo name="Dan-style 8" showColumnStripes="0" showFirstColumn="1" showLastColumn="1" showRowStripes="1"/>
</table>
</file>

<file path=xl/tables/table54.xml><?xml version="1.0" encoding="utf-8"?>
<table xmlns="http://schemas.openxmlformats.org/spreadsheetml/2006/main" headerRowCount="0" ref="D148:E164" displayName="Table_54" name="Table_54" id="54">
  <tableColumns count="2">
    <tableColumn name="Column1" id="1"/>
    <tableColumn name="Column2" id="2"/>
  </tableColumns>
  <tableStyleInfo name="Dan-style 9" showColumnStripes="0" showFirstColumn="1" showLastColumn="1" showRowStripes="1"/>
</table>
</file>

<file path=xl/tables/table55.xml><?xml version="1.0" encoding="utf-8"?>
<table xmlns="http://schemas.openxmlformats.org/spreadsheetml/2006/main" headerRowCount="0" ref="D166:E182" displayName="Table_55" name="Table_55" id="55">
  <tableColumns count="2">
    <tableColumn name="Column1" id="1"/>
    <tableColumn name="Column2" id="2"/>
  </tableColumns>
  <tableStyleInfo name="Dan-style 10" showColumnStripes="0" showFirstColumn="1" showLastColumn="1" showRowStripes="1"/>
</table>
</file>

<file path=xl/tables/table56.xml><?xml version="1.0" encoding="utf-8"?>
<table xmlns="http://schemas.openxmlformats.org/spreadsheetml/2006/main" headerRowCount="0" ref="D184:E200" displayName="Table_56" name="Table_56" id="56">
  <tableColumns count="2">
    <tableColumn name="Column1" id="1"/>
    <tableColumn name="Column2" id="2"/>
  </tableColumns>
  <tableStyleInfo name="Dan-style 11" showColumnStripes="0" showFirstColumn="1" showLastColumn="1" showRowStripes="1"/>
</table>
</file>

<file path=xl/tables/table57.xml><?xml version="1.0" encoding="utf-8"?>
<table xmlns="http://schemas.openxmlformats.org/spreadsheetml/2006/main" headerRowCount="0" ref="D202:E218" displayName="Table_57" name="Table_57" id="57">
  <tableColumns count="2">
    <tableColumn name="Column1" id="1"/>
    <tableColumn name="Column2" id="2"/>
  </tableColumns>
  <tableStyleInfo name="Dan-style 12" showColumnStripes="0" showFirstColumn="1" showLastColumn="1" showRowStripes="1"/>
</table>
</file>

<file path=xl/tables/table58.xml><?xml version="1.0" encoding="utf-8"?>
<table xmlns="http://schemas.openxmlformats.org/spreadsheetml/2006/main" headerRowCount="0" ref="D220:E236" displayName="Table_58" name="Table_58" id="58">
  <tableColumns count="2">
    <tableColumn name="Column1" id="1"/>
    <tableColumn name="Column2" id="2"/>
  </tableColumns>
  <tableStyleInfo name="Dan-style 13" showColumnStripes="0" showFirstColumn="1" showLastColumn="1" showRowStripes="1"/>
</table>
</file>

<file path=xl/tables/table59.xml><?xml version="1.0" encoding="utf-8"?>
<table xmlns="http://schemas.openxmlformats.org/spreadsheetml/2006/main" headerRowCount="0" ref="D238:E254" displayName="Table_59" name="Table_59" id="59">
  <tableColumns count="2">
    <tableColumn name="Column1" id="1"/>
    <tableColumn name="Column2" id="2"/>
  </tableColumns>
  <tableStyleInfo name="Dan-style 14" showColumnStripes="0" showFirstColumn="1" showLastColumn="1" showRowStripes="1"/>
</table>
</file>

<file path=xl/tables/table60.xml><?xml version="1.0" encoding="utf-8"?>
<table xmlns="http://schemas.openxmlformats.org/spreadsheetml/2006/main" headerRowCount="0" ref="D256:E272" displayName="Table_60" name="Table_60" id="60">
  <tableColumns count="2">
    <tableColumn name="Column1" id="1"/>
    <tableColumn name="Column2" id="2"/>
  </tableColumns>
  <tableStyleInfo name="Dan-style 15" showColumnStripes="0" showFirstColumn="1" showLastColumn="1" showRowStripes="1"/>
</table>
</file>

<file path=xl/tables/table61.xml><?xml version="1.0" encoding="utf-8"?>
<table xmlns="http://schemas.openxmlformats.org/spreadsheetml/2006/main" headerRowCount="0" ref="D274:E290" displayName="Table_61" name="Table_61" id="61">
  <tableColumns count="2">
    <tableColumn name="Column1" id="1"/>
    <tableColumn name="Column2" id="2"/>
  </tableColumns>
  <tableStyleInfo name="Dan-style 16" showColumnStripes="0" showFirstColumn="1" showLastColumn="1" showRowStripes="1"/>
</table>
</file>

<file path=xl/tables/table62.xml><?xml version="1.0" encoding="utf-8"?>
<table xmlns="http://schemas.openxmlformats.org/spreadsheetml/2006/main" headerRowCount="0" ref="D292:E308" displayName="Table_62" name="Table_62" id="62">
  <tableColumns count="2">
    <tableColumn name="Column1" id="1"/>
    <tableColumn name="Column2" id="2"/>
  </tableColumns>
  <tableStyleInfo name="Dan-style 17" showColumnStripes="0" showFirstColumn="1" showLastColumn="1" showRowStripes="1"/>
</table>
</file>

<file path=xl/tables/table63.xml><?xml version="1.0" encoding="utf-8"?>
<table xmlns="http://schemas.openxmlformats.org/spreadsheetml/2006/main" headerRowCount="0" ref="D310:E326" displayName="Table_63" name="Table_63" id="63">
  <tableColumns count="2">
    <tableColumn name="Column1" id="1"/>
    <tableColumn name="Column2" id="2"/>
  </tableColumns>
  <tableStyleInfo name="Dan-style 18" showColumnStripes="0" showFirstColumn="1" showLastColumn="1" showRowStripes="1"/>
</table>
</file>

<file path=xl/tables/table64.xml><?xml version="1.0" encoding="utf-8"?>
<table xmlns="http://schemas.openxmlformats.org/spreadsheetml/2006/main" headerRowCount="0" ref="D328:E344" displayName="Table_64" name="Table_64" id="64">
  <tableColumns count="2">
    <tableColumn name="Column1" id="1"/>
    <tableColumn name="Column2" id="2"/>
  </tableColumns>
  <tableStyleInfo name="Dan-style 19" showColumnStripes="0" showFirstColumn="1" showLastColumn="1" showRowStripes="1"/>
</table>
</file>

<file path=xl/tables/table65.xml><?xml version="1.0" encoding="utf-8"?>
<table xmlns="http://schemas.openxmlformats.org/spreadsheetml/2006/main" headerRowCount="0" ref="D346:E362" displayName="Table_65" name="Table_65" id="65">
  <tableColumns count="2">
    <tableColumn name="Column1" id="1"/>
    <tableColumn name="Column2" id="2"/>
  </tableColumns>
  <tableStyleInfo name="Dan-style 20" showColumnStripes="0" showFirstColumn="1" showLastColumn="1" showRowStripes="1"/>
</table>
</file>

<file path=xl/tables/table66.xml><?xml version="1.0" encoding="utf-8"?>
<table xmlns="http://schemas.openxmlformats.org/spreadsheetml/2006/main" headerRowCount="0" ref="D364:E380" displayName="Table_66" name="Table_66" id="66">
  <tableColumns count="2">
    <tableColumn name="Column1" id="1"/>
    <tableColumn name="Column2" id="2"/>
  </tableColumns>
  <tableStyleInfo name="Dan-style 21" showColumnStripes="0" showFirstColumn="1" showLastColumn="1" showRowStripes="1"/>
</table>
</file>

<file path=xl/tables/table67.xml><?xml version="1.0" encoding="utf-8"?>
<table xmlns="http://schemas.openxmlformats.org/spreadsheetml/2006/main" headerRowCount="0" ref="D382:E398" displayName="Table_67" name="Table_67" id="67">
  <tableColumns count="2">
    <tableColumn name="Column1" id="1"/>
    <tableColumn name="Column2" id="2"/>
  </tableColumns>
  <tableStyleInfo name="Dan-style 22" showColumnStripes="0" showFirstColumn="1" showLastColumn="1" showRowStripes="1"/>
</table>
</file>

<file path=xl/tables/table68.xml><?xml version="1.0" encoding="utf-8"?>
<table xmlns="http://schemas.openxmlformats.org/spreadsheetml/2006/main" headerRowCount="0" ref="D3:E19" displayName="Table_68" name="Table_68" id="68">
  <tableColumns count="2">
    <tableColumn name="Column1" id="1"/>
    <tableColumn name="Column2" id="2"/>
  </tableColumns>
  <tableStyleInfo name="Godwin-style" showColumnStripes="0" showFirstColumn="1" showLastColumn="1" showRowStripes="1"/>
</table>
</file>

<file path=xl/tables/table69.xml><?xml version="1.0" encoding="utf-8"?>
<table xmlns="http://schemas.openxmlformats.org/spreadsheetml/2006/main" headerRowCount="0" ref="D21:E37" displayName="Table_69" name="Table_69" id="69">
  <tableColumns count="2">
    <tableColumn name="Column1" id="1"/>
    <tableColumn name="Column2" id="2"/>
  </tableColumns>
  <tableStyleInfo name="Godwin-style 2" showColumnStripes="0" showFirstColumn="1" showLastColumn="1" showRowStripes="1"/>
</table>
</file>

<file path=xl/tables/table70.xml><?xml version="1.0" encoding="utf-8"?>
<table xmlns="http://schemas.openxmlformats.org/spreadsheetml/2006/main" headerRowCount="0" ref="D39:E55" displayName="Table_70" name="Table_70" id="70">
  <tableColumns count="2">
    <tableColumn name="Column1" id="1"/>
    <tableColumn name="Column2" id="2"/>
  </tableColumns>
  <tableStyleInfo name="Godwin-style 3" showColumnStripes="0" showFirstColumn="1" showLastColumn="1" showRowStripes="1"/>
</table>
</file>

<file path=xl/tables/table71.xml><?xml version="1.0" encoding="utf-8"?>
<table xmlns="http://schemas.openxmlformats.org/spreadsheetml/2006/main" headerRowCount="0" ref="D58:E74" displayName="Table_71" name="Table_71" id="71">
  <tableColumns count="2">
    <tableColumn name="Column1" id="1"/>
    <tableColumn name="Column2" id="2"/>
  </tableColumns>
  <tableStyleInfo name="Godwin-style 4" showColumnStripes="0" showFirstColumn="1" showLastColumn="1" showRowStripes="1"/>
</table>
</file>

<file path=xl/tables/table72.xml><?xml version="1.0" encoding="utf-8"?>
<table xmlns="http://schemas.openxmlformats.org/spreadsheetml/2006/main" headerRowCount="0" ref="D76:E92" displayName="Table_72" name="Table_72" id="72">
  <tableColumns count="2">
    <tableColumn name="Column1" id="1"/>
    <tableColumn name="Column2" id="2"/>
  </tableColumns>
  <tableStyleInfo name="Godwin-style 5" showColumnStripes="0" showFirstColumn="1" showLastColumn="1" showRowStripes="1"/>
</table>
</file>

<file path=xl/tables/table73.xml><?xml version="1.0" encoding="utf-8"?>
<table xmlns="http://schemas.openxmlformats.org/spreadsheetml/2006/main" headerRowCount="0" ref="D94:E110" displayName="Table_73" name="Table_73" id="73">
  <tableColumns count="2">
    <tableColumn name="Column1" id="1"/>
    <tableColumn name="Column2" id="2"/>
  </tableColumns>
  <tableStyleInfo name="Godwin-style 6" showColumnStripes="0" showFirstColumn="1" showLastColumn="1" showRowStripes="1"/>
</table>
</file>

<file path=xl/tables/table74.xml><?xml version="1.0" encoding="utf-8"?>
<table xmlns="http://schemas.openxmlformats.org/spreadsheetml/2006/main" headerRowCount="0" ref="D112:E128" displayName="Table_74" name="Table_74" id="74">
  <tableColumns count="2">
    <tableColumn name="Column1" id="1"/>
    <tableColumn name="Column2" id="2"/>
  </tableColumns>
  <tableStyleInfo name="Godwin-style 7" showColumnStripes="0" showFirstColumn="1" showLastColumn="1" showRowStripes="1"/>
</table>
</file>

<file path=xl/tables/table75.xml><?xml version="1.0" encoding="utf-8"?>
<table xmlns="http://schemas.openxmlformats.org/spreadsheetml/2006/main" headerRowCount="0" ref="D130:E146" displayName="Table_75" name="Table_75" id="75">
  <tableColumns count="2">
    <tableColumn name="Column1" id="1"/>
    <tableColumn name="Column2" id="2"/>
  </tableColumns>
  <tableStyleInfo name="Godwin-style 8" showColumnStripes="0" showFirstColumn="1" showLastColumn="1" showRowStripes="1"/>
</table>
</file>

<file path=xl/tables/table76.xml><?xml version="1.0" encoding="utf-8"?>
<table xmlns="http://schemas.openxmlformats.org/spreadsheetml/2006/main" headerRowCount="0" ref="D148:E164" displayName="Table_76" name="Table_76" id="76">
  <tableColumns count="2">
    <tableColumn name="Column1" id="1"/>
    <tableColumn name="Column2" id="2"/>
  </tableColumns>
  <tableStyleInfo name="Godwin-style 9" showColumnStripes="0" showFirstColumn="1" showLastColumn="1" showRowStripes="1"/>
</table>
</file>

<file path=xl/tables/table77.xml><?xml version="1.0" encoding="utf-8"?>
<table xmlns="http://schemas.openxmlformats.org/spreadsheetml/2006/main" headerRowCount="0" ref="D166:E182" displayName="Table_77" name="Table_77" id="77">
  <tableColumns count="2">
    <tableColumn name="Column1" id="1"/>
    <tableColumn name="Column2" id="2"/>
  </tableColumns>
  <tableStyleInfo name="Godwin-style 10" showColumnStripes="0" showFirstColumn="1" showLastColumn="1" showRowStripes="1"/>
</table>
</file>

<file path=xl/tables/table78.xml><?xml version="1.0" encoding="utf-8"?>
<table xmlns="http://schemas.openxmlformats.org/spreadsheetml/2006/main" headerRowCount="0" ref="D184:E200" displayName="Table_78" name="Table_78" id="78">
  <tableColumns count="2">
    <tableColumn name="Column1" id="1"/>
    <tableColumn name="Column2" id="2"/>
  </tableColumns>
  <tableStyleInfo name="Godwin-style 11" showColumnStripes="0" showFirstColumn="1" showLastColumn="1" showRowStripes="1"/>
</table>
</file>

<file path=xl/tables/table79.xml><?xml version="1.0" encoding="utf-8"?>
<table xmlns="http://schemas.openxmlformats.org/spreadsheetml/2006/main" headerRowCount="0" ref="D202:E218" displayName="Table_79" name="Table_79" id="79">
  <tableColumns count="2">
    <tableColumn name="Column1" id="1"/>
    <tableColumn name="Column2" id="2"/>
  </tableColumns>
  <tableStyleInfo name="Godwin-style 12" showColumnStripes="0" showFirstColumn="1" showLastColumn="1" showRowStripes="1"/>
</table>
</file>

<file path=xl/tables/table80.xml><?xml version="1.0" encoding="utf-8"?>
<table xmlns="http://schemas.openxmlformats.org/spreadsheetml/2006/main" headerRowCount="0" ref="D220:E236" displayName="Table_80" name="Table_80" id="80">
  <tableColumns count="2">
    <tableColumn name="Column1" id="1"/>
    <tableColumn name="Column2" id="2"/>
  </tableColumns>
  <tableStyleInfo name="Godwin-style 13" showColumnStripes="0" showFirstColumn="1" showLastColumn="1" showRowStripes="1"/>
</table>
</file>

<file path=xl/tables/table81.xml><?xml version="1.0" encoding="utf-8"?>
<table xmlns="http://schemas.openxmlformats.org/spreadsheetml/2006/main" headerRowCount="0" ref="D238:E254" displayName="Table_81" name="Table_81" id="81">
  <tableColumns count="2">
    <tableColumn name="Column1" id="1"/>
    <tableColumn name="Column2" id="2"/>
  </tableColumns>
  <tableStyleInfo name="Godwin-style 14" showColumnStripes="0" showFirstColumn="1" showLastColumn="1" showRowStripes="1"/>
</table>
</file>

<file path=xl/tables/table82.xml><?xml version="1.0" encoding="utf-8"?>
<table xmlns="http://schemas.openxmlformats.org/spreadsheetml/2006/main" headerRowCount="0" ref="D256:E272" displayName="Table_82" name="Table_82" id="82">
  <tableColumns count="2">
    <tableColumn name="Column1" id="1"/>
    <tableColumn name="Column2" id="2"/>
  </tableColumns>
  <tableStyleInfo name="Godwin-style 15" showColumnStripes="0" showFirstColumn="1" showLastColumn="1" showRowStripes="1"/>
</table>
</file>

<file path=xl/tables/table83.xml><?xml version="1.0" encoding="utf-8"?>
<table xmlns="http://schemas.openxmlformats.org/spreadsheetml/2006/main" headerRowCount="0" ref="D274:E290" displayName="Table_83" name="Table_83" id="83">
  <tableColumns count="2">
    <tableColumn name="Column1" id="1"/>
    <tableColumn name="Column2" id="2"/>
  </tableColumns>
  <tableStyleInfo name="Godwin-style 16" showColumnStripes="0" showFirstColumn="1" showLastColumn="1" showRowStripes="1"/>
</table>
</file>

<file path=xl/tables/table84.xml><?xml version="1.0" encoding="utf-8"?>
<table xmlns="http://schemas.openxmlformats.org/spreadsheetml/2006/main" headerRowCount="0" ref="D292:E308" displayName="Table_84" name="Table_84" id="84">
  <tableColumns count="2">
    <tableColumn name="Column1" id="1"/>
    <tableColumn name="Column2" id="2"/>
  </tableColumns>
  <tableStyleInfo name="Godwin-style 17" showColumnStripes="0" showFirstColumn="1" showLastColumn="1" showRowStripes="1"/>
</table>
</file>

<file path=xl/tables/table85.xml><?xml version="1.0" encoding="utf-8"?>
<table xmlns="http://schemas.openxmlformats.org/spreadsheetml/2006/main" headerRowCount="0" ref="D310:E326" displayName="Table_85" name="Table_85" id="85">
  <tableColumns count="2">
    <tableColumn name="Column1" id="1"/>
    <tableColumn name="Column2" id="2"/>
  </tableColumns>
  <tableStyleInfo name="Godwin-style 18" showColumnStripes="0" showFirstColumn="1" showLastColumn="1" showRowStripes="1"/>
</table>
</file>

<file path=xl/tables/table86.xml><?xml version="1.0" encoding="utf-8"?>
<table xmlns="http://schemas.openxmlformats.org/spreadsheetml/2006/main" headerRowCount="0" ref="D328:E344" displayName="Table_86" name="Table_86" id="86">
  <tableColumns count="2">
    <tableColumn name="Column1" id="1"/>
    <tableColumn name="Column2" id="2"/>
  </tableColumns>
  <tableStyleInfo name="Godwin-style 19" showColumnStripes="0" showFirstColumn="1" showLastColumn="1" showRowStripes="1"/>
</table>
</file>

<file path=xl/tables/table87.xml><?xml version="1.0" encoding="utf-8"?>
<table xmlns="http://schemas.openxmlformats.org/spreadsheetml/2006/main" headerRowCount="0" ref="D346:E362" displayName="Table_87" name="Table_87" id="87">
  <tableColumns count="2">
    <tableColumn name="Column1" id="1"/>
    <tableColumn name="Column2" id="2"/>
  </tableColumns>
  <tableStyleInfo name="Godwin-style 20" showColumnStripes="0" showFirstColumn="1" showLastColumn="1" showRowStripes="1"/>
</table>
</file>

<file path=xl/tables/table88.xml><?xml version="1.0" encoding="utf-8"?>
<table xmlns="http://schemas.openxmlformats.org/spreadsheetml/2006/main" headerRowCount="0" ref="D364:E380" displayName="Table_88" name="Table_88" id="88">
  <tableColumns count="2">
    <tableColumn name="Column1" id="1"/>
    <tableColumn name="Column2" id="2"/>
  </tableColumns>
  <tableStyleInfo name="Godwin-style 21" showColumnStripes="0" showFirstColumn="1" showLastColumn="1" showRowStripes="1"/>
</table>
</file>

<file path=xl/tables/table89.xml><?xml version="1.0" encoding="utf-8"?>
<table xmlns="http://schemas.openxmlformats.org/spreadsheetml/2006/main" headerRowCount="0" ref="D382:E398" displayName="Table_89" name="Table_89" id="89">
  <tableColumns count="2">
    <tableColumn name="Column1" id="1"/>
    <tableColumn name="Column2" id="2"/>
  </tableColumns>
  <tableStyleInfo name="Godwin-style 22" showColumnStripes="0" showFirstColumn="1" showLastColumn="1" showRowStripes="1"/>
</table>
</file>

<file path=xl/tables/table90.xml><?xml version="1.0" encoding="utf-8"?>
<table xmlns="http://schemas.openxmlformats.org/spreadsheetml/2006/main" headerRowCount="0" ref="D2:E18" displayName="Table_90" name="Table_90" id="90">
  <tableColumns count="2">
    <tableColumn name="Column1" id="1"/>
    <tableColumn name="Column2" id="2"/>
  </tableColumns>
  <tableStyleInfo name="Candy-style" showColumnStripes="0" showFirstColumn="1" showLastColumn="1" showRowStripes="1"/>
</table>
</file>

<file path=xl/tables/table91.xml><?xml version="1.0" encoding="utf-8"?>
<table xmlns="http://schemas.openxmlformats.org/spreadsheetml/2006/main" headerRowCount="0" ref="D20:E36" displayName="Table_91" name="Table_91" id="91">
  <tableColumns count="2">
    <tableColumn name="Column1" id="1"/>
    <tableColumn name="Column2" id="2"/>
  </tableColumns>
  <tableStyleInfo name="Candy-style 2" showColumnStripes="0" showFirstColumn="1" showLastColumn="1" showRowStripes="1"/>
</table>
</file>

<file path=xl/tables/table92.xml><?xml version="1.0" encoding="utf-8"?>
<table xmlns="http://schemas.openxmlformats.org/spreadsheetml/2006/main" headerRowCount="0" ref="D38:E54" displayName="Table_92" name="Table_92" id="92">
  <tableColumns count="2">
    <tableColumn name="Column1" id="1"/>
    <tableColumn name="Column2" id="2"/>
  </tableColumns>
  <tableStyleInfo name="Candy-style 3" showColumnStripes="0" showFirstColumn="1" showLastColumn="1" showRowStripes="1"/>
</table>
</file>

<file path=xl/tables/table93.xml><?xml version="1.0" encoding="utf-8"?>
<table xmlns="http://schemas.openxmlformats.org/spreadsheetml/2006/main" headerRowCount="0" ref="D56:E72" displayName="Table_93" name="Table_93" id="93">
  <tableColumns count="2">
    <tableColumn name="Column1" id="1"/>
    <tableColumn name="Column2" id="2"/>
  </tableColumns>
  <tableStyleInfo name="Candy-style 4" showColumnStripes="0" showFirstColumn="1" showLastColumn="1" showRowStripes="1"/>
</table>
</file>

<file path=xl/tables/table94.xml><?xml version="1.0" encoding="utf-8"?>
<table xmlns="http://schemas.openxmlformats.org/spreadsheetml/2006/main" headerRowCount="0" ref="D74:E90" displayName="Table_94" name="Table_94" id="94">
  <tableColumns count="2">
    <tableColumn name="Column1" id="1"/>
    <tableColumn name="Column2" id="2"/>
  </tableColumns>
  <tableStyleInfo name="Candy-style 5" showColumnStripes="0" showFirstColumn="1" showLastColumn="1" showRowStripes="1"/>
</table>
</file>

<file path=xl/tables/table95.xml><?xml version="1.0" encoding="utf-8"?>
<table xmlns="http://schemas.openxmlformats.org/spreadsheetml/2006/main" headerRowCount="0" ref="D92:E108" displayName="Table_95" name="Table_95" id="95">
  <tableColumns count="2">
    <tableColumn name="Column1" id="1"/>
    <tableColumn name="Column2" id="2"/>
  </tableColumns>
  <tableStyleInfo name="Candy-style 6" showColumnStripes="0" showFirstColumn="1" showLastColumn="1" showRowStripes="1"/>
</table>
</file>

<file path=xl/tables/table96.xml><?xml version="1.0" encoding="utf-8"?>
<table xmlns="http://schemas.openxmlformats.org/spreadsheetml/2006/main" headerRowCount="0" ref="D110:E126" displayName="Table_96" name="Table_96" id="96">
  <tableColumns count="2">
    <tableColumn name="Column1" id="1"/>
    <tableColumn name="Column2" id="2"/>
  </tableColumns>
  <tableStyleInfo name="Candy-style 7" showColumnStripes="0" showFirstColumn="1" showLastColumn="1" showRowStripes="1"/>
</table>
</file>

<file path=xl/tables/table97.xml><?xml version="1.0" encoding="utf-8"?>
<table xmlns="http://schemas.openxmlformats.org/spreadsheetml/2006/main" headerRowCount="0" ref="D128:E144" displayName="Table_97" name="Table_97" id="97">
  <tableColumns count="2">
    <tableColumn name="Column1" id="1"/>
    <tableColumn name="Column2" id="2"/>
  </tableColumns>
  <tableStyleInfo name="Candy-style 8" showColumnStripes="0" showFirstColumn="1" showLastColumn="1" showRowStripes="1"/>
</table>
</file>

<file path=xl/tables/table98.xml><?xml version="1.0" encoding="utf-8"?>
<table xmlns="http://schemas.openxmlformats.org/spreadsheetml/2006/main" headerRowCount="0" ref="D146:E162" displayName="Table_98" name="Table_98" id="98">
  <tableColumns count="2">
    <tableColumn name="Column1" id="1"/>
    <tableColumn name="Column2" id="2"/>
  </tableColumns>
  <tableStyleInfo name="Candy-style 9" showColumnStripes="0" showFirstColumn="1" showLastColumn="1" showRowStripes="1"/>
</table>
</file>

<file path=xl/tables/table99.xml><?xml version="1.0" encoding="utf-8"?>
<table xmlns="http://schemas.openxmlformats.org/spreadsheetml/2006/main" headerRowCount="0" ref="D164:E180" displayName="Table_99" name="Table_99" id="99">
  <tableColumns count="2">
    <tableColumn name="Column1" id="1"/>
    <tableColumn name="Column2" id="2"/>
  </tableColumns>
  <tableStyleInfo name="Candy-style 10" showColumnStripes="0" showFirstColumn="1" showLastColumn="1" showRowStripes="1"/>
</table>
</file>

<file path=xl/tables/table100.xml><?xml version="1.0" encoding="utf-8"?>
<table xmlns="http://schemas.openxmlformats.org/spreadsheetml/2006/main" headerRowCount="0" ref="D182:E198" displayName="Table_100" name="Table_100" id="100">
  <tableColumns count="2">
    <tableColumn name="Column1" id="1"/>
    <tableColumn name="Column2" id="2"/>
  </tableColumns>
  <tableStyleInfo name="Candy-style 11" showColumnStripes="0" showFirstColumn="1" showLastColumn="1" showRowStripes="1"/>
</table>
</file>

<file path=xl/tables/table101.xml><?xml version="1.0" encoding="utf-8"?>
<table xmlns="http://schemas.openxmlformats.org/spreadsheetml/2006/main" headerRowCount="0" ref="D200:E216" displayName="Table_101" name="Table_101" id="101">
  <tableColumns count="2">
    <tableColumn name="Column1" id="1"/>
    <tableColumn name="Column2" id="2"/>
  </tableColumns>
  <tableStyleInfo name="Candy-style 12" showColumnStripes="0" showFirstColumn="1" showLastColumn="1" showRowStripes="1"/>
</table>
</file>

<file path=xl/tables/table102.xml><?xml version="1.0" encoding="utf-8"?>
<table xmlns="http://schemas.openxmlformats.org/spreadsheetml/2006/main" headerRowCount="0" ref="D218:E234" displayName="Table_102" name="Table_102" id="102">
  <tableColumns count="2">
    <tableColumn name="Column1" id="1"/>
    <tableColumn name="Column2" id="2"/>
  </tableColumns>
  <tableStyleInfo name="Candy-style 13" showColumnStripes="0" showFirstColumn="1" showLastColumn="1" showRowStripes="1"/>
</table>
</file>

<file path=xl/tables/table103.xml><?xml version="1.0" encoding="utf-8"?>
<table xmlns="http://schemas.openxmlformats.org/spreadsheetml/2006/main" headerRowCount="0" ref="D236:E252" displayName="Table_103" name="Table_103" id="103">
  <tableColumns count="2">
    <tableColumn name="Column1" id="1"/>
    <tableColumn name="Column2" id="2"/>
  </tableColumns>
  <tableStyleInfo name="Candy-style 14" showColumnStripes="0" showFirstColumn="1" showLastColumn="1" showRowStripes="1"/>
</table>
</file>

<file path=xl/tables/table104.xml><?xml version="1.0" encoding="utf-8"?>
<table xmlns="http://schemas.openxmlformats.org/spreadsheetml/2006/main" headerRowCount="0" ref="D254:E270" displayName="Table_104" name="Table_104" id="104">
  <tableColumns count="2">
    <tableColumn name="Column1" id="1"/>
    <tableColumn name="Column2" id="2"/>
  </tableColumns>
  <tableStyleInfo name="Candy-style 15" showColumnStripes="0" showFirstColumn="1" showLastColumn="1" showRowStripes="1"/>
</table>
</file>

<file path=xl/tables/table105.xml><?xml version="1.0" encoding="utf-8"?>
<table xmlns="http://schemas.openxmlformats.org/spreadsheetml/2006/main" headerRowCount="0" ref="D3:E19" displayName="Table_105" name="Table_105" id="105">
  <tableColumns count="2">
    <tableColumn name="Column1" id="1"/>
    <tableColumn name="Column2" id="2"/>
  </tableColumns>
  <tableStyleInfo name="Claudette-style" showColumnStripes="0" showFirstColumn="1" showLastColumn="1" showRowStripes="1"/>
</table>
</file>

<file path=xl/tables/table106.xml><?xml version="1.0" encoding="utf-8"?>
<table xmlns="http://schemas.openxmlformats.org/spreadsheetml/2006/main" headerRowCount="0" ref="D21:E37" displayName="Table_106" name="Table_106" id="106">
  <tableColumns count="2">
    <tableColumn name="Column1" id="1"/>
    <tableColumn name="Column2" id="2"/>
  </tableColumns>
  <tableStyleInfo name="Claudette-style 2" showColumnStripes="0" showFirstColumn="1" showLastColumn="1" showRowStripes="1"/>
</table>
</file>

<file path=xl/tables/table107.xml><?xml version="1.0" encoding="utf-8"?>
<table xmlns="http://schemas.openxmlformats.org/spreadsheetml/2006/main" headerRowCount="0" ref="D39:E55" displayName="Table_107" name="Table_107" id="107">
  <tableColumns count="2">
    <tableColumn name="Column1" id="1"/>
    <tableColumn name="Column2" id="2"/>
  </tableColumns>
  <tableStyleInfo name="Claudette-style 3" showColumnStripes="0" showFirstColumn="1" showLastColumn="1" showRowStripes="1"/>
</table>
</file>

<file path=xl/tables/table108.xml><?xml version="1.0" encoding="utf-8"?>
<table xmlns="http://schemas.openxmlformats.org/spreadsheetml/2006/main" headerRowCount="0" ref="D58:E74" displayName="Table_108" name="Table_108" id="108">
  <tableColumns count="2">
    <tableColumn name="Column1" id="1"/>
    <tableColumn name="Column2" id="2"/>
  </tableColumns>
  <tableStyleInfo name="Claudette-style 4" showColumnStripes="0" showFirstColumn="1" showLastColumn="1" showRowStripes="1"/>
</table>
</file>

<file path=xl/tables/table109.xml><?xml version="1.0" encoding="utf-8"?>
<table xmlns="http://schemas.openxmlformats.org/spreadsheetml/2006/main" headerRowCount="0" ref="D76:E92" displayName="Table_109" name="Table_109" id="109">
  <tableColumns count="2">
    <tableColumn name="Column1" id="1"/>
    <tableColumn name="Column2" id="2"/>
  </tableColumns>
  <tableStyleInfo name="Claudette-style 5" showColumnStripes="0" showFirstColumn="1" showLastColumn="1" showRowStripes="1"/>
</table>
</file>

<file path=xl/tables/table110.xml><?xml version="1.0" encoding="utf-8"?>
<table xmlns="http://schemas.openxmlformats.org/spreadsheetml/2006/main" headerRowCount="0" ref="D94:E110" displayName="Table_110" name="Table_110" id="110">
  <tableColumns count="2">
    <tableColumn name="Column1" id="1"/>
    <tableColumn name="Column2" id="2"/>
  </tableColumns>
  <tableStyleInfo name="Claudette-style 6" showColumnStripes="0" showFirstColumn="1" showLastColumn="1" showRowStripes="1"/>
</table>
</file>

<file path=xl/tables/table111.xml><?xml version="1.0" encoding="utf-8"?>
<table xmlns="http://schemas.openxmlformats.org/spreadsheetml/2006/main" headerRowCount="0" ref="D112:E128" displayName="Table_111" name="Table_111" id="111">
  <tableColumns count="2">
    <tableColumn name="Column1" id="1"/>
    <tableColumn name="Column2" id="2"/>
  </tableColumns>
  <tableStyleInfo name="Claudette-style 7" showColumnStripes="0" showFirstColumn="1" showLastColumn="1" showRowStripes="1"/>
</table>
</file>

<file path=xl/tables/table112.xml><?xml version="1.0" encoding="utf-8"?>
<table xmlns="http://schemas.openxmlformats.org/spreadsheetml/2006/main" headerRowCount="0" ref="D130:E146" displayName="Table_112" name="Table_112" id="112">
  <tableColumns count="2">
    <tableColumn name="Column1" id="1"/>
    <tableColumn name="Column2" id="2"/>
  </tableColumns>
  <tableStyleInfo name="Claudette-style 8" showColumnStripes="0" showFirstColumn="1" showLastColumn="1" showRowStripes="1"/>
</table>
</file>

<file path=xl/tables/table113.xml><?xml version="1.0" encoding="utf-8"?>
<table xmlns="http://schemas.openxmlformats.org/spreadsheetml/2006/main" headerRowCount="0" ref="D148:E164" displayName="Table_113" name="Table_113" id="113">
  <tableColumns count="2">
    <tableColumn name="Column1" id="1"/>
    <tableColumn name="Column2" id="2"/>
  </tableColumns>
  <tableStyleInfo name="Claudette-style 9" showColumnStripes="0" showFirstColumn="1" showLastColumn="1" showRowStripes="1"/>
</table>
</file>

<file path=xl/tables/table114.xml><?xml version="1.0" encoding="utf-8"?>
<table xmlns="http://schemas.openxmlformats.org/spreadsheetml/2006/main" headerRowCount="0" ref="D166:E182" displayName="Table_114" name="Table_114" id="114">
  <tableColumns count="2">
    <tableColumn name="Column1" id="1"/>
    <tableColumn name="Column2" id="2"/>
  </tableColumns>
  <tableStyleInfo name="Claudette-style 10" showColumnStripes="0" showFirstColumn="1" showLastColumn="1" showRowStripes="1"/>
</table>
</file>

<file path=xl/tables/table115.xml><?xml version="1.0" encoding="utf-8"?>
<table xmlns="http://schemas.openxmlformats.org/spreadsheetml/2006/main" headerRowCount="0" ref="D184:E200" displayName="Table_115" name="Table_115" id="115">
  <tableColumns count="2">
    <tableColumn name="Column1" id="1"/>
    <tableColumn name="Column2" id="2"/>
  </tableColumns>
  <tableStyleInfo name="Claudette-style 11" showColumnStripes="0" showFirstColumn="1" showLastColumn="1" showRowStripes="1"/>
</table>
</file>

<file path=xl/tables/table116.xml><?xml version="1.0" encoding="utf-8"?>
<table xmlns="http://schemas.openxmlformats.org/spreadsheetml/2006/main" headerRowCount="0" ref="D202:E218" displayName="Table_116" name="Table_116" id="116">
  <tableColumns count="2">
    <tableColumn name="Column1" id="1"/>
    <tableColumn name="Column2" id="2"/>
  </tableColumns>
  <tableStyleInfo name="Claudette-style 12" showColumnStripes="0" showFirstColumn="1" showLastColumn="1" showRowStripes="1"/>
</table>
</file>

<file path=xl/tables/table117.xml><?xml version="1.0" encoding="utf-8"?>
<table xmlns="http://schemas.openxmlformats.org/spreadsheetml/2006/main" headerRowCount="0" ref="D220:E236" displayName="Table_117" name="Table_117" id="117">
  <tableColumns count="2">
    <tableColumn name="Column1" id="1"/>
    <tableColumn name="Column2" id="2"/>
  </tableColumns>
  <tableStyleInfo name="Claudette-style 13" showColumnStripes="0" showFirstColumn="1" showLastColumn="1" showRowStripes="1"/>
</table>
</file>

<file path=xl/tables/table118.xml><?xml version="1.0" encoding="utf-8"?>
<table xmlns="http://schemas.openxmlformats.org/spreadsheetml/2006/main" headerRowCount="0" ref="D238:E254" displayName="Table_118" name="Table_118" id="118">
  <tableColumns count="2">
    <tableColumn name="Column1" id="1"/>
    <tableColumn name="Column2" id="2"/>
  </tableColumns>
  <tableStyleInfo name="Claudette-style 14" showColumnStripes="0" showFirstColumn="1" showLastColumn="1" showRowStripes="1"/>
</table>
</file>

<file path=xl/tables/table119.xml><?xml version="1.0" encoding="utf-8"?>
<table xmlns="http://schemas.openxmlformats.org/spreadsheetml/2006/main" headerRowCount="0" ref="D256:E272" displayName="Table_119" name="Table_119" id="119">
  <tableColumns count="2">
    <tableColumn name="Column1" id="1"/>
    <tableColumn name="Column2" id="2"/>
  </tableColumns>
  <tableStyleInfo name="Claudette-style 15" showColumnStripes="0" showFirstColumn="1" showLastColumn="1" showRowStripes="1"/>
</table>
</file>

<file path=xl/tables/table120.xml><?xml version="1.0" encoding="utf-8"?>
<table xmlns="http://schemas.openxmlformats.org/spreadsheetml/2006/main" headerRowCount="0" ref="D274:E290" displayName="Table_120" name="Table_120" id="120">
  <tableColumns count="2">
    <tableColumn name="Column1" id="1"/>
    <tableColumn name="Column2" id="2"/>
  </tableColumns>
  <tableStyleInfo name="Claudette-style 16" showColumnStripes="0" showFirstColumn="1" showLastColumn="1" showRowStripes="1"/>
</table>
</file>

<file path=xl/tables/table121.xml><?xml version="1.0" encoding="utf-8"?>
<table xmlns="http://schemas.openxmlformats.org/spreadsheetml/2006/main" headerRowCount="0" ref="D292:E308" displayName="Table_121" name="Table_121" id="121">
  <tableColumns count="2">
    <tableColumn name="Column1" id="1"/>
    <tableColumn name="Column2" id="2"/>
  </tableColumns>
  <tableStyleInfo name="Claudette-style 17" showColumnStripes="0" showFirstColumn="1" showLastColumn="1" showRowStripes="1"/>
</table>
</file>

<file path=xl/tables/table122.xml><?xml version="1.0" encoding="utf-8"?>
<table xmlns="http://schemas.openxmlformats.org/spreadsheetml/2006/main" headerRowCount="0" ref="D310:E326" displayName="Table_122" name="Table_122" id="122">
  <tableColumns count="2">
    <tableColumn name="Column1" id="1"/>
    <tableColumn name="Column2" id="2"/>
  </tableColumns>
  <tableStyleInfo name="Claudette-style 18" showColumnStripes="0" showFirstColumn="1" showLastColumn="1" showRowStripes="1"/>
</table>
</file>

<file path=xl/tables/table123.xml><?xml version="1.0" encoding="utf-8"?>
<table xmlns="http://schemas.openxmlformats.org/spreadsheetml/2006/main" headerRowCount="0" ref="D328:E344" displayName="Table_123" name="Table_123" id="123">
  <tableColumns count="2">
    <tableColumn name="Column1" id="1"/>
    <tableColumn name="Column2" id="2"/>
  </tableColumns>
  <tableStyleInfo name="Claudette-style 19" showColumnStripes="0" showFirstColumn="1" showLastColumn="1" showRowStripes="1"/>
</table>
</file>

<file path=xl/tables/table124.xml><?xml version="1.0" encoding="utf-8"?>
<table xmlns="http://schemas.openxmlformats.org/spreadsheetml/2006/main" headerRowCount="0" ref="D346:E362" displayName="Table_124" name="Table_124" id="124">
  <tableColumns count="2">
    <tableColumn name="Column1" id="1"/>
    <tableColumn name="Column2" id="2"/>
  </tableColumns>
  <tableStyleInfo name="Claudette-style 20" showColumnStripes="0" showFirstColumn="1" showLastColumn="1" showRowStripes="1"/>
</table>
</file>

<file path=xl/tables/table125.xml><?xml version="1.0" encoding="utf-8"?>
<table xmlns="http://schemas.openxmlformats.org/spreadsheetml/2006/main" headerRowCount="0" ref="D364:E380" displayName="Table_125" name="Table_125" id="125">
  <tableColumns count="2">
    <tableColumn name="Column1" id="1"/>
    <tableColumn name="Column2" id="2"/>
  </tableColumns>
  <tableStyleInfo name="Claudette-style 21" showColumnStripes="0" showFirstColumn="1" showLastColumn="1" showRowStripes="1"/>
</table>
</file>

<file path=xl/tables/table126.xml><?xml version="1.0" encoding="utf-8"?>
<table xmlns="http://schemas.openxmlformats.org/spreadsheetml/2006/main" headerRowCount="0" ref="D382:E398" displayName="Table_126" name="Table_126" id="126">
  <tableColumns count="2">
    <tableColumn name="Column1" id="1"/>
    <tableColumn name="Column2" id="2"/>
  </tableColumns>
  <tableStyleInfo name="Claudette-style 22" showColumnStripes="0" showFirstColumn="1" showLastColumn="1" showRowStripes="1"/>
</table>
</file>

<file path=xl/tables/table127.xml><?xml version="1.0" encoding="utf-8"?>
<table xmlns="http://schemas.openxmlformats.org/spreadsheetml/2006/main" headerRowCount="0" ref="D3:E19" displayName="Table_127" name="Table_127" id="127">
  <tableColumns count="2">
    <tableColumn name="Column1" id="1"/>
    <tableColumn name="Column2" id="2"/>
  </tableColumns>
  <tableStyleInfo name="Sofhia-style" showColumnStripes="0" showFirstColumn="1" showLastColumn="1" showRowStripes="1"/>
</table>
</file>

<file path=xl/tables/table128.xml><?xml version="1.0" encoding="utf-8"?>
<table xmlns="http://schemas.openxmlformats.org/spreadsheetml/2006/main" headerRowCount="0" ref="D21:E37" displayName="Table_128" name="Table_128" id="128">
  <tableColumns count="2">
    <tableColumn name="Column1" id="1"/>
    <tableColumn name="Column2" id="2"/>
  </tableColumns>
  <tableStyleInfo name="Sofhia-style 2" showColumnStripes="0" showFirstColumn="1" showLastColumn="1" showRowStripes="1"/>
</table>
</file>

<file path=xl/tables/table129.xml><?xml version="1.0" encoding="utf-8"?>
<table xmlns="http://schemas.openxmlformats.org/spreadsheetml/2006/main" headerRowCount="0" ref="D39:E55" displayName="Table_129" name="Table_129" id="129">
  <tableColumns count="2">
    <tableColumn name="Column1" id="1"/>
    <tableColumn name="Column2" id="2"/>
  </tableColumns>
  <tableStyleInfo name="Sofhia-style 3" showColumnStripes="0" showFirstColumn="1" showLastColumn="1" showRowStripes="1"/>
</table>
</file>

<file path=xl/tables/table130.xml><?xml version="1.0" encoding="utf-8"?>
<table xmlns="http://schemas.openxmlformats.org/spreadsheetml/2006/main" headerRowCount="0" ref="D58:E74" displayName="Table_130" name="Table_130" id="130">
  <tableColumns count="2">
    <tableColumn name="Column1" id="1"/>
    <tableColumn name="Column2" id="2"/>
  </tableColumns>
  <tableStyleInfo name="Sofhia-style 4" showColumnStripes="0" showFirstColumn="1" showLastColumn="1" showRowStripes="1"/>
</table>
</file>

<file path=xl/tables/table131.xml><?xml version="1.0" encoding="utf-8"?>
<table xmlns="http://schemas.openxmlformats.org/spreadsheetml/2006/main" headerRowCount="0" ref="D76:E92" displayName="Table_131" name="Table_131" id="131">
  <tableColumns count="2">
    <tableColumn name="Column1" id="1"/>
    <tableColumn name="Column2" id="2"/>
  </tableColumns>
  <tableStyleInfo name="Sofhia-style 5" showColumnStripes="0" showFirstColumn="1" showLastColumn="1" showRowStripes="1"/>
</table>
</file>

<file path=xl/tables/table132.xml><?xml version="1.0" encoding="utf-8"?>
<table xmlns="http://schemas.openxmlformats.org/spreadsheetml/2006/main" headerRowCount="0" ref="D94:E110" displayName="Table_132" name="Table_132" id="132">
  <tableColumns count="2">
    <tableColumn name="Column1" id="1"/>
    <tableColumn name="Column2" id="2"/>
  </tableColumns>
  <tableStyleInfo name="Sofhia-style 6" showColumnStripes="0" showFirstColumn="1" showLastColumn="1" showRowStripes="1"/>
</table>
</file>

<file path=xl/tables/table133.xml><?xml version="1.0" encoding="utf-8"?>
<table xmlns="http://schemas.openxmlformats.org/spreadsheetml/2006/main" headerRowCount="0" ref="D112:E128" displayName="Table_133" name="Table_133" id="133">
  <tableColumns count="2">
    <tableColumn name="Column1" id="1"/>
    <tableColumn name="Column2" id="2"/>
  </tableColumns>
  <tableStyleInfo name="Sofhia-style 7" showColumnStripes="0" showFirstColumn="1" showLastColumn="1" showRowStripes="1"/>
</table>
</file>

<file path=xl/tables/table134.xml><?xml version="1.0" encoding="utf-8"?>
<table xmlns="http://schemas.openxmlformats.org/spreadsheetml/2006/main" headerRowCount="0" ref="D130:E146" displayName="Table_134" name="Table_134" id="134">
  <tableColumns count="2">
    <tableColumn name="Column1" id="1"/>
    <tableColumn name="Column2" id="2"/>
  </tableColumns>
  <tableStyleInfo name="Sofhia-style 8" showColumnStripes="0" showFirstColumn="1" showLastColumn="1" showRowStripes="1"/>
</table>
</file>

<file path=xl/tables/table135.xml><?xml version="1.0" encoding="utf-8"?>
<table xmlns="http://schemas.openxmlformats.org/spreadsheetml/2006/main" headerRowCount="0" ref="D148:E164" displayName="Table_135" name="Table_135" id="135">
  <tableColumns count="2">
    <tableColumn name="Column1" id="1"/>
    <tableColumn name="Column2" id="2"/>
  </tableColumns>
  <tableStyleInfo name="Sofhia-style 9" showColumnStripes="0" showFirstColumn="1" showLastColumn="1" showRowStripes="1"/>
</table>
</file>

<file path=xl/tables/table136.xml><?xml version="1.0" encoding="utf-8"?>
<table xmlns="http://schemas.openxmlformats.org/spreadsheetml/2006/main" headerRowCount="0" ref="D166:E182" displayName="Table_136" name="Table_136" id="136">
  <tableColumns count="2">
    <tableColumn name="Column1" id="1"/>
    <tableColumn name="Column2" id="2"/>
  </tableColumns>
  <tableStyleInfo name="Sofhia-style 10" showColumnStripes="0" showFirstColumn="1" showLastColumn="1" showRowStripes="1"/>
</table>
</file>

<file path=xl/tables/table137.xml><?xml version="1.0" encoding="utf-8"?>
<table xmlns="http://schemas.openxmlformats.org/spreadsheetml/2006/main" headerRowCount="0" ref="D184:E200" displayName="Table_137" name="Table_137" id="137">
  <tableColumns count="2">
    <tableColumn name="Column1" id="1"/>
    <tableColumn name="Column2" id="2"/>
  </tableColumns>
  <tableStyleInfo name="Sofhia-style 11" showColumnStripes="0" showFirstColumn="1" showLastColumn="1" showRowStripes="1"/>
</table>
</file>

<file path=xl/tables/table138.xml><?xml version="1.0" encoding="utf-8"?>
<table xmlns="http://schemas.openxmlformats.org/spreadsheetml/2006/main" headerRowCount="0" ref="D202:E218" displayName="Table_138" name="Table_138" id="138">
  <tableColumns count="2">
    <tableColumn name="Column1" id="1"/>
    <tableColumn name="Column2" id="2"/>
  </tableColumns>
  <tableStyleInfo name="Sofhia-style 12" showColumnStripes="0" showFirstColumn="1" showLastColumn="1" showRowStripes="1"/>
</table>
</file>

<file path=xl/tables/table139.xml><?xml version="1.0" encoding="utf-8"?>
<table xmlns="http://schemas.openxmlformats.org/spreadsheetml/2006/main" headerRowCount="0" ref="D220:E236" displayName="Table_139" name="Table_139" id="139">
  <tableColumns count="2">
    <tableColumn name="Column1" id="1"/>
    <tableColumn name="Column2" id="2"/>
  </tableColumns>
  <tableStyleInfo name="Sofhia-style 13" showColumnStripes="0" showFirstColumn="1" showLastColumn="1" showRowStripes="1"/>
</table>
</file>

<file path=xl/tables/table140.xml><?xml version="1.0" encoding="utf-8"?>
<table xmlns="http://schemas.openxmlformats.org/spreadsheetml/2006/main" headerRowCount="0" ref="D238:E254" displayName="Table_140" name="Table_140" id="140">
  <tableColumns count="2">
    <tableColumn name="Column1" id="1"/>
    <tableColumn name="Column2" id="2"/>
  </tableColumns>
  <tableStyleInfo name="Sofhia-style 14" showColumnStripes="0" showFirstColumn="1" showLastColumn="1" showRowStripes="1"/>
</table>
</file>

<file path=xl/tables/table141.xml><?xml version="1.0" encoding="utf-8"?>
<table xmlns="http://schemas.openxmlformats.org/spreadsheetml/2006/main" headerRowCount="0" ref="D256:E272" displayName="Table_141" name="Table_141" id="141">
  <tableColumns count="2">
    <tableColumn name="Column1" id="1"/>
    <tableColumn name="Column2" id="2"/>
  </tableColumns>
  <tableStyleInfo name="Sofhia-style 15" showColumnStripes="0" showFirstColumn="1" showLastColumn="1" showRowStripes="1"/>
</table>
</file>

<file path=xl/tables/table142.xml><?xml version="1.0" encoding="utf-8"?>
<table xmlns="http://schemas.openxmlformats.org/spreadsheetml/2006/main" headerRowCount="0" ref="D274:E290" displayName="Table_142" name="Table_142" id="142">
  <tableColumns count="2">
    <tableColumn name="Column1" id="1"/>
    <tableColumn name="Column2" id="2"/>
  </tableColumns>
  <tableStyleInfo name="Sofhia-style 16" showColumnStripes="0" showFirstColumn="1" showLastColumn="1" showRowStripes="1"/>
</table>
</file>

<file path=xl/tables/table143.xml><?xml version="1.0" encoding="utf-8"?>
<table xmlns="http://schemas.openxmlformats.org/spreadsheetml/2006/main" headerRowCount="0" ref="D292:E308" displayName="Table_143" name="Table_143" id="143">
  <tableColumns count="2">
    <tableColumn name="Column1" id="1"/>
    <tableColumn name="Column2" id="2"/>
  </tableColumns>
  <tableStyleInfo name="Sofhia-style 17" showColumnStripes="0" showFirstColumn="1" showLastColumn="1" showRowStripes="1"/>
</table>
</file>

<file path=xl/tables/table144.xml><?xml version="1.0" encoding="utf-8"?>
<table xmlns="http://schemas.openxmlformats.org/spreadsheetml/2006/main" headerRowCount="0" ref="D310:E326" displayName="Table_144" name="Table_144" id="144">
  <tableColumns count="2">
    <tableColumn name="Column1" id="1"/>
    <tableColumn name="Column2" id="2"/>
  </tableColumns>
  <tableStyleInfo name="Sofhia-style 18" showColumnStripes="0" showFirstColumn="1" showLastColumn="1" showRowStripes="1"/>
</table>
</file>

<file path=xl/tables/table145.xml><?xml version="1.0" encoding="utf-8"?>
<table xmlns="http://schemas.openxmlformats.org/spreadsheetml/2006/main" headerRowCount="0" ref="D328:E344" displayName="Table_145" name="Table_145" id="145">
  <tableColumns count="2">
    <tableColumn name="Column1" id="1"/>
    <tableColumn name="Column2" id="2"/>
  </tableColumns>
  <tableStyleInfo name="Sofhia-style 19" showColumnStripes="0" showFirstColumn="1" showLastColumn="1" showRowStripes="1"/>
</table>
</file>

<file path=xl/tables/table146.xml><?xml version="1.0" encoding="utf-8"?>
<table xmlns="http://schemas.openxmlformats.org/spreadsheetml/2006/main" headerRowCount="0" ref="D346:E362" displayName="Table_146" name="Table_146" id="146">
  <tableColumns count="2">
    <tableColumn name="Column1" id="1"/>
    <tableColumn name="Column2" id="2"/>
  </tableColumns>
  <tableStyleInfo name="Sofhia-style 20" showColumnStripes="0" showFirstColumn="1" showLastColumn="1" showRowStripes="1"/>
</table>
</file>

<file path=xl/tables/table147.xml><?xml version="1.0" encoding="utf-8"?>
<table xmlns="http://schemas.openxmlformats.org/spreadsheetml/2006/main" headerRowCount="0" ref="D364:E380" displayName="Table_147" name="Table_147" id="147">
  <tableColumns count="2">
    <tableColumn name="Column1" id="1"/>
    <tableColumn name="Column2" id="2"/>
  </tableColumns>
  <tableStyleInfo name="Sofhia-style 21" showColumnStripes="0" showFirstColumn="1" showLastColumn="1" showRowStripes="1"/>
</table>
</file>

<file path=xl/tables/table148.xml><?xml version="1.0" encoding="utf-8"?>
<table xmlns="http://schemas.openxmlformats.org/spreadsheetml/2006/main" headerRowCount="0" ref="D382:E398" displayName="Table_148" name="Table_148" id="148">
  <tableColumns count="2">
    <tableColumn name="Column1" id="1"/>
    <tableColumn name="Column2" id="2"/>
  </tableColumns>
  <tableStyleInfo name="Sofhia-style 22" showColumnStripes="0" showFirstColumn="1" showLastColumn="1" showRowStripes="1"/>
</table>
</file>

<file path=xl/tables/table149.xml><?xml version="1.0" encoding="utf-8"?>
<table xmlns="http://schemas.openxmlformats.org/spreadsheetml/2006/main" headerRowCount="0" ref="N89" displayName="Table_149" name="Table_149" id="149">
  <tableColumns count="1">
    <tableColumn name="Column1" id="1"/>
  </tableColumns>
  <tableStyleInfo name="Cherry-style" showColumnStripes="0" showFirstColumn="1" showLastColumn="1" showRowStripes="1"/>
</table>
</file>

<file path=xl/tables/table150.xml><?xml version="1.0" encoding="utf-8"?>
<table xmlns="http://schemas.openxmlformats.org/spreadsheetml/2006/main" headerRowCount="0" ref="D1:E17" displayName="Table_150" name="Table_150" id="150">
  <tableColumns count="2">
    <tableColumn name="Column1" id="1"/>
    <tableColumn name="Column2" id="2"/>
  </tableColumns>
  <tableStyleInfo name="Lyra-style" showColumnStripes="0" showFirstColumn="1" showLastColumn="1" showRowStripes="1"/>
</table>
</file>

<file path=xl/tables/table151.xml><?xml version="1.0" encoding="utf-8"?>
<table xmlns="http://schemas.openxmlformats.org/spreadsheetml/2006/main" headerRowCount="0" ref="D1:E17" displayName="Table_151" name="Table_151" id="151">
  <tableColumns count="2">
    <tableColumn name="Column1" id="1"/>
    <tableColumn name="Column2" id="2"/>
  </tableColumns>
  <tableStyleInfo name="Mikka-style" showColumnStripes="0" showFirstColumn="1" showLastColumn="1" showRowStripes="1"/>
</table>
</file>

<file path=xl/tables/table152.xml><?xml version="1.0" encoding="utf-8"?>
<table xmlns="http://schemas.openxmlformats.org/spreadsheetml/2006/main" headerRowCount="0" ref="D18:E34" displayName="Table_152" name="Table_152" id="152">
  <tableColumns count="2">
    <tableColumn name="Column1" id="1"/>
    <tableColumn name="Column2" id="2"/>
  </tableColumns>
  <tableStyleInfo name="Mikka-style 2" showColumnStripes="0" showFirstColumn="1" showLastColumn="1" showRowStripes="1"/>
</table>
</file>

<file path=xl/tables/table153.xml><?xml version="1.0" encoding="utf-8"?>
<table xmlns="http://schemas.openxmlformats.org/spreadsheetml/2006/main" headerRowCount="0" ref="A2:AL9" displayName="Table_153" name="Table_153" id="153">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MONTHLY SCOREC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17.xml"/><Relationship Id="rId84" Type="http://schemas.openxmlformats.org/officeDocument/2006/relationships/table" Target="../tables/table39.xml"/><Relationship Id="rId61" Type="http://schemas.openxmlformats.org/officeDocument/2006/relationships/table" Target="../tables/table16.xml"/><Relationship Id="rId83" Type="http://schemas.openxmlformats.org/officeDocument/2006/relationships/table" Target="../tables/table38.xml"/><Relationship Id="rId64" Type="http://schemas.openxmlformats.org/officeDocument/2006/relationships/table" Target="../tables/table19.xml"/><Relationship Id="rId86" Type="http://schemas.openxmlformats.org/officeDocument/2006/relationships/table" Target="../tables/table41.xml"/><Relationship Id="rId63" Type="http://schemas.openxmlformats.org/officeDocument/2006/relationships/table" Target="../tables/table18.xml"/><Relationship Id="rId85" Type="http://schemas.openxmlformats.org/officeDocument/2006/relationships/table" Target="../tables/table40.xml"/><Relationship Id="rId66" Type="http://schemas.openxmlformats.org/officeDocument/2006/relationships/table" Target="../tables/table21.xml"/><Relationship Id="rId88" Type="http://schemas.openxmlformats.org/officeDocument/2006/relationships/table" Target="../tables/table43.xml"/><Relationship Id="rId65" Type="http://schemas.openxmlformats.org/officeDocument/2006/relationships/table" Target="../tables/table20.xml"/><Relationship Id="rId87" Type="http://schemas.openxmlformats.org/officeDocument/2006/relationships/table" Target="../tables/table42.xml"/><Relationship Id="rId68" Type="http://schemas.openxmlformats.org/officeDocument/2006/relationships/table" Target="../tables/table23.xml"/><Relationship Id="rId67" Type="http://schemas.openxmlformats.org/officeDocument/2006/relationships/table" Target="../tables/table22.xml"/><Relationship Id="rId89" Type="http://schemas.openxmlformats.org/officeDocument/2006/relationships/table" Target="../tables/table44.xml"/><Relationship Id="rId80" Type="http://schemas.openxmlformats.org/officeDocument/2006/relationships/table" Target="../tables/table35.xml"/><Relationship Id="rId60" Type="http://schemas.openxmlformats.org/officeDocument/2006/relationships/table" Target="../tables/table15.xml"/><Relationship Id="rId82" Type="http://schemas.openxmlformats.org/officeDocument/2006/relationships/table" Target="../tables/table37.xml"/><Relationship Id="rId81" Type="http://schemas.openxmlformats.org/officeDocument/2006/relationships/table" Target="../tables/table36.xml"/><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48" Type="http://schemas.openxmlformats.org/officeDocument/2006/relationships/table" Target="../tables/table3.xml"/><Relationship Id="rId47" Type="http://schemas.openxmlformats.org/officeDocument/2006/relationships/table" Target="../tables/table2.xml"/><Relationship Id="rId69" Type="http://schemas.openxmlformats.org/officeDocument/2006/relationships/table" Target="../tables/table24.xml"/><Relationship Id="rId49" Type="http://schemas.openxmlformats.org/officeDocument/2006/relationships/table" Target="../tables/table4.xml"/><Relationship Id="rId51" Type="http://schemas.openxmlformats.org/officeDocument/2006/relationships/table" Target="../tables/table6.xml"/><Relationship Id="rId73" Type="http://schemas.openxmlformats.org/officeDocument/2006/relationships/table" Target="../tables/table28.xml"/><Relationship Id="rId50" Type="http://schemas.openxmlformats.org/officeDocument/2006/relationships/table" Target="../tables/table5.xml"/><Relationship Id="rId72" Type="http://schemas.openxmlformats.org/officeDocument/2006/relationships/table" Target="../tables/table27.xml"/><Relationship Id="rId53" Type="http://schemas.openxmlformats.org/officeDocument/2006/relationships/table" Target="../tables/table8.xml"/><Relationship Id="rId75" Type="http://schemas.openxmlformats.org/officeDocument/2006/relationships/table" Target="../tables/table30.xml"/><Relationship Id="rId52" Type="http://schemas.openxmlformats.org/officeDocument/2006/relationships/table" Target="../tables/table7.xml"/><Relationship Id="rId74" Type="http://schemas.openxmlformats.org/officeDocument/2006/relationships/table" Target="../tables/table29.xml"/><Relationship Id="rId55" Type="http://schemas.openxmlformats.org/officeDocument/2006/relationships/table" Target="../tables/table10.xml"/><Relationship Id="rId77" Type="http://schemas.openxmlformats.org/officeDocument/2006/relationships/table" Target="../tables/table32.xml"/><Relationship Id="rId54" Type="http://schemas.openxmlformats.org/officeDocument/2006/relationships/table" Target="../tables/table9.xml"/><Relationship Id="rId76" Type="http://schemas.openxmlformats.org/officeDocument/2006/relationships/table" Target="../tables/table31.xml"/><Relationship Id="rId57" Type="http://schemas.openxmlformats.org/officeDocument/2006/relationships/table" Target="../tables/table12.xml"/><Relationship Id="rId79" Type="http://schemas.openxmlformats.org/officeDocument/2006/relationships/table" Target="../tables/table34.xml"/><Relationship Id="rId56" Type="http://schemas.openxmlformats.org/officeDocument/2006/relationships/table" Target="../tables/table11.xml"/><Relationship Id="rId78" Type="http://schemas.openxmlformats.org/officeDocument/2006/relationships/table" Target="../tables/table33.xml"/><Relationship Id="rId71" Type="http://schemas.openxmlformats.org/officeDocument/2006/relationships/table" Target="../tables/table26.xml"/><Relationship Id="rId70" Type="http://schemas.openxmlformats.org/officeDocument/2006/relationships/table" Target="../tables/table25.xml"/><Relationship Id="rId59" Type="http://schemas.openxmlformats.org/officeDocument/2006/relationships/table" Target="../tables/table14.xml"/><Relationship Id="rId5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horizondirect.gorgias.com/app/ticket/378586468" TargetMode="External"/><Relationship Id="rId194" Type="http://schemas.openxmlformats.org/officeDocument/2006/relationships/hyperlink" Target="https://horizondirect.gorgias.com/app/ticket/378867613" TargetMode="External"/><Relationship Id="rId193" Type="http://schemas.openxmlformats.org/officeDocument/2006/relationships/hyperlink" Target="https://horizondirect.gorgias.com/app/ticket/378851700" TargetMode="External"/><Relationship Id="rId192" Type="http://schemas.openxmlformats.org/officeDocument/2006/relationships/hyperlink" Target="https://horizondirect.gorgias.com/app/ticket/378839596" TargetMode="External"/><Relationship Id="rId191" Type="http://schemas.openxmlformats.org/officeDocument/2006/relationships/hyperlink" Target="https://horizondirect.gorgias.com/app/ticket/378587905" TargetMode="External"/><Relationship Id="rId187" Type="http://schemas.openxmlformats.org/officeDocument/2006/relationships/hyperlink" Target="https://horizondirect.gorgias.com/app/ticket/378401622" TargetMode="External"/><Relationship Id="rId186" Type="http://schemas.openxmlformats.org/officeDocument/2006/relationships/hyperlink" Target="https://horizondirect.gorgias.com/app/ticket/378396112" TargetMode="External"/><Relationship Id="rId185" Type="http://schemas.openxmlformats.org/officeDocument/2006/relationships/hyperlink" Target="https://horizondirect.gorgias.com/app/ticket/378123810" TargetMode="External"/><Relationship Id="rId184" Type="http://schemas.openxmlformats.org/officeDocument/2006/relationships/hyperlink" Target="https://horizondirect.gorgias.com/app/ticket/378113297" TargetMode="External"/><Relationship Id="rId189" Type="http://schemas.openxmlformats.org/officeDocument/2006/relationships/hyperlink" Target="https://horizondirect.gorgias.com/app/ticket/378572079" TargetMode="External"/><Relationship Id="rId188" Type="http://schemas.openxmlformats.org/officeDocument/2006/relationships/hyperlink" Target="https://horizondirect.gorgias.com/app/ticket/378423243" TargetMode="External"/><Relationship Id="rId183" Type="http://schemas.openxmlformats.org/officeDocument/2006/relationships/hyperlink" Target="https://horizondirect.gorgias.com/app/ticket/378109778" TargetMode="External"/><Relationship Id="rId182" Type="http://schemas.openxmlformats.org/officeDocument/2006/relationships/hyperlink" Target="https://horizondirect.gorgias.com/app/ticket/377969278" TargetMode="External"/><Relationship Id="rId181" Type="http://schemas.openxmlformats.org/officeDocument/2006/relationships/hyperlink" Target="https://horizondirect.gorgias.com/app/ticket/377949965" TargetMode="External"/><Relationship Id="rId180" Type="http://schemas.openxmlformats.org/officeDocument/2006/relationships/hyperlink" Target="https://horizondirect.gorgias.com/app/ticket/377692855" TargetMode="External"/><Relationship Id="rId176" Type="http://schemas.openxmlformats.org/officeDocument/2006/relationships/hyperlink" Target="https://horizondirect.gorgias.com/app/ticket/377505218" TargetMode="External"/><Relationship Id="rId297" Type="http://schemas.openxmlformats.org/officeDocument/2006/relationships/hyperlink" Target="https://horizondirect.gorgias.com/app/ticket/385359237" TargetMode="External"/><Relationship Id="rId175" Type="http://schemas.openxmlformats.org/officeDocument/2006/relationships/hyperlink" Target="https://horizondirect.gorgias.com/app/ticket/377499453" TargetMode="External"/><Relationship Id="rId296" Type="http://schemas.openxmlformats.org/officeDocument/2006/relationships/hyperlink" Target="https://horizondirect.gorgias.com/app/ticket/385185354" TargetMode="External"/><Relationship Id="rId174" Type="http://schemas.openxmlformats.org/officeDocument/2006/relationships/hyperlink" Target="https://horizondirect.gorgias.com/app/ticket/377377957" TargetMode="External"/><Relationship Id="rId295" Type="http://schemas.openxmlformats.org/officeDocument/2006/relationships/hyperlink" Target="https://horizondirect.gorgias.com/app/ticket/385177030" TargetMode="External"/><Relationship Id="rId173" Type="http://schemas.openxmlformats.org/officeDocument/2006/relationships/hyperlink" Target="https://horizondirect.gorgias.com/app/ticket/377367720" TargetMode="External"/><Relationship Id="rId294" Type="http://schemas.openxmlformats.org/officeDocument/2006/relationships/hyperlink" Target="https://horizondirect.gorgias.com/app/ticket/385168461" TargetMode="External"/><Relationship Id="rId179" Type="http://schemas.openxmlformats.org/officeDocument/2006/relationships/hyperlink" Target="https://horizondirect.gorgias.com/app/ticket/377685704" TargetMode="External"/><Relationship Id="rId178" Type="http://schemas.openxmlformats.org/officeDocument/2006/relationships/hyperlink" Target="https://horizondirect.gorgias.com/app/ticket/377675113" TargetMode="External"/><Relationship Id="rId299" Type="http://schemas.openxmlformats.org/officeDocument/2006/relationships/hyperlink" Target="https://horizondirect.gorgias.com/app/ticket/385351463" TargetMode="External"/><Relationship Id="rId177" Type="http://schemas.openxmlformats.org/officeDocument/2006/relationships/hyperlink" Target="https://horizondirect.gorgias.com/app/ticket/377534388" TargetMode="External"/><Relationship Id="rId298" Type="http://schemas.openxmlformats.org/officeDocument/2006/relationships/hyperlink" Target="https://horizondirect.gorgias.com/app/ticket/385352418" TargetMode="External"/><Relationship Id="rId198" Type="http://schemas.openxmlformats.org/officeDocument/2006/relationships/hyperlink" Target="https://horizondirect.gorgias.com/app/ticket/379151204" TargetMode="External"/><Relationship Id="rId197" Type="http://schemas.openxmlformats.org/officeDocument/2006/relationships/hyperlink" Target="https://horizondirect.gorgias.com/app/ticket/379008115" TargetMode="External"/><Relationship Id="rId196" Type="http://schemas.openxmlformats.org/officeDocument/2006/relationships/hyperlink" Target="https://horizondirect.gorgias.com/app/ticket/378995803" TargetMode="External"/><Relationship Id="rId195" Type="http://schemas.openxmlformats.org/officeDocument/2006/relationships/hyperlink" Target="https://horizondirect.gorgias.com/app/ticket/378984027" TargetMode="External"/><Relationship Id="rId199" Type="http://schemas.openxmlformats.org/officeDocument/2006/relationships/hyperlink" Target="https://horizondirect.gorgias.com/app/ticket/379151766" TargetMode="External"/><Relationship Id="rId150" Type="http://schemas.openxmlformats.org/officeDocument/2006/relationships/hyperlink" Target="https://horizondirect.gorgias.com/app/ticket/376025882" TargetMode="External"/><Relationship Id="rId271" Type="http://schemas.openxmlformats.org/officeDocument/2006/relationships/hyperlink" Target="https://horizondirect.gorgias.com/app/ticket/383587132" TargetMode="External"/><Relationship Id="rId392" Type="http://schemas.openxmlformats.org/officeDocument/2006/relationships/hyperlink" Target="https://4ammedia.zendesk.com/agent/tickets/145335" TargetMode="External"/><Relationship Id="rId270" Type="http://schemas.openxmlformats.org/officeDocument/2006/relationships/hyperlink" Target="https://horizondirect.gorgias.com/app/ticket/383576028" TargetMode="External"/><Relationship Id="rId391" Type="http://schemas.openxmlformats.org/officeDocument/2006/relationships/hyperlink" Target="https://4ammedia.zendesk.com/agent/tickets/145322" TargetMode="External"/><Relationship Id="rId390" Type="http://schemas.openxmlformats.org/officeDocument/2006/relationships/hyperlink" Target="https://4ammedia.zendesk.com/agent/tickets/145301" TargetMode="External"/><Relationship Id="rId1" Type="http://schemas.openxmlformats.org/officeDocument/2006/relationships/hyperlink" Target="https://horizondirect.gorgias.com/app/ticket/365280865" TargetMode="External"/><Relationship Id="rId2" Type="http://schemas.openxmlformats.org/officeDocument/2006/relationships/hyperlink" Target="https://horizondirect.gorgias.com/app/ticket/365293163" TargetMode="External"/><Relationship Id="rId3" Type="http://schemas.openxmlformats.org/officeDocument/2006/relationships/hyperlink" Target="https://horizondirect.gorgias.com/app/ticket/365299216" TargetMode="External"/><Relationship Id="rId149" Type="http://schemas.openxmlformats.org/officeDocument/2006/relationships/hyperlink" Target="https://horizondirect.gorgias.com/app/ticket/376025146" TargetMode="External"/><Relationship Id="rId4" Type="http://schemas.openxmlformats.org/officeDocument/2006/relationships/hyperlink" Target="https://horizondirect.gorgias.com/app/ticket/365420335" TargetMode="External"/><Relationship Id="rId148" Type="http://schemas.openxmlformats.org/officeDocument/2006/relationships/hyperlink" Target="https://horizondirect.gorgias.com/app/ticket/376024177" TargetMode="External"/><Relationship Id="rId269" Type="http://schemas.openxmlformats.org/officeDocument/2006/relationships/hyperlink" Target="https://horizondirect.gorgias.com/app/ticket/383451855" TargetMode="External"/><Relationship Id="rId9" Type="http://schemas.openxmlformats.org/officeDocument/2006/relationships/hyperlink" Target="https://horizondirect.gorgias.com/app/ticket/365598083" TargetMode="External"/><Relationship Id="rId143" Type="http://schemas.openxmlformats.org/officeDocument/2006/relationships/hyperlink" Target="https://horizondirect.gorgias.com/app/ticket/375292716" TargetMode="External"/><Relationship Id="rId264" Type="http://schemas.openxmlformats.org/officeDocument/2006/relationships/hyperlink" Target="https://horizondirect.gorgias.com/app/ticket/383131656" TargetMode="External"/><Relationship Id="rId385" Type="http://schemas.openxmlformats.org/officeDocument/2006/relationships/hyperlink" Target="https://4ammedia.zendesk.com/agent/tickets/142267" TargetMode="External"/><Relationship Id="rId142" Type="http://schemas.openxmlformats.org/officeDocument/2006/relationships/hyperlink" Target="https://horizondirect.gorgias.com/app/ticket/375299503" TargetMode="External"/><Relationship Id="rId263" Type="http://schemas.openxmlformats.org/officeDocument/2006/relationships/hyperlink" Target="https://horizondirect.gorgias.com/app/ticket/383018771" TargetMode="External"/><Relationship Id="rId384" Type="http://schemas.openxmlformats.org/officeDocument/2006/relationships/hyperlink" Target="https://4ammedia.zendesk.com/agent/tickets/142249" TargetMode="External"/><Relationship Id="rId141" Type="http://schemas.openxmlformats.org/officeDocument/2006/relationships/hyperlink" Target="https://horizondirect.gorgias.com/app/ticket/375167384" TargetMode="External"/><Relationship Id="rId262" Type="http://schemas.openxmlformats.org/officeDocument/2006/relationships/hyperlink" Target="https://horizondirect.gorgias.com/app/ticket/383010770" TargetMode="External"/><Relationship Id="rId383" Type="http://schemas.openxmlformats.org/officeDocument/2006/relationships/hyperlink" Target="https://assets.aircall.io/calls/3776422366/recording" TargetMode="External"/><Relationship Id="rId140" Type="http://schemas.openxmlformats.org/officeDocument/2006/relationships/hyperlink" Target="https://horizondirect.gorgias.com/app/ticket/375160622" TargetMode="External"/><Relationship Id="rId261" Type="http://schemas.openxmlformats.org/officeDocument/2006/relationships/hyperlink" Target="https://horizondirect.gorgias.com/app/ticket/383002767" TargetMode="External"/><Relationship Id="rId382" Type="http://schemas.openxmlformats.org/officeDocument/2006/relationships/hyperlink" Target="https://assets.aircall.io/calls/3776240249/recording" TargetMode="External"/><Relationship Id="rId5" Type="http://schemas.openxmlformats.org/officeDocument/2006/relationships/hyperlink" Target="https://horizondirect.gorgias.com/app/ticket/365427918" TargetMode="External"/><Relationship Id="rId147" Type="http://schemas.openxmlformats.org/officeDocument/2006/relationships/hyperlink" Target="https://horizondirect.gorgias.com/app/ticket/375440210" TargetMode="External"/><Relationship Id="rId268" Type="http://schemas.openxmlformats.org/officeDocument/2006/relationships/hyperlink" Target="https://horizondirect.gorgias.com/app/ticket/383443889" TargetMode="External"/><Relationship Id="rId389" Type="http://schemas.openxmlformats.org/officeDocument/2006/relationships/hyperlink" Target="https://4ammedia.zendesk.com/agent/tickets/143864" TargetMode="External"/><Relationship Id="rId6" Type="http://schemas.openxmlformats.org/officeDocument/2006/relationships/hyperlink" Target="https://horizondirect.gorgias.com/app/ticket/365435295" TargetMode="External"/><Relationship Id="rId146" Type="http://schemas.openxmlformats.org/officeDocument/2006/relationships/hyperlink" Target="https://horizondirect.gorgias.com/app/ticket/375432011" TargetMode="External"/><Relationship Id="rId267" Type="http://schemas.openxmlformats.org/officeDocument/2006/relationships/hyperlink" Target="https://horizondirect.gorgias.com/app/ticket/383439909" TargetMode="External"/><Relationship Id="rId388" Type="http://schemas.openxmlformats.org/officeDocument/2006/relationships/hyperlink" Target="https://4ammedia.zendesk.com/agent/tickets/143818" TargetMode="External"/><Relationship Id="rId7" Type="http://schemas.openxmlformats.org/officeDocument/2006/relationships/hyperlink" Target="https://horizondirect.gorgias.com/app/ticket/365572094" TargetMode="External"/><Relationship Id="rId145" Type="http://schemas.openxmlformats.org/officeDocument/2006/relationships/hyperlink" Target="https://horizondirect.gorgias.com/app/ticket/375434525" TargetMode="External"/><Relationship Id="rId266" Type="http://schemas.openxmlformats.org/officeDocument/2006/relationships/hyperlink" Target="https://horizondirect.gorgias.com/app/ticket/383161864" TargetMode="External"/><Relationship Id="rId387" Type="http://schemas.openxmlformats.org/officeDocument/2006/relationships/hyperlink" Target="https://4ammedia.zendesk.com/agent/tickets/143760" TargetMode="External"/><Relationship Id="rId8" Type="http://schemas.openxmlformats.org/officeDocument/2006/relationships/hyperlink" Target="https://horizondirect.gorgias.com/app/ticket/365579851" TargetMode="External"/><Relationship Id="rId144" Type="http://schemas.openxmlformats.org/officeDocument/2006/relationships/hyperlink" Target="https://horizondirect.gorgias.com/app/ticket/375324164" TargetMode="External"/><Relationship Id="rId265" Type="http://schemas.openxmlformats.org/officeDocument/2006/relationships/hyperlink" Target="https://horizondirect.gorgias.com/app/ticket/383145300" TargetMode="External"/><Relationship Id="rId386" Type="http://schemas.openxmlformats.org/officeDocument/2006/relationships/hyperlink" Target="https://4ammedia.zendesk.com/agent/tickets/142432" TargetMode="External"/><Relationship Id="rId260" Type="http://schemas.openxmlformats.org/officeDocument/2006/relationships/hyperlink" Target="https://horizondirect.gorgias.com/app/ticket/382869972" TargetMode="External"/><Relationship Id="rId381" Type="http://schemas.openxmlformats.org/officeDocument/2006/relationships/hyperlink" Target="https://assets.aircall.io/calls/3776112842/recording" TargetMode="External"/><Relationship Id="rId380" Type="http://schemas.openxmlformats.org/officeDocument/2006/relationships/hyperlink" Target="https://assets.aircall.io/calls/3773044802/recording" TargetMode="External"/><Relationship Id="rId139" Type="http://schemas.openxmlformats.org/officeDocument/2006/relationships/hyperlink" Target="https://horizondirect.gorgias.com/app/ticket/375153368" TargetMode="External"/><Relationship Id="rId138" Type="http://schemas.openxmlformats.org/officeDocument/2006/relationships/hyperlink" Target="https://horizondirect.gorgias.com/app/ticket/374920186" TargetMode="External"/><Relationship Id="rId259" Type="http://schemas.openxmlformats.org/officeDocument/2006/relationships/hyperlink" Target="https://horizondirect.gorgias.com/app/ticket/382862264" TargetMode="External"/><Relationship Id="rId137" Type="http://schemas.openxmlformats.org/officeDocument/2006/relationships/hyperlink" Target="https://horizondirect.gorgias.com/app/ticket/374919941" TargetMode="External"/><Relationship Id="rId258" Type="http://schemas.openxmlformats.org/officeDocument/2006/relationships/hyperlink" Target="https://horizondirect.gorgias.com/app/ticket/382854097" TargetMode="External"/><Relationship Id="rId379" Type="http://schemas.openxmlformats.org/officeDocument/2006/relationships/hyperlink" Target="https://assets.aircall.io/calls/3773024066/recording" TargetMode="External"/><Relationship Id="rId132" Type="http://schemas.openxmlformats.org/officeDocument/2006/relationships/hyperlink" Target="https://horizondirect.gorgias.com/app/ticket/374542799" TargetMode="External"/><Relationship Id="rId253" Type="http://schemas.openxmlformats.org/officeDocument/2006/relationships/hyperlink" Target="https://horizondirect.gorgias.com/app/ticket/382607946" TargetMode="External"/><Relationship Id="rId374" Type="http://schemas.openxmlformats.org/officeDocument/2006/relationships/hyperlink" Target="https://assets.aircall.io/calls/3766053328/recording" TargetMode="External"/><Relationship Id="rId495" Type="http://schemas.openxmlformats.org/officeDocument/2006/relationships/hyperlink" Target="https://4ammedia.zendesk.com/agent/tickets/230808" TargetMode="External"/><Relationship Id="rId131" Type="http://schemas.openxmlformats.org/officeDocument/2006/relationships/hyperlink" Target="https://horizondirect.gorgias.com/app/ticket/374541596" TargetMode="External"/><Relationship Id="rId252" Type="http://schemas.openxmlformats.org/officeDocument/2006/relationships/hyperlink" Target="https://horizondirect.gorgias.com/app/ticket/382606345" TargetMode="External"/><Relationship Id="rId373" Type="http://schemas.openxmlformats.org/officeDocument/2006/relationships/hyperlink" Target="https://assets.aircall.io/calls/3765916950/recording" TargetMode="External"/><Relationship Id="rId494" Type="http://schemas.openxmlformats.org/officeDocument/2006/relationships/hyperlink" Target="https://4ammedia.zendesk.com/agent/tickets/230672" TargetMode="External"/><Relationship Id="rId130" Type="http://schemas.openxmlformats.org/officeDocument/2006/relationships/hyperlink" Target="https://horizondirect.gorgias.com/app/ticket/374539824" TargetMode="External"/><Relationship Id="rId251" Type="http://schemas.openxmlformats.org/officeDocument/2006/relationships/hyperlink" Target="https://horizondirect.gorgias.com/app/ticket/382258746" TargetMode="External"/><Relationship Id="rId372" Type="http://schemas.openxmlformats.org/officeDocument/2006/relationships/hyperlink" Target="https://assets.aircall.io/calls/3765801433/recording" TargetMode="External"/><Relationship Id="rId493" Type="http://schemas.openxmlformats.org/officeDocument/2006/relationships/hyperlink" Target="https://4ammedia.zendesk.com/agent/tickets/228944" TargetMode="External"/><Relationship Id="rId250" Type="http://schemas.openxmlformats.org/officeDocument/2006/relationships/hyperlink" Target="https://horizondirect.gorgias.com/app/ticket/382256196" TargetMode="External"/><Relationship Id="rId371" Type="http://schemas.openxmlformats.org/officeDocument/2006/relationships/hyperlink" Target="https://assets.aircall.io/calls/3761427549/recording" TargetMode="External"/><Relationship Id="rId492" Type="http://schemas.openxmlformats.org/officeDocument/2006/relationships/hyperlink" Target="https://4ammedia.zendesk.com/agent/tickets/228813" TargetMode="External"/><Relationship Id="rId136" Type="http://schemas.openxmlformats.org/officeDocument/2006/relationships/hyperlink" Target="https://horizondirect.gorgias.com/app/ticket/374919450" TargetMode="External"/><Relationship Id="rId257" Type="http://schemas.openxmlformats.org/officeDocument/2006/relationships/hyperlink" Target="https://horizondirect.gorgias.com/app/ticket/382752946" TargetMode="External"/><Relationship Id="rId378" Type="http://schemas.openxmlformats.org/officeDocument/2006/relationships/hyperlink" Target="https://assets.aircall.io/calls/3772937937/recording" TargetMode="External"/><Relationship Id="rId499" Type="http://schemas.openxmlformats.org/officeDocument/2006/relationships/hyperlink" Target="https://4ammedia.zendesk.com/agent/tickets/232550" TargetMode="External"/><Relationship Id="rId135" Type="http://schemas.openxmlformats.org/officeDocument/2006/relationships/hyperlink" Target="https://horizondirect.gorgias.com/app/ticket/374733872" TargetMode="External"/><Relationship Id="rId256" Type="http://schemas.openxmlformats.org/officeDocument/2006/relationships/hyperlink" Target="https://horizondirect.gorgias.com/app/ticket/382742926" TargetMode="External"/><Relationship Id="rId377" Type="http://schemas.openxmlformats.org/officeDocument/2006/relationships/hyperlink" Target="https://assets.aircall.io/calls/3770304158/recording" TargetMode="External"/><Relationship Id="rId498" Type="http://schemas.openxmlformats.org/officeDocument/2006/relationships/hyperlink" Target="https://4ammedia.zendesk.com/agent/tickets/232416" TargetMode="External"/><Relationship Id="rId134" Type="http://schemas.openxmlformats.org/officeDocument/2006/relationships/hyperlink" Target="https://horizondirect.gorgias.com/app/ticket/374709197" TargetMode="External"/><Relationship Id="rId255" Type="http://schemas.openxmlformats.org/officeDocument/2006/relationships/hyperlink" Target="https://horizondirect.gorgias.com/app/ticket/382740654" TargetMode="External"/><Relationship Id="rId376" Type="http://schemas.openxmlformats.org/officeDocument/2006/relationships/hyperlink" Target="https://assets.aircall.io/calls/3770082590/recording" TargetMode="External"/><Relationship Id="rId497" Type="http://schemas.openxmlformats.org/officeDocument/2006/relationships/hyperlink" Target="https://4ammedia.zendesk.com/agent/tickets/232294" TargetMode="External"/><Relationship Id="rId133" Type="http://schemas.openxmlformats.org/officeDocument/2006/relationships/hyperlink" Target="https://horizondirect.gorgias.com/app/ticket/374696728" TargetMode="External"/><Relationship Id="rId254" Type="http://schemas.openxmlformats.org/officeDocument/2006/relationships/hyperlink" Target="https://horizondirect.gorgias.com/app/ticket/382536959" TargetMode="External"/><Relationship Id="rId375" Type="http://schemas.openxmlformats.org/officeDocument/2006/relationships/hyperlink" Target="https://assets.aircall.io/calls/3769850096/recording" TargetMode="External"/><Relationship Id="rId496" Type="http://schemas.openxmlformats.org/officeDocument/2006/relationships/hyperlink" Target="https://4ammedia.zendesk.com/agent/tickets/230885" TargetMode="External"/><Relationship Id="rId172" Type="http://schemas.openxmlformats.org/officeDocument/2006/relationships/hyperlink" Target="https://horizondirect.gorgias.com/app/ticket/377360601" TargetMode="External"/><Relationship Id="rId293" Type="http://schemas.openxmlformats.org/officeDocument/2006/relationships/hyperlink" Target="https://horizondirect.gorgias.com/app/ticket/384869814" TargetMode="External"/><Relationship Id="rId171" Type="http://schemas.openxmlformats.org/officeDocument/2006/relationships/hyperlink" Target="https://horizondirect.gorgias.com/app/ticket/377216327" TargetMode="External"/><Relationship Id="rId292" Type="http://schemas.openxmlformats.org/officeDocument/2006/relationships/hyperlink" Target="https://horizondirect.gorgias.com/app/ticket/384868139" TargetMode="External"/><Relationship Id="rId170" Type="http://schemas.openxmlformats.org/officeDocument/2006/relationships/hyperlink" Target="https://horizondirect.gorgias.com/app/ticket/377213627" TargetMode="External"/><Relationship Id="rId291" Type="http://schemas.openxmlformats.org/officeDocument/2006/relationships/hyperlink" Target="https://horizondirect.gorgias.com/app/ticket/384854012" TargetMode="External"/><Relationship Id="rId290" Type="http://schemas.openxmlformats.org/officeDocument/2006/relationships/hyperlink" Target="https://horizondirect.gorgias.com/app/ticket/384747060" TargetMode="External"/><Relationship Id="rId165" Type="http://schemas.openxmlformats.org/officeDocument/2006/relationships/hyperlink" Target="https://horizondirect.gorgias.com/app/ticket/376755979" TargetMode="External"/><Relationship Id="rId286" Type="http://schemas.openxmlformats.org/officeDocument/2006/relationships/hyperlink" Target="https://horizondirect.gorgias.com/app/ticket/384594329" TargetMode="External"/><Relationship Id="rId164" Type="http://schemas.openxmlformats.org/officeDocument/2006/relationships/hyperlink" Target="https://horizondirect.gorgias.com/app/ticket/376754694" TargetMode="External"/><Relationship Id="rId285" Type="http://schemas.openxmlformats.org/officeDocument/2006/relationships/hyperlink" Target="https://horizondirect.gorgias.com/app/ticket/384588739" TargetMode="External"/><Relationship Id="rId163" Type="http://schemas.openxmlformats.org/officeDocument/2006/relationships/hyperlink" Target="https://horizondirect.gorgias.com/app/ticket/376748022" TargetMode="External"/><Relationship Id="rId284" Type="http://schemas.openxmlformats.org/officeDocument/2006/relationships/hyperlink" Target="https://horizondirect.gorgias.com/app/ticket/384463394" TargetMode="External"/><Relationship Id="rId162" Type="http://schemas.openxmlformats.org/officeDocument/2006/relationships/hyperlink" Target="https://horizondirect.gorgias.com/app/ticket/376610435" TargetMode="External"/><Relationship Id="rId283" Type="http://schemas.openxmlformats.org/officeDocument/2006/relationships/hyperlink" Target="https://horizondirect.gorgias.com/app/ticket/384462252" TargetMode="External"/><Relationship Id="rId169" Type="http://schemas.openxmlformats.org/officeDocument/2006/relationships/hyperlink" Target="https://horizondirect.gorgias.com/app/ticket/377208545" TargetMode="External"/><Relationship Id="rId168" Type="http://schemas.openxmlformats.org/officeDocument/2006/relationships/hyperlink" Target="https://horizondirect.gorgias.com/app/ticket/377054485" TargetMode="External"/><Relationship Id="rId289" Type="http://schemas.openxmlformats.org/officeDocument/2006/relationships/hyperlink" Target="https://horizondirect.gorgias.com/app/ticket/384736097" TargetMode="External"/><Relationship Id="rId167" Type="http://schemas.openxmlformats.org/officeDocument/2006/relationships/hyperlink" Target="https://horizondirect.gorgias.com/app/ticket/377048701" TargetMode="External"/><Relationship Id="rId288" Type="http://schemas.openxmlformats.org/officeDocument/2006/relationships/hyperlink" Target="https://horizondirect.gorgias.com/app/ticket/384731126" TargetMode="External"/><Relationship Id="rId166" Type="http://schemas.openxmlformats.org/officeDocument/2006/relationships/hyperlink" Target="https://horizondirect.gorgias.com/app/ticket/377037727" TargetMode="External"/><Relationship Id="rId287" Type="http://schemas.openxmlformats.org/officeDocument/2006/relationships/hyperlink" Target="https://horizondirect.gorgias.com/app/ticket/384600318" TargetMode="External"/><Relationship Id="rId161" Type="http://schemas.openxmlformats.org/officeDocument/2006/relationships/hyperlink" Target="https://horizondirect.gorgias.com/app/ticket/376606812" TargetMode="External"/><Relationship Id="rId282" Type="http://schemas.openxmlformats.org/officeDocument/2006/relationships/hyperlink" Target="https://horizondirect.gorgias.com/app/ticket/384461932" TargetMode="External"/><Relationship Id="rId160" Type="http://schemas.openxmlformats.org/officeDocument/2006/relationships/hyperlink" Target="https://horizondirect.gorgias.com/app/ticket/376582394" TargetMode="External"/><Relationship Id="rId281" Type="http://schemas.openxmlformats.org/officeDocument/2006/relationships/hyperlink" Target="https://horizondirect.gorgias.com/app/ticket/383984676" TargetMode="External"/><Relationship Id="rId280" Type="http://schemas.openxmlformats.org/officeDocument/2006/relationships/hyperlink" Target="https://horizondirect.gorgias.com/app/ticket/384004944" TargetMode="External"/><Relationship Id="rId159" Type="http://schemas.openxmlformats.org/officeDocument/2006/relationships/hyperlink" Target="https://horizondirect.gorgias.com/app/ticket/376446539" TargetMode="External"/><Relationship Id="rId154" Type="http://schemas.openxmlformats.org/officeDocument/2006/relationships/hyperlink" Target="https://horizondirect.gorgias.com/app/ticket/376299200" TargetMode="External"/><Relationship Id="rId275" Type="http://schemas.openxmlformats.org/officeDocument/2006/relationships/hyperlink" Target="https://horizondirect.gorgias.com/app/ticket/383741046" TargetMode="External"/><Relationship Id="rId396" Type="http://schemas.openxmlformats.org/officeDocument/2006/relationships/hyperlink" Target="https://4ammedia.zendesk.com/agent/tickets/149462" TargetMode="External"/><Relationship Id="rId153" Type="http://schemas.openxmlformats.org/officeDocument/2006/relationships/hyperlink" Target="https://horizondirect.gorgias.com/app/ticket/376155617" TargetMode="External"/><Relationship Id="rId274" Type="http://schemas.openxmlformats.org/officeDocument/2006/relationships/hyperlink" Target="https://horizondirect.gorgias.com/app/ticket/383728886" TargetMode="External"/><Relationship Id="rId395" Type="http://schemas.openxmlformats.org/officeDocument/2006/relationships/hyperlink" Target="https://4ammedia.zendesk.com/agent/tickets/146658" TargetMode="External"/><Relationship Id="rId152" Type="http://schemas.openxmlformats.org/officeDocument/2006/relationships/hyperlink" Target="https://horizondirect.gorgias.com/app/ticket/376150123" TargetMode="External"/><Relationship Id="rId273" Type="http://schemas.openxmlformats.org/officeDocument/2006/relationships/hyperlink" Target="https://horizondirect.gorgias.com/app/ticket/383712241" TargetMode="External"/><Relationship Id="rId394" Type="http://schemas.openxmlformats.org/officeDocument/2006/relationships/hyperlink" Target="https://4ammedia.zendesk.com/agent/tickets/146639" TargetMode="External"/><Relationship Id="rId151" Type="http://schemas.openxmlformats.org/officeDocument/2006/relationships/hyperlink" Target="https://horizondirect.gorgias.com/app/ticket/376139506" TargetMode="External"/><Relationship Id="rId272" Type="http://schemas.openxmlformats.org/officeDocument/2006/relationships/hyperlink" Target="https://horizondirect.gorgias.com/app/ticket/383595257" TargetMode="External"/><Relationship Id="rId393" Type="http://schemas.openxmlformats.org/officeDocument/2006/relationships/hyperlink" Target="https://4ammedia.zendesk.com/agent/tickets/146388" TargetMode="External"/><Relationship Id="rId158" Type="http://schemas.openxmlformats.org/officeDocument/2006/relationships/hyperlink" Target="https://horizondirect.gorgias.com/app/ticket/376440152" TargetMode="External"/><Relationship Id="rId279" Type="http://schemas.openxmlformats.org/officeDocument/2006/relationships/hyperlink" Target="https://horizondirect.gorgias.com/app/ticket/383995394" TargetMode="External"/><Relationship Id="rId157" Type="http://schemas.openxmlformats.org/officeDocument/2006/relationships/hyperlink" Target="https://horizondirect.gorgias.com/app/ticket/376420817" TargetMode="External"/><Relationship Id="rId278" Type="http://schemas.openxmlformats.org/officeDocument/2006/relationships/hyperlink" Target="https://horizondirect.gorgias.com/app/ticket/383883159" TargetMode="External"/><Relationship Id="rId399" Type="http://schemas.openxmlformats.org/officeDocument/2006/relationships/hyperlink" Target="https://4ammedia.zendesk.com/agent/tickets/150857" TargetMode="External"/><Relationship Id="rId156" Type="http://schemas.openxmlformats.org/officeDocument/2006/relationships/hyperlink" Target="https://horizondirect.gorgias.com/app/ticket/376317268" TargetMode="External"/><Relationship Id="rId277" Type="http://schemas.openxmlformats.org/officeDocument/2006/relationships/hyperlink" Target="https://horizondirect.gorgias.com/app/ticket/383871537" TargetMode="External"/><Relationship Id="rId398" Type="http://schemas.openxmlformats.org/officeDocument/2006/relationships/hyperlink" Target="https://4ammedia.zendesk.com/agent/tickets/149688" TargetMode="External"/><Relationship Id="rId155" Type="http://schemas.openxmlformats.org/officeDocument/2006/relationships/hyperlink" Target="https://horizondirect.gorgias.com/app/ticket/376315285" TargetMode="External"/><Relationship Id="rId276" Type="http://schemas.openxmlformats.org/officeDocument/2006/relationships/hyperlink" Target="https://horizondirect.gorgias.com/app/ticket/383857754" TargetMode="External"/><Relationship Id="rId397" Type="http://schemas.openxmlformats.org/officeDocument/2006/relationships/hyperlink" Target="https://4ammedia.zendesk.com/agent/tickets/149527" TargetMode="External"/><Relationship Id="rId40" Type="http://schemas.openxmlformats.org/officeDocument/2006/relationships/hyperlink" Target="https://horizondirect.gorgias.com/app/ticket/367750258" TargetMode="External"/><Relationship Id="rId42" Type="http://schemas.openxmlformats.org/officeDocument/2006/relationships/hyperlink" Target="https://horizondirect.gorgias.com/app/ticket/367752140" TargetMode="External"/><Relationship Id="rId41" Type="http://schemas.openxmlformats.org/officeDocument/2006/relationships/hyperlink" Target="https://horizondirect.gorgias.com/app/ticket/367751139" TargetMode="External"/><Relationship Id="rId44" Type="http://schemas.openxmlformats.org/officeDocument/2006/relationships/hyperlink" Target="https://horizondirect.gorgias.com/app/ticket/368017467" TargetMode="External"/><Relationship Id="rId43" Type="http://schemas.openxmlformats.org/officeDocument/2006/relationships/hyperlink" Target="https://horizondirect.gorgias.com/app/ticket/368011544" TargetMode="External"/><Relationship Id="rId46" Type="http://schemas.openxmlformats.org/officeDocument/2006/relationships/hyperlink" Target="https://horizondirect.gorgias.com/app/ticket/368472406" TargetMode="External"/><Relationship Id="rId45" Type="http://schemas.openxmlformats.org/officeDocument/2006/relationships/hyperlink" Target="https://horizondirect.gorgias.com/app/ticket/368019648" TargetMode="External"/><Relationship Id="rId509" Type="http://schemas.openxmlformats.org/officeDocument/2006/relationships/hyperlink" Target="https://4ammedia.zendesk.com/agent/tickets/243111" TargetMode="External"/><Relationship Id="rId508" Type="http://schemas.openxmlformats.org/officeDocument/2006/relationships/hyperlink" Target="https://4ammedia.zendesk.com/agent/tickets/241382" TargetMode="External"/><Relationship Id="rId503" Type="http://schemas.openxmlformats.org/officeDocument/2006/relationships/hyperlink" Target="https://4ammedia.zendesk.com/agent/tickets/239606" TargetMode="External"/><Relationship Id="rId502" Type="http://schemas.openxmlformats.org/officeDocument/2006/relationships/hyperlink" Target="https://4ammedia.zendesk.com/agent/tickets/237280" TargetMode="External"/><Relationship Id="rId501" Type="http://schemas.openxmlformats.org/officeDocument/2006/relationships/hyperlink" Target="https://4ammedia.zendesk.com/agent/tickets/237202" TargetMode="External"/><Relationship Id="rId500" Type="http://schemas.openxmlformats.org/officeDocument/2006/relationships/hyperlink" Target="https://4ammedia.zendesk.com/agent/tickets/237008" TargetMode="External"/><Relationship Id="rId507" Type="http://schemas.openxmlformats.org/officeDocument/2006/relationships/hyperlink" Target="https://4ammedia.zendesk.com/agent/tickets/241251" TargetMode="External"/><Relationship Id="rId506" Type="http://schemas.openxmlformats.org/officeDocument/2006/relationships/hyperlink" Target="https://4ammedia.zendesk.com/agent/tickets/241183" TargetMode="External"/><Relationship Id="rId505" Type="http://schemas.openxmlformats.org/officeDocument/2006/relationships/hyperlink" Target="https://4ammedia.zendesk.com/agent/tickets/239705" TargetMode="External"/><Relationship Id="rId504" Type="http://schemas.openxmlformats.org/officeDocument/2006/relationships/hyperlink" Target="https://4ammedia.zendesk.com/agent/tickets/239679" TargetMode="External"/><Relationship Id="rId48" Type="http://schemas.openxmlformats.org/officeDocument/2006/relationships/hyperlink" Target="https://horizondirect.gorgias.com/app/ticket/368468081" TargetMode="External"/><Relationship Id="rId47" Type="http://schemas.openxmlformats.org/officeDocument/2006/relationships/hyperlink" Target="https://horizondirect.gorgias.com/app/ticket/368469917" TargetMode="External"/><Relationship Id="rId49" Type="http://schemas.openxmlformats.org/officeDocument/2006/relationships/hyperlink" Target="https://horizondirect.gorgias.com/app/ticket/368675354" TargetMode="External"/><Relationship Id="rId31" Type="http://schemas.openxmlformats.org/officeDocument/2006/relationships/hyperlink" Target="https://horizondirect.gorgias.com/app/ticket/367220619" TargetMode="External"/><Relationship Id="rId30" Type="http://schemas.openxmlformats.org/officeDocument/2006/relationships/hyperlink" Target="https://horizondirect.gorgias.com/app/ticket/366910235" TargetMode="External"/><Relationship Id="rId33" Type="http://schemas.openxmlformats.org/officeDocument/2006/relationships/hyperlink" Target="https://horizondirect.gorgias.com/app/ticket/367244037" TargetMode="External"/><Relationship Id="rId32" Type="http://schemas.openxmlformats.org/officeDocument/2006/relationships/hyperlink" Target="https://horizondirect.gorgias.com/app/ticket/367230382" TargetMode="External"/><Relationship Id="rId35" Type="http://schemas.openxmlformats.org/officeDocument/2006/relationships/hyperlink" Target="https://horizondirect.gorgias.com/app/ticket/367419614" TargetMode="External"/><Relationship Id="rId34" Type="http://schemas.openxmlformats.org/officeDocument/2006/relationships/hyperlink" Target="https://horizondirect.gorgias.com/app/ticket/367429596" TargetMode="External"/><Relationship Id="rId37" Type="http://schemas.openxmlformats.org/officeDocument/2006/relationships/hyperlink" Target="https://horizondirect.gorgias.com/app/ticket/367595705" TargetMode="External"/><Relationship Id="rId36" Type="http://schemas.openxmlformats.org/officeDocument/2006/relationships/hyperlink" Target="https://horizondirect.gorgias.com/app/ticket/367421524" TargetMode="External"/><Relationship Id="rId39" Type="http://schemas.openxmlformats.org/officeDocument/2006/relationships/hyperlink" Target="https://horizondirect.gorgias.com/app/ticket/367746415" TargetMode="External"/><Relationship Id="rId38" Type="http://schemas.openxmlformats.org/officeDocument/2006/relationships/hyperlink" Target="https://horizondirect.gorgias.com/app/ticket/367626029" TargetMode="External"/><Relationship Id="rId20" Type="http://schemas.openxmlformats.org/officeDocument/2006/relationships/hyperlink" Target="https://horizondirect.gorgias.com/app/ticket/366399804" TargetMode="External"/><Relationship Id="rId22" Type="http://schemas.openxmlformats.org/officeDocument/2006/relationships/hyperlink" Target="https://horizondirect.gorgias.com/app/ticket/366564073" TargetMode="External"/><Relationship Id="rId21" Type="http://schemas.openxmlformats.org/officeDocument/2006/relationships/hyperlink" Target="https://horizondirect.gorgias.com/app/ticket/366418406" TargetMode="External"/><Relationship Id="rId24" Type="http://schemas.openxmlformats.org/officeDocument/2006/relationships/hyperlink" Target="https://horizondirect.gorgias.com/app/ticket/366550105" TargetMode="External"/><Relationship Id="rId23" Type="http://schemas.openxmlformats.org/officeDocument/2006/relationships/hyperlink" Target="https://horizondirect.gorgias.com/app/ticket/366561198" TargetMode="External"/><Relationship Id="rId409" Type="http://schemas.openxmlformats.org/officeDocument/2006/relationships/hyperlink" Target="https://4ammedia.zendesk.com/agent/tickets/155772" TargetMode="External"/><Relationship Id="rId404" Type="http://schemas.openxmlformats.org/officeDocument/2006/relationships/hyperlink" Target="https://4ammedia.zendesk.com/agent/tickets/152842" TargetMode="External"/><Relationship Id="rId525" Type="http://schemas.openxmlformats.org/officeDocument/2006/relationships/hyperlink" Target="https://4ammedia.zendesk.com/agent/tickets/256468" TargetMode="External"/><Relationship Id="rId403" Type="http://schemas.openxmlformats.org/officeDocument/2006/relationships/hyperlink" Target="https://4ammedia.zendesk.com/agent/tickets/152645" TargetMode="External"/><Relationship Id="rId524" Type="http://schemas.openxmlformats.org/officeDocument/2006/relationships/hyperlink" Target="https://4ammedia.zendesk.com/agent/tickets/256208" TargetMode="External"/><Relationship Id="rId402" Type="http://schemas.openxmlformats.org/officeDocument/2006/relationships/hyperlink" Target="https://4ammedia.zendesk.com/agent/tickets/152406" TargetMode="External"/><Relationship Id="rId523" Type="http://schemas.openxmlformats.org/officeDocument/2006/relationships/hyperlink" Target="https://4ammedia.zendesk.com/agent/tickets/256155" TargetMode="External"/><Relationship Id="rId401" Type="http://schemas.openxmlformats.org/officeDocument/2006/relationships/hyperlink" Target="https://4ammedia.zendesk.com/agent/tickets/151127" TargetMode="External"/><Relationship Id="rId522" Type="http://schemas.openxmlformats.org/officeDocument/2006/relationships/hyperlink" Target="https://4ammedia.zendesk.com/agent/tickets/254848" TargetMode="External"/><Relationship Id="rId408" Type="http://schemas.openxmlformats.org/officeDocument/2006/relationships/hyperlink" Target="https://4ammedia.zendesk.com/agent/tickets/155675" TargetMode="External"/><Relationship Id="rId529" Type="http://schemas.openxmlformats.org/officeDocument/2006/relationships/hyperlink" Target="https://4ammedia.zendesk.com/agent/tickets/263704" TargetMode="External"/><Relationship Id="rId407" Type="http://schemas.openxmlformats.org/officeDocument/2006/relationships/hyperlink" Target="https://4ammedia.zendesk.com/agent/tickets/154414" TargetMode="External"/><Relationship Id="rId528" Type="http://schemas.openxmlformats.org/officeDocument/2006/relationships/hyperlink" Target="https://4ammedia.zendesk.com/agent/tickets/258778" TargetMode="External"/><Relationship Id="rId406" Type="http://schemas.openxmlformats.org/officeDocument/2006/relationships/hyperlink" Target="https://4ammedia.zendesk.com/agent/tickets/154354" TargetMode="External"/><Relationship Id="rId527" Type="http://schemas.openxmlformats.org/officeDocument/2006/relationships/hyperlink" Target="https://4ammedia.zendesk.com/agent/tickets/258745" TargetMode="External"/><Relationship Id="rId405" Type="http://schemas.openxmlformats.org/officeDocument/2006/relationships/hyperlink" Target="https://4ammedia.zendesk.com/agent/tickets/154158" TargetMode="External"/><Relationship Id="rId526" Type="http://schemas.openxmlformats.org/officeDocument/2006/relationships/hyperlink" Target="https://4ammedia.zendesk.com/agent/tickets/258703" TargetMode="External"/><Relationship Id="rId26" Type="http://schemas.openxmlformats.org/officeDocument/2006/relationships/hyperlink" Target="https://horizondirect.gorgias.com/app/ticket/366704846" TargetMode="External"/><Relationship Id="rId25" Type="http://schemas.openxmlformats.org/officeDocument/2006/relationships/hyperlink" Target="https://horizondirect.gorgias.com/app/ticket/366682740" TargetMode="External"/><Relationship Id="rId28" Type="http://schemas.openxmlformats.org/officeDocument/2006/relationships/hyperlink" Target="https://horizondirect.gorgias.com/app/ticket/366733769" TargetMode="External"/><Relationship Id="rId27" Type="http://schemas.openxmlformats.org/officeDocument/2006/relationships/hyperlink" Target="https://horizondirect.gorgias.com/app/ticket/366714906" TargetMode="External"/><Relationship Id="rId400" Type="http://schemas.openxmlformats.org/officeDocument/2006/relationships/hyperlink" Target="https://4ammedia.zendesk.com/agent/tickets/150970" TargetMode="External"/><Relationship Id="rId521" Type="http://schemas.openxmlformats.org/officeDocument/2006/relationships/hyperlink" Target="https://4ammedia.zendesk.com/agent/tickets/254705" TargetMode="External"/><Relationship Id="rId29" Type="http://schemas.openxmlformats.org/officeDocument/2006/relationships/hyperlink" Target="https://horizondirect.gorgias.com/app/ticket/366753226" TargetMode="External"/><Relationship Id="rId520" Type="http://schemas.openxmlformats.org/officeDocument/2006/relationships/hyperlink" Target="https://4ammedia.zendesk.com/agent/tickets/254509" TargetMode="External"/><Relationship Id="rId11" Type="http://schemas.openxmlformats.org/officeDocument/2006/relationships/hyperlink" Target="https://horizondirect.gorgias.com/app/ticket/365756404" TargetMode="External"/><Relationship Id="rId10" Type="http://schemas.openxmlformats.org/officeDocument/2006/relationships/hyperlink" Target="https://horizondirect.gorgias.com/app/ticket/365760549" TargetMode="External"/><Relationship Id="rId13" Type="http://schemas.openxmlformats.org/officeDocument/2006/relationships/hyperlink" Target="https://horizondirect.gorgias.com/app/ticket/365910768" TargetMode="External"/><Relationship Id="rId12" Type="http://schemas.openxmlformats.org/officeDocument/2006/relationships/hyperlink" Target="https://horizondirect.gorgias.com/app/ticket/365764504" TargetMode="External"/><Relationship Id="rId519" Type="http://schemas.openxmlformats.org/officeDocument/2006/relationships/hyperlink" Target="https://4ammedia.zendesk.com/agent/tickets/252489" TargetMode="External"/><Relationship Id="rId514" Type="http://schemas.openxmlformats.org/officeDocument/2006/relationships/hyperlink" Target="https://4ammedia.zendesk.com/agent/tickets/245709" TargetMode="External"/><Relationship Id="rId513" Type="http://schemas.openxmlformats.org/officeDocument/2006/relationships/hyperlink" Target="https://4ammedia.zendesk.com/agent/tickets/245639" TargetMode="External"/><Relationship Id="rId512" Type="http://schemas.openxmlformats.org/officeDocument/2006/relationships/hyperlink" Target="https://4ammedia.zendesk.com/agent/tickets/245506" TargetMode="External"/><Relationship Id="rId511" Type="http://schemas.openxmlformats.org/officeDocument/2006/relationships/hyperlink" Target="https://4ammedia.zendesk.com/agent/tickets/243211" TargetMode="External"/><Relationship Id="rId518" Type="http://schemas.openxmlformats.org/officeDocument/2006/relationships/hyperlink" Target="https://4ammedia.zendesk.com/agent/tickets/252480" TargetMode="External"/><Relationship Id="rId517" Type="http://schemas.openxmlformats.org/officeDocument/2006/relationships/hyperlink" Target="https://4ammedia.zendesk.com/agent/tickets/252375" TargetMode="External"/><Relationship Id="rId516" Type="http://schemas.openxmlformats.org/officeDocument/2006/relationships/hyperlink" Target="https://4ammedia.zendesk.com/agent/tickets/250375" TargetMode="External"/><Relationship Id="rId515" Type="http://schemas.openxmlformats.org/officeDocument/2006/relationships/hyperlink" Target="https://4ammedia.zendesk.com/agent/tickets/250346" TargetMode="External"/><Relationship Id="rId15" Type="http://schemas.openxmlformats.org/officeDocument/2006/relationships/hyperlink" Target="https://horizondirect.gorgias.com/app/ticket/365929855" TargetMode="External"/><Relationship Id="rId14" Type="http://schemas.openxmlformats.org/officeDocument/2006/relationships/hyperlink" Target="https://horizondirect.gorgias.com/app/ticket/365929024" TargetMode="External"/><Relationship Id="rId17" Type="http://schemas.openxmlformats.org/officeDocument/2006/relationships/hyperlink" Target="https://horizondirect.gorgias.com/app/ticket/366227090" TargetMode="External"/><Relationship Id="rId16" Type="http://schemas.openxmlformats.org/officeDocument/2006/relationships/hyperlink" Target="https://horizondirect.gorgias.com/app/ticket/366228039" TargetMode="External"/><Relationship Id="rId19" Type="http://schemas.openxmlformats.org/officeDocument/2006/relationships/hyperlink" Target="https://horizondirect.gorgias.com/app/ticket/366386511" TargetMode="External"/><Relationship Id="rId510" Type="http://schemas.openxmlformats.org/officeDocument/2006/relationships/hyperlink" Target="https://4ammedia.zendesk.com/agent/tickets/243182" TargetMode="External"/><Relationship Id="rId18" Type="http://schemas.openxmlformats.org/officeDocument/2006/relationships/hyperlink" Target="https://horizondirect.gorgias.com/app/ticket/366225023" TargetMode="External"/><Relationship Id="rId84" Type="http://schemas.openxmlformats.org/officeDocument/2006/relationships/hyperlink" Target="https://horizondirect.gorgias.com/app/ticket/371522776" TargetMode="External"/><Relationship Id="rId83" Type="http://schemas.openxmlformats.org/officeDocument/2006/relationships/hyperlink" Target="https://horizondirect.gorgias.com/app/ticket/371516951" TargetMode="External"/><Relationship Id="rId86" Type="http://schemas.openxmlformats.org/officeDocument/2006/relationships/hyperlink" Target="https://horizondirect.gorgias.com/app/ticket/371690435" TargetMode="External"/><Relationship Id="rId85" Type="http://schemas.openxmlformats.org/officeDocument/2006/relationships/hyperlink" Target="https://horizondirect.gorgias.com/app/ticket/371688878" TargetMode="External"/><Relationship Id="rId88" Type="http://schemas.openxmlformats.org/officeDocument/2006/relationships/hyperlink" Target="https://horizondirect.gorgias.com/app/ticket/371837097" TargetMode="External"/><Relationship Id="rId87" Type="http://schemas.openxmlformats.org/officeDocument/2006/relationships/hyperlink" Target="https://horizondirect.gorgias.com/app/ticket/371693711" TargetMode="External"/><Relationship Id="rId89" Type="http://schemas.openxmlformats.org/officeDocument/2006/relationships/hyperlink" Target="https://horizondirect.gorgias.com/app/ticket/371846297" TargetMode="External"/><Relationship Id="rId80" Type="http://schemas.openxmlformats.org/officeDocument/2006/relationships/hyperlink" Target="https://horizondirect.gorgias.com/app/ticket/371156687" TargetMode="External"/><Relationship Id="rId82" Type="http://schemas.openxmlformats.org/officeDocument/2006/relationships/hyperlink" Target="https://horizondirect.gorgias.com/app/ticket/371516536" TargetMode="External"/><Relationship Id="rId81" Type="http://schemas.openxmlformats.org/officeDocument/2006/relationships/hyperlink" Target="https://horizondirect.gorgias.com/app/ticket/371165755" TargetMode="External"/><Relationship Id="rId73" Type="http://schemas.openxmlformats.org/officeDocument/2006/relationships/hyperlink" Target="https://horizondirect.gorgias.com/app/ticket/370417260" TargetMode="External"/><Relationship Id="rId72" Type="http://schemas.openxmlformats.org/officeDocument/2006/relationships/hyperlink" Target="https://horizondirect.gorgias.com/app/ticket/370260317" TargetMode="External"/><Relationship Id="rId75" Type="http://schemas.openxmlformats.org/officeDocument/2006/relationships/hyperlink" Target="https://horizondirect.gorgias.com/app/ticket/370451917" TargetMode="External"/><Relationship Id="rId74" Type="http://schemas.openxmlformats.org/officeDocument/2006/relationships/hyperlink" Target="https://horizondirect.gorgias.com/app/ticket/370428588" TargetMode="External"/><Relationship Id="rId77" Type="http://schemas.openxmlformats.org/officeDocument/2006/relationships/hyperlink" Target="https://horizondirect.gorgias.com/app/ticket/370991586" TargetMode="External"/><Relationship Id="rId76" Type="http://schemas.openxmlformats.org/officeDocument/2006/relationships/hyperlink" Target="https://horizondirect.gorgias.com/app/ticket/370986260" TargetMode="External"/><Relationship Id="rId79" Type="http://schemas.openxmlformats.org/officeDocument/2006/relationships/hyperlink" Target="https://horizondirect.gorgias.com/app/ticket/371176650" TargetMode="External"/><Relationship Id="rId78" Type="http://schemas.openxmlformats.org/officeDocument/2006/relationships/hyperlink" Target="https://horizondirect.gorgias.com/app/ticket/371002401" TargetMode="External"/><Relationship Id="rId71" Type="http://schemas.openxmlformats.org/officeDocument/2006/relationships/hyperlink" Target="https://horizondirect.gorgias.com/app/ticket/370252371" TargetMode="External"/><Relationship Id="rId70" Type="http://schemas.openxmlformats.org/officeDocument/2006/relationships/hyperlink" Target="https://horizondirect.gorgias.com/app/ticket/370210260" TargetMode="External"/><Relationship Id="rId62" Type="http://schemas.openxmlformats.org/officeDocument/2006/relationships/hyperlink" Target="https://horizondirect.gorgias.com/app/ticket/369669847" TargetMode="External"/><Relationship Id="rId61" Type="http://schemas.openxmlformats.org/officeDocument/2006/relationships/hyperlink" Target="https://horizondirect.gorgias.com/app/ticket/369655526" TargetMode="External"/><Relationship Id="rId64" Type="http://schemas.openxmlformats.org/officeDocument/2006/relationships/hyperlink" Target="https://horizondirect.gorgias.com/app/ticket/369864637" TargetMode="External"/><Relationship Id="rId63" Type="http://schemas.openxmlformats.org/officeDocument/2006/relationships/hyperlink" Target="https://horizondirect.gorgias.com/app/ticket/369685794" TargetMode="External"/><Relationship Id="rId66" Type="http://schemas.openxmlformats.org/officeDocument/2006/relationships/hyperlink" Target="https://horizondirect.gorgias.com/app/ticket/369886217" TargetMode="External"/><Relationship Id="rId65" Type="http://schemas.openxmlformats.org/officeDocument/2006/relationships/hyperlink" Target="https://horizondirect.gorgias.com/app/ticket/369879193" TargetMode="External"/><Relationship Id="rId68" Type="http://schemas.openxmlformats.org/officeDocument/2006/relationships/hyperlink" Target="https://horizondirect.gorgias.com/app/ticket/370080773" TargetMode="External"/><Relationship Id="rId67" Type="http://schemas.openxmlformats.org/officeDocument/2006/relationships/hyperlink" Target="https://horizondirect.gorgias.com/app/ticket/370078599" TargetMode="External"/><Relationship Id="rId60" Type="http://schemas.openxmlformats.org/officeDocument/2006/relationships/hyperlink" Target="https://horizondirect.gorgias.com/app/ticket/369383165" TargetMode="External"/><Relationship Id="rId69" Type="http://schemas.openxmlformats.org/officeDocument/2006/relationships/hyperlink" Target="https://horizondirect.gorgias.com/app/ticket/370107875" TargetMode="External"/><Relationship Id="rId51" Type="http://schemas.openxmlformats.org/officeDocument/2006/relationships/hyperlink" Target="https://horizondirect.gorgias.com/app/ticket/368680103" TargetMode="External"/><Relationship Id="rId50" Type="http://schemas.openxmlformats.org/officeDocument/2006/relationships/hyperlink" Target="https://horizondirect.gorgias.com/app/ticket/368678123" TargetMode="External"/><Relationship Id="rId53" Type="http://schemas.openxmlformats.org/officeDocument/2006/relationships/hyperlink" Target="https://horizondirect.gorgias.com/app/ticket/368829070" TargetMode="External"/><Relationship Id="rId52" Type="http://schemas.openxmlformats.org/officeDocument/2006/relationships/hyperlink" Target="https://horizondirect.gorgias.com/app/ticket/368818347" TargetMode="External"/><Relationship Id="rId55" Type="http://schemas.openxmlformats.org/officeDocument/2006/relationships/hyperlink" Target="https://horizondirect.gorgias.com/app/ticket/369075487" TargetMode="External"/><Relationship Id="rId54" Type="http://schemas.openxmlformats.org/officeDocument/2006/relationships/hyperlink" Target="https://horizondirect.gorgias.com/app/ticket/368831055" TargetMode="External"/><Relationship Id="rId57" Type="http://schemas.openxmlformats.org/officeDocument/2006/relationships/hyperlink" Target="https://horizondirect.gorgias.com/app/ticket/369089846" TargetMode="External"/><Relationship Id="rId56" Type="http://schemas.openxmlformats.org/officeDocument/2006/relationships/hyperlink" Target="https://horizondirect.gorgias.com/app/ticket/369078688" TargetMode="External"/><Relationship Id="rId59" Type="http://schemas.openxmlformats.org/officeDocument/2006/relationships/hyperlink" Target="https://horizondirect.gorgias.com/app/ticket/369370982" TargetMode="External"/><Relationship Id="rId58" Type="http://schemas.openxmlformats.org/officeDocument/2006/relationships/hyperlink" Target="https://horizondirect.gorgias.com/app/ticket/369365824" TargetMode="External"/><Relationship Id="rId107" Type="http://schemas.openxmlformats.org/officeDocument/2006/relationships/hyperlink" Target="https://horizondirect.gorgias.com/app/ticket/373223642" TargetMode="External"/><Relationship Id="rId228" Type="http://schemas.openxmlformats.org/officeDocument/2006/relationships/hyperlink" Target="https://horizondirect.gorgias.com/app/ticket/380889149" TargetMode="External"/><Relationship Id="rId349" Type="http://schemas.openxmlformats.org/officeDocument/2006/relationships/hyperlink" Target="https://assets.aircall.io/calls/3733339532/recording" TargetMode="External"/><Relationship Id="rId106" Type="http://schemas.openxmlformats.org/officeDocument/2006/relationships/hyperlink" Target="https://horizondirect.gorgias.com/app/ticket/373220070" TargetMode="External"/><Relationship Id="rId227" Type="http://schemas.openxmlformats.org/officeDocument/2006/relationships/hyperlink" Target="https://horizondirect.gorgias.com/app/ticket/380739712" TargetMode="External"/><Relationship Id="rId348" Type="http://schemas.openxmlformats.org/officeDocument/2006/relationships/hyperlink" Target="https://assets.aircall.io/calls/3733310690/recording" TargetMode="External"/><Relationship Id="rId469" Type="http://schemas.openxmlformats.org/officeDocument/2006/relationships/hyperlink" Target="https://4ammedia.zendesk.com/agent/tickets/208385" TargetMode="External"/><Relationship Id="rId105" Type="http://schemas.openxmlformats.org/officeDocument/2006/relationships/hyperlink" Target="https://horizondirect.gorgias.com/app/ticket/373074767" TargetMode="External"/><Relationship Id="rId226" Type="http://schemas.openxmlformats.org/officeDocument/2006/relationships/hyperlink" Target="https://horizondirect.gorgias.com/app/ticket/380734156" TargetMode="External"/><Relationship Id="rId347" Type="http://schemas.openxmlformats.org/officeDocument/2006/relationships/hyperlink" Target="https://4ammedia.zendesk.com/agent/tickets/121330" TargetMode="External"/><Relationship Id="rId468" Type="http://schemas.openxmlformats.org/officeDocument/2006/relationships/hyperlink" Target="https://4ammedia.zendesk.com/agent/tickets/208275" TargetMode="External"/><Relationship Id="rId104" Type="http://schemas.openxmlformats.org/officeDocument/2006/relationships/hyperlink" Target="https://horizondirect.gorgias.com/app/ticket/373063696" TargetMode="External"/><Relationship Id="rId225" Type="http://schemas.openxmlformats.org/officeDocument/2006/relationships/hyperlink" Target="https://horizondirect.gorgias.com/app/ticket/380724248" TargetMode="External"/><Relationship Id="rId346" Type="http://schemas.openxmlformats.org/officeDocument/2006/relationships/hyperlink" Target="https://4ammedia.zendesk.com/agent/tickets/121278" TargetMode="External"/><Relationship Id="rId467" Type="http://schemas.openxmlformats.org/officeDocument/2006/relationships/hyperlink" Target="https://4ammedia.zendesk.com/agent/tickets/208219" TargetMode="External"/><Relationship Id="rId588" Type="http://schemas.openxmlformats.org/officeDocument/2006/relationships/table" Target="../tables/table67.xml"/><Relationship Id="rId109" Type="http://schemas.openxmlformats.org/officeDocument/2006/relationships/hyperlink" Target="https://horizondirect.gorgias.com/app/ticket/373391404" TargetMode="External"/><Relationship Id="rId108" Type="http://schemas.openxmlformats.org/officeDocument/2006/relationships/hyperlink" Target="https://horizondirect.gorgias.com/app/ticket/373233387" TargetMode="External"/><Relationship Id="rId229" Type="http://schemas.openxmlformats.org/officeDocument/2006/relationships/hyperlink" Target="https://horizondirect.gorgias.com/app/ticket/380891466" TargetMode="External"/><Relationship Id="rId220" Type="http://schemas.openxmlformats.org/officeDocument/2006/relationships/hyperlink" Target="https://horizondirect.gorgias.com/app/ticket/380299591" TargetMode="External"/><Relationship Id="rId341" Type="http://schemas.openxmlformats.org/officeDocument/2006/relationships/hyperlink" Target="https://horizondirect.gorgias.com/app/ticket/387881682" TargetMode="External"/><Relationship Id="rId462" Type="http://schemas.openxmlformats.org/officeDocument/2006/relationships/hyperlink" Target="https://4ammedia.zendesk.com/agent/tickets/204622" TargetMode="External"/><Relationship Id="rId583" Type="http://schemas.openxmlformats.org/officeDocument/2006/relationships/table" Target="../tables/table62.xml"/><Relationship Id="rId340" Type="http://schemas.openxmlformats.org/officeDocument/2006/relationships/hyperlink" Target="https://horizondirect.gorgias.com/app/ticket/387873140" TargetMode="External"/><Relationship Id="rId461" Type="http://schemas.openxmlformats.org/officeDocument/2006/relationships/hyperlink" Target="https://4ammedia.zendesk.com/agent/tickets/204444" TargetMode="External"/><Relationship Id="rId582" Type="http://schemas.openxmlformats.org/officeDocument/2006/relationships/table" Target="../tables/table61.xml"/><Relationship Id="rId460" Type="http://schemas.openxmlformats.org/officeDocument/2006/relationships/hyperlink" Target="https://4ammedia.zendesk.com/agent/tickets/202684" TargetMode="External"/><Relationship Id="rId581" Type="http://schemas.openxmlformats.org/officeDocument/2006/relationships/table" Target="../tables/table60.xml"/><Relationship Id="rId580" Type="http://schemas.openxmlformats.org/officeDocument/2006/relationships/table" Target="../tables/table59.xml"/><Relationship Id="rId103" Type="http://schemas.openxmlformats.org/officeDocument/2006/relationships/hyperlink" Target="https://horizondirect.gorgias.com/app/ticket/373054696" TargetMode="External"/><Relationship Id="rId224" Type="http://schemas.openxmlformats.org/officeDocument/2006/relationships/hyperlink" Target="https://horizondirect.gorgias.com/app/ticket/380595823" TargetMode="External"/><Relationship Id="rId345" Type="http://schemas.openxmlformats.org/officeDocument/2006/relationships/hyperlink" Target="https://4ammedia.zendesk.com/agent/tickets/121275" TargetMode="External"/><Relationship Id="rId466" Type="http://schemas.openxmlformats.org/officeDocument/2006/relationships/hyperlink" Target="https://4ammedia.zendesk.com/agent/tickets/206926" TargetMode="External"/><Relationship Id="rId587" Type="http://schemas.openxmlformats.org/officeDocument/2006/relationships/table" Target="../tables/table66.xml"/><Relationship Id="rId102" Type="http://schemas.openxmlformats.org/officeDocument/2006/relationships/hyperlink" Target="https://horizondirect.gorgias.com/app/ticket/372700440" TargetMode="External"/><Relationship Id="rId223" Type="http://schemas.openxmlformats.org/officeDocument/2006/relationships/hyperlink" Target="https://horizondirect.gorgias.com/app/ticket/380586866" TargetMode="External"/><Relationship Id="rId344" Type="http://schemas.openxmlformats.org/officeDocument/2006/relationships/hyperlink" Target="https://4ammedia.zendesk.com/agent/tickets/120183" TargetMode="External"/><Relationship Id="rId465" Type="http://schemas.openxmlformats.org/officeDocument/2006/relationships/hyperlink" Target="https://4ammedia.zendesk.com/agent/tickets/206915" TargetMode="External"/><Relationship Id="rId586" Type="http://schemas.openxmlformats.org/officeDocument/2006/relationships/table" Target="../tables/table65.xml"/><Relationship Id="rId101" Type="http://schemas.openxmlformats.org/officeDocument/2006/relationships/hyperlink" Target="https://horizondirect.gorgias.com/app/ticket/372697695" TargetMode="External"/><Relationship Id="rId222" Type="http://schemas.openxmlformats.org/officeDocument/2006/relationships/hyperlink" Target="https://horizondirect.gorgias.com/app/ticket/380575181" TargetMode="External"/><Relationship Id="rId343" Type="http://schemas.openxmlformats.org/officeDocument/2006/relationships/hyperlink" Target="https://4ammedia.zendesk.com/agent/tickets/120149" TargetMode="External"/><Relationship Id="rId464" Type="http://schemas.openxmlformats.org/officeDocument/2006/relationships/hyperlink" Target="https://4ammedia.zendesk.com/agent/tickets/206850" TargetMode="External"/><Relationship Id="rId585" Type="http://schemas.openxmlformats.org/officeDocument/2006/relationships/table" Target="../tables/table64.xml"/><Relationship Id="rId100" Type="http://schemas.openxmlformats.org/officeDocument/2006/relationships/hyperlink" Target="https://horizondirect.gorgias.com/app/ticket/372691432" TargetMode="External"/><Relationship Id="rId221" Type="http://schemas.openxmlformats.org/officeDocument/2006/relationships/hyperlink" Target="https://horizondirect.gorgias.com/app/ticket/380306933" TargetMode="External"/><Relationship Id="rId342" Type="http://schemas.openxmlformats.org/officeDocument/2006/relationships/hyperlink" Target="https://4ammedia.zendesk.com/agent/tickets/120124" TargetMode="External"/><Relationship Id="rId463" Type="http://schemas.openxmlformats.org/officeDocument/2006/relationships/hyperlink" Target="https://4ammedia.zendesk.com/agent/tickets/204680" TargetMode="External"/><Relationship Id="rId584" Type="http://schemas.openxmlformats.org/officeDocument/2006/relationships/table" Target="../tables/table63.xml"/><Relationship Id="rId217" Type="http://schemas.openxmlformats.org/officeDocument/2006/relationships/hyperlink" Target="https://horizondirect.gorgias.com/app/ticket/380134642" TargetMode="External"/><Relationship Id="rId338" Type="http://schemas.openxmlformats.org/officeDocument/2006/relationships/hyperlink" Target="https://horizondirect.gorgias.com/app/ticket/387670980" TargetMode="External"/><Relationship Id="rId459" Type="http://schemas.openxmlformats.org/officeDocument/2006/relationships/hyperlink" Target="https://4ammedia.zendesk.com/agent/tickets/202645" TargetMode="External"/><Relationship Id="rId216" Type="http://schemas.openxmlformats.org/officeDocument/2006/relationships/hyperlink" Target="https://horizondirect.gorgias.com/app/ticket/380130770" TargetMode="External"/><Relationship Id="rId337" Type="http://schemas.openxmlformats.org/officeDocument/2006/relationships/hyperlink" Target="https://horizondirect.gorgias.com/app/ticket/387655358" TargetMode="External"/><Relationship Id="rId458" Type="http://schemas.openxmlformats.org/officeDocument/2006/relationships/hyperlink" Target="https://4ammedia.zendesk.com/agent/tickets/202514" TargetMode="External"/><Relationship Id="rId579" Type="http://schemas.openxmlformats.org/officeDocument/2006/relationships/table" Target="../tables/table58.xml"/><Relationship Id="rId215" Type="http://schemas.openxmlformats.org/officeDocument/2006/relationships/hyperlink" Target="https://horizondirect.gorgias.com/app/ticket/379975364" TargetMode="External"/><Relationship Id="rId336" Type="http://schemas.openxmlformats.org/officeDocument/2006/relationships/hyperlink" Target="https://horizondirect.gorgias.com/app/ticket/387646147" TargetMode="External"/><Relationship Id="rId457" Type="http://schemas.openxmlformats.org/officeDocument/2006/relationships/hyperlink" Target="https://4ammedia.zendesk.com/agent/tickets/200926" TargetMode="External"/><Relationship Id="rId578" Type="http://schemas.openxmlformats.org/officeDocument/2006/relationships/table" Target="../tables/table57.xml"/><Relationship Id="rId214" Type="http://schemas.openxmlformats.org/officeDocument/2006/relationships/hyperlink" Target="https://horizondirect.gorgias.com/app/ticket/379975052" TargetMode="External"/><Relationship Id="rId335" Type="http://schemas.openxmlformats.org/officeDocument/2006/relationships/hyperlink" Target="https://horizondirect.gorgias.com/app/ticket/387586367" TargetMode="External"/><Relationship Id="rId456" Type="http://schemas.openxmlformats.org/officeDocument/2006/relationships/hyperlink" Target="https://4ammedia.zendesk.com/agent/tickets/200783" TargetMode="External"/><Relationship Id="rId577" Type="http://schemas.openxmlformats.org/officeDocument/2006/relationships/table" Target="../tables/table56.xml"/><Relationship Id="rId219" Type="http://schemas.openxmlformats.org/officeDocument/2006/relationships/hyperlink" Target="https://horizondirect.gorgias.com/app/ticket/380289654" TargetMode="External"/><Relationship Id="rId218" Type="http://schemas.openxmlformats.org/officeDocument/2006/relationships/hyperlink" Target="https://horizondirect.gorgias.com/app/ticket/380151229" TargetMode="External"/><Relationship Id="rId339" Type="http://schemas.openxmlformats.org/officeDocument/2006/relationships/hyperlink" Target="https://horizondirect.gorgias.com/app/ticket/387865464" TargetMode="External"/><Relationship Id="rId330" Type="http://schemas.openxmlformats.org/officeDocument/2006/relationships/hyperlink" Target="https://assets.aircall.io/calls/3712063899/recording" TargetMode="External"/><Relationship Id="rId451" Type="http://schemas.openxmlformats.org/officeDocument/2006/relationships/hyperlink" Target="https://4ammedia.zendesk.com/agent/tickets/196688" TargetMode="External"/><Relationship Id="rId572" Type="http://schemas.openxmlformats.org/officeDocument/2006/relationships/table" Target="../tables/table51.xml"/><Relationship Id="rId450" Type="http://schemas.openxmlformats.org/officeDocument/2006/relationships/hyperlink" Target="https://4ammedia.zendesk.com/agent/tickets/196563" TargetMode="External"/><Relationship Id="rId571" Type="http://schemas.openxmlformats.org/officeDocument/2006/relationships/table" Target="../tables/table50.xml"/><Relationship Id="rId570" Type="http://schemas.openxmlformats.org/officeDocument/2006/relationships/table" Target="../tables/table49.xml"/><Relationship Id="rId213" Type="http://schemas.openxmlformats.org/officeDocument/2006/relationships/hyperlink" Target="https://horizondirect.gorgias.com/app/ticket/379966022" TargetMode="External"/><Relationship Id="rId334" Type="http://schemas.openxmlformats.org/officeDocument/2006/relationships/hyperlink" Target="https://horizondirect.gorgias.com/app/ticket/387577864" TargetMode="External"/><Relationship Id="rId455" Type="http://schemas.openxmlformats.org/officeDocument/2006/relationships/hyperlink" Target="https://4ammedia.zendesk.com/agent/tickets/200699" TargetMode="External"/><Relationship Id="rId576" Type="http://schemas.openxmlformats.org/officeDocument/2006/relationships/table" Target="../tables/table55.xml"/><Relationship Id="rId212" Type="http://schemas.openxmlformats.org/officeDocument/2006/relationships/hyperlink" Target="https://horizondirect.gorgias.com/app/ticket/379844322" TargetMode="External"/><Relationship Id="rId333" Type="http://schemas.openxmlformats.org/officeDocument/2006/relationships/hyperlink" Target="https://horizondirect.gorgias.com/app/ticket/387577668" TargetMode="External"/><Relationship Id="rId454" Type="http://schemas.openxmlformats.org/officeDocument/2006/relationships/hyperlink" Target="https://4ammedia.zendesk.com/agent/tickets/197951" TargetMode="External"/><Relationship Id="rId575" Type="http://schemas.openxmlformats.org/officeDocument/2006/relationships/table" Target="../tables/table54.xml"/><Relationship Id="rId211" Type="http://schemas.openxmlformats.org/officeDocument/2006/relationships/hyperlink" Target="https://horizondirect.gorgias.com/app/ticket/379834293" TargetMode="External"/><Relationship Id="rId332" Type="http://schemas.openxmlformats.org/officeDocument/2006/relationships/hyperlink" Target="https://assets.aircall.io/calls/3712111975/recording" TargetMode="External"/><Relationship Id="rId453" Type="http://schemas.openxmlformats.org/officeDocument/2006/relationships/hyperlink" Target="https://4ammedia.zendesk.com/agent/tickets/197838" TargetMode="External"/><Relationship Id="rId574" Type="http://schemas.openxmlformats.org/officeDocument/2006/relationships/table" Target="../tables/table53.xml"/><Relationship Id="rId210" Type="http://schemas.openxmlformats.org/officeDocument/2006/relationships/hyperlink" Target="https://horizondirect.gorgias.com/app/ticket/379819617" TargetMode="External"/><Relationship Id="rId331" Type="http://schemas.openxmlformats.org/officeDocument/2006/relationships/hyperlink" Target="https://assets.aircall.io/calls/3712100871/recording" TargetMode="External"/><Relationship Id="rId452" Type="http://schemas.openxmlformats.org/officeDocument/2006/relationships/hyperlink" Target="https://4ammedia.zendesk.com/agent/tickets/197782" TargetMode="External"/><Relationship Id="rId573" Type="http://schemas.openxmlformats.org/officeDocument/2006/relationships/table" Target="../tables/table52.xml"/><Relationship Id="rId370" Type="http://schemas.openxmlformats.org/officeDocument/2006/relationships/hyperlink" Target="https://assets.aircall.io/calls/3761223280/recording" TargetMode="External"/><Relationship Id="rId491" Type="http://schemas.openxmlformats.org/officeDocument/2006/relationships/hyperlink" Target="https://4ammedia.zendesk.com/agent/tickets/228642" TargetMode="External"/><Relationship Id="rId490" Type="http://schemas.openxmlformats.org/officeDocument/2006/relationships/hyperlink" Target="https://4ammedia.zendesk.com/agent/tickets/227041" TargetMode="External"/><Relationship Id="rId129" Type="http://schemas.openxmlformats.org/officeDocument/2006/relationships/hyperlink" Target="https://horizondirect.gorgias.com/app/ticket/374442872" TargetMode="External"/><Relationship Id="rId128" Type="http://schemas.openxmlformats.org/officeDocument/2006/relationships/hyperlink" Target="https://horizondirect.gorgias.com/app/ticket/374435012" TargetMode="External"/><Relationship Id="rId249" Type="http://schemas.openxmlformats.org/officeDocument/2006/relationships/hyperlink" Target="https://horizondirect.gorgias.com/app/ticket/382244658" TargetMode="External"/><Relationship Id="rId127" Type="http://schemas.openxmlformats.org/officeDocument/2006/relationships/hyperlink" Target="https://horizondirect.gorgias.com/app/ticket/374436138" TargetMode="External"/><Relationship Id="rId248" Type="http://schemas.openxmlformats.org/officeDocument/2006/relationships/hyperlink" Target="https://horizondirect.gorgias.com/app/ticket/381923650" TargetMode="External"/><Relationship Id="rId369" Type="http://schemas.openxmlformats.org/officeDocument/2006/relationships/hyperlink" Target="https://assets.aircall.io/calls/3761095554/recording" TargetMode="External"/><Relationship Id="rId126" Type="http://schemas.openxmlformats.org/officeDocument/2006/relationships/hyperlink" Target="https://horizondirect.gorgias.com/app/ticket/374145599" TargetMode="External"/><Relationship Id="rId247" Type="http://schemas.openxmlformats.org/officeDocument/2006/relationships/hyperlink" Target="https://horizondirect.gorgias.com/app/ticket/381919426" TargetMode="External"/><Relationship Id="rId368" Type="http://schemas.openxmlformats.org/officeDocument/2006/relationships/hyperlink" Target="https://assets.aircall.io/calls/3755559752/recording" TargetMode="External"/><Relationship Id="rId489" Type="http://schemas.openxmlformats.org/officeDocument/2006/relationships/hyperlink" Target="https://4ammedia.zendesk.com/agent/tickets/227026" TargetMode="External"/><Relationship Id="rId121" Type="http://schemas.openxmlformats.org/officeDocument/2006/relationships/hyperlink" Target="https://horizondirect.gorgias.com/app/ticket/373989945" TargetMode="External"/><Relationship Id="rId242" Type="http://schemas.openxmlformats.org/officeDocument/2006/relationships/hyperlink" Target="https://horizondirect.gorgias.com/app/ticket/381671905" TargetMode="External"/><Relationship Id="rId363" Type="http://schemas.openxmlformats.org/officeDocument/2006/relationships/hyperlink" Target="https://assets.aircall.io/calls/3753021898/recording" TargetMode="External"/><Relationship Id="rId484" Type="http://schemas.openxmlformats.org/officeDocument/2006/relationships/hyperlink" Target="https://4ammedia.zendesk.com/agent/tickets/219749" TargetMode="External"/><Relationship Id="rId120" Type="http://schemas.openxmlformats.org/officeDocument/2006/relationships/hyperlink" Target="https://horizondirect.gorgias.com/app/ticket/373822214" TargetMode="External"/><Relationship Id="rId241" Type="http://schemas.openxmlformats.org/officeDocument/2006/relationships/hyperlink" Target="https://horizondirect.gorgias.com/app/ticket/381658622" TargetMode="External"/><Relationship Id="rId362" Type="http://schemas.openxmlformats.org/officeDocument/2006/relationships/hyperlink" Target="https://assets.aircall.io/calls/3748793147/recording" TargetMode="External"/><Relationship Id="rId483" Type="http://schemas.openxmlformats.org/officeDocument/2006/relationships/hyperlink" Target="https://4ammedia.zendesk.com/agent/tickets/219612" TargetMode="External"/><Relationship Id="rId240" Type="http://schemas.openxmlformats.org/officeDocument/2006/relationships/hyperlink" Target="https://horizondirect.gorgias.com/app/ticket/381656412" TargetMode="External"/><Relationship Id="rId361" Type="http://schemas.openxmlformats.org/officeDocument/2006/relationships/hyperlink" Target="https://assets.aircall.io/calls/3748787213/recording" TargetMode="External"/><Relationship Id="rId482" Type="http://schemas.openxmlformats.org/officeDocument/2006/relationships/hyperlink" Target="https://4ammedia.zendesk.com/agent/tickets/219526" TargetMode="External"/><Relationship Id="rId360" Type="http://schemas.openxmlformats.org/officeDocument/2006/relationships/hyperlink" Target="https://assets.aircall.io/calls/3748646883/recording" TargetMode="External"/><Relationship Id="rId481" Type="http://schemas.openxmlformats.org/officeDocument/2006/relationships/hyperlink" Target="https://4ammedia.zendesk.com/agent/tickets/218017" TargetMode="External"/><Relationship Id="rId125" Type="http://schemas.openxmlformats.org/officeDocument/2006/relationships/hyperlink" Target="https://horizondirect.gorgias.com/app/ticket/374142467" TargetMode="External"/><Relationship Id="rId246" Type="http://schemas.openxmlformats.org/officeDocument/2006/relationships/hyperlink" Target="https://horizondirect.gorgias.com/app/ticket/381911782" TargetMode="External"/><Relationship Id="rId367" Type="http://schemas.openxmlformats.org/officeDocument/2006/relationships/hyperlink" Target="https://assets.aircall.io/calls/3755564835/recording" TargetMode="External"/><Relationship Id="rId488" Type="http://schemas.openxmlformats.org/officeDocument/2006/relationships/hyperlink" Target="https://4ammedia.zendesk.com/agent/tickets/227009" TargetMode="External"/><Relationship Id="rId124" Type="http://schemas.openxmlformats.org/officeDocument/2006/relationships/hyperlink" Target="https://horizondirect.gorgias.com/app/ticket/374141832" TargetMode="External"/><Relationship Id="rId245" Type="http://schemas.openxmlformats.org/officeDocument/2006/relationships/hyperlink" Target="https://horizondirect.gorgias.com/app/ticket/381788618" TargetMode="External"/><Relationship Id="rId366" Type="http://schemas.openxmlformats.org/officeDocument/2006/relationships/hyperlink" Target="https://assets.aircall.io/calls/3755533820/recording" TargetMode="External"/><Relationship Id="rId487" Type="http://schemas.openxmlformats.org/officeDocument/2006/relationships/hyperlink" Target="https://4ammedia.zendesk.com/agent/tickets/224692" TargetMode="External"/><Relationship Id="rId123" Type="http://schemas.openxmlformats.org/officeDocument/2006/relationships/hyperlink" Target="https://horizondirect.gorgias.com/app/ticket/373998640" TargetMode="External"/><Relationship Id="rId244" Type="http://schemas.openxmlformats.org/officeDocument/2006/relationships/hyperlink" Target="https://horizondirect.gorgias.com/app/ticket/381780723" TargetMode="External"/><Relationship Id="rId365" Type="http://schemas.openxmlformats.org/officeDocument/2006/relationships/hyperlink" Target="https://assets.aircall.io/calls/3753142869/recording" TargetMode="External"/><Relationship Id="rId486" Type="http://schemas.openxmlformats.org/officeDocument/2006/relationships/hyperlink" Target="https://4ammedia.zendesk.com/agent/tickets/224667" TargetMode="External"/><Relationship Id="rId122" Type="http://schemas.openxmlformats.org/officeDocument/2006/relationships/hyperlink" Target="https://horizondirect.gorgias.com/app/ticket/373997381" TargetMode="External"/><Relationship Id="rId243" Type="http://schemas.openxmlformats.org/officeDocument/2006/relationships/hyperlink" Target="https://horizondirect.gorgias.com/app/ticket/381776939" TargetMode="External"/><Relationship Id="rId364" Type="http://schemas.openxmlformats.org/officeDocument/2006/relationships/hyperlink" Target="https://assets.aircall.io/calls/3753111641/recording" TargetMode="External"/><Relationship Id="rId485" Type="http://schemas.openxmlformats.org/officeDocument/2006/relationships/hyperlink" Target="https://4ammedia.zendesk.com/agent/tickets/224286" TargetMode="External"/><Relationship Id="rId95" Type="http://schemas.openxmlformats.org/officeDocument/2006/relationships/hyperlink" Target="https://horizondirect.gorgias.com/app/ticket/372135847" TargetMode="External"/><Relationship Id="rId94" Type="http://schemas.openxmlformats.org/officeDocument/2006/relationships/hyperlink" Target="https://horizondirect.gorgias.com/app/ticket/372135421" TargetMode="External"/><Relationship Id="rId97" Type="http://schemas.openxmlformats.org/officeDocument/2006/relationships/hyperlink" Target="https://horizondirect.gorgias.com/app/ticket/372543746" TargetMode="External"/><Relationship Id="rId96" Type="http://schemas.openxmlformats.org/officeDocument/2006/relationships/hyperlink" Target="https://horizondirect.gorgias.com/app/ticket/372136301" TargetMode="External"/><Relationship Id="rId99" Type="http://schemas.openxmlformats.org/officeDocument/2006/relationships/hyperlink" Target="https://horizondirect.gorgias.com/app/ticket/372549434" TargetMode="External"/><Relationship Id="rId480" Type="http://schemas.openxmlformats.org/officeDocument/2006/relationships/hyperlink" Target="https://4ammedia.zendesk.com/agent/tickets/217908" TargetMode="External"/><Relationship Id="rId98" Type="http://schemas.openxmlformats.org/officeDocument/2006/relationships/hyperlink" Target="https://horizondirect.gorgias.com/app/ticket/372547794" TargetMode="External"/><Relationship Id="rId91" Type="http://schemas.openxmlformats.org/officeDocument/2006/relationships/hyperlink" Target="https://horizondirect.gorgias.com/app/ticket/372007215" TargetMode="External"/><Relationship Id="rId90" Type="http://schemas.openxmlformats.org/officeDocument/2006/relationships/hyperlink" Target="https://horizondirect.gorgias.com/app/ticket/371875525" TargetMode="External"/><Relationship Id="rId93" Type="http://schemas.openxmlformats.org/officeDocument/2006/relationships/hyperlink" Target="https://horizondirect.gorgias.com/app/ticket/372024386" TargetMode="External"/><Relationship Id="rId92" Type="http://schemas.openxmlformats.org/officeDocument/2006/relationships/hyperlink" Target="https://horizondirect.gorgias.com/app/ticket/372012582" TargetMode="External"/><Relationship Id="rId118" Type="http://schemas.openxmlformats.org/officeDocument/2006/relationships/hyperlink" Target="https://horizondirect.gorgias.com/app/ticket/373811598" TargetMode="External"/><Relationship Id="rId239" Type="http://schemas.openxmlformats.org/officeDocument/2006/relationships/hyperlink" Target="https://horizondirect.gorgias.com/app/ticket/381506591" TargetMode="External"/><Relationship Id="rId117" Type="http://schemas.openxmlformats.org/officeDocument/2006/relationships/hyperlink" Target="https://horizondirect.gorgias.com/app/ticket/373668664" TargetMode="External"/><Relationship Id="rId238" Type="http://schemas.openxmlformats.org/officeDocument/2006/relationships/hyperlink" Target="https://horizondirect.gorgias.com/app/ticket/381491866" TargetMode="External"/><Relationship Id="rId359" Type="http://schemas.openxmlformats.org/officeDocument/2006/relationships/hyperlink" Target="https://assets.aircall.io/calls/3744612856/recording" TargetMode="External"/><Relationship Id="rId116" Type="http://schemas.openxmlformats.org/officeDocument/2006/relationships/hyperlink" Target="https://horizondirect.gorgias.com/app/ticket/373664619" TargetMode="External"/><Relationship Id="rId237" Type="http://schemas.openxmlformats.org/officeDocument/2006/relationships/hyperlink" Target="https://horizondirect.gorgias.com/app/ticket/381481880" TargetMode="External"/><Relationship Id="rId358" Type="http://schemas.openxmlformats.org/officeDocument/2006/relationships/hyperlink" Target="https://assets.aircall.io/calls/3744433962/recording" TargetMode="External"/><Relationship Id="rId479" Type="http://schemas.openxmlformats.org/officeDocument/2006/relationships/hyperlink" Target="https://4ammedia.zendesk.com/agent/tickets/217776" TargetMode="External"/><Relationship Id="rId115" Type="http://schemas.openxmlformats.org/officeDocument/2006/relationships/hyperlink" Target="https://horizondirect.gorgias.com/app/ticket/373658738" TargetMode="External"/><Relationship Id="rId236" Type="http://schemas.openxmlformats.org/officeDocument/2006/relationships/hyperlink" Target="https://horizondirect.gorgias.com/app/ticket/381360171" TargetMode="External"/><Relationship Id="rId357" Type="http://schemas.openxmlformats.org/officeDocument/2006/relationships/hyperlink" Target="https://assets.aircall.io/calls/3740641715/recording" TargetMode="External"/><Relationship Id="rId478" Type="http://schemas.openxmlformats.org/officeDocument/2006/relationships/hyperlink" Target="https://4ammedia.zendesk.com/agent/tickets/215976" TargetMode="External"/><Relationship Id="rId119" Type="http://schemas.openxmlformats.org/officeDocument/2006/relationships/hyperlink" Target="https://horizondirect.gorgias.com/app/ticket/373820345" TargetMode="External"/><Relationship Id="rId110" Type="http://schemas.openxmlformats.org/officeDocument/2006/relationships/hyperlink" Target="https://horizondirect.gorgias.com/app/ticket/373394305" TargetMode="External"/><Relationship Id="rId231" Type="http://schemas.openxmlformats.org/officeDocument/2006/relationships/hyperlink" Target="https://horizondirect.gorgias.com/app/ticket/381046037" TargetMode="External"/><Relationship Id="rId352" Type="http://schemas.openxmlformats.org/officeDocument/2006/relationships/hyperlink" Target="https://assets.aircall.io/calls/3735252547/recording" TargetMode="External"/><Relationship Id="rId473" Type="http://schemas.openxmlformats.org/officeDocument/2006/relationships/hyperlink" Target="https://4ammedia.zendesk.com/agent/tickets/213864" TargetMode="External"/><Relationship Id="rId230" Type="http://schemas.openxmlformats.org/officeDocument/2006/relationships/hyperlink" Target="https://horizondirect.gorgias.com/app/ticket/380898051" TargetMode="External"/><Relationship Id="rId351" Type="http://schemas.openxmlformats.org/officeDocument/2006/relationships/hyperlink" Target="https://assets.aircall.io/calls/3735036354/recording" TargetMode="External"/><Relationship Id="rId472" Type="http://schemas.openxmlformats.org/officeDocument/2006/relationships/hyperlink" Target="https://4ammedia.zendesk.com/agent/tickets/212359" TargetMode="External"/><Relationship Id="rId350" Type="http://schemas.openxmlformats.org/officeDocument/2006/relationships/hyperlink" Target="https://assets.aircall.io/calls/3733359721/recording" TargetMode="External"/><Relationship Id="rId471" Type="http://schemas.openxmlformats.org/officeDocument/2006/relationships/hyperlink" Target="https://4ammedia.zendesk.com/agent/tickets/212102" TargetMode="External"/><Relationship Id="rId470" Type="http://schemas.openxmlformats.org/officeDocument/2006/relationships/hyperlink" Target="https://4ammedia.zendesk.com/agent/tickets/211886" TargetMode="External"/><Relationship Id="rId114" Type="http://schemas.openxmlformats.org/officeDocument/2006/relationships/hyperlink" Target="https://horizondirect.gorgias.com/app/ticket/373519631" TargetMode="External"/><Relationship Id="rId235" Type="http://schemas.openxmlformats.org/officeDocument/2006/relationships/hyperlink" Target="https://horizondirect.gorgias.com/app/ticket/381357082" TargetMode="External"/><Relationship Id="rId356" Type="http://schemas.openxmlformats.org/officeDocument/2006/relationships/hyperlink" Target="https://assets.aircall.io/calls/3740348976/recording" TargetMode="External"/><Relationship Id="rId477" Type="http://schemas.openxmlformats.org/officeDocument/2006/relationships/hyperlink" Target="https://4ammedia.zendesk.com/agent/tickets/215937" TargetMode="External"/><Relationship Id="rId113" Type="http://schemas.openxmlformats.org/officeDocument/2006/relationships/hyperlink" Target="https://horizondirect.gorgias.com/app/ticket/373518825" TargetMode="External"/><Relationship Id="rId234" Type="http://schemas.openxmlformats.org/officeDocument/2006/relationships/hyperlink" Target="https://horizondirect.gorgias.com/app/ticket/381356709" TargetMode="External"/><Relationship Id="rId355" Type="http://schemas.openxmlformats.org/officeDocument/2006/relationships/hyperlink" Target="https://assets.aircall.io/calls/3740238114/recording" TargetMode="External"/><Relationship Id="rId476" Type="http://schemas.openxmlformats.org/officeDocument/2006/relationships/hyperlink" Target="https://4ammedia.zendesk.com/agent/tickets/215731" TargetMode="External"/><Relationship Id="rId112" Type="http://schemas.openxmlformats.org/officeDocument/2006/relationships/hyperlink" Target="https://horizondirect.gorgias.com/app/ticket/373512909" TargetMode="External"/><Relationship Id="rId233" Type="http://schemas.openxmlformats.org/officeDocument/2006/relationships/hyperlink" Target="https://horizondirect.gorgias.com/app/ticket/381077267" TargetMode="External"/><Relationship Id="rId354" Type="http://schemas.openxmlformats.org/officeDocument/2006/relationships/hyperlink" Target="https://assets.aircall.io/calls/3740071248/recording" TargetMode="External"/><Relationship Id="rId475" Type="http://schemas.openxmlformats.org/officeDocument/2006/relationships/hyperlink" Target="https://4ammedia.zendesk.com/agent/tickets/214389" TargetMode="External"/><Relationship Id="rId111" Type="http://schemas.openxmlformats.org/officeDocument/2006/relationships/hyperlink" Target="https://horizondirect.gorgias.com/app/ticket/373396383" TargetMode="External"/><Relationship Id="rId232" Type="http://schemas.openxmlformats.org/officeDocument/2006/relationships/hyperlink" Target="https://horizondirect.gorgias.com/app/ticket/381066613" TargetMode="External"/><Relationship Id="rId353" Type="http://schemas.openxmlformats.org/officeDocument/2006/relationships/hyperlink" Target="https://assets.aircall.io/calls/3735283903/recording" TargetMode="External"/><Relationship Id="rId474" Type="http://schemas.openxmlformats.org/officeDocument/2006/relationships/hyperlink" Target="https://4ammedia.zendesk.com/agent/tickets/213999" TargetMode="External"/><Relationship Id="rId305" Type="http://schemas.openxmlformats.org/officeDocument/2006/relationships/hyperlink" Target="https://horizondirect.gorgias.com/app/ticket/385852429" TargetMode="External"/><Relationship Id="rId426" Type="http://schemas.openxmlformats.org/officeDocument/2006/relationships/hyperlink" Target="https://4ammedia.zendesk.com/agent/tickets/173337" TargetMode="External"/><Relationship Id="rId304" Type="http://schemas.openxmlformats.org/officeDocument/2006/relationships/hyperlink" Target="https://horizondirect.gorgias.com/app/ticket/385852795" TargetMode="External"/><Relationship Id="rId425" Type="http://schemas.openxmlformats.org/officeDocument/2006/relationships/hyperlink" Target="https://4ammedia.zendesk.com/agent/tickets/173249" TargetMode="External"/><Relationship Id="rId303" Type="http://schemas.openxmlformats.org/officeDocument/2006/relationships/hyperlink" Target="https://horizondirect.gorgias.com/app/ticket/385853692" TargetMode="External"/><Relationship Id="rId424" Type="http://schemas.openxmlformats.org/officeDocument/2006/relationships/hyperlink" Target="https://4ammedia.zendesk.com/agent/tickets/166144" TargetMode="External"/><Relationship Id="rId302" Type="http://schemas.openxmlformats.org/officeDocument/2006/relationships/hyperlink" Target="https://horizondirect.gorgias.com/app/ticket/385762320" TargetMode="External"/><Relationship Id="rId423" Type="http://schemas.openxmlformats.org/officeDocument/2006/relationships/hyperlink" Target="https://4ammedia.zendesk.com/agent/tickets/166065" TargetMode="External"/><Relationship Id="rId544" Type="http://schemas.openxmlformats.org/officeDocument/2006/relationships/drawing" Target="../drawings/drawing6.xml"/><Relationship Id="rId309" Type="http://schemas.openxmlformats.org/officeDocument/2006/relationships/hyperlink" Target="https://horizondirect.gorgias.com/app/ticket/386072232" TargetMode="External"/><Relationship Id="rId308" Type="http://schemas.openxmlformats.org/officeDocument/2006/relationships/hyperlink" Target="https://horizondirect.gorgias.com/app/ticket/385933230" TargetMode="External"/><Relationship Id="rId429" Type="http://schemas.openxmlformats.org/officeDocument/2006/relationships/hyperlink" Target="https://4ammedia.zendesk.com/agent/tickets/175081" TargetMode="External"/><Relationship Id="rId307" Type="http://schemas.openxmlformats.org/officeDocument/2006/relationships/hyperlink" Target="https://horizondirect.gorgias.com/app/ticket/385959799" TargetMode="External"/><Relationship Id="rId428" Type="http://schemas.openxmlformats.org/officeDocument/2006/relationships/hyperlink" Target="https://4ammedia.zendesk.com/agent/tickets/174886" TargetMode="External"/><Relationship Id="rId306" Type="http://schemas.openxmlformats.org/officeDocument/2006/relationships/hyperlink" Target="https://horizondirect.gorgias.com/app/ticket/385945753" TargetMode="External"/><Relationship Id="rId427" Type="http://schemas.openxmlformats.org/officeDocument/2006/relationships/hyperlink" Target="https://4ammedia.zendesk.com/agent/tickets/173417" TargetMode="External"/><Relationship Id="rId301" Type="http://schemas.openxmlformats.org/officeDocument/2006/relationships/hyperlink" Target="https://horizondirect.gorgias.com/app/ticket/385767517" TargetMode="External"/><Relationship Id="rId422" Type="http://schemas.openxmlformats.org/officeDocument/2006/relationships/hyperlink" Target="https://4ammedia.zendesk.com/agent/tickets/165718" TargetMode="External"/><Relationship Id="rId543" Type="http://schemas.openxmlformats.org/officeDocument/2006/relationships/hyperlink" Target="https://4ammedia.zendesk.com/agent/tickets/271253" TargetMode="External"/><Relationship Id="rId300" Type="http://schemas.openxmlformats.org/officeDocument/2006/relationships/hyperlink" Target="https://horizondirect.gorgias.com/app/ticket/385770727" TargetMode="External"/><Relationship Id="rId421" Type="http://schemas.openxmlformats.org/officeDocument/2006/relationships/hyperlink" Target="https://4ammedia.zendesk.com/agent/tickets/164655" TargetMode="External"/><Relationship Id="rId542" Type="http://schemas.openxmlformats.org/officeDocument/2006/relationships/hyperlink" Target="https://4ammedia.zendesk.com/agent/tickets/271192" TargetMode="External"/><Relationship Id="rId420" Type="http://schemas.openxmlformats.org/officeDocument/2006/relationships/hyperlink" Target="https://4ammedia.zendesk.com/agent/tickets/164637" TargetMode="External"/><Relationship Id="rId541" Type="http://schemas.openxmlformats.org/officeDocument/2006/relationships/hyperlink" Target="https://4ammedia.zendesk.com/agent/tickets/271080" TargetMode="External"/><Relationship Id="rId540" Type="http://schemas.openxmlformats.org/officeDocument/2006/relationships/hyperlink" Target="https://4ammedia.zendesk.com/agent/tickets/270176" TargetMode="External"/><Relationship Id="rId415" Type="http://schemas.openxmlformats.org/officeDocument/2006/relationships/hyperlink" Target="https://4ammedia.zendesk.com/agent/tickets/161233" TargetMode="External"/><Relationship Id="rId536" Type="http://schemas.openxmlformats.org/officeDocument/2006/relationships/hyperlink" Target="https://4ammedia.zendesk.com/agent/tickets/268016" TargetMode="External"/><Relationship Id="rId414" Type="http://schemas.openxmlformats.org/officeDocument/2006/relationships/hyperlink" Target="https://4ammedia.zendesk.com/agent/tickets/160971" TargetMode="External"/><Relationship Id="rId535" Type="http://schemas.openxmlformats.org/officeDocument/2006/relationships/hyperlink" Target="https://4ammedia.zendesk.com/agent/tickets/267920" TargetMode="External"/><Relationship Id="rId413" Type="http://schemas.openxmlformats.org/officeDocument/2006/relationships/hyperlink" Target="https://4ammedia.zendesk.com/agent/tickets/159624" TargetMode="External"/><Relationship Id="rId534" Type="http://schemas.openxmlformats.org/officeDocument/2006/relationships/hyperlink" Target="https://4ammedia.zendesk.com/agent/tickets/266418" TargetMode="External"/><Relationship Id="rId412" Type="http://schemas.openxmlformats.org/officeDocument/2006/relationships/hyperlink" Target="https://4ammedia.zendesk.com/agent/tickets/159473" TargetMode="External"/><Relationship Id="rId533" Type="http://schemas.openxmlformats.org/officeDocument/2006/relationships/hyperlink" Target="https://4ammedia.zendesk.com/agent/tickets/266363" TargetMode="External"/><Relationship Id="rId419" Type="http://schemas.openxmlformats.org/officeDocument/2006/relationships/hyperlink" Target="https://4ammedia.zendesk.com/agent/tickets/164534" TargetMode="External"/><Relationship Id="rId418" Type="http://schemas.openxmlformats.org/officeDocument/2006/relationships/hyperlink" Target="https://4ammedia.zendesk.com/agent/tickets/162686" TargetMode="External"/><Relationship Id="rId539" Type="http://schemas.openxmlformats.org/officeDocument/2006/relationships/hyperlink" Target="https://4ammedia.zendesk.com/agent/tickets/270169" TargetMode="External"/><Relationship Id="rId417" Type="http://schemas.openxmlformats.org/officeDocument/2006/relationships/hyperlink" Target="https://4ammedia.zendesk.com/agent/tickets/162665" TargetMode="External"/><Relationship Id="rId538" Type="http://schemas.openxmlformats.org/officeDocument/2006/relationships/hyperlink" Target="https://4ammedia.zendesk.com/agent/tickets/270012" TargetMode="External"/><Relationship Id="rId416" Type="http://schemas.openxmlformats.org/officeDocument/2006/relationships/hyperlink" Target="https://4ammedia.zendesk.com/agent/tickets/161370" TargetMode="External"/><Relationship Id="rId537" Type="http://schemas.openxmlformats.org/officeDocument/2006/relationships/hyperlink" Target="https://4ammedia.zendesk.com/agent/tickets/268066" TargetMode="External"/><Relationship Id="rId411" Type="http://schemas.openxmlformats.org/officeDocument/2006/relationships/hyperlink" Target="https://4ammedia.zendesk.com/agent/tickets/159272" TargetMode="External"/><Relationship Id="rId532" Type="http://schemas.openxmlformats.org/officeDocument/2006/relationships/hyperlink" Target="https://4ammedia.zendesk.com/agent/tickets/266030" TargetMode="External"/><Relationship Id="rId410" Type="http://schemas.openxmlformats.org/officeDocument/2006/relationships/hyperlink" Target="https://4ammedia.zendesk.com/agent/tickets/155913" TargetMode="External"/><Relationship Id="rId531" Type="http://schemas.openxmlformats.org/officeDocument/2006/relationships/hyperlink" Target="https://4ammedia.zendesk.com/agent/tickets/264061" TargetMode="External"/><Relationship Id="rId530" Type="http://schemas.openxmlformats.org/officeDocument/2006/relationships/hyperlink" Target="https://4ammedia.zendesk.com/agent/tickets/263960" TargetMode="External"/><Relationship Id="rId206" Type="http://schemas.openxmlformats.org/officeDocument/2006/relationships/hyperlink" Target="https://horizondirect.gorgias.com/app/ticket/379584443" TargetMode="External"/><Relationship Id="rId327" Type="http://schemas.openxmlformats.org/officeDocument/2006/relationships/hyperlink" Target="https://assets.aircall.io/calls/3707570004/recording" TargetMode="External"/><Relationship Id="rId448" Type="http://schemas.openxmlformats.org/officeDocument/2006/relationships/hyperlink" Target="https://4ammedia.zendesk.com/agent/tickets/194917" TargetMode="External"/><Relationship Id="rId569" Type="http://schemas.openxmlformats.org/officeDocument/2006/relationships/table" Target="../tables/table48.xml"/><Relationship Id="rId205" Type="http://schemas.openxmlformats.org/officeDocument/2006/relationships/hyperlink" Target="https://horizondirect.gorgias.com/app/ticket/379575446" TargetMode="External"/><Relationship Id="rId326" Type="http://schemas.openxmlformats.org/officeDocument/2006/relationships/hyperlink" Target="https://assets.aircall.io/calls/3703708195/recording/info" TargetMode="External"/><Relationship Id="rId447" Type="http://schemas.openxmlformats.org/officeDocument/2006/relationships/hyperlink" Target="https://4ammedia.zendesk.com/agent/tickets/194861" TargetMode="External"/><Relationship Id="rId568" Type="http://schemas.openxmlformats.org/officeDocument/2006/relationships/table" Target="../tables/table47.xml"/><Relationship Id="rId204" Type="http://schemas.openxmlformats.org/officeDocument/2006/relationships/hyperlink" Target="https://horizondirect.gorgias.com/app/ticket/379561174" TargetMode="External"/><Relationship Id="rId325" Type="http://schemas.openxmlformats.org/officeDocument/2006/relationships/hyperlink" Target="https://assets.aircall.io/calls/3703697774/recording/info" TargetMode="External"/><Relationship Id="rId446" Type="http://schemas.openxmlformats.org/officeDocument/2006/relationships/hyperlink" Target="https://4ammedia.zendesk.com/agent/tickets/194834" TargetMode="External"/><Relationship Id="rId567" Type="http://schemas.openxmlformats.org/officeDocument/2006/relationships/table" Target="../tables/table46.xml"/><Relationship Id="rId203" Type="http://schemas.openxmlformats.org/officeDocument/2006/relationships/hyperlink" Target="https://horizondirect.gorgias.com/app/ticket/379279138" TargetMode="External"/><Relationship Id="rId324" Type="http://schemas.openxmlformats.org/officeDocument/2006/relationships/hyperlink" Target="https://assets.aircall.io/calls/3703665831/recording/info" TargetMode="External"/><Relationship Id="rId445" Type="http://schemas.openxmlformats.org/officeDocument/2006/relationships/hyperlink" Target="https://4ammedia.zendesk.com/agent/tickets/193747" TargetMode="External"/><Relationship Id="rId209" Type="http://schemas.openxmlformats.org/officeDocument/2006/relationships/hyperlink" Target="https://horizondirect.gorgias.com/app/ticket/379726758" TargetMode="External"/><Relationship Id="rId208" Type="http://schemas.openxmlformats.org/officeDocument/2006/relationships/hyperlink" Target="https://horizondirect.gorgias.com/app/ticket/379721167" TargetMode="External"/><Relationship Id="rId329" Type="http://schemas.openxmlformats.org/officeDocument/2006/relationships/hyperlink" Target="https://assets.aircall.io/calls/3707834709/recording" TargetMode="External"/><Relationship Id="rId207" Type="http://schemas.openxmlformats.org/officeDocument/2006/relationships/hyperlink" Target="https://horizondirect.gorgias.com/app/ticket/379720545" TargetMode="External"/><Relationship Id="rId328" Type="http://schemas.openxmlformats.org/officeDocument/2006/relationships/hyperlink" Target="https://assets.aircall.io/calls/3707820853/recording" TargetMode="External"/><Relationship Id="rId449" Type="http://schemas.openxmlformats.org/officeDocument/2006/relationships/hyperlink" Target="https://4ammedia.zendesk.com/agent/tickets/196370" TargetMode="External"/><Relationship Id="rId440" Type="http://schemas.openxmlformats.org/officeDocument/2006/relationships/hyperlink" Target="https://4ammedia.zendesk.com/agent/tickets/189720" TargetMode="External"/><Relationship Id="rId202" Type="http://schemas.openxmlformats.org/officeDocument/2006/relationships/hyperlink" Target="https://horizondirect.gorgias.com/app/ticket/379270727" TargetMode="External"/><Relationship Id="rId323" Type="http://schemas.openxmlformats.org/officeDocument/2006/relationships/hyperlink" Target="https://horizondirect.gorgias.com/app/ticket/386672849" TargetMode="External"/><Relationship Id="rId444" Type="http://schemas.openxmlformats.org/officeDocument/2006/relationships/hyperlink" Target="https://4ammedia.zendesk.com/agent/tickets/193651" TargetMode="External"/><Relationship Id="rId201" Type="http://schemas.openxmlformats.org/officeDocument/2006/relationships/hyperlink" Target="https://horizondirect.gorgias.com/app/ticket/379247029" TargetMode="External"/><Relationship Id="rId322" Type="http://schemas.openxmlformats.org/officeDocument/2006/relationships/hyperlink" Target="https://horizondirect.gorgias.com/app/ticket/386672007" TargetMode="External"/><Relationship Id="rId443" Type="http://schemas.openxmlformats.org/officeDocument/2006/relationships/hyperlink" Target="https://4ammedia.zendesk.com/agent/tickets/193614" TargetMode="External"/><Relationship Id="rId200" Type="http://schemas.openxmlformats.org/officeDocument/2006/relationships/hyperlink" Target="https://horizondirect.gorgias.com/app/ticket/379154142" TargetMode="External"/><Relationship Id="rId321" Type="http://schemas.openxmlformats.org/officeDocument/2006/relationships/hyperlink" Target="https://horizondirect.gorgias.com/app/ticket/386671902" TargetMode="External"/><Relationship Id="rId442" Type="http://schemas.openxmlformats.org/officeDocument/2006/relationships/hyperlink" Target="https://4ammedia.zendesk.com/agent/tickets/190107" TargetMode="External"/><Relationship Id="rId320" Type="http://schemas.openxmlformats.org/officeDocument/2006/relationships/hyperlink" Target="https://horizondirect.gorgias.com/app/ticket/386526135" TargetMode="External"/><Relationship Id="rId441" Type="http://schemas.openxmlformats.org/officeDocument/2006/relationships/hyperlink" Target="https://4ammedia.zendesk.com/agent/tickets/189948" TargetMode="External"/><Relationship Id="rId316" Type="http://schemas.openxmlformats.org/officeDocument/2006/relationships/hyperlink" Target="https://horizondirect.gorgias.com/app/ticket/386391367" TargetMode="External"/><Relationship Id="rId437" Type="http://schemas.openxmlformats.org/officeDocument/2006/relationships/hyperlink" Target="https://4ammedia.zendesk.com/agent/tickets/178279" TargetMode="External"/><Relationship Id="rId315" Type="http://schemas.openxmlformats.org/officeDocument/2006/relationships/hyperlink" Target="https://horizondirect.gorgias.com/app/ticket/386376801" TargetMode="External"/><Relationship Id="rId436" Type="http://schemas.openxmlformats.org/officeDocument/2006/relationships/hyperlink" Target="https://4ammedia.zendesk.com/agent/tickets/177222" TargetMode="External"/><Relationship Id="rId314" Type="http://schemas.openxmlformats.org/officeDocument/2006/relationships/hyperlink" Target="https://horizondirect.gorgias.com/app/ticket/386230712" TargetMode="External"/><Relationship Id="rId435" Type="http://schemas.openxmlformats.org/officeDocument/2006/relationships/hyperlink" Target="https://4ammedia.zendesk.com/agent/tickets/177193" TargetMode="External"/><Relationship Id="rId313" Type="http://schemas.openxmlformats.org/officeDocument/2006/relationships/hyperlink" Target="https://horizondirect.gorgias.com/app/ticket/386234884" TargetMode="External"/><Relationship Id="rId434" Type="http://schemas.openxmlformats.org/officeDocument/2006/relationships/hyperlink" Target="https://4ammedia.zendesk.com/agent/tickets/177121" TargetMode="External"/><Relationship Id="rId319" Type="http://schemas.openxmlformats.org/officeDocument/2006/relationships/hyperlink" Target="https://horizondirect.gorgias.com/app/ticket/386525671" TargetMode="External"/><Relationship Id="rId318" Type="http://schemas.openxmlformats.org/officeDocument/2006/relationships/hyperlink" Target="https://horizondirect.gorgias.com/app/ticket/386519509" TargetMode="External"/><Relationship Id="rId439" Type="http://schemas.openxmlformats.org/officeDocument/2006/relationships/hyperlink" Target="https://4ammedia.zendesk.com/agent/tickets/178345" TargetMode="External"/><Relationship Id="rId317" Type="http://schemas.openxmlformats.org/officeDocument/2006/relationships/hyperlink" Target="https://horizondirect.gorgias.com/app/ticket/386371722" TargetMode="External"/><Relationship Id="rId438" Type="http://schemas.openxmlformats.org/officeDocument/2006/relationships/hyperlink" Target="https://4ammedia.zendesk.com/agent/tickets/178335" TargetMode="External"/><Relationship Id="rId312" Type="http://schemas.openxmlformats.org/officeDocument/2006/relationships/hyperlink" Target="https://horizondirect.gorgias.com/app/ticket/386236068" TargetMode="External"/><Relationship Id="rId433" Type="http://schemas.openxmlformats.org/officeDocument/2006/relationships/hyperlink" Target="https://4ammedia.zendesk.com/agent/tickets/176285" TargetMode="External"/><Relationship Id="rId311" Type="http://schemas.openxmlformats.org/officeDocument/2006/relationships/hyperlink" Target="https://horizondirect.gorgias.com/app/ticket/386089006" TargetMode="External"/><Relationship Id="rId432" Type="http://schemas.openxmlformats.org/officeDocument/2006/relationships/hyperlink" Target="https://4ammedia.zendesk.com/agent/tickets/176268" TargetMode="External"/><Relationship Id="rId310" Type="http://schemas.openxmlformats.org/officeDocument/2006/relationships/hyperlink" Target="https://horizondirect.gorgias.com/app/ticket/386078498" TargetMode="External"/><Relationship Id="rId431" Type="http://schemas.openxmlformats.org/officeDocument/2006/relationships/hyperlink" Target="https://4ammedia.zendesk.com/agent/tickets/176200" TargetMode="External"/><Relationship Id="rId430" Type="http://schemas.openxmlformats.org/officeDocument/2006/relationships/hyperlink" Target="https://4ammedia.zendesk.com/agent/tickets/175100"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horizondirect.gorgias.com/app/ticket/377914881" TargetMode="External"/><Relationship Id="rId194" Type="http://schemas.openxmlformats.org/officeDocument/2006/relationships/hyperlink" Target="https://horizondirect.gorgias.com/app/ticket/378091761" TargetMode="External"/><Relationship Id="rId193" Type="http://schemas.openxmlformats.org/officeDocument/2006/relationships/hyperlink" Target="https://horizondirect.gorgias.com/app/ticket/378075747" TargetMode="External"/><Relationship Id="rId192" Type="http://schemas.openxmlformats.org/officeDocument/2006/relationships/hyperlink" Target="https://horizondirect.gorgias.com/app/ticket/377973066" TargetMode="External"/><Relationship Id="rId191" Type="http://schemas.openxmlformats.org/officeDocument/2006/relationships/hyperlink" Target="https://horizondirect.gorgias.com/app/ticket/377941573" TargetMode="External"/><Relationship Id="rId187" Type="http://schemas.openxmlformats.org/officeDocument/2006/relationships/hyperlink" Target="https://horizondirect.gorgias.com/app/ticket/377615452" TargetMode="External"/><Relationship Id="rId186" Type="http://schemas.openxmlformats.org/officeDocument/2006/relationships/hyperlink" Target="https://horizondirect.gorgias.com/app/ticket/377506297" TargetMode="External"/><Relationship Id="rId185" Type="http://schemas.openxmlformats.org/officeDocument/2006/relationships/hyperlink" Target="https://horizondirect.gorgias.com/app/ticket/377491678" TargetMode="External"/><Relationship Id="rId184" Type="http://schemas.openxmlformats.org/officeDocument/2006/relationships/hyperlink" Target="https://horizondirect.gorgias.com/app/ticket/377471764" TargetMode="External"/><Relationship Id="rId189" Type="http://schemas.openxmlformats.org/officeDocument/2006/relationships/hyperlink" Target="https://horizondirect.gorgias.com/app/ticket/377641825" TargetMode="External"/><Relationship Id="rId188" Type="http://schemas.openxmlformats.org/officeDocument/2006/relationships/hyperlink" Target="https://horizondirect.gorgias.com/app/ticket/377626704" TargetMode="External"/><Relationship Id="rId183" Type="http://schemas.openxmlformats.org/officeDocument/2006/relationships/hyperlink" Target="https://horizondirect.gorgias.com/app/ticket/377367337" TargetMode="External"/><Relationship Id="rId182" Type="http://schemas.openxmlformats.org/officeDocument/2006/relationships/hyperlink" Target="https://horizondirect.gorgias.com/app/ticket/377360240" TargetMode="External"/><Relationship Id="rId181" Type="http://schemas.openxmlformats.org/officeDocument/2006/relationships/hyperlink" Target="https://horizondirect.gorgias.com/app/ticket/377343439" TargetMode="External"/><Relationship Id="rId180" Type="http://schemas.openxmlformats.org/officeDocument/2006/relationships/hyperlink" Target="https://horizondirect.gorgias.com/app/ticket/377220369" TargetMode="External"/><Relationship Id="rId176" Type="http://schemas.openxmlformats.org/officeDocument/2006/relationships/hyperlink" Target="https://horizondirect.gorgias.com/app/ticket/377048962" TargetMode="External"/><Relationship Id="rId297" Type="http://schemas.openxmlformats.org/officeDocument/2006/relationships/hyperlink" Target="https://horizondirect.gorgias.com/app/ticket/384317752" TargetMode="External"/><Relationship Id="rId175" Type="http://schemas.openxmlformats.org/officeDocument/2006/relationships/hyperlink" Target="https://horizondirect.gorgias.com/app/ticket/377025045" TargetMode="External"/><Relationship Id="rId296" Type="http://schemas.openxmlformats.org/officeDocument/2006/relationships/hyperlink" Target="https://horizondirect.gorgias.com/app/ticket/384301857" TargetMode="External"/><Relationship Id="rId174" Type="http://schemas.openxmlformats.org/officeDocument/2006/relationships/hyperlink" Target="https://horizondirect.gorgias.com/app/ticket/376914708" TargetMode="External"/><Relationship Id="rId295" Type="http://schemas.openxmlformats.org/officeDocument/2006/relationships/hyperlink" Target="https://horizondirect.gorgias.com/app/ticket/384296669" TargetMode="External"/><Relationship Id="rId173" Type="http://schemas.openxmlformats.org/officeDocument/2006/relationships/hyperlink" Target="https://horizondirect.gorgias.com/app/ticket/376895287" TargetMode="External"/><Relationship Id="rId294" Type="http://schemas.openxmlformats.org/officeDocument/2006/relationships/hyperlink" Target="https://horizondirect.gorgias.com/app/ticket/383990906" TargetMode="External"/><Relationship Id="rId179" Type="http://schemas.openxmlformats.org/officeDocument/2006/relationships/hyperlink" Target="https://horizondirect.gorgias.com/app/ticket/377215846" TargetMode="External"/><Relationship Id="rId178" Type="http://schemas.openxmlformats.org/officeDocument/2006/relationships/hyperlink" Target="https://horizondirect.gorgias.com/app/ticket/377213958" TargetMode="External"/><Relationship Id="rId299" Type="http://schemas.openxmlformats.org/officeDocument/2006/relationships/hyperlink" Target="https://horizondirect.gorgias.com/app/ticket/384420335" TargetMode="External"/><Relationship Id="rId177" Type="http://schemas.openxmlformats.org/officeDocument/2006/relationships/hyperlink" Target="https://horizondirect.gorgias.com/app/ticket/377076442" TargetMode="External"/><Relationship Id="rId298" Type="http://schemas.openxmlformats.org/officeDocument/2006/relationships/hyperlink" Target="https://horizondirect.gorgias.com/app/ticket/384412162" TargetMode="External"/><Relationship Id="rId198" Type="http://schemas.openxmlformats.org/officeDocument/2006/relationships/hyperlink" Target="https://horizondirect.gorgias.com/app/ticket/378279194" TargetMode="External"/><Relationship Id="rId197" Type="http://schemas.openxmlformats.org/officeDocument/2006/relationships/hyperlink" Target="https://horizondirect.gorgias.com/app/ticket/378266570" TargetMode="External"/><Relationship Id="rId196" Type="http://schemas.openxmlformats.org/officeDocument/2006/relationships/hyperlink" Target="https://horizondirect.gorgias.com/app/ticket/378249366" TargetMode="External"/><Relationship Id="rId195" Type="http://schemas.openxmlformats.org/officeDocument/2006/relationships/hyperlink" Target="https://horizondirect.gorgias.com/app/ticket/378109027" TargetMode="External"/><Relationship Id="rId199" Type="http://schemas.openxmlformats.org/officeDocument/2006/relationships/hyperlink" Target="https://horizondirect.gorgias.com/app/ticket/378386900" TargetMode="External"/><Relationship Id="rId150" Type="http://schemas.openxmlformats.org/officeDocument/2006/relationships/hyperlink" Target="https://horizondirect.gorgias.com/app/ticket/375446066" TargetMode="External"/><Relationship Id="rId271" Type="http://schemas.openxmlformats.org/officeDocument/2006/relationships/hyperlink" Target="https://horizondirect.gorgias.com/app/ticket/382825451" TargetMode="External"/><Relationship Id="rId392" Type="http://schemas.openxmlformats.org/officeDocument/2006/relationships/hyperlink" Target="http://cac9b90c72649676307ddc6e30e9961bc4/" TargetMode="External"/><Relationship Id="rId270" Type="http://schemas.openxmlformats.org/officeDocument/2006/relationships/hyperlink" Target="https://horizondirect.gorgias.com/app/ticket/382735057" TargetMode="External"/><Relationship Id="rId391" Type="http://schemas.openxmlformats.org/officeDocument/2006/relationships/hyperlink" Target="https://assets.aircall.io/calls/3777509722/recording" TargetMode="External"/><Relationship Id="rId390" Type="http://schemas.openxmlformats.org/officeDocument/2006/relationships/hyperlink" Target="https://assets.aircall.io/calls/3765008811/recording" TargetMode="External"/><Relationship Id="rId1" Type="http://schemas.openxmlformats.org/officeDocument/2006/relationships/hyperlink" Target="https://horizondirect.gorgias.com/app/ticket/365275117" TargetMode="External"/><Relationship Id="rId2" Type="http://schemas.openxmlformats.org/officeDocument/2006/relationships/hyperlink" Target="https://horizondirect.gorgias.com/app/ticket/365304935" TargetMode="External"/><Relationship Id="rId3" Type="http://schemas.openxmlformats.org/officeDocument/2006/relationships/hyperlink" Target="https://horizondirect.gorgias.com/app/ticket/365273861" TargetMode="External"/><Relationship Id="rId149" Type="http://schemas.openxmlformats.org/officeDocument/2006/relationships/hyperlink" Target="https://horizondirect.gorgias.com/app/ticket/375440638" TargetMode="External"/><Relationship Id="rId4" Type="http://schemas.openxmlformats.org/officeDocument/2006/relationships/hyperlink" Target="https://horizondirect.gorgias.com/app/ticket/365409781" TargetMode="External"/><Relationship Id="rId148" Type="http://schemas.openxmlformats.org/officeDocument/2006/relationships/hyperlink" Target="https://horizondirect.gorgias.com/app/ticket/375443881" TargetMode="External"/><Relationship Id="rId269" Type="http://schemas.openxmlformats.org/officeDocument/2006/relationships/hyperlink" Target="https://horizondirect.gorgias.com/app/ticket/382733747" TargetMode="External"/><Relationship Id="rId9" Type="http://schemas.openxmlformats.org/officeDocument/2006/relationships/hyperlink" Target="https://horizondirect.gorgias.com/app/ticket/365580302" TargetMode="External"/><Relationship Id="rId143" Type="http://schemas.openxmlformats.org/officeDocument/2006/relationships/hyperlink" Target="https://horizondirect.gorgias.com/app/ticket/374988726" TargetMode="External"/><Relationship Id="rId264" Type="http://schemas.openxmlformats.org/officeDocument/2006/relationships/hyperlink" Target="https://horizondirect.gorgias.com/app/ticket/382232079" TargetMode="External"/><Relationship Id="rId385" Type="http://schemas.openxmlformats.org/officeDocument/2006/relationships/hyperlink" Target="https://assets.aircall.io/calls/3761221460/recording" TargetMode="External"/><Relationship Id="rId142" Type="http://schemas.openxmlformats.org/officeDocument/2006/relationships/hyperlink" Target="https://horizondirect.gorgias.com/app/ticket/374985547" TargetMode="External"/><Relationship Id="rId263" Type="http://schemas.openxmlformats.org/officeDocument/2006/relationships/hyperlink" Target="https://horizondirect.gorgias.com/app/ticket/382222681" TargetMode="External"/><Relationship Id="rId384" Type="http://schemas.openxmlformats.org/officeDocument/2006/relationships/hyperlink" Target="https://assets.aircall.io/calls/3755267759/recording" TargetMode="External"/><Relationship Id="rId141" Type="http://schemas.openxmlformats.org/officeDocument/2006/relationships/hyperlink" Target="https://horizondirect.gorgias.com/app/ticket/374852963" TargetMode="External"/><Relationship Id="rId262" Type="http://schemas.openxmlformats.org/officeDocument/2006/relationships/hyperlink" Target="https://horizondirect.gorgias.com/app/ticket/382218847" TargetMode="External"/><Relationship Id="rId383" Type="http://schemas.openxmlformats.org/officeDocument/2006/relationships/hyperlink" Target="https://assets.aircall.io/calls/3755062931/recording" TargetMode="External"/><Relationship Id="rId140" Type="http://schemas.openxmlformats.org/officeDocument/2006/relationships/hyperlink" Target="https://horizondirect.gorgias.com/app/ticket/374835791" TargetMode="External"/><Relationship Id="rId261" Type="http://schemas.openxmlformats.org/officeDocument/2006/relationships/hyperlink" Target="https://horizondirect.gorgias.com/app/ticket/381892868" TargetMode="External"/><Relationship Id="rId382" Type="http://schemas.openxmlformats.org/officeDocument/2006/relationships/hyperlink" Target="https://assets.aircall.io/calls/3755041312/recording" TargetMode="External"/><Relationship Id="rId5" Type="http://schemas.openxmlformats.org/officeDocument/2006/relationships/hyperlink" Target="https://horizondirect.gorgias.com/app/ticket/365425188" TargetMode="External"/><Relationship Id="rId147" Type="http://schemas.openxmlformats.org/officeDocument/2006/relationships/hyperlink" Target="https://horizondirect.gorgias.com/app/ticket/375253676" TargetMode="External"/><Relationship Id="rId268" Type="http://schemas.openxmlformats.org/officeDocument/2006/relationships/hyperlink" Target="https://horizondirect.gorgias.com/app/ticket/382730665" TargetMode="External"/><Relationship Id="rId389" Type="http://schemas.openxmlformats.org/officeDocument/2006/relationships/hyperlink" Target="https://assets.aircall.io/calls/3764930512/recording" TargetMode="External"/><Relationship Id="rId6" Type="http://schemas.openxmlformats.org/officeDocument/2006/relationships/hyperlink" Target="https://horizondirect.gorgias.com/app/ticket/365436011" TargetMode="External"/><Relationship Id="rId146" Type="http://schemas.openxmlformats.org/officeDocument/2006/relationships/hyperlink" Target="https://horizondirect.gorgias.com/app/ticket/375249694" TargetMode="External"/><Relationship Id="rId267" Type="http://schemas.openxmlformats.org/officeDocument/2006/relationships/hyperlink" Target="https://horizondirect.gorgias.com/app/ticket/382533133" TargetMode="External"/><Relationship Id="rId388" Type="http://schemas.openxmlformats.org/officeDocument/2006/relationships/hyperlink" Target="https://assets.aircall.io/calls/3764844012/recording" TargetMode="External"/><Relationship Id="rId7" Type="http://schemas.openxmlformats.org/officeDocument/2006/relationships/hyperlink" Target="https://horizondirect.gorgias.com/app/ticket/365615019" TargetMode="External"/><Relationship Id="rId145" Type="http://schemas.openxmlformats.org/officeDocument/2006/relationships/hyperlink" Target="https://horizondirect.gorgias.com/app/ticket/375248329" TargetMode="External"/><Relationship Id="rId266" Type="http://schemas.openxmlformats.org/officeDocument/2006/relationships/hyperlink" Target="https://horizondirect.gorgias.com/app/ticket/382532539" TargetMode="External"/><Relationship Id="rId387" Type="http://schemas.openxmlformats.org/officeDocument/2006/relationships/hyperlink" Target="https://assets.aircall.io/calls/3761408465/recording" TargetMode="External"/><Relationship Id="rId8" Type="http://schemas.openxmlformats.org/officeDocument/2006/relationships/hyperlink" Target="https://horizondirect.gorgias.com/app/ticket/365619325" TargetMode="External"/><Relationship Id="rId144" Type="http://schemas.openxmlformats.org/officeDocument/2006/relationships/hyperlink" Target="https://horizondirect.gorgias.com/app/ticket/374993380" TargetMode="External"/><Relationship Id="rId265" Type="http://schemas.openxmlformats.org/officeDocument/2006/relationships/hyperlink" Target="https://horizondirect.gorgias.com/app/ticket/382533133" TargetMode="External"/><Relationship Id="rId386" Type="http://schemas.openxmlformats.org/officeDocument/2006/relationships/hyperlink" Target="https://assets.aircall.io/calls/3761374215/recording" TargetMode="External"/><Relationship Id="rId260" Type="http://schemas.openxmlformats.org/officeDocument/2006/relationships/hyperlink" Target="https://horizondirect.gorgias.com/app/ticket/381878669" TargetMode="External"/><Relationship Id="rId381" Type="http://schemas.openxmlformats.org/officeDocument/2006/relationships/hyperlink" Target="https://assets.aircall.io/calls/3752116712/recording" TargetMode="External"/><Relationship Id="rId380" Type="http://schemas.openxmlformats.org/officeDocument/2006/relationships/hyperlink" Target="https://assets.aircall.io/calls/3752062209/recording" TargetMode="External"/><Relationship Id="rId139" Type="http://schemas.openxmlformats.org/officeDocument/2006/relationships/hyperlink" Target="https://horizondirect.gorgias.com/app/ticket/374817964" TargetMode="External"/><Relationship Id="rId138" Type="http://schemas.openxmlformats.org/officeDocument/2006/relationships/hyperlink" Target="https://horizondirect.gorgias.com/app/ticket/374699624" TargetMode="External"/><Relationship Id="rId259" Type="http://schemas.openxmlformats.org/officeDocument/2006/relationships/hyperlink" Target="https://horizondirect.gorgias.com/app/ticket/381874350" TargetMode="External"/><Relationship Id="rId137" Type="http://schemas.openxmlformats.org/officeDocument/2006/relationships/hyperlink" Target="https://horizondirect.gorgias.com/app/ticket/374688631" TargetMode="External"/><Relationship Id="rId258" Type="http://schemas.openxmlformats.org/officeDocument/2006/relationships/hyperlink" Target="https://horizondirect.gorgias.com/app/ticket/381797442" TargetMode="External"/><Relationship Id="rId379" Type="http://schemas.openxmlformats.org/officeDocument/2006/relationships/hyperlink" Target="https://assets.aircall.io/calls/3751959895/recording" TargetMode="External"/><Relationship Id="rId132" Type="http://schemas.openxmlformats.org/officeDocument/2006/relationships/hyperlink" Target="https://horizondirect.gorgias.com/app/ticket/374458344" TargetMode="External"/><Relationship Id="rId253" Type="http://schemas.openxmlformats.org/officeDocument/2006/relationships/hyperlink" Target="https://horizondirect.gorgias.com/app/ticket/381609382" TargetMode="External"/><Relationship Id="rId374" Type="http://schemas.openxmlformats.org/officeDocument/2006/relationships/hyperlink" Target="https://assets.aircall.io/calls/3743640236/recording" TargetMode="External"/><Relationship Id="rId495" Type="http://schemas.openxmlformats.org/officeDocument/2006/relationships/hyperlink" Target="https://4ammedia.zendesk.com/agent/tickets/219416" TargetMode="External"/><Relationship Id="rId131" Type="http://schemas.openxmlformats.org/officeDocument/2006/relationships/hyperlink" Target="https://horizondirect.gorgias.com/app/ticket/374449094" TargetMode="External"/><Relationship Id="rId252" Type="http://schemas.openxmlformats.org/officeDocument/2006/relationships/hyperlink" Target="https://horizondirect.gorgias.com/app/ticket/381514094" TargetMode="External"/><Relationship Id="rId373" Type="http://schemas.openxmlformats.org/officeDocument/2006/relationships/hyperlink" Target="https://assets.aircall.io/calls/3743487203/recording" TargetMode="External"/><Relationship Id="rId494" Type="http://schemas.openxmlformats.org/officeDocument/2006/relationships/hyperlink" Target="https://4ammedia.zendesk.com/agent/tickets/219063" TargetMode="External"/><Relationship Id="rId130" Type="http://schemas.openxmlformats.org/officeDocument/2006/relationships/hyperlink" Target="https://horizondirect.gorgias.com/app/ticket/374445570" TargetMode="External"/><Relationship Id="rId251" Type="http://schemas.openxmlformats.org/officeDocument/2006/relationships/hyperlink" Target="https://horizondirect.gorgias.com/app/ticket/381509535" TargetMode="External"/><Relationship Id="rId372" Type="http://schemas.openxmlformats.org/officeDocument/2006/relationships/hyperlink" Target="https://assets.aircall.io/calls/3739711616/recording" TargetMode="External"/><Relationship Id="rId493" Type="http://schemas.openxmlformats.org/officeDocument/2006/relationships/hyperlink" Target="https://4ammedia.zendesk.com/agent/tickets/218944" TargetMode="External"/><Relationship Id="rId250" Type="http://schemas.openxmlformats.org/officeDocument/2006/relationships/hyperlink" Target="https://horizondirect.gorgias.com/app/ticket/381498050" TargetMode="External"/><Relationship Id="rId371" Type="http://schemas.openxmlformats.org/officeDocument/2006/relationships/hyperlink" Target="https://assets.aircall.io/calls/3739581540/recording" TargetMode="External"/><Relationship Id="rId492" Type="http://schemas.openxmlformats.org/officeDocument/2006/relationships/hyperlink" Target="https://4ammedia.zendesk.com/agent/tickets/217597" TargetMode="External"/><Relationship Id="rId136" Type="http://schemas.openxmlformats.org/officeDocument/2006/relationships/hyperlink" Target="https://horizondirect.gorgias.com/app/ticket/374674197" TargetMode="External"/><Relationship Id="rId257" Type="http://schemas.openxmlformats.org/officeDocument/2006/relationships/hyperlink" Target="https://horizondirect.gorgias.com/app/ticket/381780808" TargetMode="External"/><Relationship Id="rId378" Type="http://schemas.openxmlformats.org/officeDocument/2006/relationships/hyperlink" Target="https://assets.aircall.io/calls/3748535994/recording" TargetMode="External"/><Relationship Id="rId499" Type="http://schemas.openxmlformats.org/officeDocument/2006/relationships/hyperlink" Target="https://4ammedia.zendesk.com/agent/tickets/226136" TargetMode="External"/><Relationship Id="rId135" Type="http://schemas.openxmlformats.org/officeDocument/2006/relationships/hyperlink" Target="https://horizondirect.gorgias.com/app/ticket/374573744" TargetMode="External"/><Relationship Id="rId256" Type="http://schemas.openxmlformats.org/officeDocument/2006/relationships/hyperlink" Target="https://horizondirect.gorgias.com/app/ticket/381767290" TargetMode="External"/><Relationship Id="rId377" Type="http://schemas.openxmlformats.org/officeDocument/2006/relationships/hyperlink" Target="https://assets.aircall.io/calls/3748505194/recording" TargetMode="External"/><Relationship Id="rId498" Type="http://schemas.openxmlformats.org/officeDocument/2006/relationships/hyperlink" Target="https://4ammedia.zendesk.com/agent/tickets/224486" TargetMode="External"/><Relationship Id="rId134" Type="http://schemas.openxmlformats.org/officeDocument/2006/relationships/hyperlink" Target="https://horizondirect.gorgias.com/app/ticket/374559975" TargetMode="External"/><Relationship Id="rId255" Type="http://schemas.openxmlformats.org/officeDocument/2006/relationships/hyperlink" Target="https://horizondirect.gorgias.com/app/ticket/381665567" TargetMode="External"/><Relationship Id="rId376" Type="http://schemas.openxmlformats.org/officeDocument/2006/relationships/hyperlink" Target="https://assets.aircall.io/calls/3748459629/recording" TargetMode="External"/><Relationship Id="rId497" Type="http://schemas.openxmlformats.org/officeDocument/2006/relationships/hyperlink" Target="https://4ammedia.zendesk.com/agent/tickets/224343" TargetMode="External"/><Relationship Id="rId133" Type="http://schemas.openxmlformats.org/officeDocument/2006/relationships/hyperlink" Target="https://horizondirect.gorgias.com/app/ticket/374535778" TargetMode="External"/><Relationship Id="rId254" Type="http://schemas.openxmlformats.org/officeDocument/2006/relationships/hyperlink" Target="https://horizondirect.gorgias.com/app/ticket/381623259" TargetMode="External"/><Relationship Id="rId375" Type="http://schemas.openxmlformats.org/officeDocument/2006/relationships/hyperlink" Target="https://assets.aircall.io/calls/3743683514/recording" TargetMode="External"/><Relationship Id="rId496" Type="http://schemas.openxmlformats.org/officeDocument/2006/relationships/hyperlink" Target="https://4ammedia.zendesk.com/agent/tickets/223595" TargetMode="External"/><Relationship Id="rId172" Type="http://schemas.openxmlformats.org/officeDocument/2006/relationships/hyperlink" Target="https://horizondirect.gorgias.com/app/ticket/376882273" TargetMode="External"/><Relationship Id="rId293" Type="http://schemas.openxmlformats.org/officeDocument/2006/relationships/hyperlink" Target="https://horizondirect.gorgias.com/app/ticket/383973703" TargetMode="External"/><Relationship Id="rId171" Type="http://schemas.openxmlformats.org/officeDocument/2006/relationships/hyperlink" Target="https://horizondirect.gorgias.com/app/ticket/375691534" TargetMode="External"/><Relationship Id="rId292" Type="http://schemas.openxmlformats.org/officeDocument/2006/relationships/hyperlink" Target="https://horizondirect.gorgias.com/app/ticket/383962279" TargetMode="External"/><Relationship Id="rId170" Type="http://schemas.openxmlformats.org/officeDocument/2006/relationships/hyperlink" Target="https://horizondirect.gorgias.com/app/ticket/375674914" TargetMode="External"/><Relationship Id="rId291" Type="http://schemas.openxmlformats.org/officeDocument/2006/relationships/hyperlink" Target="https://horizondirect.gorgias.com/app/ticket/383842352" TargetMode="External"/><Relationship Id="rId290" Type="http://schemas.openxmlformats.org/officeDocument/2006/relationships/hyperlink" Target="https://horizondirect.gorgias.com/app/ticket/383835099" TargetMode="External"/><Relationship Id="rId165" Type="http://schemas.openxmlformats.org/officeDocument/2006/relationships/hyperlink" Target="https://horizondirect.gorgias.com/app/ticket/376443595" TargetMode="External"/><Relationship Id="rId286" Type="http://schemas.openxmlformats.org/officeDocument/2006/relationships/hyperlink" Target="https://horizondirect.gorgias.com/app/ticket/383690301" TargetMode="External"/><Relationship Id="rId164" Type="http://schemas.openxmlformats.org/officeDocument/2006/relationships/hyperlink" Target="https://horizondirect.gorgias.com/app/ticket/376420605" TargetMode="External"/><Relationship Id="rId285" Type="http://schemas.openxmlformats.org/officeDocument/2006/relationships/hyperlink" Target="https://horizondirect.gorgias.com/app/ticket/383544368" TargetMode="External"/><Relationship Id="rId163" Type="http://schemas.openxmlformats.org/officeDocument/2006/relationships/hyperlink" Target="https://horizondirect.gorgias.com/app/ticket/376406393" TargetMode="External"/><Relationship Id="rId284" Type="http://schemas.openxmlformats.org/officeDocument/2006/relationships/hyperlink" Target="https://horizondirect.gorgias.com/app/ticket/383553108" TargetMode="External"/><Relationship Id="rId162" Type="http://schemas.openxmlformats.org/officeDocument/2006/relationships/hyperlink" Target="https://horizondirect.gorgias.com/app/ticket/376159903" TargetMode="External"/><Relationship Id="rId283" Type="http://schemas.openxmlformats.org/officeDocument/2006/relationships/hyperlink" Target="https://horizondirect.gorgias.com/app/ticket/383581963" TargetMode="External"/><Relationship Id="rId169" Type="http://schemas.openxmlformats.org/officeDocument/2006/relationships/hyperlink" Target="https://horizondirect.gorgias.com/app/ticket/375587923" TargetMode="External"/><Relationship Id="rId168" Type="http://schemas.openxmlformats.org/officeDocument/2006/relationships/hyperlink" Target="https://horizondirect.gorgias.com/app/ticket/376601462" TargetMode="External"/><Relationship Id="rId289" Type="http://schemas.openxmlformats.org/officeDocument/2006/relationships/hyperlink" Target="https://horizondirect.gorgias.com/app/ticket/383821271" TargetMode="External"/><Relationship Id="rId167" Type="http://schemas.openxmlformats.org/officeDocument/2006/relationships/hyperlink" Target="https://horizondirect.gorgias.com/app/ticket/376578399" TargetMode="External"/><Relationship Id="rId288" Type="http://schemas.openxmlformats.org/officeDocument/2006/relationships/hyperlink" Target="https://horizondirect.gorgias.com/app/ticket/383728664" TargetMode="External"/><Relationship Id="rId166" Type="http://schemas.openxmlformats.org/officeDocument/2006/relationships/hyperlink" Target="https://horizondirect.gorgias.com/app/ticket/376546923" TargetMode="External"/><Relationship Id="rId287" Type="http://schemas.openxmlformats.org/officeDocument/2006/relationships/hyperlink" Target="https://horizondirect.gorgias.com/app/ticket/383707716" TargetMode="External"/><Relationship Id="rId161" Type="http://schemas.openxmlformats.org/officeDocument/2006/relationships/hyperlink" Target="https://horizondirect.gorgias.com/app/ticket/376157694" TargetMode="External"/><Relationship Id="rId282" Type="http://schemas.openxmlformats.org/officeDocument/2006/relationships/hyperlink" Target="https://horizondirect.gorgias.com/app/ticket/383443520" TargetMode="External"/><Relationship Id="rId160" Type="http://schemas.openxmlformats.org/officeDocument/2006/relationships/hyperlink" Target="https://horizondirect.gorgias.com/app/ticket/376138360" TargetMode="External"/><Relationship Id="rId281" Type="http://schemas.openxmlformats.org/officeDocument/2006/relationships/hyperlink" Target="https://horizondirect.gorgias.com/app/ticket/383437542" TargetMode="External"/><Relationship Id="rId280" Type="http://schemas.openxmlformats.org/officeDocument/2006/relationships/hyperlink" Target="https://horizondirect.gorgias.com/app/ticket/383434696" TargetMode="External"/><Relationship Id="rId159" Type="http://schemas.openxmlformats.org/officeDocument/2006/relationships/hyperlink" Target="https://horizondirect.gorgias.com/app/ticket/375741759" TargetMode="External"/><Relationship Id="rId154" Type="http://schemas.openxmlformats.org/officeDocument/2006/relationships/hyperlink" Target="https://horizondirect.gorgias.com/app/ticket/375694128" TargetMode="External"/><Relationship Id="rId275" Type="http://schemas.openxmlformats.org/officeDocument/2006/relationships/hyperlink" Target="https://horizondirect.gorgias.com/app/ticket/382987374" TargetMode="External"/><Relationship Id="rId396" Type="http://schemas.openxmlformats.org/officeDocument/2006/relationships/hyperlink" Target="https://assets.aircall.io/calls/3781013431/recording" TargetMode="External"/><Relationship Id="rId153" Type="http://schemas.openxmlformats.org/officeDocument/2006/relationships/hyperlink" Target="https://horizondirect.gorgias.com/app/ticket/375549828" TargetMode="External"/><Relationship Id="rId274" Type="http://schemas.openxmlformats.org/officeDocument/2006/relationships/hyperlink" Target="https://horizondirect.gorgias.com/app/ticket/382975476" TargetMode="External"/><Relationship Id="rId395" Type="http://schemas.openxmlformats.org/officeDocument/2006/relationships/hyperlink" Target="https://assets.aircall.io/calls/3780869391/recording" TargetMode="External"/><Relationship Id="rId152" Type="http://schemas.openxmlformats.org/officeDocument/2006/relationships/hyperlink" Target="https://horizondirect.gorgias.com/app/ticket/375543179" TargetMode="External"/><Relationship Id="rId273" Type="http://schemas.openxmlformats.org/officeDocument/2006/relationships/hyperlink" Target="https://horizondirect.gorgias.com/app/ticket/382872301" TargetMode="External"/><Relationship Id="rId394" Type="http://schemas.openxmlformats.org/officeDocument/2006/relationships/hyperlink" Target="https://assets.aircall.io/calls/3780783314/recording" TargetMode="External"/><Relationship Id="rId151" Type="http://schemas.openxmlformats.org/officeDocument/2006/relationships/hyperlink" Target="https://horizondirect.gorgias.com/app/ticket/375530670" TargetMode="External"/><Relationship Id="rId272" Type="http://schemas.openxmlformats.org/officeDocument/2006/relationships/hyperlink" Target="https://horizondirect.gorgias.com/app/ticket/382847319" TargetMode="External"/><Relationship Id="rId393" Type="http://schemas.openxmlformats.org/officeDocument/2006/relationships/hyperlink" Target="https://assets.aircall.io/calls/3777594245/recording" TargetMode="External"/><Relationship Id="rId158" Type="http://schemas.openxmlformats.org/officeDocument/2006/relationships/hyperlink" Target="https://horizondirect.gorgias.com/app/ticket/376007766" TargetMode="External"/><Relationship Id="rId279" Type="http://schemas.openxmlformats.org/officeDocument/2006/relationships/hyperlink" Target="https://horizondirect.gorgias.com/app/ticket/383115654" TargetMode="External"/><Relationship Id="rId157" Type="http://schemas.openxmlformats.org/officeDocument/2006/relationships/hyperlink" Target="https://horizondirect.gorgias.com/app/ticket/376001944" TargetMode="External"/><Relationship Id="rId278" Type="http://schemas.openxmlformats.org/officeDocument/2006/relationships/hyperlink" Target="https://horizondirect.gorgias.com/app/ticket/383112370" TargetMode="External"/><Relationship Id="rId399" Type="http://schemas.openxmlformats.org/officeDocument/2006/relationships/hyperlink" Target="https://assets.aircall.io/calls/3785537565/recording" TargetMode="External"/><Relationship Id="rId156" Type="http://schemas.openxmlformats.org/officeDocument/2006/relationships/hyperlink" Target="https://horizondirect.gorgias.com/app/ticket/375714434" TargetMode="External"/><Relationship Id="rId277" Type="http://schemas.openxmlformats.org/officeDocument/2006/relationships/hyperlink" Target="https://horizondirect.gorgias.com/app/ticket/383101179" TargetMode="External"/><Relationship Id="rId398" Type="http://schemas.openxmlformats.org/officeDocument/2006/relationships/hyperlink" Target="https://assets.aircall.io/calls/3785409404/recording" TargetMode="External"/><Relationship Id="rId155" Type="http://schemas.openxmlformats.org/officeDocument/2006/relationships/hyperlink" Target="https://horizondirect.gorgias.com/app/ticket/375699782" TargetMode="External"/><Relationship Id="rId276" Type="http://schemas.openxmlformats.org/officeDocument/2006/relationships/hyperlink" Target="https://horizondirect.gorgias.com/app/ticket/383010069" TargetMode="External"/><Relationship Id="rId397" Type="http://schemas.openxmlformats.org/officeDocument/2006/relationships/hyperlink" Target="https://assets.aircall.io/calls/3785157646/recording" TargetMode="External"/><Relationship Id="rId40" Type="http://schemas.openxmlformats.org/officeDocument/2006/relationships/hyperlink" Target="https://horizondirect.gorgias.com/app/ticket/367764919" TargetMode="External"/><Relationship Id="rId42" Type="http://schemas.openxmlformats.org/officeDocument/2006/relationships/hyperlink" Target="https://horizondirect.gorgias.com/app/ticket/367770772" TargetMode="External"/><Relationship Id="rId41" Type="http://schemas.openxmlformats.org/officeDocument/2006/relationships/hyperlink" Target="https://horizondirect.gorgias.com/app/ticket/367768283" TargetMode="External"/><Relationship Id="rId44" Type="http://schemas.openxmlformats.org/officeDocument/2006/relationships/hyperlink" Target="https://horizondirect.gorgias.com/app/ticket/367928127" TargetMode="External"/><Relationship Id="rId43" Type="http://schemas.openxmlformats.org/officeDocument/2006/relationships/hyperlink" Target="https://horizondirect.gorgias.com/app/ticket/367934168" TargetMode="External"/><Relationship Id="rId46" Type="http://schemas.openxmlformats.org/officeDocument/2006/relationships/hyperlink" Target="https://horizondirect.gorgias.com/app/ticket/368499829" TargetMode="External"/><Relationship Id="rId45" Type="http://schemas.openxmlformats.org/officeDocument/2006/relationships/hyperlink" Target="https://horizondirect.gorgias.com/app/ticket/367930611" TargetMode="External"/><Relationship Id="rId509" Type="http://schemas.openxmlformats.org/officeDocument/2006/relationships/hyperlink" Target="https://4ammedia.zendesk.com/agent/tickets/232323" TargetMode="External"/><Relationship Id="rId508" Type="http://schemas.openxmlformats.org/officeDocument/2006/relationships/hyperlink" Target="https://4ammedia.zendesk.com/agent/tickets/232134" TargetMode="External"/><Relationship Id="rId503" Type="http://schemas.openxmlformats.org/officeDocument/2006/relationships/hyperlink" Target="https://4ammedia.zendesk.com/agent/tickets/228419" TargetMode="External"/><Relationship Id="rId502" Type="http://schemas.openxmlformats.org/officeDocument/2006/relationships/hyperlink" Target="https://4ammedia.zendesk.com/agent/tickets/228198" TargetMode="External"/><Relationship Id="rId501" Type="http://schemas.openxmlformats.org/officeDocument/2006/relationships/hyperlink" Target="https://4ammedia.zendesk.com/agent/tickets/226607" TargetMode="External"/><Relationship Id="rId500" Type="http://schemas.openxmlformats.org/officeDocument/2006/relationships/hyperlink" Target="https://4ammedia.zendesk.com/agent/tickets/226291" TargetMode="External"/><Relationship Id="rId507" Type="http://schemas.openxmlformats.org/officeDocument/2006/relationships/hyperlink" Target="https://4ammedia.zendesk.com/agent/tickets/230168" TargetMode="External"/><Relationship Id="rId506" Type="http://schemas.openxmlformats.org/officeDocument/2006/relationships/hyperlink" Target="https://4ammedia.zendesk.com/agent/tickets/230130" TargetMode="External"/><Relationship Id="rId505" Type="http://schemas.openxmlformats.org/officeDocument/2006/relationships/hyperlink" Target="https://4ammedia.zendesk.com/agent/tickets/229821" TargetMode="External"/><Relationship Id="rId504" Type="http://schemas.openxmlformats.org/officeDocument/2006/relationships/hyperlink" Target="https://4ammedia.zendesk.com/agent/tickets/228441" TargetMode="External"/><Relationship Id="rId48" Type="http://schemas.openxmlformats.org/officeDocument/2006/relationships/hyperlink" Target="https://horizondirect.gorgias.com/app/ticket/368493993" TargetMode="External"/><Relationship Id="rId47" Type="http://schemas.openxmlformats.org/officeDocument/2006/relationships/hyperlink" Target="https://horizondirect.gorgias.com/app/ticket/368497600" TargetMode="External"/><Relationship Id="rId49" Type="http://schemas.openxmlformats.org/officeDocument/2006/relationships/hyperlink" Target="https://horizondirect.gorgias.com/app/ticket/368651476" TargetMode="External"/><Relationship Id="rId31" Type="http://schemas.openxmlformats.org/officeDocument/2006/relationships/hyperlink" Target="https://horizondirect.gorgias.com/app/ticket/367215196" TargetMode="External"/><Relationship Id="rId30" Type="http://schemas.openxmlformats.org/officeDocument/2006/relationships/hyperlink" Target="https://horizondirect.gorgias.com/app/ticket/366866689" TargetMode="External"/><Relationship Id="rId33" Type="http://schemas.openxmlformats.org/officeDocument/2006/relationships/hyperlink" Target="https://horizondirect.gorgias.com/app/ticket/367245134" TargetMode="External"/><Relationship Id="rId32" Type="http://schemas.openxmlformats.org/officeDocument/2006/relationships/hyperlink" Target="https://horizondirect.gorgias.com/app/ticket/367231058" TargetMode="External"/><Relationship Id="rId35" Type="http://schemas.openxmlformats.org/officeDocument/2006/relationships/hyperlink" Target="https://horizondirect.gorgias.com/app/ticket/367413343" TargetMode="External"/><Relationship Id="rId34" Type="http://schemas.openxmlformats.org/officeDocument/2006/relationships/hyperlink" Target="https://horizondirect.gorgias.com/app/ticket/367424637" TargetMode="External"/><Relationship Id="rId37" Type="http://schemas.openxmlformats.org/officeDocument/2006/relationships/hyperlink" Target="https://horizondirect.gorgias.com/app/ticket/367571459" TargetMode="External"/><Relationship Id="rId36" Type="http://schemas.openxmlformats.org/officeDocument/2006/relationships/hyperlink" Target="https://horizondirect.gorgias.com/app/ticket/367404055" TargetMode="External"/><Relationship Id="rId39" Type="http://schemas.openxmlformats.org/officeDocument/2006/relationships/hyperlink" Target="https://horizondirect.gorgias.com/app/ticket/367595032" TargetMode="External"/><Relationship Id="rId38" Type="http://schemas.openxmlformats.org/officeDocument/2006/relationships/hyperlink" Target="https://horizondirect.gorgias.com/app/ticket/367578982" TargetMode="External"/><Relationship Id="rId20" Type="http://schemas.openxmlformats.org/officeDocument/2006/relationships/hyperlink" Target="https://horizondirect.gorgias.com/app/ticket/366402087" TargetMode="External"/><Relationship Id="rId22" Type="http://schemas.openxmlformats.org/officeDocument/2006/relationships/hyperlink" Target="https://horizondirect.gorgias.com/app/ticket/366553900" TargetMode="External"/><Relationship Id="rId21" Type="http://schemas.openxmlformats.org/officeDocument/2006/relationships/hyperlink" Target="https://horizondirect.gorgias.com/app/ticket/366413838" TargetMode="External"/><Relationship Id="rId24" Type="http://schemas.openxmlformats.org/officeDocument/2006/relationships/hyperlink" Target="https://horizondirect.gorgias.com/app/ticket/366433751" TargetMode="External"/><Relationship Id="rId23" Type="http://schemas.openxmlformats.org/officeDocument/2006/relationships/hyperlink" Target="https://horizondirect.gorgias.com/app/ticket/366444768" TargetMode="External"/><Relationship Id="rId409" Type="http://schemas.openxmlformats.org/officeDocument/2006/relationships/hyperlink" Target="https://4ammedia.zendesk.com/agent/tickets/149146" TargetMode="External"/><Relationship Id="rId404" Type="http://schemas.openxmlformats.org/officeDocument/2006/relationships/hyperlink" Target="https://4ammedia.zendesk.com/agent/tickets/144733" TargetMode="External"/><Relationship Id="rId525" Type="http://schemas.openxmlformats.org/officeDocument/2006/relationships/hyperlink" Target="https://4ammedia.zendesk.com/agent/tickets/245726" TargetMode="External"/><Relationship Id="rId403" Type="http://schemas.openxmlformats.org/officeDocument/2006/relationships/hyperlink" Target="https://4ammedia.zendesk.com/agent/tickets/144666" TargetMode="External"/><Relationship Id="rId524" Type="http://schemas.openxmlformats.org/officeDocument/2006/relationships/hyperlink" Target="https://4ammedia.zendesk.com/agent/tickets/245653" TargetMode="External"/><Relationship Id="rId402" Type="http://schemas.openxmlformats.org/officeDocument/2006/relationships/hyperlink" Target="https://assets.aircall.io/calls/3789951575/recording" TargetMode="External"/><Relationship Id="rId523" Type="http://schemas.openxmlformats.org/officeDocument/2006/relationships/hyperlink" Target="https://4ammedia.zendesk.com/agent/tickets/245585" TargetMode="External"/><Relationship Id="rId401" Type="http://schemas.openxmlformats.org/officeDocument/2006/relationships/hyperlink" Target="https://assets.aircall.io/calls/3789905306/recording" TargetMode="External"/><Relationship Id="rId522" Type="http://schemas.openxmlformats.org/officeDocument/2006/relationships/hyperlink" Target="https://4ammedia.zendesk.com/agent/tickets/243437" TargetMode="External"/><Relationship Id="rId408" Type="http://schemas.openxmlformats.org/officeDocument/2006/relationships/hyperlink" Target="https://4ammedia.zendesk.com/agent/tickets/146236" TargetMode="External"/><Relationship Id="rId529" Type="http://schemas.openxmlformats.org/officeDocument/2006/relationships/hyperlink" Target="https://4ammedia.zendesk.com/agent/tickets/251980" TargetMode="External"/><Relationship Id="rId407" Type="http://schemas.openxmlformats.org/officeDocument/2006/relationships/hyperlink" Target="https://4ammedia.zendesk.com/agent/tickets/146179" TargetMode="External"/><Relationship Id="rId528" Type="http://schemas.openxmlformats.org/officeDocument/2006/relationships/hyperlink" Target="https://4ammedia.zendesk.com/agent/tickets/249531" TargetMode="External"/><Relationship Id="rId406" Type="http://schemas.openxmlformats.org/officeDocument/2006/relationships/hyperlink" Target="https://4ammedia.zendesk.com/agent/tickets/145971" TargetMode="External"/><Relationship Id="rId527" Type="http://schemas.openxmlformats.org/officeDocument/2006/relationships/hyperlink" Target="https://4ammedia.zendesk.com/agent/tickets/249356" TargetMode="External"/><Relationship Id="rId405" Type="http://schemas.openxmlformats.org/officeDocument/2006/relationships/hyperlink" Target="https://4ammedia.zendesk.com/agent/tickets/145057" TargetMode="External"/><Relationship Id="rId526" Type="http://schemas.openxmlformats.org/officeDocument/2006/relationships/hyperlink" Target="https://4ammedia.zendesk.com/agent/tickets/247831" TargetMode="External"/><Relationship Id="rId26" Type="http://schemas.openxmlformats.org/officeDocument/2006/relationships/hyperlink" Target="https://horizondirect.gorgias.com/app/ticket/366711814" TargetMode="External"/><Relationship Id="rId25" Type="http://schemas.openxmlformats.org/officeDocument/2006/relationships/hyperlink" Target="https://horizondirect.gorgias.com/app/ticket/366702350" TargetMode="External"/><Relationship Id="rId28" Type="http://schemas.openxmlformats.org/officeDocument/2006/relationships/hyperlink" Target="https://horizondirect.gorgias.com/app/ticket/366845116" TargetMode="External"/><Relationship Id="rId27" Type="http://schemas.openxmlformats.org/officeDocument/2006/relationships/hyperlink" Target="https://horizondirect.gorgias.com/app/ticket/366728064" TargetMode="External"/><Relationship Id="rId400" Type="http://schemas.openxmlformats.org/officeDocument/2006/relationships/hyperlink" Target="https://assets.aircall.io/calls/3789834015/recording" TargetMode="External"/><Relationship Id="rId521" Type="http://schemas.openxmlformats.org/officeDocument/2006/relationships/hyperlink" Target="https://4ammedia.zendesk.com/agent/tickets/243358" TargetMode="External"/><Relationship Id="rId29" Type="http://schemas.openxmlformats.org/officeDocument/2006/relationships/hyperlink" Target="https://horizondirect.gorgias.com/app/ticket/366852407" TargetMode="External"/><Relationship Id="rId520" Type="http://schemas.openxmlformats.org/officeDocument/2006/relationships/hyperlink" Target="https://4ammedia.zendesk.com/agent/tickets/243006" TargetMode="External"/><Relationship Id="rId11" Type="http://schemas.openxmlformats.org/officeDocument/2006/relationships/hyperlink" Target="https://horizondirect.gorgias.com/app/ticket/365760327" TargetMode="External"/><Relationship Id="rId10" Type="http://schemas.openxmlformats.org/officeDocument/2006/relationships/hyperlink" Target="https://horizondirect.gorgias.com/app/ticket/365757849" TargetMode="External"/><Relationship Id="rId13" Type="http://schemas.openxmlformats.org/officeDocument/2006/relationships/hyperlink" Target="https://horizondirect.gorgias.com/app/ticket/365864906" TargetMode="External"/><Relationship Id="rId12" Type="http://schemas.openxmlformats.org/officeDocument/2006/relationships/hyperlink" Target="https://horizondirect.gorgias.com/app/ticket/365766146" TargetMode="External"/><Relationship Id="rId519" Type="http://schemas.openxmlformats.org/officeDocument/2006/relationships/hyperlink" Target="https://4ammedia.zendesk.com/agent/tickets/241481" TargetMode="External"/><Relationship Id="rId514" Type="http://schemas.openxmlformats.org/officeDocument/2006/relationships/hyperlink" Target="https://4ammedia.zendesk.com/agent/tickets/238404" TargetMode="External"/><Relationship Id="rId513" Type="http://schemas.openxmlformats.org/officeDocument/2006/relationships/hyperlink" Target="https://4ammedia.zendesk.com/agent/tickets/236484" TargetMode="External"/><Relationship Id="rId512" Type="http://schemas.openxmlformats.org/officeDocument/2006/relationships/hyperlink" Target="https://4ammedia.zendesk.com/agent/tickets/236317" TargetMode="External"/><Relationship Id="rId511" Type="http://schemas.openxmlformats.org/officeDocument/2006/relationships/hyperlink" Target="https://4ammedia.zendesk.com/agent/tickets/236232" TargetMode="External"/><Relationship Id="rId518" Type="http://schemas.openxmlformats.org/officeDocument/2006/relationships/hyperlink" Target="https://4ammedia.zendesk.com/agent/tickets/241250" TargetMode="External"/><Relationship Id="rId517" Type="http://schemas.openxmlformats.org/officeDocument/2006/relationships/hyperlink" Target="https://4ammedia.zendesk.com/agent/tickets/241119" TargetMode="External"/><Relationship Id="rId516" Type="http://schemas.openxmlformats.org/officeDocument/2006/relationships/hyperlink" Target="https://4ammedia.zendesk.com/agent/tickets/238723" TargetMode="External"/><Relationship Id="rId515" Type="http://schemas.openxmlformats.org/officeDocument/2006/relationships/hyperlink" Target="https://4ammedia.zendesk.com/agent/tickets/238524" TargetMode="External"/><Relationship Id="rId15" Type="http://schemas.openxmlformats.org/officeDocument/2006/relationships/hyperlink" Target="https://horizondirect.gorgias.com/app/ticket/365898226" TargetMode="External"/><Relationship Id="rId14" Type="http://schemas.openxmlformats.org/officeDocument/2006/relationships/hyperlink" Target="https://horizondirect.gorgias.com/app/ticket/365882712" TargetMode="External"/><Relationship Id="rId17" Type="http://schemas.openxmlformats.org/officeDocument/2006/relationships/hyperlink" Target="https://horizondirect.gorgias.com/app/ticket/366232329" TargetMode="External"/><Relationship Id="rId16" Type="http://schemas.openxmlformats.org/officeDocument/2006/relationships/hyperlink" Target="https://horizondirect.gorgias.com/app/ticket/366242705" TargetMode="External"/><Relationship Id="rId19" Type="http://schemas.openxmlformats.org/officeDocument/2006/relationships/hyperlink" Target="https://horizondirect.gorgias.com/app/ticket/366376091" TargetMode="External"/><Relationship Id="rId510" Type="http://schemas.openxmlformats.org/officeDocument/2006/relationships/hyperlink" Target="https://4ammedia.zendesk.com/agent/tickets/232457" TargetMode="External"/><Relationship Id="rId18" Type="http://schemas.openxmlformats.org/officeDocument/2006/relationships/hyperlink" Target="https://horizondirect.gorgias.com/app/ticket/366227158" TargetMode="External"/><Relationship Id="rId84" Type="http://schemas.openxmlformats.org/officeDocument/2006/relationships/hyperlink" Target="https://horizondirect.gorgias.com/app/ticket/371170052" TargetMode="External"/><Relationship Id="rId83" Type="http://schemas.openxmlformats.org/officeDocument/2006/relationships/hyperlink" Target="https://horizondirect.gorgias.com/app/ticket/371163740" TargetMode="External"/><Relationship Id="rId86" Type="http://schemas.openxmlformats.org/officeDocument/2006/relationships/hyperlink" Target="https://horizondirect.gorgias.com/app/ticket/371317483" TargetMode="External"/><Relationship Id="rId85" Type="http://schemas.openxmlformats.org/officeDocument/2006/relationships/hyperlink" Target="https://horizondirect.gorgias.com/app/ticket/371308145" TargetMode="External"/><Relationship Id="rId88" Type="http://schemas.openxmlformats.org/officeDocument/2006/relationships/hyperlink" Target="https://horizondirect.gorgias.com/app/ticket/371449923" TargetMode="External"/><Relationship Id="rId87" Type="http://schemas.openxmlformats.org/officeDocument/2006/relationships/hyperlink" Target="https://horizondirect.gorgias.com/app/ticket/371328406" TargetMode="External"/><Relationship Id="rId89" Type="http://schemas.openxmlformats.org/officeDocument/2006/relationships/hyperlink" Target="https://horizondirect.gorgias.com/app/ticket/371462354" TargetMode="External"/><Relationship Id="rId80" Type="http://schemas.openxmlformats.org/officeDocument/2006/relationships/hyperlink" Target="https://horizondirect.gorgias.com/app/ticket/370988430" TargetMode="External"/><Relationship Id="rId82" Type="http://schemas.openxmlformats.org/officeDocument/2006/relationships/hyperlink" Target="https://horizondirect.gorgias.com/app/ticket/371155848" TargetMode="External"/><Relationship Id="rId81" Type="http://schemas.openxmlformats.org/officeDocument/2006/relationships/hyperlink" Target="https://horizondirect.gorgias.com/app/ticket/371000738" TargetMode="External"/><Relationship Id="rId73" Type="http://schemas.openxmlformats.org/officeDocument/2006/relationships/hyperlink" Target="https://horizondirect.gorgias.com/app/ticket/370440589" TargetMode="External"/><Relationship Id="rId72" Type="http://schemas.openxmlformats.org/officeDocument/2006/relationships/hyperlink" Target="https://horizondirect.gorgias.com/app/ticket/370286996" TargetMode="External"/><Relationship Id="rId75" Type="http://schemas.openxmlformats.org/officeDocument/2006/relationships/hyperlink" Target="https://horizondirect.gorgias.com/app/ticket/370454068" TargetMode="External"/><Relationship Id="rId74" Type="http://schemas.openxmlformats.org/officeDocument/2006/relationships/hyperlink" Target="https://horizondirect.gorgias.com/app/ticket/370442322" TargetMode="External"/><Relationship Id="rId77" Type="http://schemas.openxmlformats.org/officeDocument/2006/relationships/hyperlink" Target="https://horizondirect.gorgias.com/app/ticket/370841136" TargetMode="External"/><Relationship Id="rId76" Type="http://schemas.openxmlformats.org/officeDocument/2006/relationships/hyperlink" Target="https://horizondirect.gorgias.com/app/ticket/370828342" TargetMode="External"/><Relationship Id="rId79" Type="http://schemas.openxmlformats.org/officeDocument/2006/relationships/hyperlink" Target="https://horizondirect.gorgias.com/app/ticket/370980479" TargetMode="External"/><Relationship Id="rId78" Type="http://schemas.openxmlformats.org/officeDocument/2006/relationships/hyperlink" Target="https://horizondirect.gorgias.com/app/ticket/370851321" TargetMode="External"/><Relationship Id="rId71" Type="http://schemas.openxmlformats.org/officeDocument/2006/relationships/hyperlink" Target="https://horizondirect.gorgias.com/app/ticket/370280221" TargetMode="External"/><Relationship Id="rId70" Type="http://schemas.openxmlformats.org/officeDocument/2006/relationships/hyperlink" Target="https://horizondirect.gorgias.com/app/ticket/370229406" TargetMode="External"/><Relationship Id="rId62" Type="http://schemas.openxmlformats.org/officeDocument/2006/relationships/hyperlink" Target="https://horizondirect.gorgias.com/app/ticket/369660386" TargetMode="External"/><Relationship Id="rId61" Type="http://schemas.openxmlformats.org/officeDocument/2006/relationships/hyperlink" Target="https://horizondirect.gorgias.com/app/ticket/369648140" TargetMode="External"/><Relationship Id="rId64" Type="http://schemas.openxmlformats.org/officeDocument/2006/relationships/hyperlink" Target="https://horizondirect.gorgias.com/app/ticket/369901960" TargetMode="External"/><Relationship Id="rId63" Type="http://schemas.openxmlformats.org/officeDocument/2006/relationships/hyperlink" Target="https://horizondirect.gorgias.com/app/ticket/369664381" TargetMode="External"/><Relationship Id="rId66" Type="http://schemas.openxmlformats.org/officeDocument/2006/relationships/hyperlink" Target="https://horizondirect.gorgias.com/app/ticket/369870149" TargetMode="External"/><Relationship Id="rId65" Type="http://schemas.openxmlformats.org/officeDocument/2006/relationships/hyperlink" Target="https://horizondirect.gorgias.com/app/ticket/369883511" TargetMode="External"/><Relationship Id="rId68" Type="http://schemas.openxmlformats.org/officeDocument/2006/relationships/hyperlink" Target="https://horizondirect.gorgias.com/app/ticket/370090617" TargetMode="External"/><Relationship Id="rId67" Type="http://schemas.openxmlformats.org/officeDocument/2006/relationships/hyperlink" Target="https://horizondirect.gorgias.com/app/ticket/370079604" TargetMode="External"/><Relationship Id="rId60" Type="http://schemas.openxmlformats.org/officeDocument/2006/relationships/hyperlink" Target="https://horizondirect.gorgias.com/app/ticket/369509541" TargetMode="External"/><Relationship Id="rId69" Type="http://schemas.openxmlformats.org/officeDocument/2006/relationships/hyperlink" Target="https://horizondirect.gorgias.com/app/ticket/370096309" TargetMode="External"/><Relationship Id="rId51" Type="http://schemas.openxmlformats.org/officeDocument/2006/relationships/hyperlink" Target="https://horizondirect.gorgias.com/app/ticket/368700742" TargetMode="External"/><Relationship Id="rId50" Type="http://schemas.openxmlformats.org/officeDocument/2006/relationships/hyperlink" Target="https://horizondirect.gorgias.com/app/ticket/368660855" TargetMode="External"/><Relationship Id="rId53" Type="http://schemas.openxmlformats.org/officeDocument/2006/relationships/hyperlink" Target="https://horizondirect.gorgias.com/app/ticket/369000225" TargetMode="External"/><Relationship Id="rId52" Type="http://schemas.openxmlformats.org/officeDocument/2006/relationships/hyperlink" Target="https://horizondirect.gorgias.com/app/ticket/368995174" TargetMode="External"/><Relationship Id="rId55" Type="http://schemas.openxmlformats.org/officeDocument/2006/relationships/hyperlink" Target="https://horizondirect.gorgias.com/app/ticket/369000225" TargetMode="External"/><Relationship Id="rId54" Type="http://schemas.openxmlformats.org/officeDocument/2006/relationships/hyperlink" Target="https://horizondirect.gorgias.com/app/ticket/369002651" TargetMode="External"/><Relationship Id="rId57" Type="http://schemas.openxmlformats.org/officeDocument/2006/relationships/hyperlink" Target="https://horizondirect.gorgias.com/app/ticket/369224995" TargetMode="External"/><Relationship Id="rId56" Type="http://schemas.openxmlformats.org/officeDocument/2006/relationships/hyperlink" Target="https://horizondirect.gorgias.com/app/ticket/369221160" TargetMode="External"/><Relationship Id="rId59" Type="http://schemas.openxmlformats.org/officeDocument/2006/relationships/hyperlink" Target="https://horizondirect.gorgias.com/app/ticket/369502961" TargetMode="External"/><Relationship Id="rId58" Type="http://schemas.openxmlformats.org/officeDocument/2006/relationships/hyperlink" Target="https://horizondirect.gorgias.com/app/ticket/369496027" TargetMode="External"/><Relationship Id="rId590" Type="http://schemas.openxmlformats.org/officeDocument/2006/relationships/table" Target="../tables/table82.xml"/><Relationship Id="rId107" Type="http://schemas.openxmlformats.org/officeDocument/2006/relationships/hyperlink" Target="https://horizondirect.gorgias.com/app/ticket/373058596" TargetMode="External"/><Relationship Id="rId228" Type="http://schemas.openxmlformats.org/officeDocument/2006/relationships/hyperlink" Target="https://horizondirect.gorgias.com/app/ticket/379972789" TargetMode="External"/><Relationship Id="rId349" Type="http://schemas.openxmlformats.org/officeDocument/2006/relationships/hyperlink" Target="https://assets.aircall.io/calls/3711010262/recording" TargetMode="External"/><Relationship Id="rId106" Type="http://schemas.openxmlformats.org/officeDocument/2006/relationships/hyperlink" Target="https://horizondirect.gorgias.com/app/ticket/373044209" TargetMode="External"/><Relationship Id="rId227" Type="http://schemas.openxmlformats.org/officeDocument/2006/relationships/hyperlink" Target="https://horizondirect.gorgias.com/app/ticket/379957388" TargetMode="External"/><Relationship Id="rId348" Type="http://schemas.openxmlformats.org/officeDocument/2006/relationships/hyperlink" Target="https://assets.aircall.io/calls/3707555192/recording" TargetMode="External"/><Relationship Id="rId469" Type="http://schemas.openxmlformats.org/officeDocument/2006/relationships/hyperlink" Target="https://4ammedia.zendesk.com/agent/tickets/201735" TargetMode="External"/><Relationship Id="rId105" Type="http://schemas.openxmlformats.org/officeDocument/2006/relationships/hyperlink" Target="https://horizondirect.gorgias.com/app/ticket/372708537" TargetMode="External"/><Relationship Id="rId226" Type="http://schemas.openxmlformats.org/officeDocument/2006/relationships/hyperlink" Target="https://horizondirect.gorgias.com/app/ticket/379941119" TargetMode="External"/><Relationship Id="rId347" Type="http://schemas.openxmlformats.org/officeDocument/2006/relationships/hyperlink" Target="https://assets.aircall.io/calls/3707497128/recording" TargetMode="External"/><Relationship Id="rId468" Type="http://schemas.openxmlformats.org/officeDocument/2006/relationships/hyperlink" Target="https://4ammedia.zendesk.com/agent/tickets/200554" TargetMode="External"/><Relationship Id="rId589" Type="http://schemas.openxmlformats.org/officeDocument/2006/relationships/table" Target="../tables/table81.xml"/><Relationship Id="rId104" Type="http://schemas.openxmlformats.org/officeDocument/2006/relationships/hyperlink" Target="https://horizondirect.gorgias.com/app/ticket/372704197" TargetMode="External"/><Relationship Id="rId225" Type="http://schemas.openxmlformats.org/officeDocument/2006/relationships/hyperlink" Target="https://horizondirect.gorgias.com/app/ticket/379842679" TargetMode="External"/><Relationship Id="rId346" Type="http://schemas.openxmlformats.org/officeDocument/2006/relationships/hyperlink" Target="https://assets.aircall.io/calls/3707333049/recording" TargetMode="External"/><Relationship Id="rId467" Type="http://schemas.openxmlformats.org/officeDocument/2006/relationships/hyperlink" Target="https://4ammedia.zendesk.com/agent/tickets/199970" TargetMode="External"/><Relationship Id="rId588" Type="http://schemas.openxmlformats.org/officeDocument/2006/relationships/table" Target="../tables/table80.xml"/><Relationship Id="rId109" Type="http://schemas.openxmlformats.org/officeDocument/2006/relationships/hyperlink" Target="https://horizondirect.gorgias.com/app/ticket/373169530" TargetMode="External"/><Relationship Id="rId108" Type="http://schemas.openxmlformats.org/officeDocument/2006/relationships/hyperlink" Target="https://horizondirect.gorgias.com/app/ticket/373071087" TargetMode="External"/><Relationship Id="rId229" Type="http://schemas.openxmlformats.org/officeDocument/2006/relationships/hyperlink" Target="https://horizondirect.gorgias.com/app/ticket/380232784" TargetMode="External"/><Relationship Id="rId220" Type="http://schemas.openxmlformats.org/officeDocument/2006/relationships/hyperlink" Target="https://horizondirect.gorgias.com/app/ticket/379666693" TargetMode="External"/><Relationship Id="rId341" Type="http://schemas.openxmlformats.org/officeDocument/2006/relationships/hyperlink" Target="https://assets.aircall.io/calls/3698697804/recording/info" TargetMode="External"/><Relationship Id="rId462" Type="http://schemas.openxmlformats.org/officeDocument/2006/relationships/hyperlink" Target="https://4ammedia.zendesk.com/agent/tickets/194867" TargetMode="External"/><Relationship Id="rId583" Type="http://schemas.openxmlformats.org/officeDocument/2006/relationships/table" Target="../tables/table75.xml"/><Relationship Id="rId340" Type="http://schemas.openxmlformats.org/officeDocument/2006/relationships/hyperlink" Target="https://assets.aircall.io/calls/3698506082/recording/info" TargetMode="External"/><Relationship Id="rId461" Type="http://schemas.openxmlformats.org/officeDocument/2006/relationships/hyperlink" Target="https://4ammedia.zendesk.com/agent/tickets/194668" TargetMode="External"/><Relationship Id="rId582" Type="http://schemas.openxmlformats.org/officeDocument/2006/relationships/table" Target="../tables/table74.xml"/><Relationship Id="rId460" Type="http://schemas.openxmlformats.org/officeDocument/2006/relationships/hyperlink" Target="https://4ammedia.zendesk.com/agent/tickets/194623" TargetMode="External"/><Relationship Id="rId581" Type="http://schemas.openxmlformats.org/officeDocument/2006/relationships/table" Target="../tables/table73.xml"/><Relationship Id="rId580" Type="http://schemas.openxmlformats.org/officeDocument/2006/relationships/table" Target="../tables/table72.xml"/><Relationship Id="rId103" Type="http://schemas.openxmlformats.org/officeDocument/2006/relationships/hyperlink" Target="https://horizondirect.gorgias.com/app/ticket/372694487" TargetMode="External"/><Relationship Id="rId224" Type="http://schemas.openxmlformats.org/officeDocument/2006/relationships/hyperlink" Target="https://horizondirect.gorgias.com/app/ticket/379807195" TargetMode="External"/><Relationship Id="rId345" Type="http://schemas.openxmlformats.org/officeDocument/2006/relationships/hyperlink" Target="https://assets.aircall.io/calls/3703689743/recording" TargetMode="External"/><Relationship Id="rId466" Type="http://schemas.openxmlformats.org/officeDocument/2006/relationships/hyperlink" Target="https://4ammedia.zendesk.com/agent/tickets/199812" TargetMode="External"/><Relationship Id="rId587" Type="http://schemas.openxmlformats.org/officeDocument/2006/relationships/table" Target="../tables/table79.xml"/><Relationship Id="rId102" Type="http://schemas.openxmlformats.org/officeDocument/2006/relationships/hyperlink" Target="https://horizondirect.gorgias.com/app/ticket/372356167" TargetMode="External"/><Relationship Id="rId223" Type="http://schemas.openxmlformats.org/officeDocument/2006/relationships/hyperlink" Target="https://horizondirect.gorgias.com/app/ticket/379795315" TargetMode="External"/><Relationship Id="rId344" Type="http://schemas.openxmlformats.org/officeDocument/2006/relationships/hyperlink" Target="https://assets.aircall.io/calls/3703654068/recording" TargetMode="External"/><Relationship Id="rId465" Type="http://schemas.openxmlformats.org/officeDocument/2006/relationships/hyperlink" Target="https://4ammedia.zendesk.com/agent/tickets/196611" TargetMode="External"/><Relationship Id="rId586" Type="http://schemas.openxmlformats.org/officeDocument/2006/relationships/table" Target="../tables/table78.xml"/><Relationship Id="rId101" Type="http://schemas.openxmlformats.org/officeDocument/2006/relationships/hyperlink" Target="https://horizondirect.gorgias.com/app/ticket/372350818" TargetMode="External"/><Relationship Id="rId222" Type="http://schemas.openxmlformats.org/officeDocument/2006/relationships/hyperlink" Target="https://horizondirect.gorgias.com/app/ticket/379704389" TargetMode="External"/><Relationship Id="rId343" Type="http://schemas.openxmlformats.org/officeDocument/2006/relationships/hyperlink" Target="https://assets.aircall.io/calls/3703573546/recording" TargetMode="External"/><Relationship Id="rId464" Type="http://schemas.openxmlformats.org/officeDocument/2006/relationships/hyperlink" Target="https://4ammedia.zendesk.com/agent/tickets/196493" TargetMode="External"/><Relationship Id="rId585" Type="http://schemas.openxmlformats.org/officeDocument/2006/relationships/table" Target="../tables/table77.xml"/><Relationship Id="rId100" Type="http://schemas.openxmlformats.org/officeDocument/2006/relationships/hyperlink" Target="https://horizondirect.gorgias.com/app/ticket/372342924" TargetMode="External"/><Relationship Id="rId221" Type="http://schemas.openxmlformats.org/officeDocument/2006/relationships/hyperlink" Target="https://horizondirect.gorgias.com/app/ticket/379683910" TargetMode="External"/><Relationship Id="rId342" Type="http://schemas.openxmlformats.org/officeDocument/2006/relationships/hyperlink" Target="https://assets.aircall.io/calls/3698871454/recording/info" TargetMode="External"/><Relationship Id="rId463" Type="http://schemas.openxmlformats.org/officeDocument/2006/relationships/hyperlink" Target="https://4ammedia.zendesk.com/agent/tickets/196397" TargetMode="External"/><Relationship Id="rId584" Type="http://schemas.openxmlformats.org/officeDocument/2006/relationships/table" Target="../tables/table76.xml"/><Relationship Id="rId217" Type="http://schemas.openxmlformats.org/officeDocument/2006/relationships/hyperlink" Target="https://horizondirect.gorgias.com/app/ticket/379346136" TargetMode="External"/><Relationship Id="rId338" Type="http://schemas.openxmlformats.org/officeDocument/2006/relationships/hyperlink" Target="https://horizondirect.gorgias.com/app/ticket/386651567" TargetMode="External"/><Relationship Id="rId459" Type="http://schemas.openxmlformats.org/officeDocument/2006/relationships/hyperlink" Target="https://4ammedia.zendesk.com/agent/tickets/193578" TargetMode="External"/><Relationship Id="rId216" Type="http://schemas.openxmlformats.org/officeDocument/2006/relationships/hyperlink" Target="https://horizondirect.gorgias.com/app/ticket/379257584" TargetMode="External"/><Relationship Id="rId337" Type="http://schemas.openxmlformats.org/officeDocument/2006/relationships/hyperlink" Target="https://horizondirect.gorgias.com/app/ticket/386630457" TargetMode="External"/><Relationship Id="rId458" Type="http://schemas.openxmlformats.org/officeDocument/2006/relationships/hyperlink" Target="https://4ammedia.zendesk.com/agent/tickets/193526" TargetMode="External"/><Relationship Id="rId579" Type="http://schemas.openxmlformats.org/officeDocument/2006/relationships/table" Target="../tables/table71.xml"/><Relationship Id="rId215" Type="http://schemas.openxmlformats.org/officeDocument/2006/relationships/hyperlink" Target="https://horizondirect.gorgias.com/app/ticket/379255378" TargetMode="External"/><Relationship Id="rId336" Type="http://schemas.openxmlformats.org/officeDocument/2006/relationships/hyperlink" Target="https://horizondirect.gorgias.com/app/ticket/386490706" TargetMode="External"/><Relationship Id="rId457" Type="http://schemas.openxmlformats.org/officeDocument/2006/relationships/hyperlink" Target="https://4ammedia.zendesk.com/agent/tickets/193301" TargetMode="External"/><Relationship Id="rId578" Type="http://schemas.openxmlformats.org/officeDocument/2006/relationships/table" Target="../tables/table70.xml"/><Relationship Id="rId214" Type="http://schemas.openxmlformats.org/officeDocument/2006/relationships/hyperlink" Target="https://horizondirect.gorgias.com/app/ticket/379241073" TargetMode="External"/><Relationship Id="rId335" Type="http://schemas.openxmlformats.org/officeDocument/2006/relationships/hyperlink" Target="https://horizondirect.gorgias.com/app/ticket/386485689" TargetMode="External"/><Relationship Id="rId456" Type="http://schemas.openxmlformats.org/officeDocument/2006/relationships/hyperlink" Target="https://assets.aircall.io/calls/3893256556/recording/info" TargetMode="External"/><Relationship Id="rId577" Type="http://schemas.openxmlformats.org/officeDocument/2006/relationships/table" Target="../tables/table69.xml"/><Relationship Id="rId219" Type="http://schemas.openxmlformats.org/officeDocument/2006/relationships/hyperlink" Target="https://horizondirect.gorgias.com/app/ticket/379371681" TargetMode="External"/><Relationship Id="rId218" Type="http://schemas.openxmlformats.org/officeDocument/2006/relationships/hyperlink" Target="https://horizondirect.gorgias.com/app/ticket/379363887" TargetMode="External"/><Relationship Id="rId339" Type="http://schemas.openxmlformats.org/officeDocument/2006/relationships/hyperlink" Target="https://horizondirect.gorgias.com/app/ticket/386660419" TargetMode="External"/><Relationship Id="rId330" Type="http://schemas.openxmlformats.org/officeDocument/2006/relationships/hyperlink" Target="https://horizondirect.gorgias.com/app/ticket/386222664" TargetMode="External"/><Relationship Id="rId451" Type="http://schemas.openxmlformats.org/officeDocument/2006/relationships/hyperlink" Target="https://4ammedia.zendesk.com/agent/tickets/189365" TargetMode="External"/><Relationship Id="rId450" Type="http://schemas.openxmlformats.org/officeDocument/2006/relationships/hyperlink" Target="https://4ammedia.zendesk.com/agent/tickets/175839" TargetMode="External"/><Relationship Id="rId213" Type="http://schemas.openxmlformats.org/officeDocument/2006/relationships/hyperlink" Target="https://horizondirect.gorgias.com/app/ticket/379125117" TargetMode="External"/><Relationship Id="rId334" Type="http://schemas.openxmlformats.org/officeDocument/2006/relationships/hyperlink" Target="https://horizondirect.gorgias.com/app/ticket/386476284" TargetMode="External"/><Relationship Id="rId455" Type="http://schemas.openxmlformats.org/officeDocument/2006/relationships/hyperlink" Target="https://assets.aircall.io/calls/3893574514/recording/info" TargetMode="External"/><Relationship Id="rId576" Type="http://schemas.openxmlformats.org/officeDocument/2006/relationships/table" Target="../tables/table68.xml"/><Relationship Id="rId212" Type="http://schemas.openxmlformats.org/officeDocument/2006/relationships/hyperlink" Target="https://horizondirect.gorgias.com/app/ticket/379105752" TargetMode="External"/><Relationship Id="rId333" Type="http://schemas.openxmlformats.org/officeDocument/2006/relationships/hyperlink" Target="https://horizondirect.gorgias.com/app/ticket/386342792" TargetMode="External"/><Relationship Id="rId454" Type="http://schemas.openxmlformats.org/officeDocument/2006/relationships/hyperlink" Target="https://assets.aircall.io/calls/3894264959/recording/info" TargetMode="External"/><Relationship Id="rId211" Type="http://schemas.openxmlformats.org/officeDocument/2006/relationships/hyperlink" Target="https://horizondirect.gorgias.com/app/ticket/379093957" TargetMode="External"/><Relationship Id="rId332" Type="http://schemas.openxmlformats.org/officeDocument/2006/relationships/hyperlink" Target="https://horizondirect.gorgias.com/app/ticket/386336941" TargetMode="External"/><Relationship Id="rId453" Type="http://schemas.openxmlformats.org/officeDocument/2006/relationships/hyperlink" Target="https://4ammedia.zendesk.com/agent/tickets/190070" TargetMode="External"/><Relationship Id="rId210" Type="http://schemas.openxmlformats.org/officeDocument/2006/relationships/hyperlink" Target="https://horizondirect.gorgias.com/app/ticket/378991688" TargetMode="External"/><Relationship Id="rId331" Type="http://schemas.openxmlformats.org/officeDocument/2006/relationships/hyperlink" Target="https://horizondirect.gorgias.com/app/ticket/386335240" TargetMode="External"/><Relationship Id="rId452" Type="http://schemas.openxmlformats.org/officeDocument/2006/relationships/hyperlink" Target="https://4ammedia.zendesk.com/agent/tickets/189945" TargetMode="External"/><Relationship Id="rId370" Type="http://schemas.openxmlformats.org/officeDocument/2006/relationships/hyperlink" Target="https://assets.aircall.io/calls/3739369133/recording" TargetMode="External"/><Relationship Id="rId491" Type="http://schemas.openxmlformats.org/officeDocument/2006/relationships/hyperlink" Target="https://4ammedia.zendesk.com/agent/tickets/217345" TargetMode="External"/><Relationship Id="rId490" Type="http://schemas.openxmlformats.org/officeDocument/2006/relationships/hyperlink" Target="https://4ammedia.zendesk.com/agent/tickets/216995" TargetMode="External"/><Relationship Id="rId129" Type="http://schemas.openxmlformats.org/officeDocument/2006/relationships/hyperlink" Target="https://horizondirect.gorgias.com/app/ticket/374120227" TargetMode="External"/><Relationship Id="rId128" Type="http://schemas.openxmlformats.org/officeDocument/2006/relationships/hyperlink" Target="https://horizondirect.gorgias.com/app/ticket/374097740" TargetMode="External"/><Relationship Id="rId249" Type="http://schemas.openxmlformats.org/officeDocument/2006/relationships/hyperlink" Target="https://horizondirect.gorgias.com/app/ticket/381149967" TargetMode="External"/><Relationship Id="rId127" Type="http://schemas.openxmlformats.org/officeDocument/2006/relationships/hyperlink" Target="https://horizondirect.gorgias.com/app/ticket/374090684" TargetMode="External"/><Relationship Id="rId248" Type="http://schemas.openxmlformats.org/officeDocument/2006/relationships/hyperlink" Target="https://horizondirect.gorgias.com/app/ticket/381147500" TargetMode="External"/><Relationship Id="rId369" Type="http://schemas.openxmlformats.org/officeDocument/2006/relationships/hyperlink" Target="https://assets.aircall.io/calls/3734526193/recording" TargetMode="External"/><Relationship Id="rId126" Type="http://schemas.openxmlformats.org/officeDocument/2006/relationships/hyperlink" Target="https://horizondirect.gorgias.com/app/ticket/373974382" TargetMode="External"/><Relationship Id="rId247" Type="http://schemas.openxmlformats.org/officeDocument/2006/relationships/hyperlink" Target="https://horizondirect.gorgias.com/app/ticket/381143550" TargetMode="External"/><Relationship Id="rId368" Type="http://schemas.openxmlformats.org/officeDocument/2006/relationships/hyperlink" Target="https://assets.aircall.io/calls/3734496400/recording" TargetMode="External"/><Relationship Id="rId489" Type="http://schemas.openxmlformats.org/officeDocument/2006/relationships/hyperlink" Target="https://4ammedia.zendesk.com/agent/tickets/216070" TargetMode="External"/><Relationship Id="rId121" Type="http://schemas.openxmlformats.org/officeDocument/2006/relationships/hyperlink" Target="https://horizondirect.gorgias.com/app/ticket/373812867" TargetMode="External"/><Relationship Id="rId242" Type="http://schemas.openxmlformats.org/officeDocument/2006/relationships/hyperlink" Target="https://horizondirect.gorgias.com/app/ticket/380840591" TargetMode="External"/><Relationship Id="rId363" Type="http://schemas.openxmlformats.org/officeDocument/2006/relationships/hyperlink" Target="https://assets.aircall.io/calls/3728613974/recording" TargetMode="External"/><Relationship Id="rId484" Type="http://schemas.openxmlformats.org/officeDocument/2006/relationships/hyperlink" Target="https://4ammedia.zendesk.com/agent/tickets/213555" TargetMode="External"/><Relationship Id="rId120" Type="http://schemas.openxmlformats.org/officeDocument/2006/relationships/hyperlink" Target="https://horizondirect.gorgias.com/app/ticket/373650734" TargetMode="External"/><Relationship Id="rId241" Type="http://schemas.openxmlformats.org/officeDocument/2006/relationships/hyperlink" Target="https://horizondirect.gorgias.com/app/ticket/380834307" TargetMode="External"/><Relationship Id="rId362" Type="http://schemas.openxmlformats.org/officeDocument/2006/relationships/hyperlink" Target="https://assets.aircall.io/calls/3728599680/recording" TargetMode="External"/><Relationship Id="rId483" Type="http://schemas.openxmlformats.org/officeDocument/2006/relationships/hyperlink" Target="https://4ammedia.zendesk.com/agent/tickets/211927" TargetMode="External"/><Relationship Id="rId240" Type="http://schemas.openxmlformats.org/officeDocument/2006/relationships/hyperlink" Target="https://horizondirect.gorgias.com/app/ticket/380717735" TargetMode="External"/><Relationship Id="rId361" Type="http://schemas.openxmlformats.org/officeDocument/2006/relationships/hyperlink" Target="https://assets.aircall.io/calls/3728449990/recording" TargetMode="External"/><Relationship Id="rId482" Type="http://schemas.openxmlformats.org/officeDocument/2006/relationships/hyperlink" Target="https://4ammedia.zendesk.com/agent/tickets/211657" TargetMode="External"/><Relationship Id="rId360" Type="http://schemas.openxmlformats.org/officeDocument/2006/relationships/hyperlink" Target="https://assets.aircall.io/calls/3723874668/recording" TargetMode="External"/><Relationship Id="rId481" Type="http://schemas.openxmlformats.org/officeDocument/2006/relationships/hyperlink" Target="https://4ammedia.zendesk.com/agent/tickets/211208" TargetMode="External"/><Relationship Id="rId125" Type="http://schemas.openxmlformats.org/officeDocument/2006/relationships/hyperlink" Target="https://horizondirect.gorgias.com/app/ticket/373965227" TargetMode="External"/><Relationship Id="rId246" Type="http://schemas.openxmlformats.org/officeDocument/2006/relationships/hyperlink" Target="https://horizondirect.gorgias.com/app/ticket/380990891" TargetMode="External"/><Relationship Id="rId367" Type="http://schemas.openxmlformats.org/officeDocument/2006/relationships/hyperlink" Target="https://assets.aircall.io/calls/3734465165/recording" TargetMode="External"/><Relationship Id="rId488" Type="http://schemas.openxmlformats.org/officeDocument/2006/relationships/hyperlink" Target="https://4ammedia.zendesk.com/agent/tickets/215985" TargetMode="External"/><Relationship Id="rId124" Type="http://schemas.openxmlformats.org/officeDocument/2006/relationships/hyperlink" Target="https://horizondirect.gorgias.com/app/ticket/373961234" TargetMode="External"/><Relationship Id="rId245" Type="http://schemas.openxmlformats.org/officeDocument/2006/relationships/hyperlink" Target="https://horizondirect.gorgias.com/app/ticket/380988135" TargetMode="External"/><Relationship Id="rId366" Type="http://schemas.openxmlformats.org/officeDocument/2006/relationships/hyperlink" Target="https://assets.aircall.io/calls/3732214400/recording" TargetMode="External"/><Relationship Id="rId487" Type="http://schemas.openxmlformats.org/officeDocument/2006/relationships/hyperlink" Target="https://4ammedia.zendesk.com/agent/tickets/215797" TargetMode="External"/><Relationship Id="rId123" Type="http://schemas.openxmlformats.org/officeDocument/2006/relationships/hyperlink" Target="https://horizondirect.gorgias.com/app/ticket/373832016" TargetMode="External"/><Relationship Id="rId244" Type="http://schemas.openxmlformats.org/officeDocument/2006/relationships/hyperlink" Target="https://horizondirect.gorgias.com/app/ticket/380980704" TargetMode="External"/><Relationship Id="rId365" Type="http://schemas.openxmlformats.org/officeDocument/2006/relationships/hyperlink" Target="https://assets.aircall.io/calls/3732123621/recording" TargetMode="External"/><Relationship Id="rId486" Type="http://schemas.openxmlformats.org/officeDocument/2006/relationships/hyperlink" Target="https://4ammedia.zendesk.com/agent/tickets/213942" TargetMode="External"/><Relationship Id="rId122" Type="http://schemas.openxmlformats.org/officeDocument/2006/relationships/hyperlink" Target="https://horizondirect.gorgias.com/app/ticket/373820543" TargetMode="External"/><Relationship Id="rId243" Type="http://schemas.openxmlformats.org/officeDocument/2006/relationships/hyperlink" Target="https://horizondirect.gorgias.com/app/ticket/380848197" TargetMode="External"/><Relationship Id="rId364" Type="http://schemas.openxmlformats.org/officeDocument/2006/relationships/hyperlink" Target="https://assets.aircall.io/calls/3732055489/recording" TargetMode="External"/><Relationship Id="rId485" Type="http://schemas.openxmlformats.org/officeDocument/2006/relationships/hyperlink" Target="https://4ammedia.zendesk.com/agent/tickets/213856" TargetMode="External"/><Relationship Id="rId95" Type="http://schemas.openxmlformats.org/officeDocument/2006/relationships/hyperlink" Target="https://horizondirect.gorgias.com/app/ticket/372006388" TargetMode="External"/><Relationship Id="rId94" Type="http://schemas.openxmlformats.org/officeDocument/2006/relationships/hyperlink" Target="https://horizondirect.gorgias.com/app/ticket/372004622" TargetMode="External"/><Relationship Id="rId97" Type="http://schemas.openxmlformats.org/officeDocument/2006/relationships/hyperlink" Target="https://horizondirect.gorgias.com/app/ticket/372209300" TargetMode="External"/><Relationship Id="rId96" Type="http://schemas.openxmlformats.org/officeDocument/2006/relationships/hyperlink" Target="https://horizondirect.gorgias.com/app/ticket/372029376" TargetMode="External"/><Relationship Id="rId99" Type="http://schemas.openxmlformats.org/officeDocument/2006/relationships/hyperlink" Target="https://horizondirect.gorgias.com/app/ticket/372222792" TargetMode="External"/><Relationship Id="rId480" Type="http://schemas.openxmlformats.org/officeDocument/2006/relationships/hyperlink" Target="https://4ammedia.zendesk.com/agent/tickets/207818" TargetMode="External"/><Relationship Id="rId98" Type="http://schemas.openxmlformats.org/officeDocument/2006/relationships/hyperlink" Target="https://horizondirect.gorgias.com/app/ticket/372216857" TargetMode="External"/><Relationship Id="rId91" Type="http://schemas.openxmlformats.org/officeDocument/2006/relationships/hyperlink" Target="https://horizondirect.gorgias.com/app/ticket/371865405" TargetMode="External"/><Relationship Id="rId90" Type="http://schemas.openxmlformats.org/officeDocument/2006/relationships/hyperlink" Target="https://horizondirect.gorgias.com/app/ticket/371475027" TargetMode="External"/><Relationship Id="rId93" Type="http://schemas.openxmlformats.org/officeDocument/2006/relationships/hyperlink" Target="https://horizondirect.gorgias.com/app/ticket/371880249" TargetMode="External"/><Relationship Id="rId92" Type="http://schemas.openxmlformats.org/officeDocument/2006/relationships/hyperlink" Target="https://horizondirect.gorgias.com/app/ticket/371876851" TargetMode="External"/><Relationship Id="rId118" Type="http://schemas.openxmlformats.org/officeDocument/2006/relationships/hyperlink" Target="https://horizondirect.gorgias.com/app/ticket/373641922" TargetMode="External"/><Relationship Id="rId239" Type="http://schemas.openxmlformats.org/officeDocument/2006/relationships/hyperlink" Target="https://horizondirect.gorgias.com/app/ticket/380702021" TargetMode="External"/><Relationship Id="rId117" Type="http://schemas.openxmlformats.org/officeDocument/2006/relationships/hyperlink" Target="https://horizondirect.gorgias.com/app/ticket/373551895" TargetMode="External"/><Relationship Id="rId238" Type="http://schemas.openxmlformats.org/officeDocument/2006/relationships/hyperlink" Target="https://horizondirect.gorgias.com/app/ticket/380691093" TargetMode="External"/><Relationship Id="rId359" Type="http://schemas.openxmlformats.org/officeDocument/2006/relationships/hyperlink" Target="https://assets.aircall.io/calls/3723798299/recording" TargetMode="External"/><Relationship Id="rId116" Type="http://schemas.openxmlformats.org/officeDocument/2006/relationships/hyperlink" Target="https://horizondirect.gorgias.com/app/ticket/373543725" TargetMode="External"/><Relationship Id="rId237" Type="http://schemas.openxmlformats.org/officeDocument/2006/relationships/hyperlink" Target="https://horizondirect.gorgias.com/app/ticket/380591791" TargetMode="External"/><Relationship Id="rId358" Type="http://schemas.openxmlformats.org/officeDocument/2006/relationships/hyperlink" Target="https://assets.aircall.io/calls/3723678660/recording" TargetMode="External"/><Relationship Id="rId479" Type="http://schemas.openxmlformats.org/officeDocument/2006/relationships/hyperlink" Target="https://4ammedia.zendesk.com/agent/tickets/207765" TargetMode="External"/><Relationship Id="rId115" Type="http://schemas.openxmlformats.org/officeDocument/2006/relationships/hyperlink" Target="https://horizondirect.gorgias.com/app/ticket/373515852" TargetMode="External"/><Relationship Id="rId236" Type="http://schemas.openxmlformats.org/officeDocument/2006/relationships/hyperlink" Target="https://horizondirect.gorgias.com/app/ticket/380588308" TargetMode="External"/><Relationship Id="rId357" Type="http://schemas.openxmlformats.org/officeDocument/2006/relationships/hyperlink" Target="https://horizondirect.gorgias.com/app/ticket/387874093" TargetMode="External"/><Relationship Id="rId478" Type="http://schemas.openxmlformats.org/officeDocument/2006/relationships/hyperlink" Target="https://4ammedia.zendesk.com/agent/tickets/207710" TargetMode="External"/><Relationship Id="rId119" Type="http://schemas.openxmlformats.org/officeDocument/2006/relationships/hyperlink" Target="https://horizondirect.gorgias.com/app/ticket/373645857" TargetMode="External"/><Relationship Id="rId110" Type="http://schemas.openxmlformats.org/officeDocument/2006/relationships/hyperlink" Target="https://horizondirect.gorgias.com/app/ticket/373172685" TargetMode="External"/><Relationship Id="rId231" Type="http://schemas.openxmlformats.org/officeDocument/2006/relationships/hyperlink" Target="https://horizondirect.gorgias.com/app/ticket/380274515" TargetMode="External"/><Relationship Id="rId352" Type="http://schemas.openxmlformats.org/officeDocument/2006/relationships/hyperlink" Target="http://cafc06e51e7abeaad62e6880f8470edcc0/" TargetMode="External"/><Relationship Id="rId473" Type="http://schemas.openxmlformats.org/officeDocument/2006/relationships/hyperlink" Target="https://4ammedia.zendesk.com/agent/tickets/204402" TargetMode="External"/><Relationship Id="rId594" Type="http://schemas.openxmlformats.org/officeDocument/2006/relationships/table" Target="../tables/table86.xml"/><Relationship Id="rId230" Type="http://schemas.openxmlformats.org/officeDocument/2006/relationships/hyperlink" Target="https://horizondirect.gorgias.com/app/ticket/380247114" TargetMode="External"/><Relationship Id="rId351" Type="http://schemas.openxmlformats.org/officeDocument/2006/relationships/hyperlink" Target="https://assets.aircall.io/calls/3711171669/recording" TargetMode="External"/><Relationship Id="rId472" Type="http://schemas.openxmlformats.org/officeDocument/2006/relationships/hyperlink" Target="https://4ammedia.zendesk.com/agent/tickets/204083" TargetMode="External"/><Relationship Id="rId593" Type="http://schemas.openxmlformats.org/officeDocument/2006/relationships/table" Target="../tables/table85.xml"/><Relationship Id="rId350" Type="http://schemas.openxmlformats.org/officeDocument/2006/relationships/hyperlink" Target="https://assets.aircall.io/calls/3711114139/recording" TargetMode="External"/><Relationship Id="rId471" Type="http://schemas.openxmlformats.org/officeDocument/2006/relationships/hyperlink" Target="https://4ammedia.zendesk.com/agent/tickets/202003" TargetMode="External"/><Relationship Id="rId592" Type="http://schemas.openxmlformats.org/officeDocument/2006/relationships/table" Target="../tables/table84.xml"/><Relationship Id="rId470" Type="http://schemas.openxmlformats.org/officeDocument/2006/relationships/hyperlink" Target="https://4ammedia.zendesk.com/agent/tickets/201865" TargetMode="External"/><Relationship Id="rId591" Type="http://schemas.openxmlformats.org/officeDocument/2006/relationships/table" Target="../tables/table83.xml"/><Relationship Id="rId114" Type="http://schemas.openxmlformats.org/officeDocument/2006/relationships/hyperlink" Target="https://horizondirect.gorgias.com/app/ticket/373393522" TargetMode="External"/><Relationship Id="rId235" Type="http://schemas.openxmlformats.org/officeDocument/2006/relationships/hyperlink" Target="https://horizondirect.gorgias.com/app/ticket/380550279" TargetMode="External"/><Relationship Id="rId356" Type="http://schemas.openxmlformats.org/officeDocument/2006/relationships/hyperlink" Target="https://horizondirect.gorgias.com/app/ticket/387858730" TargetMode="External"/><Relationship Id="rId477" Type="http://schemas.openxmlformats.org/officeDocument/2006/relationships/hyperlink" Target="https://4ammedia.zendesk.com/agent/tickets/206577" TargetMode="External"/><Relationship Id="rId113" Type="http://schemas.openxmlformats.org/officeDocument/2006/relationships/hyperlink" Target="https://horizondirect.gorgias.com/app/ticket/373389211" TargetMode="External"/><Relationship Id="rId234" Type="http://schemas.openxmlformats.org/officeDocument/2006/relationships/hyperlink" Target="https://horizondirect.gorgias.com/app/ticket/380460652" TargetMode="External"/><Relationship Id="rId355" Type="http://schemas.openxmlformats.org/officeDocument/2006/relationships/hyperlink" Target="https://horizondirect.gorgias.com/app/ticket/387849262" TargetMode="External"/><Relationship Id="rId476" Type="http://schemas.openxmlformats.org/officeDocument/2006/relationships/hyperlink" Target="https://4ammedia.zendesk.com/agent/tickets/206518" TargetMode="External"/><Relationship Id="rId597" Type="http://schemas.openxmlformats.org/officeDocument/2006/relationships/table" Target="../tables/table89.xml"/><Relationship Id="rId112" Type="http://schemas.openxmlformats.org/officeDocument/2006/relationships/hyperlink" Target="https://horizondirect.gorgias.com/app/ticket/373385393" TargetMode="External"/><Relationship Id="rId233" Type="http://schemas.openxmlformats.org/officeDocument/2006/relationships/hyperlink" Target="https://horizondirect.gorgias.com/app/ticket/380446363" TargetMode="External"/><Relationship Id="rId354" Type="http://schemas.openxmlformats.org/officeDocument/2006/relationships/hyperlink" Target="https://assets.aircall.io/calls/3714992342/recording" TargetMode="External"/><Relationship Id="rId475" Type="http://schemas.openxmlformats.org/officeDocument/2006/relationships/hyperlink" Target="https://4ammedia.zendesk.com/agent/tickets/206208" TargetMode="External"/><Relationship Id="rId596" Type="http://schemas.openxmlformats.org/officeDocument/2006/relationships/table" Target="../tables/table88.xml"/><Relationship Id="rId111" Type="http://schemas.openxmlformats.org/officeDocument/2006/relationships/hyperlink" Target="https://horizondirect.gorgias.com/app/ticket/373178396" TargetMode="External"/><Relationship Id="rId232" Type="http://schemas.openxmlformats.org/officeDocument/2006/relationships/hyperlink" Target="https://horizondirect.gorgias.com/app/ticket/380438038" TargetMode="External"/><Relationship Id="rId353" Type="http://schemas.openxmlformats.org/officeDocument/2006/relationships/hyperlink" Target="https://assets.aircall.io/calls/3714543796/recording" TargetMode="External"/><Relationship Id="rId474" Type="http://schemas.openxmlformats.org/officeDocument/2006/relationships/hyperlink" Target="https://4ammedia.zendesk.com/agent/tickets/204651" TargetMode="External"/><Relationship Id="rId595" Type="http://schemas.openxmlformats.org/officeDocument/2006/relationships/table" Target="../tables/table87.xml"/><Relationship Id="rId305" Type="http://schemas.openxmlformats.org/officeDocument/2006/relationships/hyperlink" Target="https://horizondirect.gorgias.com/app/ticket/384708432" TargetMode="External"/><Relationship Id="rId426" Type="http://schemas.openxmlformats.org/officeDocument/2006/relationships/hyperlink" Target="https://4ammedia.zendesk.com/agent/tickets/160908" TargetMode="External"/><Relationship Id="rId547" Type="http://schemas.openxmlformats.org/officeDocument/2006/relationships/hyperlink" Target="https://4ammedia.zendesk.com/agent/tickets/269172" TargetMode="External"/><Relationship Id="rId304" Type="http://schemas.openxmlformats.org/officeDocument/2006/relationships/hyperlink" Target="https://horizondirect.gorgias.com/app/ticket/384693319" TargetMode="External"/><Relationship Id="rId425" Type="http://schemas.openxmlformats.org/officeDocument/2006/relationships/hyperlink" Target="https://4ammedia.zendesk.com/agent/tickets/160795" TargetMode="External"/><Relationship Id="rId546" Type="http://schemas.openxmlformats.org/officeDocument/2006/relationships/hyperlink" Target="https://4ammedia.zendesk.com/agent/tickets/267888" TargetMode="External"/><Relationship Id="rId303" Type="http://schemas.openxmlformats.org/officeDocument/2006/relationships/hyperlink" Target="https://horizondirect.gorgias.com/app/ticket/384585990" TargetMode="External"/><Relationship Id="rId424" Type="http://schemas.openxmlformats.org/officeDocument/2006/relationships/hyperlink" Target="https://4ammedia.zendesk.com/agent/tickets/160676" TargetMode="External"/><Relationship Id="rId545" Type="http://schemas.openxmlformats.org/officeDocument/2006/relationships/hyperlink" Target="https://4ammedia.zendesk.com/agent/tickets/267753" TargetMode="External"/><Relationship Id="rId302" Type="http://schemas.openxmlformats.org/officeDocument/2006/relationships/hyperlink" Target="https://horizondirect.gorgias.com/app/ticket/384573861" TargetMode="External"/><Relationship Id="rId423" Type="http://schemas.openxmlformats.org/officeDocument/2006/relationships/hyperlink" Target="https://4ammedia.zendesk.com/agent/tickets/159118" TargetMode="External"/><Relationship Id="rId544" Type="http://schemas.openxmlformats.org/officeDocument/2006/relationships/hyperlink" Target="https://4ammedia.zendesk.com/agent/tickets/267443" TargetMode="External"/><Relationship Id="rId309" Type="http://schemas.openxmlformats.org/officeDocument/2006/relationships/hyperlink" Target="https://horizondirect.gorgias.com/app/ticket/384839981" TargetMode="External"/><Relationship Id="rId308" Type="http://schemas.openxmlformats.org/officeDocument/2006/relationships/hyperlink" Target="https://horizondirect.gorgias.com/app/ticket/384833067" TargetMode="External"/><Relationship Id="rId429" Type="http://schemas.openxmlformats.org/officeDocument/2006/relationships/hyperlink" Target="https://4ammedia.zendesk.com/agent/tickets/162433" TargetMode="External"/><Relationship Id="rId307" Type="http://schemas.openxmlformats.org/officeDocument/2006/relationships/hyperlink" Target="https://horizondirect.gorgias.com/app/ticket/384822699" TargetMode="External"/><Relationship Id="rId428" Type="http://schemas.openxmlformats.org/officeDocument/2006/relationships/hyperlink" Target="https://4ammedia.zendesk.com/agent/tickets/162352" TargetMode="External"/><Relationship Id="rId549" Type="http://schemas.openxmlformats.org/officeDocument/2006/relationships/hyperlink" Target="https://4ammedia.zendesk.com/agent/tickets/269399" TargetMode="External"/><Relationship Id="rId306" Type="http://schemas.openxmlformats.org/officeDocument/2006/relationships/hyperlink" Target="https://horizondirect.gorgias.com/app/ticket/384728106" TargetMode="External"/><Relationship Id="rId427" Type="http://schemas.openxmlformats.org/officeDocument/2006/relationships/hyperlink" Target="https://4ammedia.zendesk.com/agent/tickets/162260" TargetMode="External"/><Relationship Id="rId548" Type="http://schemas.openxmlformats.org/officeDocument/2006/relationships/hyperlink" Target="https://4ammedia.zendesk.com/agent/tickets/269233" TargetMode="External"/><Relationship Id="rId301" Type="http://schemas.openxmlformats.org/officeDocument/2006/relationships/hyperlink" Target="https://horizondirect.gorgias.com/app/ticket/384567772" TargetMode="External"/><Relationship Id="rId422" Type="http://schemas.openxmlformats.org/officeDocument/2006/relationships/hyperlink" Target="https://4ammedia.zendesk.com/agent/tickets/159032" TargetMode="External"/><Relationship Id="rId543" Type="http://schemas.openxmlformats.org/officeDocument/2006/relationships/hyperlink" Target="https://4ammedia.zendesk.com/agent/tickets/265930" TargetMode="External"/><Relationship Id="rId300" Type="http://schemas.openxmlformats.org/officeDocument/2006/relationships/hyperlink" Target="https://horizondirect.gorgias.com/app/ticket/384427564" TargetMode="External"/><Relationship Id="rId421" Type="http://schemas.openxmlformats.org/officeDocument/2006/relationships/hyperlink" Target="https://4ammedia.zendesk.com/agent/tickets/158929" TargetMode="External"/><Relationship Id="rId542" Type="http://schemas.openxmlformats.org/officeDocument/2006/relationships/hyperlink" Target="https://4ammedia.zendesk.com/agent/tickets/265718" TargetMode="External"/><Relationship Id="rId420" Type="http://schemas.openxmlformats.org/officeDocument/2006/relationships/hyperlink" Target="https://4ammedia.zendesk.com/agent/tickets/157727" TargetMode="External"/><Relationship Id="rId541" Type="http://schemas.openxmlformats.org/officeDocument/2006/relationships/hyperlink" Target="https://4ammedia.zendesk.com/agent/tickets/265328" TargetMode="External"/><Relationship Id="rId540" Type="http://schemas.openxmlformats.org/officeDocument/2006/relationships/hyperlink" Target="https://4ammedia.zendesk.com/agent/tickets/262925" TargetMode="External"/><Relationship Id="rId415" Type="http://schemas.openxmlformats.org/officeDocument/2006/relationships/hyperlink" Target="https://4ammedia.zendesk.com/agent/tickets/152061" TargetMode="External"/><Relationship Id="rId536" Type="http://schemas.openxmlformats.org/officeDocument/2006/relationships/hyperlink" Target="https://4ammedia.zendesk.com/agent/tickets/256474" TargetMode="External"/><Relationship Id="rId414" Type="http://schemas.openxmlformats.org/officeDocument/2006/relationships/hyperlink" Target="https://4ammedia.zendesk.com/agent/tickets/151012" TargetMode="External"/><Relationship Id="rId535" Type="http://schemas.openxmlformats.org/officeDocument/2006/relationships/hyperlink" Target="https://4ammedia.zendesk.com/agent/tickets/256360" TargetMode="External"/><Relationship Id="rId413" Type="http://schemas.openxmlformats.org/officeDocument/2006/relationships/hyperlink" Target="https://4ammedia.zendesk.com/agent/tickets/150785" TargetMode="External"/><Relationship Id="rId534" Type="http://schemas.openxmlformats.org/officeDocument/2006/relationships/hyperlink" Target="https://4ammedia.zendesk.com/agent/tickets/254145" TargetMode="External"/><Relationship Id="rId412" Type="http://schemas.openxmlformats.org/officeDocument/2006/relationships/hyperlink" Target="https://4ammedia.zendesk.com/agent/tickets/150606" TargetMode="External"/><Relationship Id="rId533" Type="http://schemas.openxmlformats.org/officeDocument/2006/relationships/hyperlink" Target="https://4ammedia.zendesk.com/agent/tickets/254070" TargetMode="External"/><Relationship Id="rId419" Type="http://schemas.openxmlformats.org/officeDocument/2006/relationships/hyperlink" Target="https://4ammedia.zendesk.com/agent/tickets/157710" TargetMode="External"/><Relationship Id="rId418" Type="http://schemas.openxmlformats.org/officeDocument/2006/relationships/hyperlink" Target="https://4ammedia.zendesk.com/agent/tickets/157687" TargetMode="External"/><Relationship Id="rId539" Type="http://schemas.openxmlformats.org/officeDocument/2006/relationships/hyperlink" Target="https://4ammedia.zendesk.com/agent/tickets/262604" TargetMode="External"/><Relationship Id="rId417" Type="http://schemas.openxmlformats.org/officeDocument/2006/relationships/hyperlink" Target="https://4ammedia.zendesk.com/agent/tickets/152698" TargetMode="External"/><Relationship Id="rId538" Type="http://schemas.openxmlformats.org/officeDocument/2006/relationships/hyperlink" Target="https://4ammedia.zendesk.com/agent/tickets/262381" TargetMode="External"/><Relationship Id="rId416" Type="http://schemas.openxmlformats.org/officeDocument/2006/relationships/hyperlink" Target="https://4ammedia.zendesk.com/agent/tickets/152326" TargetMode="External"/><Relationship Id="rId537" Type="http://schemas.openxmlformats.org/officeDocument/2006/relationships/hyperlink" Target="https://4ammedia.zendesk.com/agent/tickets/256580" TargetMode="External"/><Relationship Id="rId411" Type="http://schemas.openxmlformats.org/officeDocument/2006/relationships/hyperlink" Target="https://4ammedia.zendesk.com/agent/tickets/149442" TargetMode="External"/><Relationship Id="rId532" Type="http://schemas.openxmlformats.org/officeDocument/2006/relationships/hyperlink" Target="https://4ammedia.zendesk.com/agent/tickets/253885" TargetMode="External"/><Relationship Id="rId410" Type="http://schemas.openxmlformats.org/officeDocument/2006/relationships/hyperlink" Target="https://4ammedia.zendesk.com/agent/tickets/149297" TargetMode="External"/><Relationship Id="rId531" Type="http://schemas.openxmlformats.org/officeDocument/2006/relationships/hyperlink" Target="https://4ammedia.zendesk.com/agent/tickets/252497" TargetMode="External"/><Relationship Id="rId530" Type="http://schemas.openxmlformats.org/officeDocument/2006/relationships/hyperlink" Target="https://4ammedia.zendesk.com/agent/tickets/252411" TargetMode="External"/><Relationship Id="rId206" Type="http://schemas.openxmlformats.org/officeDocument/2006/relationships/hyperlink" Target="https://horizondirect.gorgias.com/app/ticket/378838191" TargetMode="External"/><Relationship Id="rId327" Type="http://schemas.openxmlformats.org/officeDocument/2006/relationships/hyperlink" Target="https://horizondirect.gorgias.com/app/ticket/386057301" TargetMode="External"/><Relationship Id="rId448" Type="http://schemas.openxmlformats.org/officeDocument/2006/relationships/hyperlink" Target="https://4ammedia.zendesk.com/agent/tickets/175589" TargetMode="External"/><Relationship Id="rId205" Type="http://schemas.openxmlformats.org/officeDocument/2006/relationships/hyperlink" Target="https://horizondirect.gorgias.com/app/ticket/378857666" TargetMode="External"/><Relationship Id="rId326" Type="http://schemas.openxmlformats.org/officeDocument/2006/relationships/hyperlink" Target="https://horizondirect.gorgias.com/app/ticket/386054359" TargetMode="External"/><Relationship Id="rId447" Type="http://schemas.openxmlformats.org/officeDocument/2006/relationships/hyperlink" Target="https://4ammedia.zendesk.com/agent/tickets/174845" TargetMode="External"/><Relationship Id="rId204" Type="http://schemas.openxmlformats.org/officeDocument/2006/relationships/hyperlink" Target="https://horizondirect.gorgias.com/app/ticket/378548536" TargetMode="External"/><Relationship Id="rId325" Type="http://schemas.openxmlformats.org/officeDocument/2006/relationships/hyperlink" Target="https://horizondirect.gorgias.com/app/ticket/386042448" TargetMode="External"/><Relationship Id="rId446" Type="http://schemas.openxmlformats.org/officeDocument/2006/relationships/hyperlink" Target="https://4ammedia.zendesk.com/agent/tickets/174731" TargetMode="External"/><Relationship Id="rId203" Type="http://schemas.openxmlformats.org/officeDocument/2006/relationships/hyperlink" Target="https://horizondirect.gorgias.com/app/ticket/378542136" TargetMode="External"/><Relationship Id="rId324" Type="http://schemas.openxmlformats.org/officeDocument/2006/relationships/hyperlink" Target="https://horizondirect.gorgias.com/app/ticket/385753898" TargetMode="External"/><Relationship Id="rId445" Type="http://schemas.openxmlformats.org/officeDocument/2006/relationships/hyperlink" Target="https://4ammedia.zendesk.com/agent/tickets/174476" TargetMode="External"/><Relationship Id="rId209" Type="http://schemas.openxmlformats.org/officeDocument/2006/relationships/hyperlink" Target="https://horizondirect.gorgias.com/app/ticket/378977237" TargetMode="External"/><Relationship Id="rId208" Type="http://schemas.openxmlformats.org/officeDocument/2006/relationships/hyperlink" Target="https://horizondirect.gorgias.com/app/ticket/378962303" TargetMode="External"/><Relationship Id="rId329" Type="http://schemas.openxmlformats.org/officeDocument/2006/relationships/hyperlink" Target="https://horizondirect.gorgias.com/app/ticket/386203451" TargetMode="External"/><Relationship Id="rId207" Type="http://schemas.openxmlformats.org/officeDocument/2006/relationships/hyperlink" Target="https://horizondirect.gorgias.com/app/ticket/378852796" TargetMode="External"/><Relationship Id="rId328" Type="http://schemas.openxmlformats.org/officeDocument/2006/relationships/hyperlink" Target="https://horizondirect.gorgias.com/app/ticket/386194722" TargetMode="External"/><Relationship Id="rId449" Type="http://schemas.openxmlformats.org/officeDocument/2006/relationships/hyperlink" Target="https://4ammedia.zendesk.com/agent/tickets/175785" TargetMode="External"/><Relationship Id="rId440" Type="http://schemas.openxmlformats.org/officeDocument/2006/relationships/hyperlink" Target="https://4ammedia.zendesk.com/agent/tickets/171585" TargetMode="External"/><Relationship Id="rId202" Type="http://schemas.openxmlformats.org/officeDocument/2006/relationships/hyperlink" Target="https://horizondirect.gorgias.com/app/ticket/378521632" TargetMode="External"/><Relationship Id="rId323" Type="http://schemas.openxmlformats.org/officeDocument/2006/relationships/hyperlink" Target="https://horizondirect.gorgias.com/app/ticket/385766551" TargetMode="External"/><Relationship Id="rId444" Type="http://schemas.openxmlformats.org/officeDocument/2006/relationships/hyperlink" Target="https://4ammedia.zendesk.com/agent/tickets/173390" TargetMode="External"/><Relationship Id="rId201" Type="http://schemas.openxmlformats.org/officeDocument/2006/relationships/hyperlink" Target="https://horizondirect.gorgias.com/app/ticket/378410789" TargetMode="External"/><Relationship Id="rId322" Type="http://schemas.openxmlformats.org/officeDocument/2006/relationships/hyperlink" Target="https://horizondirect.gorgias.com/app/ticket/385770602" TargetMode="External"/><Relationship Id="rId443" Type="http://schemas.openxmlformats.org/officeDocument/2006/relationships/hyperlink" Target="https://4ammedia.zendesk.com/agent/tickets/173195" TargetMode="External"/><Relationship Id="rId200" Type="http://schemas.openxmlformats.org/officeDocument/2006/relationships/hyperlink" Target="https://horizondirect.gorgias.com/app/ticket/378401559" TargetMode="External"/><Relationship Id="rId321" Type="http://schemas.openxmlformats.org/officeDocument/2006/relationships/hyperlink" Target="https://horizondirect.gorgias.com/app/ticket/385613685" TargetMode="External"/><Relationship Id="rId442" Type="http://schemas.openxmlformats.org/officeDocument/2006/relationships/hyperlink" Target="https://4ammedia.zendesk.com/agent/tickets/172924" TargetMode="External"/><Relationship Id="rId320" Type="http://schemas.openxmlformats.org/officeDocument/2006/relationships/hyperlink" Target="https://horizondirect.gorgias.com/app/ticket/385598246" TargetMode="External"/><Relationship Id="rId441" Type="http://schemas.openxmlformats.org/officeDocument/2006/relationships/hyperlink" Target="https://4ammedia.zendesk.com/agent/tickets/171816" TargetMode="External"/><Relationship Id="rId316" Type="http://schemas.openxmlformats.org/officeDocument/2006/relationships/hyperlink" Target="https://horizondirect.gorgias.com/app/ticket/385449499" TargetMode="External"/><Relationship Id="rId437" Type="http://schemas.openxmlformats.org/officeDocument/2006/relationships/hyperlink" Target="https://4ammedia.zendesk.com/agent/tickets/169521" TargetMode="External"/><Relationship Id="rId315" Type="http://schemas.openxmlformats.org/officeDocument/2006/relationships/hyperlink" Target="https://horizondirect.gorgias.com/app/ticket/385323845" TargetMode="External"/><Relationship Id="rId436" Type="http://schemas.openxmlformats.org/officeDocument/2006/relationships/hyperlink" Target="https://4ammedia.zendesk.com/agent/tickets/169333" TargetMode="External"/><Relationship Id="rId314" Type="http://schemas.openxmlformats.org/officeDocument/2006/relationships/hyperlink" Target="https://horizondirect.gorgias.com/app/ticket/385308470" TargetMode="External"/><Relationship Id="rId435" Type="http://schemas.openxmlformats.org/officeDocument/2006/relationships/hyperlink" Target="https://4ammedia.zendesk.com/agent/tickets/165644" TargetMode="External"/><Relationship Id="rId313" Type="http://schemas.openxmlformats.org/officeDocument/2006/relationships/hyperlink" Target="https://horizondirect.gorgias.com/app/ticket/385287467" TargetMode="External"/><Relationship Id="rId434" Type="http://schemas.openxmlformats.org/officeDocument/2006/relationships/hyperlink" Target="https://4ammedia.zendesk.com/agent/tickets/165414" TargetMode="External"/><Relationship Id="rId319" Type="http://schemas.openxmlformats.org/officeDocument/2006/relationships/hyperlink" Target="https://horizondirect.gorgias.com/app/ticket/385593742" TargetMode="External"/><Relationship Id="rId318" Type="http://schemas.openxmlformats.org/officeDocument/2006/relationships/hyperlink" Target="https://horizondirect.gorgias.com/app/ticket/385467099" TargetMode="External"/><Relationship Id="rId439" Type="http://schemas.openxmlformats.org/officeDocument/2006/relationships/hyperlink" Target="https://4ammedia.zendesk.com/agent/tickets/171498" TargetMode="External"/><Relationship Id="rId317" Type="http://schemas.openxmlformats.org/officeDocument/2006/relationships/hyperlink" Target="https://horizondirect.gorgias.com/app/ticket/385462454" TargetMode="External"/><Relationship Id="rId438" Type="http://schemas.openxmlformats.org/officeDocument/2006/relationships/hyperlink" Target="https://4ammedia.zendesk.com/agent/tickets/169615" TargetMode="External"/><Relationship Id="rId550" Type="http://schemas.openxmlformats.org/officeDocument/2006/relationships/hyperlink" Target="https://4ammedia.zendesk.com/agent/tickets/271578" TargetMode="External"/><Relationship Id="rId312" Type="http://schemas.openxmlformats.org/officeDocument/2006/relationships/hyperlink" Target="https://horizondirect.gorgias.com/app/ticket/385170691" TargetMode="External"/><Relationship Id="rId433" Type="http://schemas.openxmlformats.org/officeDocument/2006/relationships/hyperlink" Target="https://4ammedia.zendesk.com/agent/tickets/165282" TargetMode="External"/><Relationship Id="rId311" Type="http://schemas.openxmlformats.org/officeDocument/2006/relationships/hyperlink" Target="https://horizondirect.gorgias.com/app/ticket/385155786" TargetMode="External"/><Relationship Id="rId432" Type="http://schemas.openxmlformats.org/officeDocument/2006/relationships/hyperlink" Target="https://4ammedia.zendesk.com/agent/tickets/164040" TargetMode="External"/><Relationship Id="rId553" Type="http://schemas.openxmlformats.org/officeDocument/2006/relationships/drawing" Target="../drawings/drawing7.xml"/><Relationship Id="rId310" Type="http://schemas.openxmlformats.org/officeDocument/2006/relationships/hyperlink" Target="https://horizondirect.gorgias.com/app/ticket/385140663" TargetMode="External"/><Relationship Id="rId431" Type="http://schemas.openxmlformats.org/officeDocument/2006/relationships/hyperlink" Target="https://4ammedia.zendesk.com/agent/tickets/163972" TargetMode="External"/><Relationship Id="rId552" Type="http://schemas.openxmlformats.org/officeDocument/2006/relationships/hyperlink" Target="https://4ammedia.zendesk.com/agent/tickets/271870" TargetMode="External"/><Relationship Id="rId430" Type="http://schemas.openxmlformats.org/officeDocument/2006/relationships/hyperlink" Target="https://4ammedia.zendesk.com/agent/tickets/163919" TargetMode="External"/><Relationship Id="rId551" Type="http://schemas.openxmlformats.org/officeDocument/2006/relationships/hyperlink" Target="https://4ammedia.zendesk.com/agent/tickets/271790"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horizondirect.gorgias.com/app/ticket/384082059" TargetMode="External"/><Relationship Id="rId194" Type="http://schemas.openxmlformats.org/officeDocument/2006/relationships/hyperlink" Target="https://horizondirect.gorgias.com/app/ticket/384568222" TargetMode="External"/><Relationship Id="rId193" Type="http://schemas.openxmlformats.org/officeDocument/2006/relationships/hyperlink" Target="https://horizondirect.gorgias.com/app/ticket/384566111" TargetMode="External"/><Relationship Id="rId192" Type="http://schemas.openxmlformats.org/officeDocument/2006/relationships/hyperlink" Target="https://horizondirect.gorgias.com/app/ticket/384098522" TargetMode="External"/><Relationship Id="rId191" Type="http://schemas.openxmlformats.org/officeDocument/2006/relationships/hyperlink" Target="https://horizondirect.gorgias.com/app/ticket/384096661" TargetMode="External"/><Relationship Id="rId187" Type="http://schemas.openxmlformats.org/officeDocument/2006/relationships/hyperlink" Target="https://horizondirect.gorgias.com/app/ticket/383974905" TargetMode="External"/><Relationship Id="rId186" Type="http://schemas.openxmlformats.org/officeDocument/2006/relationships/hyperlink" Target="https://horizondirect.gorgias.com/app/ticket/383857037" TargetMode="External"/><Relationship Id="rId185" Type="http://schemas.openxmlformats.org/officeDocument/2006/relationships/hyperlink" Target="https://horizondirect.gorgias.com/app/ticket/383850698" TargetMode="External"/><Relationship Id="rId184" Type="http://schemas.openxmlformats.org/officeDocument/2006/relationships/hyperlink" Target="https://horizondirect.gorgias.com/app/ticket/383838337" TargetMode="External"/><Relationship Id="rId189" Type="http://schemas.openxmlformats.org/officeDocument/2006/relationships/hyperlink" Target="https://horizondirect.gorgias.com/app/ticket/383987252" TargetMode="External"/><Relationship Id="rId188" Type="http://schemas.openxmlformats.org/officeDocument/2006/relationships/hyperlink" Target="https://horizondirect.gorgias.com/app/ticket/383978663" TargetMode="External"/><Relationship Id="rId183" Type="http://schemas.openxmlformats.org/officeDocument/2006/relationships/hyperlink" Target="https://horizondirect.gorgias.com/app/ticket/383730364" TargetMode="External"/><Relationship Id="rId182" Type="http://schemas.openxmlformats.org/officeDocument/2006/relationships/hyperlink" Target="https://horizondirect.gorgias.com/app/ticket/383724789" TargetMode="External"/><Relationship Id="rId181" Type="http://schemas.openxmlformats.org/officeDocument/2006/relationships/hyperlink" Target="https://horizondirect.gorgias.com/app/ticket/383695407" TargetMode="External"/><Relationship Id="rId180" Type="http://schemas.openxmlformats.org/officeDocument/2006/relationships/hyperlink" Target="https://horizondirect.gorgias.com/app/ticket/383452259" TargetMode="External"/><Relationship Id="rId176" Type="http://schemas.openxmlformats.org/officeDocument/2006/relationships/hyperlink" Target="https://horizondirect.gorgias.com/app/ticket/383234832" TargetMode="External"/><Relationship Id="rId297" Type="http://schemas.openxmlformats.org/officeDocument/2006/relationships/hyperlink" Target="https://assets.aircall.io/calls/3777800091/recording" TargetMode="External"/><Relationship Id="rId175" Type="http://schemas.openxmlformats.org/officeDocument/2006/relationships/hyperlink" Target="https://horizondirect.gorgias.com/app/ticket/383238762" TargetMode="External"/><Relationship Id="rId296" Type="http://schemas.openxmlformats.org/officeDocument/2006/relationships/hyperlink" Target="https://assets.aircall.io/calls/3777632135/recording" TargetMode="External"/><Relationship Id="rId174" Type="http://schemas.openxmlformats.org/officeDocument/2006/relationships/hyperlink" Target="https://horizondirect.gorgias.com/app/ticket/383134816" TargetMode="External"/><Relationship Id="rId295" Type="http://schemas.openxmlformats.org/officeDocument/2006/relationships/hyperlink" Target="https://assets.aircall.io/calls/3777567058/recording" TargetMode="External"/><Relationship Id="rId173" Type="http://schemas.openxmlformats.org/officeDocument/2006/relationships/hyperlink" Target="https://horizondirect.gorgias.com/app/ticket/383132812" TargetMode="External"/><Relationship Id="rId294" Type="http://schemas.openxmlformats.org/officeDocument/2006/relationships/hyperlink" Target="https://assets.aircall.io/calls/3772871595/recording" TargetMode="External"/><Relationship Id="rId179" Type="http://schemas.openxmlformats.org/officeDocument/2006/relationships/hyperlink" Target="https://horizondirect.gorgias.com/app/ticket/383431983" TargetMode="External"/><Relationship Id="rId178" Type="http://schemas.openxmlformats.org/officeDocument/2006/relationships/hyperlink" Target="https://horizondirect.gorgias.com/app/ticket/383414246" TargetMode="External"/><Relationship Id="rId299" Type="http://schemas.openxmlformats.org/officeDocument/2006/relationships/hyperlink" Target="https://assets.aircall.io/calls/3781369882/recording" TargetMode="External"/><Relationship Id="rId177" Type="http://schemas.openxmlformats.org/officeDocument/2006/relationships/hyperlink" Target="https://horizondirect.gorgias.com/app/ticket/383244538" TargetMode="External"/><Relationship Id="rId298" Type="http://schemas.openxmlformats.org/officeDocument/2006/relationships/hyperlink" Target="https://assets.aircall.io/calls/3781204295/recording" TargetMode="External"/><Relationship Id="rId198" Type="http://schemas.openxmlformats.org/officeDocument/2006/relationships/hyperlink" Target="https://horizondirect.gorgias.com/app/ticket/384742538" TargetMode="External"/><Relationship Id="rId197" Type="http://schemas.openxmlformats.org/officeDocument/2006/relationships/hyperlink" Target="https://horizondirect.gorgias.com/app/ticket/384728038" TargetMode="External"/><Relationship Id="rId196" Type="http://schemas.openxmlformats.org/officeDocument/2006/relationships/hyperlink" Target="https://horizondirect.gorgias.com/app/ticket/384713693" TargetMode="External"/><Relationship Id="rId195" Type="http://schemas.openxmlformats.org/officeDocument/2006/relationships/hyperlink" Target="https://horizondirect.gorgias.com/app/ticket/384611168" TargetMode="External"/><Relationship Id="rId199" Type="http://schemas.openxmlformats.org/officeDocument/2006/relationships/hyperlink" Target="https://horizondirect.gorgias.com/app/ticket/384833636" TargetMode="External"/><Relationship Id="rId150" Type="http://schemas.openxmlformats.org/officeDocument/2006/relationships/hyperlink" Target="https://horizondirect.gorgias.com/app/ticket/381495421" TargetMode="External"/><Relationship Id="rId271" Type="http://schemas.openxmlformats.org/officeDocument/2006/relationships/hyperlink" Target="https://assets.aircall.io/calls/3744332032/recording" TargetMode="External"/><Relationship Id="rId392" Type="http://schemas.openxmlformats.org/officeDocument/2006/relationships/hyperlink" Target="https://4ammedia.zendesk.com/agent/tickets/216110" TargetMode="External"/><Relationship Id="rId270" Type="http://schemas.openxmlformats.org/officeDocument/2006/relationships/hyperlink" Target="https://assets.aircall.io/calls/3740090826/recording" TargetMode="External"/><Relationship Id="rId391" Type="http://schemas.openxmlformats.org/officeDocument/2006/relationships/hyperlink" Target="https://4ammedia.zendesk.com/agent/tickets/215999" TargetMode="External"/><Relationship Id="rId390" Type="http://schemas.openxmlformats.org/officeDocument/2006/relationships/hyperlink" Target="https://4ammedia.zendesk.com/agent/tickets/211654" TargetMode="External"/><Relationship Id="rId1" Type="http://schemas.openxmlformats.org/officeDocument/2006/relationships/hyperlink" Target="https://horizondirect.gorgias.com/app/ticket/372817247" TargetMode="External"/><Relationship Id="rId2" Type="http://schemas.openxmlformats.org/officeDocument/2006/relationships/hyperlink" Target="https://horizondirect.gorgias.com/app/ticket/372841367" TargetMode="External"/><Relationship Id="rId3" Type="http://schemas.openxmlformats.org/officeDocument/2006/relationships/hyperlink" Target="https://horizondirect.gorgias.com/app/ticket/372840072" TargetMode="External"/><Relationship Id="rId149" Type="http://schemas.openxmlformats.org/officeDocument/2006/relationships/hyperlink" Target="https://horizondirect.gorgias.com/app/ticket/381468828" TargetMode="External"/><Relationship Id="rId4" Type="http://schemas.openxmlformats.org/officeDocument/2006/relationships/hyperlink" Target="https://horizondirect.gorgias.com/app/ticket/372939879" TargetMode="External"/><Relationship Id="rId148" Type="http://schemas.openxmlformats.org/officeDocument/2006/relationships/hyperlink" Target="https://horizondirect.gorgias.com/app/ticket/381459903" TargetMode="External"/><Relationship Id="rId269" Type="http://schemas.openxmlformats.org/officeDocument/2006/relationships/hyperlink" Target="https://assets.aircall.io/calls/3739942250/recording" TargetMode="External"/><Relationship Id="rId9" Type="http://schemas.openxmlformats.org/officeDocument/2006/relationships/hyperlink" Target="https://horizondirect.gorgias.com/app/ticket/373258193" TargetMode="External"/><Relationship Id="rId143" Type="http://schemas.openxmlformats.org/officeDocument/2006/relationships/hyperlink" Target="https://horizondirect.gorgias.com/app/ticket/381125155" TargetMode="External"/><Relationship Id="rId264" Type="http://schemas.openxmlformats.org/officeDocument/2006/relationships/hyperlink" Target="https://assets.aircall.io/calls/3735045876/recording" TargetMode="External"/><Relationship Id="rId385" Type="http://schemas.openxmlformats.org/officeDocument/2006/relationships/hyperlink" Target="https://4ammedia.zendesk.com/agent/tickets/209078" TargetMode="External"/><Relationship Id="rId142" Type="http://schemas.openxmlformats.org/officeDocument/2006/relationships/hyperlink" Target="https://horizondirect.gorgias.com/app/ticket/381117554" TargetMode="External"/><Relationship Id="rId263" Type="http://schemas.openxmlformats.org/officeDocument/2006/relationships/hyperlink" Target="https://assets.aircall.io/calls/3734912850/recording" TargetMode="External"/><Relationship Id="rId384" Type="http://schemas.openxmlformats.org/officeDocument/2006/relationships/hyperlink" Target="https://4ammedia.zendesk.com/agent/tickets/208265" TargetMode="External"/><Relationship Id="rId141" Type="http://schemas.openxmlformats.org/officeDocument/2006/relationships/hyperlink" Target="https://horizondirect.gorgias.com/app/ticket/380987410" TargetMode="External"/><Relationship Id="rId262" Type="http://schemas.openxmlformats.org/officeDocument/2006/relationships/hyperlink" Target="https://assets.aircall.io/calls/3734812223/recording" TargetMode="External"/><Relationship Id="rId383" Type="http://schemas.openxmlformats.org/officeDocument/2006/relationships/hyperlink" Target="https://4ammedia.zendesk.com/agent/tickets/208218" TargetMode="External"/><Relationship Id="rId140" Type="http://schemas.openxmlformats.org/officeDocument/2006/relationships/hyperlink" Target="https://horizondirect.gorgias.com/app/ticket/380980837" TargetMode="External"/><Relationship Id="rId261" Type="http://schemas.openxmlformats.org/officeDocument/2006/relationships/hyperlink" Target="https://assets.aircall.io/calls/3728735963/recording" TargetMode="External"/><Relationship Id="rId382" Type="http://schemas.openxmlformats.org/officeDocument/2006/relationships/hyperlink" Target="https://4ammedia.zendesk.com/agent/tickets/208152" TargetMode="External"/><Relationship Id="rId5" Type="http://schemas.openxmlformats.org/officeDocument/2006/relationships/hyperlink" Target="https://horizondirect.gorgias.com/app/ticket/372943850" TargetMode="External"/><Relationship Id="rId147" Type="http://schemas.openxmlformats.org/officeDocument/2006/relationships/hyperlink" Target="https://horizondirect.gorgias.com/app/ticket/381223380" TargetMode="External"/><Relationship Id="rId268" Type="http://schemas.openxmlformats.org/officeDocument/2006/relationships/hyperlink" Target="https://assets.aircall.io/calls/3739652212/recording" TargetMode="External"/><Relationship Id="rId389" Type="http://schemas.openxmlformats.org/officeDocument/2006/relationships/hyperlink" Target="https://4ammedia.zendesk.com/agent/tickets/211597" TargetMode="External"/><Relationship Id="rId6" Type="http://schemas.openxmlformats.org/officeDocument/2006/relationships/hyperlink" Target="https://horizondirect.gorgias.com/app/ticket/372944062" TargetMode="External"/><Relationship Id="rId146" Type="http://schemas.openxmlformats.org/officeDocument/2006/relationships/hyperlink" Target="https://horizondirect.gorgias.com/app/ticket/381215775" TargetMode="External"/><Relationship Id="rId267" Type="http://schemas.openxmlformats.org/officeDocument/2006/relationships/hyperlink" Target="https://assets.aircall.io/calls/3736015040/recording" TargetMode="External"/><Relationship Id="rId388" Type="http://schemas.openxmlformats.org/officeDocument/2006/relationships/hyperlink" Target="https://4ammedia.zendesk.com/agent/tickets/211474" TargetMode="External"/><Relationship Id="rId7" Type="http://schemas.openxmlformats.org/officeDocument/2006/relationships/hyperlink" Target="https://horizondirect.gorgias.com/app/ticket/373065821" TargetMode="External"/><Relationship Id="rId145" Type="http://schemas.openxmlformats.org/officeDocument/2006/relationships/hyperlink" Target="https://horizondirect.gorgias.com/app/ticket/381167771" TargetMode="External"/><Relationship Id="rId266" Type="http://schemas.openxmlformats.org/officeDocument/2006/relationships/hyperlink" Target="https://assets.aircall.io/calls/3735956782/recording" TargetMode="External"/><Relationship Id="rId387" Type="http://schemas.openxmlformats.org/officeDocument/2006/relationships/hyperlink" Target="https://4ammedia.zendesk.com/agent/tickets/209288" TargetMode="External"/><Relationship Id="rId8" Type="http://schemas.openxmlformats.org/officeDocument/2006/relationships/hyperlink" Target="https://horizondirect.gorgias.com/app/ticket/373076650" TargetMode="External"/><Relationship Id="rId144" Type="http://schemas.openxmlformats.org/officeDocument/2006/relationships/hyperlink" Target="https://horizondirect.gorgias.com/app/ticket/381125294" TargetMode="External"/><Relationship Id="rId265" Type="http://schemas.openxmlformats.org/officeDocument/2006/relationships/hyperlink" Target="https://assets.aircall.io/calls/3735902670/recording" TargetMode="External"/><Relationship Id="rId386" Type="http://schemas.openxmlformats.org/officeDocument/2006/relationships/hyperlink" Target="https://4ammedia.zendesk.com/agent/tickets/209156" TargetMode="External"/><Relationship Id="rId260" Type="http://schemas.openxmlformats.org/officeDocument/2006/relationships/hyperlink" Target="https://assets.aircall.io/calls/3728626514/recording" TargetMode="External"/><Relationship Id="rId381" Type="http://schemas.openxmlformats.org/officeDocument/2006/relationships/hyperlink" Target="https://4ammedia.zendesk.com/agent/tickets/206818" TargetMode="External"/><Relationship Id="rId380" Type="http://schemas.openxmlformats.org/officeDocument/2006/relationships/hyperlink" Target="https://4ammedia.zendesk.com/agent/tickets/206453" TargetMode="External"/><Relationship Id="rId139" Type="http://schemas.openxmlformats.org/officeDocument/2006/relationships/hyperlink" Target="https://horizondirect.gorgias.com/app/ticket/380973164" TargetMode="External"/><Relationship Id="rId138" Type="http://schemas.openxmlformats.org/officeDocument/2006/relationships/hyperlink" Target="https://horizondirect.gorgias.com/app/ticket/380883250" TargetMode="External"/><Relationship Id="rId259" Type="http://schemas.openxmlformats.org/officeDocument/2006/relationships/hyperlink" Target="https://assets.aircall.io/calls/3728505837/recording" TargetMode="External"/><Relationship Id="rId137" Type="http://schemas.openxmlformats.org/officeDocument/2006/relationships/hyperlink" Target="https://horizondirect.gorgias.com/app/ticket/380886329" TargetMode="External"/><Relationship Id="rId258" Type="http://schemas.openxmlformats.org/officeDocument/2006/relationships/hyperlink" Target="https://4ammedia.zendesk.com/agent/tickets/119981" TargetMode="External"/><Relationship Id="rId379" Type="http://schemas.openxmlformats.org/officeDocument/2006/relationships/hyperlink" Target="https://4ammedia.zendesk.com/agent/tickets/206361" TargetMode="External"/><Relationship Id="rId132" Type="http://schemas.openxmlformats.org/officeDocument/2006/relationships/hyperlink" Target="https://horizondirect.gorgias.com/app/ticket/380346765" TargetMode="External"/><Relationship Id="rId253" Type="http://schemas.openxmlformats.org/officeDocument/2006/relationships/hyperlink" Target="https://horizondirect.gorgias.com/app/ticket/387856678" TargetMode="External"/><Relationship Id="rId374" Type="http://schemas.openxmlformats.org/officeDocument/2006/relationships/hyperlink" Target="https://4ammedia.zendesk.com/agent/tickets/200661" TargetMode="External"/><Relationship Id="rId131" Type="http://schemas.openxmlformats.org/officeDocument/2006/relationships/hyperlink" Target="https://horizondirect.gorgias.com/app/ticket/380343174" TargetMode="External"/><Relationship Id="rId252" Type="http://schemas.openxmlformats.org/officeDocument/2006/relationships/hyperlink" Target="https://horizondirect.gorgias.com/app/ticket/387650866" TargetMode="External"/><Relationship Id="rId373" Type="http://schemas.openxmlformats.org/officeDocument/2006/relationships/hyperlink" Target="https://4ammedia.zendesk.com/agent/tickets/200009" TargetMode="External"/><Relationship Id="rId130" Type="http://schemas.openxmlformats.org/officeDocument/2006/relationships/hyperlink" Target="https://horizondirect.gorgias.com/app/ticket/380331131" TargetMode="External"/><Relationship Id="rId251" Type="http://schemas.openxmlformats.org/officeDocument/2006/relationships/hyperlink" Target="https://horizondirect.gorgias.com/app/ticket/387650866" TargetMode="External"/><Relationship Id="rId372" Type="http://schemas.openxmlformats.org/officeDocument/2006/relationships/hyperlink" Target="https://4ammedia.zendesk.com/agent/tickets/197509" TargetMode="External"/><Relationship Id="rId250" Type="http://schemas.openxmlformats.org/officeDocument/2006/relationships/hyperlink" Target="https://horizondirect.gorgias.com/app/ticket/387642098" TargetMode="External"/><Relationship Id="rId371" Type="http://schemas.openxmlformats.org/officeDocument/2006/relationships/hyperlink" Target="https://4ammedia.zendesk.com/agent/tickets/197495" TargetMode="External"/><Relationship Id="rId136" Type="http://schemas.openxmlformats.org/officeDocument/2006/relationships/hyperlink" Target="https://horizondirect.gorgias.com/app/ticket/380885090" TargetMode="External"/><Relationship Id="rId257" Type="http://schemas.openxmlformats.org/officeDocument/2006/relationships/hyperlink" Target="https://4ammedia.zendesk.com/agent/tickets/119981" TargetMode="External"/><Relationship Id="rId378" Type="http://schemas.openxmlformats.org/officeDocument/2006/relationships/hyperlink" Target="https://4ammedia.zendesk.com/agent/tickets/202657" TargetMode="External"/><Relationship Id="rId135" Type="http://schemas.openxmlformats.org/officeDocument/2006/relationships/hyperlink" Target="https://horizondirect.gorgias.com/app/ticket/380596521" TargetMode="External"/><Relationship Id="rId256" Type="http://schemas.openxmlformats.org/officeDocument/2006/relationships/hyperlink" Target="https://4ammedia.zendesk.com/agent/tickets/119981" TargetMode="External"/><Relationship Id="rId377" Type="http://schemas.openxmlformats.org/officeDocument/2006/relationships/hyperlink" Target="https://4ammedia.zendesk.com/agent/tickets/202278" TargetMode="External"/><Relationship Id="rId134" Type="http://schemas.openxmlformats.org/officeDocument/2006/relationships/hyperlink" Target="https://horizondirect.gorgias.com/app/ticket/380563594" TargetMode="External"/><Relationship Id="rId255" Type="http://schemas.openxmlformats.org/officeDocument/2006/relationships/hyperlink" Target="https://horizondirect.gorgias.com/app/ticket/387866711" TargetMode="External"/><Relationship Id="rId376" Type="http://schemas.openxmlformats.org/officeDocument/2006/relationships/hyperlink" Target="https://4ammedia.zendesk.com/agent/tickets/202134" TargetMode="External"/><Relationship Id="rId133" Type="http://schemas.openxmlformats.org/officeDocument/2006/relationships/hyperlink" Target="https://horizondirect.gorgias.com/app/ticket/380549197" TargetMode="External"/><Relationship Id="rId254" Type="http://schemas.openxmlformats.org/officeDocument/2006/relationships/hyperlink" Target="https://horizondirect.gorgias.com/app/ticket/387862349" TargetMode="External"/><Relationship Id="rId375" Type="http://schemas.openxmlformats.org/officeDocument/2006/relationships/hyperlink" Target="https://4ammedia.zendesk.com/agent/tickets/200807" TargetMode="External"/><Relationship Id="rId172" Type="http://schemas.openxmlformats.org/officeDocument/2006/relationships/hyperlink" Target="https://horizondirect.gorgias.com/app/ticket/383119965" TargetMode="External"/><Relationship Id="rId293" Type="http://schemas.openxmlformats.org/officeDocument/2006/relationships/hyperlink" Target="https://assets.aircall.io/calls/3772809138/recording" TargetMode="External"/><Relationship Id="rId171" Type="http://schemas.openxmlformats.org/officeDocument/2006/relationships/hyperlink" Target="https://horizondirect.gorgias.com/app/ticket/383025373" TargetMode="External"/><Relationship Id="rId292" Type="http://schemas.openxmlformats.org/officeDocument/2006/relationships/hyperlink" Target="https://assets.aircall.io/calls/3772403607/recording" TargetMode="External"/><Relationship Id="rId170" Type="http://schemas.openxmlformats.org/officeDocument/2006/relationships/hyperlink" Target="https://horizondirect.gorgias.com/app/ticket/383018562" TargetMode="External"/><Relationship Id="rId291" Type="http://schemas.openxmlformats.org/officeDocument/2006/relationships/hyperlink" Target="https://assets.aircall.io/calls/3770052371/recording" TargetMode="External"/><Relationship Id="rId290" Type="http://schemas.openxmlformats.org/officeDocument/2006/relationships/hyperlink" Target="https://assets.aircall.io/calls/3770017088/recording" TargetMode="External"/><Relationship Id="rId165" Type="http://schemas.openxmlformats.org/officeDocument/2006/relationships/hyperlink" Target="https://horizondirect.gorgias.com/app/ticket/382565600" TargetMode="External"/><Relationship Id="rId286" Type="http://schemas.openxmlformats.org/officeDocument/2006/relationships/hyperlink" Target="https://assets.aircall.io/calls/3765790410/recording" TargetMode="External"/><Relationship Id="rId164" Type="http://schemas.openxmlformats.org/officeDocument/2006/relationships/hyperlink" Target="https://horizondirect.gorgias.com/app/ticket/382555853" TargetMode="External"/><Relationship Id="rId285" Type="http://schemas.openxmlformats.org/officeDocument/2006/relationships/hyperlink" Target="https://assets.aircall.io/calls/3761421327/recording" TargetMode="External"/><Relationship Id="rId163" Type="http://schemas.openxmlformats.org/officeDocument/2006/relationships/hyperlink" Target="https://horizondirect.gorgias.com/app/ticket/382536616" TargetMode="External"/><Relationship Id="rId284" Type="http://schemas.openxmlformats.org/officeDocument/2006/relationships/hyperlink" Target="https://assets.aircall.io/calls/3761313214/recording" TargetMode="External"/><Relationship Id="rId162" Type="http://schemas.openxmlformats.org/officeDocument/2006/relationships/hyperlink" Target="https://horizondirect.gorgias.com/app/ticket/382298102" TargetMode="External"/><Relationship Id="rId283" Type="http://schemas.openxmlformats.org/officeDocument/2006/relationships/hyperlink" Target="https://assets.aircall.io/calls/3761037415/recording" TargetMode="External"/><Relationship Id="rId169" Type="http://schemas.openxmlformats.org/officeDocument/2006/relationships/hyperlink" Target="https://horizondirect.gorgias.com/app/ticket/382993655" TargetMode="External"/><Relationship Id="rId168" Type="http://schemas.openxmlformats.org/officeDocument/2006/relationships/hyperlink" Target="https://horizondirect.gorgias.com/app/ticket/382864985" TargetMode="External"/><Relationship Id="rId289" Type="http://schemas.openxmlformats.org/officeDocument/2006/relationships/hyperlink" Target="https://assets.aircall.io/calls/3769446807/recording" TargetMode="External"/><Relationship Id="rId167" Type="http://schemas.openxmlformats.org/officeDocument/2006/relationships/hyperlink" Target="https://horizondirect.gorgias.com/app/ticket/382850428" TargetMode="External"/><Relationship Id="rId288" Type="http://schemas.openxmlformats.org/officeDocument/2006/relationships/hyperlink" Target="https://assets.aircall.io/calls/3766048324/recording" TargetMode="External"/><Relationship Id="rId166" Type="http://schemas.openxmlformats.org/officeDocument/2006/relationships/hyperlink" Target="https://horizondirect.gorgias.com/app/ticket/382836329" TargetMode="External"/><Relationship Id="rId287" Type="http://schemas.openxmlformats.org/officeDocument/2006/relationships/hyperlink" Target="https://assets.aircall.io/calls/3765955907/recording" TargetMode="External"/><Relationship Id="rId161" Type="http://schemas.openxmlformats.org/officeDocument/2006/relationships/hyperlink" Target="https://horizondirect.gorgias.com/app/ticket/382293780" TargetMode="External"/><Relationship Id="rId282" Type="http://schemas.openxmlformats.org/officeDocument/2006/relationships/hyperlink" Target="https://assets.aircall.io/calls/3756716633/recording" TargetMode="External"/><Relationship Id="rId160" Type="http://schemas.openxmlformats.org/officeDocument/2006/relationships/hyperlink" Target="https://horizondirect.gorgias.com/app/ticket/382280930" TargetMode="External"/><Relationship Id="rId281" Type="http://schemas.openxmlformats.org/officeDocument/2006/relationships/hyperlink" Target="https://assets.aircall.io/calls/3756758925/recording" TargetMode="External"/><Relationship Id="rId280" Type="http://schemas.openxmlformats.org/officeDocument/2006/relationships/hyperlink" Target="https://assets.aircall.io/calls/3756716633/recording" TargetMode="External"/><Relationship Id="rId159" Type="http://schemas.openxmlformats.org/officeDocument/2006/relationships/hyperlink" Target="https://horizondirect.gorgias.com/app/ticket/382225899" TargetMode="External"/><Relationship Id="rId154" Type="http://schemas.openxmlformats.org/officeDocument/2006/relationships/hyperlink" Target="https://horizondirect.gorgias.com/app/ticket/381918768" TargetMode="External"/><Relationship Id="rId275" Type="http://schemas.openxmlformats.org/officeDocument/2006/relationships/hyperlink" Target="https://assets.aircall.io/calls/3753056408/recording" TargetMode="External"/><Relationship Id="rId396" Type="http://schemas.openxmlformats.org/officeDocument/2006/relationships/hyperlink" Target="https://4ammedia.zendesk.com/agent/tickets/217793" TargetMode="External"/><Relationship Id="rId153" Type="http://schemas.openxmlformats.org/officeDocument/2006/relationships/hyperlink" Target="https://horizondirect.gorgias.com/app/ticket/381785937" TargetMode="External"/><Relationship Id="rId274" Type="http://schemas.openxmlformats.org/officeDocument/2006/relationships/hyperlink" Target="https://assets.aircall.io/calls/3752930565/recording" TargetMode="External"/><Relationship Id="rId395" Type="http://schemas.openxmlformats.org/officeDocument/2006/relationships/hyperlink" Target="https://4ammedia.zendesk.com/agent/tickets/217592" TargetMode="External"/><Relationship Id="rId152" Type="http://schemas.openxmlformats.org/officeDocument/2006/relationships/hyperlink" Target="https://horizondirect.gorgias.com/app/ticket/381769610" TargetMode="External"/><Relationship Id="rId273" Type="http://schemas.openxmlformats.org/officeDocument/2006/relationships/hyperlink" Target="https://assets.aircall.io/calls/3744591033/recording" TargetMode="External"/><Relationship Id="rId394" Type="http://schemas.openxmlformats.org/officeDocument/2006/relationships/hyperlink" Target="https://4ammedia.zendesk.com/agent/tickets/217533" TargetMode="External"/><Relationship Id="rId151" Type="http://schemas.openxmlformats.org/officeDocument/2006/relationships/hyperlink" Target="https://horizondirect.gorgias.com/app/ticket/381755418" TargetMode="External"/><Relationship Id="rId272" Type="http://schemas.openxmlformats.org/officeDocument/2006/relationships/hyperlink" Target="https://assets.aircall.io/calls/3744423184/recording" TargetMode="External"/><Relationship Id="rId393" Type="http://schemas.openxmlformats.org/officeDocument/2006/relationships/hyperlink" Target="https://4ammedia.zendesk.com/agent/tickets/216123" TargetMode="External"/><Relationship Id="rId158" Type="http://schemas.openxmlformats.org/officeDocument/2006/relationships/hyperlink" Target="https://horizondirect.gorgias.com/app/ticket/382210037" TargetMode="External"/><Relationship Id="rId279" Type="http://schemas.openxmlformats.org/officeDocument/2006/relationships/hyperlink" Target="https://assets.aircall.io/calls/3755418021/recording" TargetMode="External"/><Relationship Id="rId157" Type="http://schemas.openxmlformats.org/officeDocument/2006/relationships/hyperlink" Target="https://horizondirect.gorgias.com/app/ticket/382196058" TargetMode="External"/><Relationship Id="rId278" Type="http://schemas.openxmlformats.org/officeDocument/2006/relationships/hyperlink" Target="https://assets.aircall.io/calls/3755398976/recording" TargetMode="External"/><Relationship Id="rId399" Type="http://schemas.openxmlformats.org/officeDocument/2006/relationships/hyperlink" Target="https://4ammedia.zendesk.com/agent/tickets/219641" TargetMode="External"/><Relationship Id="rId156" Type="http://schemas.openxmlformats.org/officeDocument/2006/relationships/hyperlink" Target="https://horizondirect.gorgias.com/app/ticket/381935428" TargetMode="External"/><Relationship Id="rId277" Type="http://schemas.openxmlformats.org/officeDocument/2006/relationships/hyperlink" Target="https://assets.aircall.io/calls/3755369146/recording" TargetMode="External"/><Relationship Id="rId398" Type="http://schemas.openxmlformats.org/officeDocument/2006/relationships/hyperlink" Target="https://4ammedia.zendesk.com/agent/tickets/219629" TargetMode="External"/><Relationship Id="rId155" Type="http://schemas.openxmlformats.org/officeDocument/2006/relationships/hyperlink" Target="https://horizondirect.gorgias.com/app/ticket/381925969" TargetMode="External"/><Relationship Id="rId276" Type="http://schemas.openxmlformats.org/officeDocument/2006/relationships/hyperlink" Target="https://assets.aircall.io/calls/3753088414/recording" TargetMode="External"/><Relationship Id="rId397" Type="http://schemas.openxmlformats.org/officeDocument/2006/relationships/hyperlink" Target="https://4ammedia.zendesk.com/agent/tickets/219550" TargetMode="External"/><Relationship Id="rId40" Type="http://schemas.openxmlformats.org/officeDocument/2006/relationships/hyperlink" Target="https://horizondirect.gorgias.com/app/ticket/375065017" TargetMode="External"/><Relationship Id="rId42" Type="http://schemas.openxmlformats.org/officeDocument/2006/relationships/hyperlink" Target="https://horizondirect.gorgias.com/app/ticket/375083846" TargetMode="External"/><Relationship Id="rId41" Type="http://schemas.openxmlformats.org/officeDocument/2006/relationships/hyperlink" Target="https://horizondirect.gorgias.com/app/ticket/375055484" TargetMode="External"/><Relationship Id="rId44" Type="http://schemas.openxmlformats.org/officeDocument/2006/relationships/hyperlink" Target="https://horizondirect.gorgias.com/app/ticket/375318227" TargetMode="External"/><Relationship Id="rId43" Type="http://schemas.openxmlformats.org/officeDocument/2006/relationships/hyperlink" Target="https://horizondirect.gorgias.com/app/ticket/375315828" TargetMode="External"/><Relationship Id="rId46" Type="http://schemas.openxmlformats.org/officeDocument/2006/relationships/hyperlink" Target="https://horizondirect.gorgias.com/app/ticket/375552940" TargetMode="External"/><Relationship Id="rId45" Type="http://schemas.openxmlformats.org/officeDocument/2006/relationships/hyperlink" Target="https://horizondirect.gorgias.com/app/ticket/375322164" TargetMode="External"/><Relationship Id="rId48" Type="http://schemas.openxmlformats.org/officeDocument/2006/relationships/hyperlink" Target="https://horizondirect.gorgias.com/app/ticket/375600657" TargetMode="External"/><Relationship Id="rId47" Type="http://schemas.openxmlformats.org/officeDocument/2006/relationships/hyperlink" Target="https://horizondirect.gorgias.com/app/ticket/375572060" TargetMode="External"/><Relationship Id="rId49" Type="http://schemas.openxmlformats.org/officeDocument/2006/relationships/hyperlink" Target="https://horizondirect.gorgias.com/app/ticket/375679797" TargetMode="External"/><Relationship Id="rId31" Type="http://schemas.openxmlformats.org/officeDocument/2006/relationships/hyperlink" Target="https://horizondirect.gorgias.com/app/ticket/374685431" TargetMode="External"/><Relationship Id="rId30" Type="http://schemas.openxmlformats.org/officeDocument/2006/relationships/hyperlink" Target="https://horizondirect.gorgias.com/app/ticket/374452139" TargetMode="External"/><Relationship Id="rId33" Type="http://schemas.openxmlformats.org/officeDocument/2006/relationships/hyperlink" Target="https://horizondirect.gorgias.com/app/ticket/374721971" TargetMode="External"/><Relationship Id="rId32" Type="http://schemas.openxmlformats.org/officeDocument/2006/relationships/hyperlink" Target="https://horizondirect.gorgias.com/app/ticket/374695493" TargetMode="External"/><Relationship Id="rId35" Type="http://schemas.openxmlformats.org/officeDocument/2006/relationships/hyperlink" Target="https://horizondirect.gorgias.com/app/ticket/374852000" TargetMode="External"/><Relationship Id="rId34" Type="http://schemas.openxmlformats.org/officeDocument/2006/relationships/hyperlink" Target="https://horizondirect.gorgias.com/app/ticket/374833822" TargetMode="External"/><Relationship Id="rId37" Type="http://schemas.openxmlformats.org/officeDocument/2006/relationships/hyperlink" Target="https://horizondirect.gorgias.com/app/ticket/374973490" TargetMode="External"/><Relationship Id="rId36" Type="http://schemas.openxmlformats.org/officeDocument/2006/relationships/hyperlink" Target="https://horizondirect.gorgias.com/app/ticket/374864450" TargetMode="External"/><Relationship Id="rId39" Type="http://schemas.openxmlformats.org/officeDocument/2006/relationships/hyperlink" Target="https://horizondirect.gorgias.com/app/ticket/374994237" TargetMode="External"/><Relationship Id="rId38" Type="http://schemas.openxmlformats.org/officeDocument/2006/relationships/hyperlink" Target="https://horizondirect.gorgias.com/app/ticket/374986067" TargetMode="External"/><Relationship Id="rId20" Type="http://schemas.openxmlformats.org/officeDocument/2006/relationships/hyperlink" Target="https://horizondirect.gorgias.com/app/ticket/373971247" TargetMode="External"/><Relationship Id="rId22" Type="http://schemas.openxmlformats.org/officeDocument/2006/relationships/hyperlink" Target="https://horizondirect.gorgias.com/app/ticket/374068798" TargetMode="External"/><Relationship Id="rId21" Type="http://schemas.openxmlformats.org/officeDocument/2006/relationships/hyperlink" Target="https://horizondirect.gorgias.com/app/ticket/373976407" TargetMode="External"/><Relationship Id="rId24" Type="http://schemas.openxmlformats.org/officeDocument/2006/relationships/hyperlink" Target="https://horizondirect.gorgias.com/app/ticket/374097420" TargetMode="External"/><Relationship Id="rId23" Type="http://schemas.openxmlformats.org/officeDocument/2006/relationships/hyperlink" Target="https://horizondirect.gorgias.com/app/ticket/374088261" TargetMode="External"/><Relationship Id="rId409" Type="http://schemas.openxmlformats.org/officeDocument/2006/relationships/hyperlink" Target="https://4ammedia.zendesk.com/agent/tickets/229944" TargetMode="External"/><Relationship Id="rId404" Type="http://schemas.openxmlformats.org/officeDocument/2006/relationships/hyperlink" Target="https://4ammedia.zendesk.com/agent/tickets/224395" TargetMode="External"/><Relationship Id="rId403" Type="http://schemas.openxmlformats.org/officeDocument/2006/relationships/hyperlink" Target="https://4ammedia.zendesk.com/agent/tickets/224171" TargetMode="External"/><Relationship Id="rId402" Type="http://schemas.openxmlformats.org/officeDocument/2006/relationships/hyperlink" Target="https://4ammedia.zendesk.com/agent/tickets/221166" TargetMode="External"/><Relationship Id="rId401" Type="http://schemas.openxmlformats.org/officeDocument/2006/relationships/hyperlink" Target="https://4ammedia.zendesk.com/agent/tickets/221019" TargetMode="External"/><Relationship Id="rId408" Type="http://schemas.openxmlformats.org/officeDocument/2006/relationships/hyperlink" Target="https://4ammedia.zendesk.com/agent/tickets/226976" TargetMode="External"/><Relationship Id="rId407" Type="http://schemas.openxmlformats.org/officeDocument/2006/relationships/hyperlink" Target="https://4ammedia.zendesk.com/agent/tickets/226958" TargetMode="External"/><Relationship Id="rId406" Type="http://schemas.openxmlformats.org/officeDocument/2006/relationships/hyperlink" Target="https://4ammedia.zendesk.com/agent/tickets/226879" TargetMode="External"/><Relationship Id="rId405" Type="http://schemas.openxmlformats.org/officeDocument/2006/relationships/hyperlink" Target="https://4ammedia.zendesk.com/agent/tickets/224688" TargetMode="External"/><Relationship Id="rId26" Type="http://schemas.openxmlformats.org/officeDocument/2006/relationships/hyperlink" Target="https://horizondirect.gorgias.com/app/ticket/374199429" TargetMode="External"/><Relationship Id="rId25" Type="http://schemas.openxmlformats.org/officeDocument/2006/relationships/hyperlink" Target="https://horizondirect.gorgias.com/app/ticket/374191068" TargetMode="External"/><Relationship Id="rId28" Type="http://schemas.openxmlformats.org/officeDocument/2006/relationships/hyperlink" Target="https://horizondirect.gorgias.com/app/ticket/374444277" TargetMode="External"/><Relationship Id="rId27" Type="http://schemas.openxmlformats.org/officeDocument/2006/relationships/hyperlink" Target="https://horizondirect.gorgias.com/app/ticket/374203235" TargetMode="External"/><Relationship Id="rId400" Type="http://schemas.openxmlformats.org/officeDocument/2006/relationships/hyperlink" Target="https://4ammedia.zendesk.com/agent/tickets/220869" TargetMode="External"/><Relationship Id="rId29" Type="http://schemas.openxmlformats.org/officeDocument/2006/relationships/hyperlink" Target="https://horizondirect.gorgias.com/app/ticket/374447498" TargetMode="External"/><Relationship Id="rId11" Type="http://schemas.openxmlformats.org/officeDocument/2006/relationships/hyperlink" Target="https://horizondirect.gorgias.com/app/ticket/373287906" TargetMode="External"/><Relationship Id="rId10" Type="http://schemas.openxmlformats.org/officeDocument/2006/relationships/hyperlink" Target="https://horizondirect.gorgias.com/app/ticket/373273396" TargetMode="External"/><Relationship Id="rId13" Type="http://schemas.openxmlformats.org/officeDocument/2006/relationships/hyperlink" Target="https://horizondirect.gorgias.com/app/ticket/373366122" TargetMode="External"/><Relationship Id="rId12" Type="http://schemas.openxmlformats.org/officeDocument/2006/relationships/hyperlink" Target="https://horizondirect.gorgias.com/app/ticket/373296799" TargetMode="External"/><Relationship Id="rId15" Type="http://schemas.openxmlformats.org/officeDocument/2006/relationships/hyperlink" Target="https://horizondirect.gorgias.com/app/ticket/373375070" TargetMode="External"/><Relationship Id="rId14" Type="http://schemas.openxmlformats.org/officeDocument/2006/relationships/hyperlink" Target="https://horizondirect.gorgias.com/app/ticket/373369440" TargetMode="External"/><Relationship Id="rId17" Type="http://schemas.openxmlformats.org/officeDocument/2006/relationships/hyperlink" Target="https://horizondirect.gorgias.com/app/ticket/373807464" TargetMode="External"/><Relationship Id="rId16" Type="http://schemas.openxmlformats.org/officeDocument/2006/relationships/hyperlink" Target="https://horizondirect.gorgias.com/app/ticket/373793885" TargetMode="External"/><Relationship Id="rId19" Type="http://schemas.openxmlformats.org/officeDocument/2006/relationships/hyperlink" Target="https://horizondirect.gorgias.com/app/ticket/373936392" TargetMode="External"/><Relationship Id="rId18" Type="http://schemas.openxmlformats.org/officeDocument/2006/relationships/hyperlink" Target="https://horizondirect.gorgias.com/app/ticket/373816305" TargetMode="External"/><Relationship Id="rId84" Type="http://schemas.openxmlformats.org/officeDocument/2006/relationships/hyperlink" Target="https://horizondirect.gorgias.com/app/ticket/377659582" TargetMode="External"/><Relationship Id="rId83" Type="http://schemas.openxmlformats.org/officeDocument/2006/relationships/hyperlink" Target="https://horizondirect.gorgias.com/app/ticket/377647783" TargetMode="External"/><Relationship Id="rId86" Type="http://schemas.openxmlformats.org/officeDocument/2006/relationships/hyperlink" Target="https://horizondirect.gorgias.com/app/ticket/377743159" TargetMode="External"/><Relationship Id="rId85" Type="http://schemas.openxmlformats.org/officeDocument/2006/relationships/hyperlink" Target="https://horizondirect.gorgias.com/app/ticket/377757391" TargetMode="External"/><Relationship Id="rId88" Type="http://schemas.openxmlformats.org/officeDocument/2006/relationships/hyperlink" Target="https://horizondirect.gorgias.com/app/ticket/377919410" TargetMode="External"/><Relationship Id="rId87" Type="http://schemas.openxmlformats.org/officeDocument/2006/relationships/hyperlink" Target="https://horizondirect.gorgias.com/app/ticket/377745243" TargetMode="External"/><Relationship Id="rId89" Type="http://schemas.openxmlformats.org/officeDocument/2006/relationships/hyperlink" Target="https://horizondirect.gorgias.com/app/ticket/377938791" TargetMode="External"/><Relationship Id="rId80" Type="http://schemas.openxmlformats.org/officeDocument/2006/relationships/hyperlink" Target="https://horizondirect.gorgias.com/app/views/187992/377519946" TargetMode="External"/><Relationship Id="rId82" Type="http://schemas.openxmlformats.org/officeDocument/2006/relationships/hyperlink" Target="https://horizondirect.gorgias.com/app/ticket/377637544" TargetMode="External"/><Relationship Id="rId81" Type="http://schemas.openxmlformats.org/officeDocument/2006/relationships/hyperlink" Target="https://horizondirect.gorgias.com/app/views/187992/377523751" TargetMode="External"/><Relationship Id="rId73" Type="http://schemas.openxmlformats.org/officeDocument/2006/relationships/hyperlink" Target="https://horizondirect.gorgias.com/app/ticket/377017272" TargetMode="External"/><Relationship Id="rId72" Type="http://schemas.openxmlformats.org/officeDocument/2006/relationships/hyperlink" Target="https://horizondirect.gorgias.com/app/ticket/376814575" TargetMode="External"/><Relationship Id="rId75" Type="http://schemas.openxmlformats.org/officeDocument/2006/relationships/hyperlink" Target="https://horizondirect.gorgias.com/app/ticket/377025035" TargetMode="External"/><Relationship Id="rId74" Type="http://schemas.openxmlformats.org/officeDocument/2006/relationships/hyperlink" Target="https://horizondirect.gorgias.com/app/ticket/377022793" TargetMode="External"/><Relationship Id="rId77" Type="http://schemas.openxmlformats.org/officeDocument/2006/relationships/hyperlink" Target="https://horizondirect.gorgias.com/app/views/187992/377340882" TargetMode="External"/><Relationship Id="rId76" Type="http://schemas.openxmlformats.org/officeDocument/2006/relationships/hyperlink" Target="https://horizondirect.gorgias.com/app/views/187992/377328835" TargetMode="External"/><Relationship Id="rId79" Type="http://schemas.openxmlformats.org/officeDocument/2006/relationships/hyperlink" Target="https://horizondirect.gorgias.com/app/views/187992/377502551" TargetMode="External"/><Relationship Id="rId78" Type="http://schemas.openxmlformats.org/officeDocument/2006/relationships/hyperlink" Target="https://horizondirect.gorgias.com/app/views/187992/377362528" TargetMode="External"/><Relationship Id="rId71" Type="http://schemas.openxmlformats.org/officeDocument/2006/relationships/hyperlink" Target="https://horizondirect.gorgias.com/app/ticket/376810679" TargetMode="External"/><Relationship Id="rId70" Type="http://schemas.openxmlformats.org/officeDocument/2006/relationships/hyperlink" Target="https://horizondirect.gorgias.com/app/ticket/376804541" TargetMode="External"/><Relationship Id="rId62" Type="http://schemas.openxmlformats.org/officeDocument/2006/relationships/hyperlink" Target="https://horizondirect.gorgias.com/app/ticket/376442201" TargetMode="External"/><Relationship Id="rId61" Type="http://schemas.openxmlformats.org/officeDocument/2006/relationships/hyperlink" Target="https://horizondirect.gorgias.com/app/ticket/376413213" TargetMode="External"/><Relationship Id="rId64" Type="http://schemas.openxmlformats.org/officeDocument/2006/relationships/hyperlink" Target="https://horizondirect.gorgias.com/app/ticket/376555963" TargetMode="External"/><Relationship Id="rId63" Type="http://schemas.openxmlformats.org/officeDocument/2006/relationships/hyperlink" Target="https://horizondirect.gorgias.com/app/ticket/376454329" TargetMode="External"/><Relationship Id="rId66" Type="http://schemas.openxmlformats.org/officeDocument/2006/relationships/hyperlink" Target="https://horizondirect.gorgias.com/app/ticket/376604754" TargetMode="External"/><Relationship Id="rId65" Type="http://schemas.openxmlformats.org/officeDocument/2006/relationships/hyperlink" Target="https://horizondirect.gorgias.com/app/ticket/376582117" TargetMode="External"/><Relationship Id="rId68" Type="http://schemas.openxmlformats.org/officeDocument/2006/relationships/hyperlink" Target="https://horizondirect.gorgias.com/app/ticket/376710128" TargetMode="External"/><Relationship Id="rId67" Type="http://schemas.openxmlformats.org/officeDocument/2006/relationships/hyperlink" Target="https://horizondirect.gorgias.com/app/ticket/376706218" TargetMode="External"/><Relationship Id="rId60" Type="http://schemas.openxmlformats.org/officeDocument/2006/relationships/hyperlink" Target="https://horizondirect.gorgias.com/app/ticket/376169910" TargetMode="External"/><Relationship Id="rId69" Type="http://schemas.openxmlformats.org/officeDocument/2006/relationships/hyperlink" Target="https://horizondirect.gorgias.com/app/ticket/376719555" TargetMode="External"/><Relationship Id="rId51" Type="http://schemas.openxmlformats.org/officeDocument/2006/relationships/hyperlink" Target="https://horizondirect.gorgias.com/app/ticket/375713128" TargetMode="External"/><Relationship Id="rId50" Type="http://schemas.openxmlformats.org/officeDocument/2006/relationships/hyperlink" Target="https://horizondirect.gorgias.com/app/ticket/375693786" TargetMode="External"/><Relationship Id="rId53" Type="http://schemas.openxmlformats.org/officeDocument/2006/relationships/hyperlink" Target="https://horizondirect.gorgias.com/app/ticket/375864517" TargetMode="External"/><Relationship Id="rId52" Type="http://schemas.openxmlformats.org/officeDocument/2006/relationships/hyperlink" Target="https://horizondirect.gorgias.com/app/ticket/375859661" TargetMode="External"/><Relationship Id="rId55" Type="http://schemas.openxmlformats.org/officeDocument/2006/relationships/hyperlink" Target="https://horizondirect.gorgias.com/app/ticket/375939477" TargetMode="External"/><Relationship Id="rId54" Type="http://schemas.openxmlformats.org/officeDocument/2006/relationships/hyperlink" Target="https://horizondirect.gorgias.com/app/ticket/375865210" TargetMode="External"/><Relationship Id="rId57" Type="http://schemas.openxmlformats.org/officeDocument/2006/relationships/hyperlink" Target="https://horizondirect.gorgias.com/app/ticket/375953098" TargetMode="External"/><Relationship Id="rId56" Type="http://schemas.openxmlformats.org/officeDocument/2006/relationships/hyperlink" Target="https://horizondirect.gorgias.com/app/ticket/375948150" TargetMode="External"/><Relationship Id="rId59" Type="http://schemas.openxmlformats.org/officeDocument/2006/relationships/hyperlink" Target="https://horizondirect.gorgias.com/app/ticket/376154520" TargetMode="External"/><Relationship Id="rId58" Type="http://schemas.openxmlformats.org/officeDocument/2006/relationships/hyperlink" Target="https://horizondirect.gorgias.com/app/ticket/376125636" TargetMode="External"/><Relationship Id="rId107" Type="http://schemas.openxmlformats.org/officeDocument/2006/relationships/hyperlink" Target="https://horizondirect.gorgias.com/app/ticket/379121959" TargetMode="External"/><Relationship Id="rId228" Type="http://schemas.openxmlformats.org/officeDocument/2006/relationships/hyperlink" Target="https://horizondirect.gorgias.com/app/ticket/386238286" TargetMode="External"/><Relationship Id="rId349" Type="http://schemas.openxmlformats.org/officeDocument/2006/relationships/hyperlink" Target="https://4ammedia.zendesk.com/agent/tickets/174414" TargetMode="External"/><Relationship Id="rId106" Type="http://schemas.openxmlformats.org/officeDocument/2006/relationships/hyperlink" Target="https://horizondirect.gorgias.com/app/ticket/379110270" TargetMode="External"/><Relationship Id="rId227" Type="http://schemas.openxmlformats.org/officeDocument/2006/relationships/hyperlink" Target="https://horizondirect.gorgias.com/app/ticket/386236185" TargetMode="External"/><Relationship Id="rId348" Type="http://schemas.openxmlformats.org/officeDocument/2006/relationships/hyperlink" Target="https://4ammedia.zendesk.com/agent/tickets/171832" TargetMode="External"/><Relationship Id="rId105" Type="http://schemas.openxmlformats.org/officeDocument/2006/relationships/hyperlink" Target="https://horizondirect.gorgias.com/app/ticket/378857905" TargetMode="External"/><Relationship Id="rId226" Type="http://schemas.openxmlformats.org/officeDocument/2006/relationships/hyperlink" Target="https://horizondirect.gorgias.com/app/ticket/386235088" TargetMode="External"/><Relationship Id="rId347" Type="http://schemas.openxmlformats.org/officeDocument/2006/relationships/hyperlink" Target="https://4ammedia.zendesk.com/agent/tickets/171793" TargetMode="External"/><Relationship Id="rId104" Type="http://schemas.openxmlformats.org/officeDocument/2006/relationships/hyperlink" Target="https://horizondirect.gorgias.com/app/ticket/378834355" TargetMode="External"/><Relationship Id="rId225" Type="http://schemas.openxmlformats.org/officeDocument/2006/relationships/hyperlink" Target="https://horizondirect.gorgias.com/app/ticket/386072148" TargetMode="External"/><Relationship Id="rId346" Type="http://schemas.openxmlformats.org/officeDocument/2006/relationships/hyperlink" Target="https://4ammedia.zendesk.com/agent/tickets/171452" TargetMode="External"/><Relationship Id="rId109" Type="http://schemas.openxmlformats.org/officeDocument/2006/relationships/hyperlink" Target="https://horizondirect.gorgias.com/app/ticket/379257504" TargetMode="External"/><Relationship Id="rId108" Type="http://schemas.openxmlformats.org/officeDocument/2006/relationships/hyperlink" Target="https://horizondirect.gorgias.com/app/ticket/379123901" TargetMode="External"/><Relationship Id="rId229" Type="http://schemas.openxmlformats.org/officeDocument/2006/relationships/hyperlink" Target="https://horizondirect.gorgias.com/app/ticket/386484746" TargetMode="External"/><Relationship Id="rId220" Type="http://schemas.openxmlformats.org/officeDocument/2006/relationships/hyperlink" Target="https://horizondirect.gorgias.com/app/ticket/385946687" TargetMode="External"/><Relationship Id="rId341" Type="http://schemas.openxmlformats.org/officeDocument/2006/relationships/hyperlink" Target="https://4ammedia.zendesk.com/agent/tickets/166909" TargetMode="External"/><Relationship Id="rId340" Type="http://schemas.openxmlformats.org/officeDocument/2006/relationships/hyperlink" Target="https://4ammedia.zendesk.com/agent/tickets/166796" TargetMode="External"/><Relationship Id="rId460" Type="http://schemas.openxmlformats.org/officeDocument/2006/relationships/drawing" Target="../drawings/drawing8.xml"/><Relationship Id="rId103" Type="http://schemas.openxmlformats.org/officeDocument/2006/relationships/hyperlink" Target="https://horizondirect.gorgias.com/app/ticket/378813068" TargetMode="External"/><Relationship Id="rId224" Type="http://schemas.openxmlformats.org/officeDocument/2006/relationships/hyperlink" Target="https://horizondirect.gorgias.com/app/ticket/386071497" TargetMode="External"/><Relationship Id="rId345" Type="http://schemas.openxmlformats.org/officeDocument/2006/relationships/hyperlink" Target="https://4ammedia.zendesk.com/agent/tickets/169900" TargetMode="External"/><Relationship Id="rId102" Type="http://schemas.openxmlformats.org/officeDocument/2006/relationships/hyperlink" Target="https://horizondirect.gorgias.com/app/ticket/378654697" TargetMode="External"/><Relationship Id="rId223" Type="http://schemas.openxmlformats.org/officeDocument/2006/relationships/hyperlink" Target="https://horizondirect.gorgias.com/app/ticket/386063674" TargetMode="External"/><Relationship Id="rId344" Type="http://schemas.openxmlformats.org/officeDocument/2006/relationships/hyperlink" Target="https://4ammedia.zendesk.com/agent/tickets/169663" TargetMode="External"/><Relationship Id="rId101" Type="http://schemas.openxmlformats.org/officeDocument/2006/relationships/hyperlink" Target="https://horizondirect.gorgias.com/app/ticket/378642226" TargetMode="External"/><Relationship Id="rId222" Type="http://schemas.openxmlformats.org/officeDocument/2006/relationships/hyperlink" Target="https://horizondirect.gorgias.com/app/ticket/385953826" TargetMode="External"/><Relationship Id="rId343" Type="http://schemas.openxmlformats.org/officeDocument/2006/relationships/hyperlink" Target="https://4ammedia.zendesk.com/agent/tickets/169535" TargetMode="External"/><Relationship Id="rId100" Type="http://schemas.openxmlformats.org/officeDocument/2006/relationships/hyperlink" Target="https://horizondirect.gorgias.com/app/ticket/378631637" TargetMode="External"/><Relationship Id="rId221" Type="http://schemas.openxmlformats.org/officeDocument/2006/relationships/hyperlink" Target="https://horizondirect.gorgias.com/app/ticket/385952513" TargetMode="External"/><Relationship Id="rId342" Type="http://schemas.openxmlformats.org/officeDocument/2006/relationships/hyperlink" Target="https://4ammedia.zendesk.com/agent/tickets/167112" TargetMode="External"/><Relationship Id="rId217" Type="http://schemas.openxmlformats.org/officeDocument/2006/relationships/hyperlink" Target="https://horizondirect.gorgias.com/app/ticket/385868646" TargetMode="External"/><Relationship Id="rId338" Type="http://schemas.openxmlformats.org/officeDocument/2006/relationships/hyperlink" Target="https://4ammedia.zendesk.com/agent/tickets/165546" TargetMode="External"/><Relationship Id="rId459" Type="http://schemas.openxmlformats.org/officeDocument/2006/relationships/hyperlink" Target="https://4ammedia.zendesk.com/agent/tickets/273268" TargetMode="External"/><Relationship Id="rId216" Type="http://schemas.openxmlformats.org/officeDocument/2006/relationships/hyperlink" Target="https://horizondirect.gorgias.com/app/ticket/385609511" TargetMode="External"/><Relationship Id="rId337" Type="http://schemas.openxmlformats.org/officeDocument/2006/relationships/hyperlink" Target="https://4ammedia.zendesk.com/agent/tickets/165455" TargetMode="External"/><Relationship Id="rId458" Type="http://schemas.openxmlformats.org/officeDocument/2006/relationships/hyperlink" Target="https://4ammedia.zendesk.com/agent/tickets/273100" TargetMode="External"/><Relationship Id="rId215" Type="http://schemas.openxmlformats.org/officeDocument/2006/relationships/hyperlink" Target="https://horizondirect.gorgias.com/app/ticket/385606499" TargetMode="External"/><Relationship Id="rId336" Type="http://schemas.openxmlformats.org/officeDocument/2006/relationships/hyperlink" Target="https://4ammedia.zendesk.com/agent/tickets/164569" TargetMode="External"/><Relationship Id="rId457" Type="http://schemas.openxmlformats.org/officeDocument/2006/relationships/hyperlink" Target="https://4ammedia.zendesk.com/agent/tickets/272918" TargetMode="External"/><Relationship Id="rId214" Type="http://schemas.openxmlformats.org/officeDocument/2006/relationships/hyperlink" Target="https://horizondirect.gorgias.com/app/ticket/385602630" TargetMode="External"/><Relationship Id="rId335" Type="http://schemas.openxmlformats.org/officeDocument/2006/relationships/hyperlink" Target="https://4ammedia.zendesk.com/agent/tickets/164544" TargetMode="External"/><Relationship Id="rId456" Type="http://schemas.openxmlformats.org/officeDocument/2006/relationships/hyperlink" Target="https://4ammedia.zendesk.com/agent/tickets/271410" TargetMode="External"/><Relationship Id="rId219" Type="http://schemas.openxmlformats.org/officeDocument/2006/relationships/hyperlink" Target="https://horizondirect.gorgias.com/app/ticket/385862285" TargetMode="External"/><Relationship Id="rId218" Type="http://schemas.openxmlformats.org/officeDocument/2006/relationships/hyperlink" Target="https://horizondirect.gorgias.com/app/ticket/385863467" TargetMode="External"/><Relationship Id="rId339" Type="http://schemas.openxmlformats.org/officeDocument/2006/relationships/hyperlink" Target="https://4ammedia.zendesk.com/agent/tickets/166023" TargetMode="External"/><Relationship Id="rId330" Type="http://schemas.openxmlformats.org/officeDocument/2006/relationships/hyperlink" Target="https://4ammedia.zendesk.com/agent/tickets/159478" TargetMode="External"/><Relationship Id="rId451" Type="http://schemas.openxmlformats.org/officeDocument/2006/relationships/hyperlink" Target="https://4ammedia.zendesk.com/agent/tickets/269106" TargetMode="External"/><Relationship Id="rId450" Type="http://schemas.openxmlformats.org/officeDocument/2006/relationships/hyperlink" Target="https://4ammedia.zendesk.com/agent/tickets/266324" TargetMode="External"/><Relationship Id="rId213" Type="http://schemas.openxmlformats.org/officeDocument/2006/relationships/hyperlink" Target="https://horizondirect.gorgias.com/app/ticket/385462394" TargetMode="External"/><Relationship Id="rId334" Type="http://schemas.openxmlformats.org/officeDocument/2006/relationships/hyperlink" Target="https://4ammedia.zendesk.com/agent/tickets/164209" TargetMode="External"/><Relationship Id="rId455" Type="http://schemas.openxmlformats.org/officeDocument/2006/relationships/hyperlink" Target="https://4ammedia.zendesk.com/agent/tickets/271439" TargetMode="External"/><Relationship Id="rId212" Type="http://schemas.openxmlformats.org/officeDocument/2006/relationships/hyperlink" Target="https://horizondirect.gorgias.com/app/ticket/385456054" TargetMode="External"/><Relationship Id="rId333" Type="http://schemas.openxmlformats.org/officeDocument/2006/relationships/hyperlink" Target="https://4ammedia.zendesk.com/agent/tickets/161412" TargetMode="External"/><Relationship Id="rId454" Type="http://schemas.openxmlformats.org/officeDocument/2006/relationships/hyperlink" Target="https://4ammedia.zendesk.com/agent/tickets/271300" TargetMode="External"/><Relationship Id="rId211" Type="http://schemas.openxmlformats.org/officeDocument/2006/relationships/hyperlink" Target="https://horizondirect.gorgias.com/app/ticket/385452458" TargetMode="External"/><Relationship Id="rId332" Type="http://schemas.openxmlformats.org/officeDocument/2006/relationships/hyperlink" Target="https://4ammedia.zendesk.com/agent/tickets/161362" TargetMode="External"/><Relationship Id="rId453" Type="http://schemas.openxmlformats.org/officeDocument/2006/relationships/hyperlink" Target="https://4ammedia.zendesk.com/agent/tickets/269390" TargetMode="External"/><Relationship Id="rId210" Type="http://schemas.openxmlformats.org/officeDocument/2006/relationships/hyperlink" Target="https://horizondirect.gorgias.com/app/ticket/385191675" TargetMode="External"/><Relationship Id="rId331" Type="http://schemas.openxmlformats.org/officeDocument/2006/relationships/hyperlink" Target="https://4ammedia.zendesk.com/agent/tickets/161312" TargetMode="External"/><Relationship Id="rId452" Type="http://schemas.openxmlformats.org/officeDocument/2006/relationships/hyperlink" Target="https://4ammedia.zendesk.com/agent/tickets/269318" TargetMode="External"/><Relationship Id="rId370" Type="http://schemas.openxmlformats.org/officeDocument/2006/relationships/hyperlink" Target="https://4ammedia.zendesk.com/agent/tickets/197456" TargetMode="External"/><Relationship Id="rId490" Type="http://schemas.openxmlformats.org/officeDocument/2006/relationships/table" Target="../tables/table104.xml"/><Relationship Id="rId129" Type="http://schemas.openxmlformats.org/officeDocument/2006/relationships/hyperlink" Target="https://horizondirect.gorgias.com/app/ticket/380264880" TargetMode="External"/><Relationship Id="rId128" Type="http://schemas.openxmlformats.org/officeDocument/2006/relationships/hyperlink" Target="https://horizondirect.gorgias.com/app/ticket/380244159" TargetMode="External"/><Relationship Id="rId249" Type="http://schemas.openxmlformats.org/officeDocument/2006/relationships/hyperlink" Target="https://horizondirect.gorgias.com/app/ticket/387581346" TargetMode="External"/><Relationship Id="rId127" Type="http://schemas.openxmlformats.org/officeDocument/2006/relationships/hyperlink" Target="https://horizondirect.gorgias.com/app/ticket/380236241" TargetMode="External"/><Relationship Id="rId248" Type="http://schemas.openxmlformats.org/officeDocument/2006/relationships/hyperlink" Target="https://horizondirect.gorgias.com/app/ticket/387579404" TargetMode="External"/><Relationship Id="rId369" Type="http://schemas.openxmlformats.org/officeDocument/2006/relationships/hyperlink" Target="https://4ammedia.zendesk.com/agent/tickets/196364" TargetMode="External"/><Relationship Id="rId126" Type="http://schemas.openxmlformats.org/officeDocument/2006/relationships/hyperlink" Target="https://horizondirect.gorgias.com/app/ticket/380126759" TargetMode="External"/><Relationship Id="rId247" Type="http://schemas.openxmlformats.org/officeDocument/2006/relationships/hyperlink" Target="https://horizondirect.gorgias.com/app/ticket/387577782" TargetMode="External"/><Relationship Id="rId368" Type="http://schemas.openxmlformats.org/officeDocument/2006/relationships/hyperlink" Target="https://4ammedia.zendesk.com/agent/tickets/196325" TargetMode="External"/><Relationship Id="rId489" Type="http://schemas.openxmlformats.org/officeDocument/2006/relationships/table" Target="../tables/table103.xml"/><Relationship Id="rId121" Type="http://schemas.openxmlformats.org/officeDocument/2006/relationships/hyperlink" Target="https://horizondirect.gorgias.com/app/ticket/379937369" TargetMode="External"/><Relationship Id="rId242" Type="http://schemas.openxmlformats.org/officeDocument/2006/relationships/hyperlink" Target="https://assets.aircall.io/calls/3703761803/recording" TargetMode="External"/><Relationship Id="rId363" Type="http://schemas.openxmlformats.org/officeDocument/2006/relationships/hyperlink" Target="https://assets.aircall.io/calls/3894090939/recording/info" TargetMode="External"/><Relationship Id="rId484" Type="http://schemas.openxmlformats.org/officeDocument/2006/relationships/table" Target="../tables/table98.xml"/><Relationship Id="rId120" Type="http://schemas.openxmlformats.org/officeDocument/2006/relationships/hyperlink" Target="https://horizondirect.gorgias.com/app/ticket/379705116" TargetMode="External"/><Relationship Id="rId241" Type="http://schemas.openxmlformats.org/officeDocument/2006/relationships/hyperlink" Target="https://assets.aircall.io/calls/3703718692/recording" TargetMode="External"/><Relationship Id="rId362" Type="http://schemas.openxmlformats.org/officeDocument/2006/relationships/hyperlink" Target="https://assets.aircall.io/calls/3893971316/recording/info" TargetMode="External"/><Relationship Id="rId483" Type="http://schemas.openxmlformats.org/officeDocument/2006/relationships/table" Target="../tables/table97.xml"/><Relationship Id="rId240" Type="http://schemas.openxmlformats.org/officeDocument/2006/relationships/hyperlink" Target="https://horizondirect.gorgias.com/app/ticket/386979471" TargetMode="External"/><Relationship Id="rId361" Type="http://schemas.openxmlformats.org/officeDocument/2006/relationships/hyperlink" Target="https://assets.aircall.io/calls/3894244144/recording/info" TargetMode="External"/><Relationship Id="rId482" Type="http://schemas.openxmlformats.org/officeDocument/2006/relationships/table" Target="../tables/table96.xml"/><Relationship Id="rId360" Type="http://schemas.openxmlformats.org/officeDocument/2006/relationships/hyperlink" Target="https://4ammedia.zendesk.com/agent/tickets/189900" TargetMode="External"/><Relationship Id="rId481" Type="http://schemas.openxmlformats.org/officeDocument/2006/relationships/table" Target="../tables/table95.xml"/><Relationship Id="rId125" Type="http://schemas.openxmlformats.org/officeDocument/2006/relationships/hyperlink" Target="https://horizondirect.gorgias.com/app/ticket/380110741" TargetMode="External"/><Relationship Id="rId246" Type="http://schemas.openxmlformats.org/officeDocument/2006/relationships/hyperlink" Target="https://assets.aircall.io/calls/3711407532/recording" TargetMode="External"/><Relationship Id="rId367" Type="http://schemas.openxmlformats.org/officeDocument/2006/relationships/hyperlink" Target="https://4ammedia.zendesk.com/agent/tickets/196180" TargetMode="External"/><Relationship Id="rId488" Type="http://schemas.openxmlformats.org/officeDocument/2006/relationships/table" Target="../tables/table102.xml"/><Relationship Id="rId124" Type="http://schemas.openxmlformats.org/officeDocument/2006/relationships/hyperlink" Target="https://horizondirect.gorgias.com/app/ticket/380104307" TargetMode="External"/><Relationship Id="rId245" Type="http://schemas.openxmlformats.org/officeDocument/2006/relationships/hyperlink" Target="https://assets.aircall.io/calls/3711343615/recording" TargetMode="External"/><Relationship Id="rId366" Type="http://schemas.openxmlformats.org/officeDocument/2006/relationships/hyperlink" Target="https://4ammedia.zendesk.com/agent/tickets/194775" TargetMode="External"/><Relationship Id="rId487" Type="http://schemas.openxmlformats.org/officeDocument/2006/relationships/table" Target="../tables/table101.xml"/><Relationship Id="rId123" Type="http://schemas.openxmlformats.org/officeDocument/2006/relationships/hyperlink" Target="https://horizondirect.gorgias.com/app/ticket/379976295" TargetMode="External"/><Relationship Id="rId244" Type="http://schemas.openxmlformats.org/officeDocument/2006/relationships/hyperlink" Target="https://assets.aircall.io/calls/3711897678/recording" TargetMode="External"/><Relationship Id="rId365" Type="http://schemas.openxmlformats.org/officeDocument/2006/relationships/hyperlink" Target="https://4ammedia.zendesk.com/agent/tickets/194775" TargetMode="External"/><Relationship Id="rId486" Type="http://schemas.openxmlformats.org/officeDocument/2006/relationships/table" Target="../tables/table100.xml"/><Relationship Id="rId122" Type="http://schemas.openxmlformats.org/officeDocument/2006/relationships/hyperlink" Target="https://horizondirect.gorgias.com/app/ticket/379953104" TargetMode="External"/><Relationship Id="rId243" Type="http://schemas.openxmlformats.org/officeDocument/2006/relationships/hyperlink" Target="https://assets.aircall.io/calls/3703782353/recording" TargetMode="External"/><Relationship Id="rId364" Type="http://schemas.openxmlformats.org/officeDocument/2006/relationships/hyperlink" Target="https://4ammedia.zendesk.com/agent/tickets/194683" TargetMode="External"/><Relationship Id="rId485" Type="http://schemas.openxmlformats.org/officeDocument/2006/relationships/table" Target="../tables/table99.xml"/><Relationship Id="rId95" Type="http://schemas.openxmlformats.org/officeDocument/2006/relationships/hyperlink" Target="https://horizondirect.gorgias.com/app/ticket/378397317" TargetMode="External"/><Relationship Id="rId94" Type="http://schemas.openxmlformats.org/officeDocument/2006/relationships/hyperlink" Target="https://horizondirect.gorgias.com/app/ticket/378382814" TargetMode="External"/><Relationship Id="rId97" Type="http://schemas.openxmlformats.org/officeDocument/2006/relationships/hyperlink" Target="https://horizondirect.gorgias.com/app/ticket/378520513" TargetMode="External"/><Relationship Id="rId96" Type="http://schemas.openxmlformats.org/officeDocument/2006/relationships/hyperlink" Target="https://horizondirect.gorgias.com/app/ticket/378413528" TargetMode="External"/><Relationship Id="rId99" Type="http://schemas.openxmlformats.org/officeDocument/2006/relationships/hyperlink" Target="https://horizondirect.gorgias.com/app/ticket/378552634" TargetMode="External"/><Relationship Id="rId480" Type="http://schemas.openxmlformats.org/officeDocument/2006/relationships/table" Target="../tables/table94.xml"/><Relationship Id="rId98" Type="http://schemas.openxmlformats.org/officeDocument/2006/relationships/hyperlink" Target="https://horizondirect.gorgias.com/app/ticket/378538448" TargetMode="External"/><Relationship Id="rId91" Type="http://schemas.openxmlformats.org/officeDocument/2006/relationships/hyperlink" Target="https://horizondirect.gorgias.com/app/ticket/378230703" TargetMode="External"/><Relationship Id="rId90" Type="http://schemas.openxmlformats.org/officeDocument/2006/relationships/hyperlink" Target="https://horizondirect.gorgias.com/app/ticket/377974092" TargetMode="External"/><Relationship Id="rId93" Type="http://schemas.openxmlformats.org/officeDocument/2006/relationships/hyperlink" Target="https://horizondirect.gorgias.com/app/ticket/378266648" TargetMode="External"/><Relationship Id="rId92" Type="http://schemas.openxmlformats.org/officeDocument/2006/relationships/hyperlink" Target="https://horizondirect.gorgias.com/app/ticket/378253952" TargetMode="External"/><Relationship Id="rId118" Type="http://schemas.openxmlformats.org/officeDocument/2006/relationships/hyperlink" Target="https://horizondirect.gorgias.com/app/ticket/379664574" TargetMode="External"/><Relationship Id="rId239" Type="http://schemas.openxmlformats.org/officeDocument/2006/relationships/hyperlink" Target="https://horizondirect.gorgias.com/app/ticket/386977245" TargetMode="External"/><Relationship Id="rId117" Type="http://schemas.openxmlformats.org/officeDocument/2006/relationships/hyperlink" Target="https://horizondirect.gorgias.com/app/ticket/379493083" TargetMode="External"/><Relationship Id="rId238" Type="http://schemas.openxmlformats.org/officeDocument/2006/relationships/hyperlink" Target="https://horizondirect.gorgias.com/app/ticket/386968779" TargetMode="External"/><Relationship Id="rId359" Type="http://schemas.openxmlformats.org/officeDocument/2006/relationships/hyperlink" Target="https://4ammedia.zendesk.com/agent/tickets/189703" TargetMode="External"/><Relationship Id="rId116" Type="http://schemas.openxmlformats.org/officeDocument/2006/relationships/hyperlink" Target="https://horizondirect.gorgias.com/app/ticket/379485186" TargetMode="External"/><Relationship Id="rId237" Type="http://schemas.openxmlformats.org/officeDocument/2006/relationships/hyperlink" Target="https://horizondirect.gorgias.com/app/ticket/386755558" TargetMode="External"/><Relationship Id="rId358" Type="http://schemas.openxmlformats.org/officeDocument/2006/relationships/hyperlink" Target="https://4ammedia.zendesk.com/agent/tickets/189547" TargetMode="External"/><Relationship Id="rId479" Type="http://schemas.openxmlformats.org/officeDocument/2006/relationships/table" Target="../tables/table93.xml"/><Relationship Id="rId115" Type="http://schemas.openxmlformats.org/officeDocument/2006/relationships/hyperlink" Target="https://horizondirect.gorgias.com/app/ticket/379477365" TargetMode="External"/><Relationship Id="rId236" Type="http://schemas.openxmlformats.org/officeDocument/2006/relationships/hyperlink" Target="https://horizondirect.gorgias.com/app/ticket/386743169" TargetMode="External"/><Relationship Id="rId357" Type="http://schemas.openxmlformats.org/officeDocument/2006/relationships/hyperlink" Target="https://4ammedia.zendesk.com/agent/tickets/177356" TargetMode="External"/><Relationship Id="rId478" Type="http://schemas.openxmlformats.org/officeDocument/2006/relationships/table" Target="../tables/table92.xml"/><Relationship Id="rId119" Type="http://schemas.openxmlformats.org/officeDocument/2006/relationships/hyperlink" Target="https://horizondirect.gorgias.com/app/ticket/379702199" TargetMode="External"/><Relationship Id="rId110" Type="http://schemas.openxmlformats.org/officeDocument/2006/relationships/hyperlink" Target="https://horizondirect.gorgias.com/app/ticket/379270887" TargetMode="External"/><Relationship Id="rId231" Type="http://schemas.openxmlformats.org/officeDocument/2006/relationships/hyperlink" Target="https://horizondirect.gorgias.com/app/ticket/386490726" TargetMode="External"/><Relationship Id="rId352" Type="http://schemas.openxmlformats.org/officeDocument/2006/relationships/hyperlink" Target="https://4ammedia.zendesk.com/agent/tickets/175847" TargetMode="External"/><Relationship Id="rId230" Type="http://schemas.openxmlformats.org/officeDocument/2006/relationships/hyperlink" Target="https://horizondirect.gorgias.com/app/ticket/386489908" TargetMode="External"/><Relationship Id="rId351" Type="http://schemas.openxmlformats.org/officeDocument/2006/relationships/hyperlink" Target="https://4ammedia.zendesk.com/agent/tickets/174769" TargetMode="External"/><Relationship Id="rId350" Type="http://schemas.openxmlformats.org/officeDocument/2006/relationships/hyperlink" Target="https://4ammedia.zendesk.com/agent/tickets/174512" TargetMode="External"/><Relationship Id="rId114" Type="http://schemas.openxmlformats.org/officeDocument/2006/relationships/hyperlink" Target="https://horizondirect.gorgias.com/app/ticket/379391398" TargetMode="External"/><Relationship Id="rId235" Type="http://schemas.openxmlformats.org/officeDocument/2006/relationships/hyperlink" Target="https://horizondirect.gorgias.com/app/ticket/386732168" TargetMode="External"/><Relationship Id="rId356" Type="http://schemas.openxmlformats.org/officeDocument/2006/relationships/hyperlink" Target="https://4ammedia.zendesk.com/agent/tickets/177254" TargetMode="External"/><Relationship Id="rId477" Type="http://schemas.openxmlformats.org/officeDocument/2006/relationships/table" Target="../tables/table91.xml"/><Relationship Id="rId113" Type="http://schemas.openxmlformats.org/officeDocument/2006/relationships/hyperlink" Target="https://horizondirect.gorgias.com/app/ticket/379384401" TargetMode="External"/><Relationship Id="rId234" Type="http://schemas.openxmlformats.org/officeDocument/2006/relationships/hyperlink" Target="https://horizondirect.gorgias.com/app/ticket/386665317" TargetMode="External"/><Relationship Id="rId355" Type="http://schemas.openxmlformats.org/officeDocument/2006/relationships/hyperlink" Target="https://4ammedia.zendesk.com/agent/tickets/177211" TargetMode="External"/><Relationship Id="rId476" Type="http://schemas.openxmlformats.org/officeDocument/2006/relationships/table" Target="../tables/table90.xml"/><Relationship Id="rId112" Type="http://schemas.openxmlformats.org/officeDocument/2006/relationships/hyperlink" Target="https://horizondirect.gorgias.com/app/ticket/379370232" TargetMode="External"/><Relationship Id="rId233" Type="http://schemas.openxmlformats.org/officeDocument/2006/relationships/hyperlink" Target="https://horizondirect.gorgias.com/app/ticket/386663635" TargetMode="External"/><Relationship Id="rId354" Type="http://schemas.openxmlformats.org/officeDocument/2006/relationships/hyperlink" Target="https://4ammedia.zendesk.com/agent/tickets/176274" TargetMode="External"/><Relationship Id="rId111" Type="http://schemas.openxmlformats.org/officeDocument/2006/relationships/hyperlink" Target="https://horizondirect.gorgias.com/app/ticket/379278021" TargetMode="External"/><Relationship Id="rId232" Type="http://schemas.openxmlformats.org/officeDocument/2006/relationships/hyperlink" Target="https://horizondirect.gorgias.com/app/ticket/386661972" TargetMode="External"/><Relationship Id="rId353" Type="http://schemas.openxmlformats.org/officeDocument/2006/relationships/hyperlink" Target="https://4ammedia.zendesk.com/agent/tickets/175972" TargetMode="External"/><Relationship Id="rId305" Type="http://schemas.openxmlformats.org/officeDocument/2006/relationships/hyperlink" Target="https://assets.aircall.io/calls/3794826742/recording" TargetMode="External"/><Relationship Id="rId426" Type="http://schemas.openxmlformats.org/officeDocument/2006/relationships/hyperlink" Target="https://4ammedia.zendesk.com/agent/tickets/243575" TargetMode="External"/><Relationship Id="rId304" Type="http://schemas.openxmlformats.org/officeDocument/2006/relationships/hyperlink" Target="https://assets.aircall.io/calls/3794006651/recording" TargetMode="External"/><Relationship Id="rId425" Type="http://schemas.openxmlformats.org/officeDocument/2006/relationships/hyperlink" Target="https://4ammedia.zendesk.com/agent/tickets/243512" TargetMode="External"/><Relationship Id="rId303" Type="http://schemas.openxmlformats.org/officeDocument/2006/relationships/hyperlink" Target="https://assets.aircall.io/calls/3786319873/recording" TargetMode="External"/><Relationship Id="rId424" Type="http://schemas.openxmlformats.org/officeDocument/2006/relationships/hyperlink" Target="https://4ammedia.zendesk.com/agent/tickets/243327" TargetMode="External"/><Relationship Id="rId302" Type="http://schemas.openxmlformats.org/officeDocument/2006/relationships/hyperlink" Target="https://assets.aircall.io/calls/3785951411/recording" TargetMode="External"/><Relationship Id="rId423" Type="http://schemas.openxmlformats.org/officeDocument/2006/relationships/hyperlink" Target="https://4ammedia.zendesk.com/agent/tickets/238931" TargetMode="External"/><Relationship Id="rId309" Type="http://schemas.openxmlformats.org/officeDocument/2006/relationships/hyperlink" Target="https://assets.aircall.io/calls/3798380498/recording" TargetMode="External"/><Relationship Id="rId308" Type="http://schemas.openxmlformats.org/officeDocument/2006/relationships/hyperlink" Target="https://assets.aircall.io/calls/3798096368/recording" TargetMode="External"/><Relationship Id="rId429" Type="http://schemas.openxmlformats.org/officeDocument/2006/relationships/hyperlink" Target="https://4ammedia.zendesk.com/agent/tickets/245522" TargetMode="External"/><Relationship Id="rId307" Type="http://schemas.openxmlformats.org/officeDocument/2006/relationships/hyperlink" Target="https://assets.aircall.io/calls/3797959394/recording" TargetMode="External"/><Relationship Id="rId428" Type="http://schemas.openxmlformats.org/officeDocument/2006/relationships/hyperlink" Target="https://4ammedia.zendesk.com/agent/tickets/245393" TargetMode="External"/><Relationship Id="rId306" Type="http://schemas.openxmlformats.org/officeDocument/2006/relationships/hyperlink" Target="https://assets.aircall.io/calls/3794943096/recording" TargetMode="External"/><Relationship Id="rId427" Type="http://schemas.openxmlformats.org/officeDocument/2006/relationships/hyperlink" Target="https://4ammedia.zendesk.com/agent/tickets/245259" TargetMode="External"/><Relationship Id="rId301" Type="http://schemas.openxmlformats.org/officeDocument/2006/relationships/hyperlink" Target="https://assets.aircall.io/calls/3785805812/recording" TargetMode="External"/><Relationship Id="rId422" Type="http://schemas.openxmlformats.org/officeDocument/2006/relationships/hyperlink" Target="https://4ammedia.zendesk.com/agent/tickets/238840" TargetMode="External"/><Relationship Id="rId300" Type="http://schemas.openxmlformats.org/officeDocument/2006/relationships/hyperlink" Target="https://assets.aircall.io/calls/3781455754/recording" TargetMode="External"/><Relationship Id="rId421" Type="http://schemas.openxmlformats.org/officeDocument/2006/relationships/hyperlink" Target="https://4ammedia.zendesk.com/agent/tickets/238482" TargetMode="External"/><Relationship Id="rId420" Type="http://schemas.openxmlformats.org/officeDocument/2006/relationships/hyperlink" Target="https://4ammedia.zendesk.com/agent/tickets/236994" TargetMode="External"/><Relationship Id="rId415" Type="http://schemas.openxmlformats.org/officeDocument/2006/relationships/hyperlink" Target="https://4ammedia.zendesk.com/agent/tickets/233703" TargetMode="External"/><Relationship Id="rId414" Type="http://schemas.openxmlformats.org/officeDocument/2006/relationships/hyperlink" Target="https://4ammedia.zendesk.com/agent/tickets/232772" TargetMode="External"/><Relationship Id="rId413" Type="http://schemas.openxmlformats.org/officeDocument/2006/relationships/hyperlink" Target="https://4ammedia.zendesk.com/agent/tickets/232580" TargetMode="External"/><Relationship Id="rId412" Type="http://schemas.openxmlformats.org/officeDocument/2006/relationships/hyperlink" Target="https://4ammedia.zendesk.com/agent/tickets/232305" TargetMode="External"/><Relationship Id="rId419" Type="http://schemas.openxmlformats.org/officeDocument/2006/relationships/hyperlink" Target="https://4ammedia.zendesk.com/agent/tickets/236819" TargetMode="External"/><Relationship Id="rId418" Type="http://schemas.openxmlformats.org/officeDocument/2006/relationships/hyperlink" Target="https://4ammedia.zendesk.com/agent/tickets/236767" TargetMode="External"/><Relationship Id="rId417" Type="http://schemas.openxmlformats.org/officeDocument/2006/relationships/hyperlink" Target="https://4ammedia.zendesk.com/agent/tickets/233878" TargetMode="External"/><Relationship Id="rId416" Type="http://schemas.openxmlformats.org/officeDocument/2006/relationships/hyperlink" Target="https://4ammedia.zendesk.com/agent/tickets/233776" TargetMode="External"/><Relationship Id="rId411" Type="http://schemas.openxmlformats.org/officeDocument/2006/relationships/hyperlink" Target="https://4ammedia.zendesk.com/agent/tickets/230022" TargetMode="External"/><Relationship Id="rId410" Type="http://schemas.openxmlformats.org/officeDocument/2006/relationships/hyperlink" Target="https://4ammedia.zendesk.com/agent/tickets/229987" TargetMode="External"/><Relationship Id="rId206" Type="http://schemas.openxmlformats.org/officeDocument/2006/relationships/hyperlink" Target="https://horizondirect.gorgias.com/app/ticket/385059768" TargetMode="External"/><Relationship Id="rId327" Type="http://schemas.openxmlformats.org/officeDocument/2006/relationships/hyperlink" Target="https://4ammedia.zendesk.com/agent/tickets/157148" TargetMode="External"/><Relationship Id="rId448" Type="http://schemas.openxmlformats.org/officeDocument/2006/relationships/hyperlink" Target="https://4ammedia.zendesk.com/agent/tickets/265709" TargetMode="External"/><Relationship Id="rId205" Type="http://schemas.openxmlformats.org/officeDocument/2006/relationships/hyperlink" Target="https://horizondirect.gorgias.com/app/ticket/385053749" TargetMode="External"/><Relationship Id="rId326" Type="http://schemas.openxmlformats.org/officeDocument/2006/relationships/hyperlink" Target="https://4ammedia.zendesk.com/agent/tickets/157054" TargetMode="External"/><Relationship Id="rId447" Type="http://schemas.openxmlformats.org/officeDocument/2006/relationships/hyperlink" Target="https://4ammedia.zendesk.com/agent/tickets/263327" TargetMode="External"/><Relationship Id="rId204" Type="http://schemas.openxmlformats.org/officeDocument/2006/relationships/hyperlink" Target="https://horizondirect.gorgias.com/app/ticket/384957840" TargetMode="External"/><Relationship Id="rId325" Type="http://schemas.openxmlformats.org/officeDocument/2006/relationships/hyperlink" Target="https://4ammedia.zendesk.com/agent/tickets/156759" TargetMode="External"/><Relationship Id="rId446" Type="http://schemas.openxmlformats.org/officeDocument/2006/relationships/hyperlink" Target="https://4ammedia.zendesk.com/agent/tickets/263090" TargetMode="External"/><Relationship Id="rId203" Type="http://schemas.openxmlformats.org/officeDocument/2006/relationships/hyperlink" Target="https://horizondirect.gorgias.com/app/ticket/384949992" TargetMode="External"/><Relationship Id="rId324" Type="http://schemas.openxmlformats.org/officeDocument/2006/relationships/hyperlink" Target="https://4ammedia.zendesk.com/agent/tickets/155832" TargetMode="External"/><Relationship Id="rId445" Type="http://schemas.openxmlformats.org/officeDocument/2006/relationships/hyperlink" Target="https://4ammedia.zendesk.com/agent/tickets/262621" TargetMode="External"/><Relationship Id="rId209" Type="http://schemas.openxmlformats.org/officeDocument/2006/relationships/hyperlink" Target="https://horizondirect.gorgias.com/app/ticket/385176515" TargetMode="External"/><Relationship Id="rId208" Type="http://schemas.openxmlformats.org/officeDocument/2006/relationships/hyperlink" Target="https://horizondirect.gorgias.com/app/ticket/385167734" TargetMode="External"/><Relationship Id="rId329" Type="http://schemas.openxmlformats.org/officeDocument/2006/relationships/hyperlink" Target="https://4ammedia.zendesk.com/agent/tickets/159369" TargetMode="External"/><Relationship Id="rId207" Type="http://schemas.openxmlformats.org/officeDocument/2006/relationships/hyperlink" Target="https://horizondirect.gorgias.com/app/ticket/385064490" TargetMode="External"/><Relationship Id="rId328" Type="http://schemas.openxmlformats.org/officeDocument/2006/relationships/hyperlink" Target="https://4ammedia.zendesk.com/agent/tickets/159146" TargetMode="External"/><Relationship Id="rId449" Type="http://schemas.openxmlformats.org/officeDocument/2006/relationships/hyperlink" Target="https://4ammedia.zendesk.com/agent/tickets/266101" TargetMode="External"/><Relationship Id="rId440" Type="http://schemas.openxmlformats.org/officeDocument/2006/relationships/hyperlink" Target="https://4ammedia.zendesk.com/agent/tickets/258315" TargetMode="External"/><Relationship Id="rId202" Type="http://schemas.openxmlformats.org/officeDocument/2006/relationships/hyperlink" Target="https://horizondirect.gorgias.com/app/ticket/384942475" TargetMode="External"/><Relationship Id="rId323" Type="http://schemas.openxmlformats.org/officeDocument/2006/relationships/hyperlink" Target="https://4ammedia.zendesk.com/agent/tickets/155751" TargetMode="External"/><Relationship Id="rId444" Type="http://schemas.openxmlformats.org/officeDocument/2006/relationships/hyperlink" Target="https://4ammedia.zendesk.com/agent/tickets/259666" TargetMode="External"/><Relationship Id="rId201" Type="http://schemas.openxmlformats.org/officeDocument/2006/relationships/hyperlink" Target="https://horizondirect.gorgias.com/app/ticket/384853567" TargetMode="External"/><Relationship Id="rId322" Type="http://schemas.openxmlformats.org/officeDocument/2006/relationships/hyperlink" Target="https://4ammedia.zendesk.com/agent/tickets/155598" TargetMode="External"/><Relationship Id="rId443" Type="http://schemas.openxmlformats.org/officeDocument/2006/relationships/hyperlink" Target="https://4ammedia.zendesk.com/agent/tickets/259598" TargetMode="External"/><Relationship Id="rId200" Type="http://schemas.openxmlformats.org/officeDocument/2006/relationships/hyperlink" Target="https://horizondirect.gorgias.com/app/ticket/384841836" TargetMode="External"/><Relationship Id="rId321" Type="http://schemas.openxmlformats.org/officeDocument/2006/relationships/hyperlink" Target="https://4ammedia.zendesk.com/agent/tickets/154165" TargetMode="External"/><Relationship Id="rId442" Type="http://schemas.openxmlformats.org/officeDocument/2006/relationships/hyperlink" Target="https://4ammedia.zendesk.com/agent/tickets/259447" TargetMode="External"/><Relationship Id="rId320" Type="http://schemas.openxmlformats.org/officeDocument/2006/relationships/hyperlink" Target="https://4ammedia.zendesk.com/agent/tickets/153942" TargetMode="External"/><Relationship Id="rId441" Type="http://schemas.openxmlformats.org/officeDocument/2006/relationships/hyperlink" Target="https://4ammedia.zendesk.com/agent/tickets/258549" TargetMode="External"/><Relationship Id="rId316" Type="http://schemas.openxmlformats.org/officeDocument/2006/relationships/hyperlink" Target="https://4ammedia.zendesk.com/agent/tickets/150575" TargetMode="External"/><Relationship Id="rId437" Type="http://schemas.openxmlformats.org/officeDocument/2006/relationships/hyperlink" Target="https://4ammedia.zendesk.com/agent/tickets/256357" TargetMode="External"/><Relationship Id="rId315" Type="http://schemas.openxmlformats.org/officeDocument/2006/relationships/hyperlink" Target="https://4ammedia.zendesk.com/agent/tickets/149595" TargetMode="External"/><Relationship Id="rId436" Type="http://schemas.openxmlformats.org/officeDocument/2006/relationships/hyperlink" Target="https://4ammedia.zendesk.com/agent/tickets/256053" TargetMode="External"/><Relationship Id="rId314" Type="http://schemas.openxmlformats.org/officeDocument/2006/relationships/hyperlink" Target="https://4ammedia.zendesk.com/agent/tickets/149522" TargetMode="External"/><Relationship Id="rId435" Type="http://schemas.openxmlformats.org/officeDocument/2006/relationships/hyperlink" Target="https://4ammedia.zendesk.com/agent/tickets/251811" TargetMode="External"/><Relationship Id="rId313" Type="http://schemas.openxmlformats.org/officeDocument/2006/relationships/hyperlink" Target="https://4ammedia.zendesk.com/agent/tickets/149244" TargetMode="External"/><Relationship Id="rId434" Type="http://schemas.openxmlformats.org/officeDocument/2006/relationships/hyperlink" Target="https://4ammedia.zendesk.com/agent/tickets/251778" TargetMode="External"/><Relationship Id="rId319" Type="http://schemas.openxmlformats.org/officeDocument/2006/relationships/hyperlink" Target="https://4ammedia.zendesk.com/agent/tickets/153836" TargetMode="External"/><Relationship Id="rId318" Type="http://schemas.openxmlformats.org/officeDocument/2006/relationships/hyperlink" Target="https://4ammedia.zendesk.com/agent/tickets/151126" TargetMode="External"/><Relationship Id="rId439" Type="http://schemas.openxmlformats.org/officeDocument/2006/relationships/hyperlink" Target="https://4ammedia.zendesk.com/agent/tickets/258177" TargetMode="External"/><Relationship Id="rId317" Type="http://schemas.openxmlformats.org/officeDocument/2006/relationships/hyperlink" Target="https://4ammedia.zendesk.com/agent/tickets/150831" TargetMode="External"/><Relationship Id="rId438" Type="http://schemas.openxmlformats.org/officeDocument/2006/relationships/hyperlink" Target="https://4ammedia.zendesk.com/agent/tickets/256430" TargetMode="External"/><Relationship Id="rId312" Type="http://schemas.openxmlformats.org/officeDocument/2006/relationships/hyperlink" Target="https://assets.aircall.io/calls/3799244312/recording" TargetMode="External"/><Relationship Id="rId433" Type="http://schemas.openxmlformats.org/officeDocument/2006/relationships/hyperlink" Target="https://4ammedia.zendesk.com/agent/tickets/251635" TargetMode="External"/><Relationship Id="rId311" Type="http://schemas.openxmlformats.org/officeDocument/2006/relationships/hyperlink" Target="https://assets.aircall.io/calls/3799239149/recording" TargetMode="External"/><Relationship Id="rId432" Type="http://schemas.openxmlformats.org/officeDocument/2006/relationships/hyperlink" Target="https://4ammedia.zendesk.com/agent/tickets/250486" TargetMode="External"/><Relationship Id="rId310" Type="http://schemas.openxmlformats.org/officeDocument/2006/relationships/hyperlink" Target="https://assets.aircall.io/calls/3799091556/recording" TargetMode="External"/><Relationship Id="rId431" Type="http://schemas.openxmlformats.org/officeDocument/2006/relationships/hyperlink" Target="https://4ammedia.zendesk.com/agent/tickets/250188" TargetMode="External"/><Relationship Id="rId430" Type="http://schemas.openxmlformats.org/officeDocument/2006/relationships/hyperlink" Target="https://4ammedia.zendesk.com/agent/tickets/249958"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horizondirect.gorgias.com/app/ticket/378274459" TargetMode="External"/><Relationship Id="rId194" Type="http://schemas.openxmlformats.org/officeDocument/2006/relationships/hyperlink" Target="https://horizondirect.gorgias.com/app/ticket/378548284" TargetMode="External"/><Relationship Id="rId193" Type="http://schemas.openxmlformats.org/officeDocument/2006/relationships/hyperlink" Target="https://horizondirect.gorgias.com/app/ticket/378402597" TargetMode="External"/><Relationship Id="rId192" Type="http://schemas.openxmlformats.org/officeDocument/2006/relationships/hyperlink" Target="https://horizondirect.gorgias.com/app/ticket/378396224" TargetMode="External"/><Relationship Id="rId191" Type="http://schemas.openxmlformats.org/officeDocument/2006/relationships/hyperlink" Target="https://horizondirect.gorgias.com/app/ticket/378384267" TargetMode="External"/><Relationship Id="rId187" Type="http://schemas.openxmlformats.org/officeDocument/2006/relationships/hyperlink" Target="https://horizondirect.gorgias.com/app/ticket/378084751" TargetMode="External"/><Relationship Id="rId186" Type="http://schemas.openxmlformats.org/officeDocument/2006/relationships/hyperlink" Target="https://horizondirect.gorgias.com/app/ticket/378070767" TargetMode="External"/><Relationship Id="rId185" Type="http://schemas.openxmlformats.org/officeDocument/2006/relationships/hyperlink" Target="https://horizondirect.gorgias.com/app/ticket/378062247" TargetMode="External"/><Relationship Id="rId184" Type="http://schemas.openxmlformats.org/officeDocument/2006/relationships/hyperlink" Target="https://horizondirect.gorgias.com/app/ticket/377646626" TargetMode="External"/><Relationship Id="rId189" Type="http://schemas.openxmlformats.org/officeDocument/2006/relationships/hyperlink" Target="https://horizondirect.gorgias.com/app/ticket/378265445" TargetMode="External"/><Relationship Id="rId188" Type="http://schemas.openxmlformats.org/officeDocument/2006/relationships/hyperlink" Target="https://horizondirect.gorgias.com/app/ticket/378234064" TargetMode="External"/><Relationship Id="rId183" Type="http://schemas.openxmlformats.org/officeDocument/2006/relationships/hyperlink" Target="https://horizondirect.gorgias.com/app/ticket/377638372" TargetMode="External"/><Relationship Id="rId182" Type="http://schemas.openxmlformats.org/officeDocument/2006/relationships/hyperlink" Target="https://horizondirect.gorgias.com/app/ticket/377633660" TargetMode="External"/><Relationship Id="rId181" Type="http://schemas.openxmlformats.org/officeDocument/2006/relationships/hyperlink" Target="https://horizondirect.gorgias.com/app/ticket/377532583" TargetMode="External"/><Relationship Id="rId180" Type="http://schemas.openxmlformats.org/officeDocument/2006/relationships/hyperlink" Target="https://horizondirect.gorgias.com/app/ticket/377463193" TargetMode="External"/><Relationship Id="rId176" Type="http://schemas.openxmlformats.org/officeDocument/2006/relationships/hyperlink" Target="https://horizondirect.gorgias.com/app/ticket/377341358" TargetMode="External"/><Relationship Id="rId297" Type="http://schemas.openxmlformats.org/officeDocument/2006/relationships/hyperlink" Target="https://horizondirect.gorgias.com/app/ticket/384952415" TargetMode="External"/><Relationship Id="rId175" Type="http://schemas.openxmlformats.org/officeDocument/2006/relationships/hyperlink" Target="https://horizondirect.gorgias.com/app/ticket/377203666" TargetMode="External"/><Relationship Id="rId296" Type="http://schemas.openxmlformats.org/officeDocument/2006/relationships/hyperlink" Target="https://horizondirect.gorgias.com/app/ticket/384945594" TargetMode="External"/><Relationship Id="rId174" Type="http://schemas.openxmlformats.org/officeDocument/2006/relationships/hyperlink" Target="https://horizondirect.gorgias.com/app/ticket/377199289" TargetMode="External"/><Relationship Id="rId295" Type="http://schemas.openxmlformats.org/officeDocument/2006/relationships/hyperlink" Target="https://horizondirect.gorgias.com/app/ticket/384856968" TargetMode="External"/><Relationship Id="rId173" Type="http://schemas.openxmlformats.org/officeDocument/2006/relationships/hyperlink" Target="https://horizondirect.gorgias.com/app/ticket/377198379" TargetMode="External"/><Relationship Id="rId294" Type="http://schemas.openxmlformats.org/officeDocument/2006/relationships/hyperlink" Target="https://horizondirect.gorgias.com/app/ticket/384848514" TargetMode="External"/><Relationship Id="rId179" Type="http://schemas.openxmlformats.org/officeDocument/2006/relationships/hyperlink" Target="https://horizondirect.gorgias.com/app/ticket/377531293" TargetMode="External"/><Relationship Id="rId178" Type="http://schemas.openxmlformats.org/officeDocument/2006/relationships/hyperlink" Target="https://horizondirect.gorgias.com/app/ticket/377348458" TargetMode="External"/><Relationship Id="rId299" Type="http://schemas.openxmlformats.org/officeDocument/2006/relationships/hyperlink" Target="https://horizondirect.gorgias.com/app/ticket/385168707" TargetMode="External"/><Relationship Id="rId177" Type="http://schemas.openxmlformats.org/officeDocument/2006/relationships/hyperlink" Target="https://horizondirect.gorgias.com/app/ticket/377346444" TargetMode="External"/><Relationship Id="rId298" Type="http://schemas.openxmlformats.org/officeDocument/2006/relationships/hyperlink" Target="https://horizondirect.gorgias.com/app/ticket/384956170" TargetMode="External"/><Relationship Id="rId198" Type="http://schemas.openxmlformats.org/officeDocument/2006/relationships/hyperlink" Target="https://horizondirect.gorgias.com/app/ticket/378664290" TargetMode="External"/><Relationship Id="rId197" Type="http://schemas.openxmlformats.org/officeDocument/2006/relationships/hyperlink" Target="https://horizondirect.gorgias.com/app/ticket/378662093" TargetMode="External"/><Relationship Id="rId196" Type="http://schemas.openxmlformats.org/officeDocument/2006/relationships/hyperlink" Target="https://horizondirect.gorgias.com/app/ticket/378554547" TargetMode="External"/><Relationship Id="rId195" Type="http://schemas.openxmlformats.org/officeDocument/2006/relationships/hyperlink" Target="https://horizondirect.gorgias.com/app/ticket/378552946" TargetMode="External"/><Relationship Id="rId199" Type="http://schemas.openxmlformats.org/officeDocument/2006/relationships/hyperlink" Target="https://horizondirect.gorgias.com/app/ticket/378681526" TargetMode="External"/><Relationship Id="rId150" Type="http://schemas.openxmlformats.org/officeDocument/2006/relationships/hyperlink" Target="https://horizondirect.gorgias.com/app/ticket/375708763" TargetMode="External"/><Relationship Id="rId271" Type="http://schemas.openxmlformats.org/officeDocument/2006/relationships/hyperlink" Target="https://horizondirect.gorgias.com/app/ticket/383153987" TargetMode="External"/><Relationship Id="rId392" Type="http://schemas.openxmlformats.org/officeDocument/2006/relationships/hyperlink" Target="https://4ammedia.zendesk.com/agent/tickets/143425" TargetMode="External"/><Relationship Id="rId270" Type="http://schemas.openxmlformats.org/officeDocument/2006/relationships/hyperlink" Target="https://horizondirect.gorgias.com/app/ticket/383138598" TargetMode="External"/><Relationship Id="rId391" Type="http://schemas.openxmlformats.org/officeDocument/2006/relationships/hyperlink" Target="https://assets.aircall.io/calls/3786519481/recording" TargetMode="External"/><Relationship Id="rId390" Type="http://schemas.openxmlformats.org/officeDocument/2006/relationships/hyperlink" Target="https://assets.aircall.io/calls/3786353987/recording" TargetMode="External"/><Relationship Id="rId1" Type="http://schemas.openxmlformats.org/officeDocument/2006/relationships/hyperlink" Target="https://horizondirect.gorgias.com/app/ticket/365248556" TargetMode="External"/><Relationship Id="rId2" Type="http://schemas.openxmlformats.org/officeDocument/2006/relationships/hyperlink" Target="https://horizondirect.gorgias.com/app/ticket/365267099" TargetMode="External"/><Relationship Id="rId3" Type="http://schemas.openxmlformats.org/officeDocument/2006/relationships/hyperlink" Target="https://horizondirect.gorgias.com/app/ticket/365286864" TargetMode="External"/><Relationship Id="rId149" Type="http://schemas.openxmlformats.org/officeDocument/2006/relationships/hyperlink" Target="https://horizondirect.gorgias.com/app/ticket/375700998" TargetMode="External"/><Relationship Id="rId4" Type="http://schemas.openxmlformats.org/officeDocument/2006/relationships/hyperlink" Target="https://horizondirect.gorgias.com/app/ticket/365432798" TargetMode="External"/><Relationship Id="rId148" Type="http://schemas.openxmlformats.org/officeDocument/2006/relationships/hyperlink" Target="https://horizondirect.gorgias.com/app/ticket/375552597" TargetMode="External"/><Relationship Id="rId269" Type="http://schemas.openxmlformats.org/officeDocument/2006/relationships/hyperlink" Target="https://horizondirect.gorgias.com/app/ticket/383130307" TargetMode="External"/><Relationship Id="rId9" Type="http://schemas.openxmlformats.org/officeDocument/2006/relationships/hyperlink" Target="https://horizondirect.gorgias.com/app/ticket/365578981" TargetMode="External"/><Relationship Id="rId143" Type="http://schemas.openxmlformats.org/officeDocument/2006/relationships/hyperlink" Target="https://horizondirect.gorgias.com/app/ticket/375442609" TargetMode="External"/><Relationship Id="rId264" Type="http://schemas.openxmlformats.org/officeDocument/2006/relationships/hyperlink" Target="https://horizondirect.gorgias.com/app/ticket/382901627" TargetMode="External"/><Relationship Id="rId385" Type="http://schemas.openxmlformats.org/officeDocument/2006/relationships/hyperlink" Target="https://assets.aircall.io/calls/3777165667/recording" TargetMode="External"/><Relationship Id="rId142" Type="http://schemas.openxmlformats.org/officeDocument/2006/relationships/hyperlink" Target="https://horizondirect.gorgias.com/app/ticket/375318223" TargetMode="External"/><Relationship Id="rId263" Type="http://schemas.openxmlformats.org/officeDocument/2006/relationships/hyperlink" Target="https://horizondirect.gorgias.com/app/ticket/382873606" TargetMode="External"/><Relationship Id="rId384" Type="http://schemas.openxmlformats.org/officeDocument/2006/relationships/hyperlink" Target="https://assets.aircall.io/calls/3777157091/recording" TargetMode="External"/><Relationship Id="rId141" Type="http://schemas.openxmlformats.org/officeDocument/2006/relationships/hyperlink" Target="https://horizondirect.gorgias.com/app/ticket/375317823" TargetMode="External"/><Relationship Id="rId262" Type="http://schemas.openxmlformats.org/officeDocument/2006/relationships/hyperlink" Target="https://horizondirect.gorgias.com/app/ticket/382760457" TargetMode="External"/><Relationship Id="rId383" Type="http://schemas.openxmlformats.org/officeDocument/2006/relationships/hyperlink" Target="https://assets.aircall.io/calls/3777117307/recording" TargetMode="External"/><Relationship Id="rId140" Type="http://schemas.openxmlformats.org/officeDocument/2006/relationships/hyperlink" Target="https://horizondirect.gorgias.com/app/ticket/375316945" TargetMode="External"/><Relationship Id="rId261" Type="http://schemas.openxmlformats.org/officeDocument/2006/relationships/hyperlink" Target="https://horizondirect.gorgias.com/app/ticket/382739533" TargetMode="External"/><Relationship Id="rId382" Type="http://schemas.openxmlformats.org/officeDocument/2006/relationships/hyperlink" Target="https://assets.aircall.io/calls/3772755340/recording" TargetMode="External"/><Relationship Id="rId5" Type="http://schemas.openxmlformats.org/officeDocument/2006/relationships/hyperlink" Target="https://horizondirect.gorgias.com/app/ticket/365447131" TargetMode="External"/><Relationship Id="rId147" Type="http://schemas.openxmlformats.org/officeDocument/2006/relationships/hyperlink" Target="https://horizondirect.gorgias.com/app/ticket/375542469" TargetMode="External"/><Relationship Id="rId268" Type="http://schemas.openxmlformats.org/officeDocument/2006/relationships/hyperlink" Target="https://horizondirect.gorgias.com/app/ticket/383027018" TargetMode="External"/><Relationship Id="rId389" Type="http://schemas.openxmlformats.org/officeDocument/2006/relationships/hyperlink" Target="https://assets.aircall.io/calls/3786334645/recording" TargetMode="External"/><Relationship Id="rId6" Type="http://schemas.openxmlformats.org/officeDocument/2006/relationships/hyperlink" Target="https://horizondirect.gorgias.com/app/ticket/365443784" TargetMode="External"/><Relationship Id="rId146" Type="http://schemas.openxmlformats.org/officeDocument/2006/relationships/hyperlink" Target="https://horizondirect.gorgias.com/app/ticket/375531755" TargetMode="External"/><Relationship Id="rId267" Type="http://schemas.openxmlformats.org/officeDocument/2006/relationships/hyperlink" Target="https://horizondirect.gorgias.com/app/ticket/383003932" TargetMode="External"/><Relationship Id="rId388" Type="http://schemas.openxmlformats.org/officeDocument/2006/relationships/hyperlink" Target="https://assets.aircall.io/calls/3781631375/recording" TargetMode="External"/><Relationship Id="rId7" Type="http://schemas.openxmlformats.org/officeDocument/2006/relationships/hyperlink" Target="https://horizondirect.gorgias.com/app/ticket/365572322" TargetMode="External"/><Relationship Id="rId145" Type="http://schemas.openxmlformats.org/officeDocument/2006/relationships/hyperlink" Target="https://horizondirect.gorgias.com/app/ticket/375445416" TargetMode="External"/><Relationship Id="rId266" Type="http://schemas.openxmlformats.org/officeDocument/2006/relationships/hyperlink" Target="https://horizondirect.gorgias.com/app/ticket/382990680" TargetMode="External"/><Relationship Id="rId387" Type="http://schemas.openxmlformats.org/officeDocument/2006/relationships/hyperlink" Target="https://assets.aircall.io/calls/3781610679/recording" TargetMode="External"/><Relationship Id="rId8" Type="http://schemas.openxmlformats.org/officeDocument/2006/relationships/hyperlink" Target="https://horizondirect.gorgias.com/app/ticket/365592219" TargetMode="External"/><Relationship Id="rId144" Type="http://schemas.openxmlformats.org/officeDocument/2006/relationships/hyperlink" Target="https://horizondirect.gorgias.com/app/ticket/375444904" TargetMode="External"/><Relationship Id="rId265" Type="http://schemas.openxmlformats.org/officeDocument/2006/relationships/hyperlink" Target="https://horizondirect.gorgias.com/app/ticket/383011940" TargetMode="External"/><Relationship Id="rId386" Type="http://schemas.openxmlformats.org/officeDocument/2006/relationships/hyperlink" Target="https://assets.aircall.io/calls/3781503299/recording" TargetMode="External"/><Relationship Id="rId260" Type="http://schemas.openxmlformats.org/officeDocument/2006/relationships/hyperlink" Target="https://horizondirect.gorgias.com/app/ticket/382736147" TargetMode="External"/><Relationship Id="rId381" Type="http://schemas.openxmlformats.org/officeDocument/2006/relationships/hyperlink" Target="https://assets.aircall.io/calls/3772669518/recording" TargetMode="External"/><Relationship Id="rId380" Type="http://schemas.openxmlformats.org/officeDocument/2006/relationships/hyperlink" Target="https://assets.aircall.io/calls/3772544064/recording" TargetMode="External"/><Relationship Id="rId139" Type="http://schemas.openxmlformats.org/officeDocument/2006/relationships/hyperlink" Target="https://horizondirect.gorgias.com/app/ticket/374992707" TargetMode="External"/><Relationship Id="rId138" Type="http://schemas.openxmlformats.org/officeDocument/2006/relationships/hyperlink" Target="https://horizondirect.gorgias.com/app/ticket/374993674" TargetMode="External"/><Relationship Id="rId259" Type="http://schemas.openxmlformats.org/officeDocument/2006/relationships/hyperlink" Target="https://horizondirect.gorgias.com/app/ticket/382350311" TargetMode="External"/><Relationship Id="rId137" Type="http://schemas.openxmlformats.org/officeDocument/2006/relationships/hyperlink" Target="https://horizondirect.gorgias.com/app/ticket/374977894" TargetMode="External"/><Relationship Id="rId258" Type="http://schemas.openxmlformats.org/officeDocument/2006/relationships/hyperlink" Target="https://horizondirect.gorgias.com/app/ticket/382336967" TargetMode="External"/><Relationship Id="rId379" Type="http://schemas.openxmlformats.org/officeDocument/2006/relationships/hyperlink" Target="https://assets.aircall.io/calls/3770239880/recording" TargetMode="External"/><Relationship Id="rId132" Type="http://schemas.openxmlformats.org/officeDocument/2006/relationships/hyperlink" Target="https://horizondirect.gorgias.com/app/ticket/374675737" TargetMode="External"/><Relationship Id="rId253" Type="http://schemas.openxmlformats.org/officeDocument/2006/relationships/hyperlink" Target="https://horizondirect.gorgias.com/app/ticket/381782812" TargetMode="External"/><Relationship Id="rId374" Type="http://schemas.openxmlformats.org/officeDocument/2006/relationships/hyperlink" Target="https://assets.aircall.io/calls/3765528591/recording" TargetMode="External"/><Relationship Id="rId495" Type="http://schemas.openxmlformats.org/officeDocument/2006/relationships/hyperlink" Target="https://4ammedia.zendesk.com/agent/tickets/232553" TargetMode="External"/><Relationship Id="rId131" Type="http://schemas.openxmlformats.org/officeDocument/2006/relationships/hyperlink" Target="https://horizondirect.gorgias.com/app/ticket/374669936" TargetMode="External"/><Relationship Id="rId252" Type="http://schemas.openxmlformats.org/officeDocument/2006/relationships/hyperlink" Target="https://horizondirect.gorgias.com/app/ticket/381773478" TargetMode="External"/><Relationship Id="rId373" Type="http://schemas.openxmlformats.org/officeDocument/2006/relationships/hyperlink" Target="https://assets.aircall.io/calls/3761480507/recording" TargetMode="External"/><Relationship Id="rId494" Type="http://schemas.openxmlformats.org/officeDocument/2006/relationships/hyperlink" Target="https://4ammedia.zendesk.com/agent/tickets/230785" TargetMode="External"/><Relationship Id="rId130" Type="http://schemas.openxmlformats.org/officeDocument/2006/relationships/hyperlink" Target="https://horizondirect.gorgias.com/app/ticket/374587989" TargetMode="External"/><Relationship Id="rId251" Type="http://schemas.openxmlformats.org/officeDocument/2006/relationships/hyperlink" Target="https://horizondirect.gorgias.com/app/ticket/381764661" TargetMode="External"/><Relationship Id="rId372" Type="http://schemas.openxmlformats.org/officeDocument/2006/relationships/hyperlink" Target="https://assets.aircall.io/calls/3761456506/recording" TargetMode="External"/><Relationship Id="rId493" Type="http://schemas.openxmlformats.org/officeDocument/2006/relationships/hyperlink" Target="https://4ammedia.zendesk.com/agent/tickets/230702" TargetMode="External"/><Relationship Id="rId250" Type="http://schemas.openxmlformats.org/officeDocument/2006/relationships/hyperlink" Target="https://horizondirect.gorgias.com/app/ticket/381660006" TargetMode="External"/><Relationship Id="rId371" Type="http://schemas.openxmlformats.org/officeDocument/2006/relationships/hyperlink" Target="https://assets.aircall.io/calls/3761434478/recording" TargetMode="External"/><Relationship Id="rId492" Type="http://schemas.openxmlformats.org/officeDocument/2006/relationships/hyperlink" Target="https://4ammedia.zendesk.com/agent/tickets/230594" TargetMode="External"/><Relationship Id="rId136" Type="http://schemas.openxmlformats.org/officeDocument/2006/relationships/hyperlink" Target="https://horizondirect.gorgias.com/app/ticket/374865061" TargetMode="External"/><Relationship Id="rId257" Type="http://schemas.openxmlformats.org/officeDocument/2006/relationships/hyperlink" Target="https://horizondirect.gorgias.com/app/ticket/382330248" TargetMode="External"/><Relationship Id="rId378" Type="http://schemas.openxmlformats.org/officeDocument/2006/relationships/hyperlink" Target="https://assets.aircall.io/calls/3770202878/recording" TargetMode="External"/><Relationship Id="rId499" Type="http://schemas.openxmlformats.org/officeDocument/2006/relationships/hyperlink" Target="https://4ammedia.zendesk.com/agent/tickets/236968" TargetMode="External"/><Relationship Id="rId135" Type="http://schemas.openxmlformats.org/officeDocument/2006/relationships/hyperlink" Target="https://horizondirect.gorgias.com/app/ticket/374860194" TargetMode="External"/><Relationship Id="rId256" Type="http://schemas.openxmlformats.org/officeDocument/2006/relationships/hyperlink" Target="https://horizondirect.gorgias.com/app/ticket/381912233" TargetMode="External"/><Relationship Id="rId377" Type="http://schemas.openxmlformats.org/officeDocument/2006/relationships/hyperlink" Target="https://assets.aircall.io/calls/3770073582/recording" TargetMode="External"/><Relationship Id="rId498" Type="http://schemas.openxmlformats.org/officeDocument/2006/relationships/hyperlink" Target="https://4ammedia.zendesk.com/agent/tickets/236913" TargetMode="External"/><Relationship Id="rId134" Type="http://schemas.openxmlformats.org/officeDocument/2006/relationships/hyperlink" Target="https://horizondirect.gorgias.com/app/ticket/374844970" TargetMode="External"/><Relationship Id="rId255" Type="http://schemas.openxmlformats.org/officeDocument/2006/relationships/hyperlink" Target="https://horizondirect.gorgias.com/app/ticket/381906377" TargetMode="External"/><Relationship Id="rId376" Type="http://schemas.openxmlformats.org/officeDocument/2006/relationships/hyperlink" Target="https://assets.aircall.io/calls/3765593920/recording" TargetMode="External"/><Relationship Id="rId497" Type="http://schemas.openxmlformats.org/officeDocument/2006/relationships/hyperlink" Target="https://4ammedia.zendesk.com/agent/tickets/232818" TargetMode="External"/><Relationship Id="rId133" Type="http://schemas.openxmlformats.org/officeDocument/2006/relationships/hyperlink" Target="https://horizondirect.gorgias.com/app/ticket/374682544" TargetMode="External"/><Relationship Id="rId254" Type="http://schemas.openxmlformats.org/officeDocument/2006/relationships/hyperlink" Target="https://horizondirect.gorgias.com/app/ticket/381899923" TargetMode="External"/><Relationship Id="rId375" Type="http://schemas.openxmlformats.org/officeDocument/2006/relationships/hyperlink" Target="https://assets.aircall.io/calls/3765568496/recording" TargetMode="External"/><Relationship Id="rId496" Type="http://schemas.openxmlformats.org/officeDocument/2006/relationships/hyperlink" Target="https://4ammedia.zendesk.com/agent/tickets/232668" TargetMode="External"/><Relationship Id="rId172" Type="http://schemas.openxmlformats.org/officeDocument/2006/relationships/hyperlink" Target="https://horizondirect.gorgias.com/app/ticket/377045959" TargetMode="External"/><Relationship Id="rId293" Type="http://schemas.openxmlformats.org/officeDocument/2006/relationships/hyperlink" Target="https://horizondirect.gorgias.com/app/ticket/384847174" TargetMode="External"/><Relationship Id="rId171" Type="http://schemas.openxmlformats.org/officeDocument/2006/relationships/hyperlink" Target="https://horizondirect.gorgias.com/app/ticket/377038103" TargetMode="External"/><Relationship Id="rId292" Type="http://schemas.openxmlformats.org/officeDocument/2006/relationships/hyperlink" Target="https://horizondirect.gorgias.com/app/ticket/384745952" TargetMode="External"/><Relationship Id="rId170" Type="http://schemas.openxmlformats.org/officeDocument/2006/relationships/hyperlink" Target="https://horizondirect.gorgias.com/app/ticket/377027009" TargetMode="External"/><Relationship Id="rId291" Type="http://schemas.openxmlformats.org/officeDocument/2006/relationships/hyperlink" Target="https://horizondirect.gorgias.com/app/ticket/384743716" TargetMode="External"/><Relationship Id="rId290" Type="http://schemas.openxmlformats.org/officeDocument/2006/relationships/hyperlink" Target="https://horizondirect.gorgias.com/app/ticket/384726682" TargetMode="External"/><Relationship Id="rId165" Type="http://schemas.openxmlformats.org/officeDocument/2006/relationships/hyperlink" Target="https://horizondirect.gorgias.com/app/ticket/376567511" TargetMode="External"/><Relationship Id="rId286" Type="http://schemas.openxmlformats.org/officeDocument/2006/relationships/hyperlink" Target="https://horizondirect.gorgias.com/app/ticket/384106189" TargetMode="External"/><Relationship Id="rId164" Type="http://schemas.openxmlformats.org/officeDocument/2006/relationships/hyperlink" Target="https://horizondirect.gorgias.com/app/ticket/376545072" TargetMode="External"/><Relationship Id="rId285" Type="http://schemas.openxmlformats.org/officeDocument/2006/relationships/hyperlink" Target="https://horizondirect.gorgias.com/app/ticket/384098748" TargetMode="External"/><Relationship Id="rId163" Type="http://schemas.openxmlformats.org/officeDocument/2006/relationships/hyperlink" Target="https://horizondirect.gorgias.com/app/ticket/376424690" TargetMode="External"/><Relationship Id="rId284" Type="http://schemas.openxmlformats.org/officeDocument/2006/relationships/hyperlink" Target="https://horizondirect.gorgias.com/app/ticket/384094472" TargetMode="External"/><Relationship Id="rId162" Type="http://schemas.openxmlformats.org/officeDocument/2006/relationships/hyperlink" Target="https://horizondirect.gorgias.com/app/ticket/376419159" TargetMode="External"/><Relationship Id="rId283" Type="http://schemas.openxmlformats.org/officeDocument/2006/relationships/hyperlink" Target="https://horizondirect.gorgias.com/app/ticket/384000765" TargetMode="External"/><Relationship Id="rId169" Type="http://schemas.openxmlformats.org/officeDocument/2006/relationships/hyperlink" Target="https://horizondirect.gorgias.com/app/ticket/376841041" TargetMode="External"/><Relationship Id="rId168" Type="http://schemas.openxmlformats.org/officeDocument/2006/relationships/hyperlink" Target="https://horizondirect.gorgias.com/app/ticket/376841797" TargetMode="External"/><Relationship Id="rId289" Type="http://schemas.openxmlformats.org/officeDocument/2006/relationships/hyperlink" Target="https://horizondirect.gorgias.com/app/ticket/384603771" TargetMode="External"/><Relationship Id="rId167" Type="http://schemas.openxmlformats.org/officeDocument/2006/relationships/hyperlink" Target="https://horizondirect.gorgias.com/app/ticket/376862493" TargetMode="External"/><Relationship Id="rId288" Type="http://schemas.openxmlformats.org/officeDocument/2006/relationships/hyperlink" Target="https://horizondirect.gorgias.com/app/ticket/384586438" TargetMode="External"/><Relationship Id="rId166" Type="http://schemas.openxmlformats.org/officeDocument/2006/relationships/hyperlink" Target="https://horizondirect.gorgias.com/app/ticket/376584572" TargetMode="External"/><Relationship Id="rId287" Type="http://schemas.openxmlformats.org/officeDocument/2006/relationships/hyperlink" Target="https://horizondirect.gorgias.com/app/ticket/384578304" TargetMode="External"/><Relationship Id="rId161" Type="http://schemas.openxmlformats.org/officeDocument/2006/relationships/hyperlink" Target="https://horizondirect.gorgias.com/app/ticket/376402172" TargetMode="External"/><Relationship Id="rId282" Type="http://schemas.openxmlformats.org/officeDocument/2006/relationships/hyperlink" Target="https://horizondirect.gorgias.com/app/ticket/383998818" TargetMode="External"/><Relationship Id="rId160" Type="http://schemas.openxmlformats.org/officeDocument/2006/relationships/hyperlink" Target="https://horizondirect.gorgias.com/app/ticket/376308715" TargetMode="External"/><Relationship Id="rId281" Type="http://schemas.openxmlformats.org/officeDocument/2006/relationships/hyperlink" Target="https://horizondirect.gorgias.com/app/ticket/383988091" TargetMode="External"/><Relationship Id="rId280" Type="http://schemas.openxmlformats.org/officeDocument/2006/relationships/hyperlink" Target="https://horizondirect.gorgias.com/app/ticket/383874392" TargetMode="External"/><Relationship Id="rId159" Type="http://schemas.openxmlformats.org/officeDocument/2006/relationships/hyperlink" Target="https://horizondirect.gorgias.com/app/ticket/376293200" TargetMode="External"/><Relationship Id="rId154" Type="http://schemas.openxmlformats.org/officeDocument/2006/relationships/hyperlink" Target="https://horizondirect.gorgias.com/app/ticket/375897441" TargetMode="External"/><Relationship Id="rId275" Type="http://schemas.openxmlformats.org/officeDocument/2006/relationships/hyperlink" Target="https://horizondirect.gorgias.com/app/ticket/383723498" TargetMode="External"/><Relationship Id="rId396" Type="http://schemas.openxmlformats.org/officeDocument/2006/relationships/hyperlink" Target="https://4ammedia.zendesk.com/agent/tickets/145229" TargetMode="External"/><Relationship Id="rId153" Type="http://schemas.openxmlformats.org/officeDocument/2006/relationships/hyperlink" Target="https://horizondirect.gorgias.com/app/ticket/375883908" TargetMode="External"/><Relationship Id="rId274" Type="http://schemas.openxmlformats.org/officeDocument/2006/relationships/hyperlink" Target="https://horizondirect.gorgias.com/app/ticket/383588076" TargetMode="External"/><Relationship Id="rId395" Type="http://schemas.openxmlformats.org/officeDocument/2006/relationships/hyperlink" Target="https://4ammedia.zendesk.com/agent/tickets/144971" TargetMode="External"/><Relationship Id="rId152" Type="http://schemas.openxmlformats.org/officeDocument/2006/relationships/hyperlink" Target="https://horizondirect.gorgias.com/app/ticket/375879568" TargetMode="External"/><Relationship Id="rId273" Type="http://schemas.openxmlformats.org/officeDocument/2006/relationships/hyperlink" Target="https://horizondirect.gorgias.com/app/ticket/383575802" TargetMode="External"/><Relationship Id="rId394" Type="http://schemas.openxmlformats.org/officeDocument/2006/relationships/hyperlink" Target="https://4ammedia.zendesk.com/agent/tickets/143976" TargetMode="External"/><Relationship Id="rId151" Type="http://schemas.openxmlformats.org/officeDocument/2006/relationships/hyperlink" Target="https://horizondirect.gorgias.com/app/ticket/375720452" TargetMode="External"/><Relationship Id="rId272" Type="http://schemas.openxmlformats.org/officeDocument/2006/relationships/hyperlink" Target="https://horizondirect.gorgias.com/app/ticket/383570684" TargetMode="External"/><Relationship Id="rId393" Type="http://schemas.openxmlformats.org/officeDocument/2006/relationships/hyperlink" Target="https://4ammedia.zendesk.com/agent/tickets/143761" TargetMode="External"/><Relationship Id="rId158" Type="http://schemas.openxmlformats.org/officeDocument/2006/relationships/hyperlink" Target="https://horizondirect.gorgias.com/app/ticket/376277032" TargetMode="External"/><Relationship Id="rId279" Type="http://schemas.openxmlformats.org/officeDocument/2006/relationships/hyperlink" Target="https://horizondirect.gorgias.com/app/ticket/383857720" TargetMode="External"/><Relationship Id="rId157" Type="http://schemas.openxmlformats.org/officeDocument/2006/relationships/hyperlink" Target="https://horizondirect.gorgias.com/app/ticket/376140485" TargetMode="External"/><Relationship Id="rId278" Type="http://schemas.openxmlformats.org/officeDocument/2006/relationships/hyperlink" Target="https://horizondirect.gorgias.com/app/ticket/383849773" TargetMode="External"/><Relationship Id="rId399" Type="http://schemas.openxmlformats.org/officeDocument/2006/relationships/hyperlink" Target="https://4ammedia.zendesk.com/agent/tickets/152707" TargetMode="External"/><Relationship Id="rId156" Type="http://schemas.openxmlformats.org/officeDocument/2006/relationships/hyperlink" Target="https://horizondirect.gorgias.com/app/ticket/376132570" TargetMode="External"/><Relationship Id="rId277" Type="http://schemas.openxmlformats.org/officeDocument/2006/relationships/hyperlink" Target="https://horizondirect.gorgias.com/app/ticket/383732347" TargetMode="External"/><Relationship Id="rId398" Type="http://schemas.openxmlformats.org/officeDocument/2006/relationships/hyperlink" Target="https://4ammedia.zendesk.com/agent/tickets/152641" TargetMode="External"/><Relationship Id="rId155" Type="http://schemas.openxmlformats.org/officeDocument/2006/relationships/hyperlink" Target="https://horizondirect.gorgias.com/app/ticket/376122588" TargetMode="External"/><Relationship Id="rId276" Type="http://schemas.openxmlformats.org/officeDocument/2006/relationships/hyperlink" Target="https://horizondirect.gorgias.com/app/ticket/383727866" TargetMode="External"/><Relationship Id="rId397" Type="http://schemas.openxmlformats.org/officeDocument/2006/relationships/hyperlink" Target="https://4ammedia.zendesk.com/agent/tickets/145261" TargetMode="External"/><Relationship Id="rId40" Type="http://schemas.openxmlformats.org/officeDocument/2006/relationships/hyperlink" Target="https://horizondirect.gorgias.com/app/ticket/367729712" TargetMode="External"/><Relationship Id="rId42" Type="http://schemas.openxmlformats.org/officeDocument/2006/relationships/hyperlink" Target="https://horizondirect.gorgias.com/app/ticket/367751172" TargetMode="External"/><Relationship Id="rId41" Type="http://schemas.openxmlformats.org/officeDocument/2006/relationships/hyperlink" Target="https://horizondirect.gorgias.com/app/ticket/367743666" TargetMode="External"/><Relationship Id="rId44" Type="http://schemas.openxmlformats.org/officeDocument/2006/relationships/hyperlink" Target="https://horizondirect.gorgias.com/app/ticket/368488763" TargetMode="External"/><Relationship Id="rId43" Type="http://schemas.openxmlformats.org/officeDocument/2006/relationships/hyperlink" Target="https://horizondirect.gorgias.com/app/ticket/368489778" TargetMode="External"/><Relationship Id="rId46" Type="http://schemas.openxmlformats.org/officeDocument/2006/relationships/hyperlink" Target="https://horizondirect.gorgias.com/app/ticket/368624135" TargetMode="External"/><Relationship Id="rId45" Type="http://schemas.openxmlformats.org/officeDocument/2006/relationships/hyperlink" Target="https://horizondirect.gorgias.com/app/ticket/368465080" TargetMode="External"/><Relationship Id="rId509" Type="http://schemas.openxmlformats.org/officeDocument/2006/relationships/hyperlink" Target="https://4ammedia.zendesk.com/agent/tickets/243544" TargetMode="External"/><Relationship Id="rId508" Type="http://schemas.openxmlformats.org/officeDocument/2006/relationships/hyperlink" Target="https://4ammedia.zendesk.com/agent/tickets/243386" TargetMode="External"/><Relationship Id="rId503" Type="http://schemas.openxmlformats.org/officeDocument/2006/relationships/hyperlink" Target="https://4ammedia.zendesk.com/agent/tickets/239140" TargetMode="External"/><Relationship Id="rId502" Type="http://schemas.openxmlformats.org/officeDocument/2006/relationships/hyperlink" Target="https://4ammedia.zendesk.com/agent/tickets/239043" TargetMode="External"/><Relationship Id="rId501" Type="http://schemas.openxmlformats.org/officeDocument/2006/relationships/hyperlink" Target="https://4ammedia.zendesk.com/agent/tickets/238882" TargetMode="External"/><Relationship Id="rId500" Type="http://schemas.openxmlformats.org/officeDocument/2006/relationships/hyperlink" Target="https://4ammedia.zendesk.com/agent/tickets/237096" TargetMode="External"/><Relationship Id="rId507" Type="http://schemas.openxmlformats.org/officeDocument/2006/relationships/hyperlink" Target="https://4ammedia.zendesk.com/agent/tickets/243296" TargetMode="External"/><Relationship Id="rId506" Type="http://schemas.openxmlformats.org/officeDocument/2006/relationships/hyperlink" Target="https://4ammedia.zendesk.com/agent/tickets/241441" TargetMode="External"/><Relationship Id="rId505" Type="http://schemas.openxmlformats.org/officeDocument/2006/relationships/hyperlink" Target="https://4ammedia.zendesk.com/agent/tickets/241283" TargetMode="External"/><Relationship Id="rId504" Type="http://schemas.openxmlformats.org/officeDocument/2006/relationships/hyperlink" Target="https://4ammedia.zendesk.com/agent/tickets/241082" TargetMode="External"/><Relationship Id="rId48" Type="http://schemas.openxmlformats.org/officeDocument/2006/relationships/hyperlink" Target="https://horizondirect.gorgias.com/app/ticket/368676366" TargetMode="External"/><Relationship Id="rId47" Type="http://schemas.openxmlformats.org/officeDocument/2006/relationships/hyperlink" Target="https://horizondirect.gorgias.com/app/ticket/368663859" TargetMode="External"/><Relationship Id="rId49" Type="http://schemas.openxmlformats.org/officeDocument/2006/relationships/hyperlink" Target="https://horizondirect.gorgias.com/app/ticket/368852608" TargetMode="External"/><Relationship Id="rId31" Type="http://schemas.openxmlformats.org/officeDocument/2006/relationships/hyperlink" Target="https://horizondirect.gorgias.com/app/ticket/367197947" TargetMode="External"/><Relationship Id="rId30" Type="http://schemas.openxmlformats.org/officeDocument/2006/relationships/hyperlink" Target="https://horizondirect.gorgias.com/app/ticket/366878982" TargetMode="External"/><Relationship Id="rId33" Type="http://schemas.openxmlformats.org/officeDocument/2006/relationships/hyperlink" Target="https://horizondirect.gorgias.com/app/ticket/367248020" TargetMode="External"/><Relationship Id="rId32" Type="http://schemas.openxmlformats.org/officeDocument/2006/relationships/hyperlink" Target="https://horizondirect.gorgias.com/app/ticket/367231040" TargetMode="External"/><Relationship Id="rId35" Type="http://schemas.openxmlformats.org/officeDocument/2006/relationships/hyperlink" Target="https://horizondirect.gorgias.com/app/ticket/367421903" TargetMode="External"/><Relationship Id="rId34" Type="http://schemas.openxmlformats.org/officeDocument/2006/relationships/hyperlink" Target="https://horizondirect.gorgias.com/app/ticket/367429567" TargetMode="External"/><Relationship Id="rId37" Type="http://schemas.openxmlformats.org/officeDocument/2006/relationships/hyperlink" Target="https://horizondirect.gorgias.com/app/ticket/367394929" TargetMode="External"/><Relationship Id="rId36" Type="http://schemas.openxmlformats.org/officeDocument/2006/relationships/hyperlink" Target="https://horizondirect.gorgias.com/app/ticket/367419430" TargetMode="External"/><Relationship Id="rId39" Type="http://schemas.openxmlformats.org/officeDocument/2006/relationships/hyperlink" Target="https://horizondirect.gorgias.com/app/ticket/367401908" TargetMode="External"/><Relationship Id="rId38" Type="http://schemas.openxmlformats.org/officeDocument/2006/relationships/hyperlink" Target="https://horizondirect.gorgias.com/app/ticket/367399873" TargetMode="External"/><Relationship Id="rId20" Type="http://schemas.openxmlformats.org/officeDocument/2006/relationships/hyperlink" Target="https://horizondirect.gorgias.com/app/ticket/366418018" TargetMode="External"/><Relationship Id="rId22" Type="http://schemas.openxmlformats.org/officeDocument/2006/relationships/hyperlink" Target="https://horizondirect.gorgias.com/app/ticket/366567760" TargetMode="External"/><Relationship Id="rId21" Type="http://schemas.openxmlformats.org/officeDocument/2006/relationships/hyperlink" Target="https://horizondirect.gorgias.com/app/ticket/366407627" TargetMode="External"/><Relationship Id="rId24" Type="http://schemas.openxmlformats.org/officeDocument/2006/relationships/hyperlink" Target="https://horizondirect.gorgias.com/app/ticket/366546603" TargetMode="External"/><Relationship Id="rId23" Type="http://schemas.openxmlformats.org/officeDocument/2006/relationships/hyperlink" Target="https://horizondirect.gorgias.com/app/ticket/366555327" TargetMode="External"/><Relationship Id="rId409" Type="http://schemas.openxmlformats.org/officeDocument/2006/relationships/hyperlink" Target="https://4ammedia.zendesk.com/agent/tickets/157955" TargetMode="External"/><Relationship Id="rId404" Type="http://schemas.openxmlformats.org/officeDocument/2006/relationships/hyperlink" Target="https://4ammedia.zendesk.com/agent/tickets/156765" TargetMode="External"/><Relationship Id="rId525" Type="http://schemas.openxmlformats.org/officeDocument/2006/relationships/hyperlink" Target="https://4ammedia.zendesk.com/agent/tickets/261437" TargetMode="External"/><Relationship Id="rId403" Type="http://schemas.openxmlformats.org/officeDocument/2006/relationships/hyperlink" Target="https://4ammedia.zendesk.com/agent/tickets/154219" TargetMode="External"/><Relationship Id="rId524" Type="http://schemas.openxmlformats.org/officeDocument/2006/relationships/hyperlink" Target="https://4ammedia.zendesk.com/agent/tickets/260193" TargetMode="External"/><Relationship Id="rId402" Type="http://schemas.openxmlformats.org/officeDocument/2006/relationships/hyperlink" Target="https://4ammedia.zendesk.com/agent/tickets/154178" TargetMode="External"/><Relationship Id="rId523" Type="http://schemas.openxmlformats.org/officeDocument/2006/relationships/hyperlink" Target="https://4ammedia.zendesk.com/agent/tickets/260160" TargetMode="External"/><Relationship Id="rId401" Type="http://schemas.openxmlformats.org/officeDocument/2006/relationships/hyperlink" Target="https://4ammedia.zendesk.com/agent/tickets/153951" TargetMode="External"/><Relationship Id="rId522" Type="http://schemas.openxmlformats.org/officeDocument/2006/relationships/hyperlink" Target="https://4ammedia.zendesk.com/agent/tickets/260104" TargetMode="External"/><Relationship Id="rId408" Type="http://schemas.openxmlformats.org/officeDocument/2006/relationships/hyperlink" Target="https://4ammedia.zendesk.com/agent/tickets/157884" TargetMode="External"/><Relationship Id="rId529" Type="http://schemas.openxmlformats.org/officeDocument/2006/relationships/hyperlink" Target="https://4ammedia.zendesk.com/agent/tickets/263282" TargetMode="External"/><Relationship Id="rId407" Type="http://schemas.openxmlformats.org/officeDocument/2006/relationships/hyperlink" Target="https://4ammedia.zendesk.com/agent/tickets/157767" TargetMode="External"/><Relationship Id="rId528" Type="http://schemas.openxmlformats.org/officeDocument/2006/relationships/hyperlink" Target="https://4ammedia.zendesk.com/agent/tickets/262991" TargetMode="External"/><Relationship Id="rId406" Type="http://schemas.openxmlformats.org/officeDocument/2006/relationships/hyperlink" Target="https://4ammedia.zendesk.com/agent/tickets/157073" TargetMode="External"/><Relationship Id="rId527" Type="http://schemas.openxmlformats.org/officeDocument/2006/relationships/hyperlink" Target="https://4ammedia.zendesk.com/agent/tickets/261660" TargetMode="External"/><Relationship Id="rId405" Type="http://schemas.openxmlformats.org/officeDocument/2006/relationships/hyperlink" Target="https://4ammedia.zendesk.com/agent/tickets/156856" TargetMode="External"/><Relationship Id="rId526" Type="http://schemas.openxmlformats.org/officeDocument/2006/relationships/hyperlink" Target="https://4ammedia.zendesk.com/agent/tickets/261529" TargetMode="External"/><Relationship Id="rId26" Type="http://schemas.openxmlformats.org/officeDocument/2006/relationships/hyperlink" Target="https://horizondirect.gorgias.com/app/ticket/366704656" TargetMode="External"/><Relationship Id="rId25" Type="http://schemas.openxmlformats.org/officeDocument/2006/relationships/hyperlink" Target="https://horizondirect.gorgias.com/app/ticket/366698931" TargetMode="External"/><Relationship Id="rId28" Type="http://schemas.openxmlformats.org/officeDocument/2006/relationships/hyperlink" Target="https://horizondirect.gorgias.com/app/ticket/366855846" TargetMode="External"/><Relationship Id="rId27" Type="http://schemas.openxmlformats.org/officeDocument/2006/relationships/hyperlink" Target="https://horizondirect.gorgias.com/app/ticket/366711334" TargetMode="External"/><Relationship Id="rId400" Type="http://schemas.openxmlformats.org/officeDocument/2006/relationships/hyperlink" Target="https://4ammedia.zendesk.com/agent/tickets/152863" TargetMode="External"/><Relationship Id="rId521" Type="http://schemas.openxmlformats.org/officeDocument/2006/relationships/hyperlink" Target="https://4ammedia.zendesk.com/agent/tickets/255022" TargetMode="External"/><Relationship Id="rId29" Type="http://schemas.openxmlformats.org/officeDocument/2006/relationships/hyperlink" Target="https://horizondirect.gorgias.com/app/ticket/366862453" TargetMode="External"/><Relationship Id="rId520" Type="http://schemas.openxmlformats.org/officeDocument/2006/relationships/hyperlink" Target="https://4ammedia.zendesk.com/agent/tickets/254960" TargetMode="External"/><Relationship Id="rId11" Type="http://schemas.openxmlformats.org/officeDocument/2006/relationships/hyperlink" Target="https://horizondirect.gorgias.com/app/ticket/365746513" TargetMode="External"/><Relationship Id="rId10" Type="http://schemas.openxmlformats.org/officeDocument/2006/relationships/hyperlink" Target="https://horizondirect.gorgias.com/app/ticket/365726835" TargetMode="External"/><Relationship Id="rId13" Type="http://schemas.openxmlformats.org/officeDocument/2006/relationships/hyperlink" Target="https://horizondirect.gorgias.com/app/ticket/365841651" TargetMode="External"/><Relationship Id="rId12" Type="http://schemas.openxmlformats.org/officeDocument/2006/relationships/hyperlink" Target="https://horizondirect.gorgias.com/app/ticket/365741522" TargetMode="External"/><Relationship Id="rId519" Type="http://schemas.openxmlformats.org/officeDocument/2006/relationships/hyperlink" Target="https://4ammedia.zendesk.com/agent/tickets/254686" TargetMode="External"/><Relationship Id="rId514" Type="http://schemas.openxmlformats.org/officeDocument/2006/relationships/hyperlink" Target="https://4ammedia.zendesk.com/agent/tickets/250378" TargetMode="External"/><Relationship Id="rId513" Type="http://schemas.openxmlformats.org/officeDocument/2006/relationships/hyperlink" Target="https://4ammedia.zendesk.com/agent/tickets/250325" TargetMode="External"/><Relationship Id="rId512" Type="http://schemas.openxmlformats.org/officeDocument/2006/relationships/hyperlink" Target="https://4ammedia.zendesk.com/agent/tickets/248481" TargetMode="External"/><Relationship Id="rId511" Type="http://schemas.openxmlformats.org/officeDocument/2006/relationships/hyperlink" Target="https://4ammedia.zendesk.com/agent/tickets/248429" TargetMode="External"/><Relationship Id="rId518" Type="http://schemas.openxmlformats.org/officeDocument/2006/relationships/hyperlink" Target="https://4ammedia.zendesk.com/agent/tickets/251918" TargetMode="External"/><Relationship Id="rId517" Type="http://schemas.openxmlformats.org/officeDocument/2006/relationships/hyperlink" Target="https://4ammedia.zendesk.com/agent/tickets/252276" TargetMode="External"/><Relationship Id="rId516" Type="http://schemas.openxmlformats.org/officeDocument/2006/relationships/hyperlink" Target="https://4ammedia.zendesk.com/agent/tickets/251780" TargetMode="External"/><Relationship Id="rId515" Type="http://schemas.openxmlformats.org/officeDocument/2006/relationships/hyperlink" Target="https://4ammedia.zendesk.com/agent/tickets/250680" TargetMode="External"/><Relationship Id="rId15" Type="http://schemas.openxmlformats.org/officeDocument/2006/relationships/hyperlink" Target="https://horizondirect.gorgias.com/app/ticket/365892597" TargetMode="External"/><Relationship Id="rId14" Type="http://schemas.openxmlformats.org/officeDocument/2006/relationships/hyperlink" Target="https://horizondirect.gorgias.com/app/ticket/365869518" TargetMode="External"/><Relationship Id="rId17" Type="http://schemas.openxmlformats.org/officeDocument/2006/relationships/hyperlink" Target="https://horizondirect.gorgias.com/app/ticket/366227938" TargetMode="External"/><Relationship Id="rId16" Type="http://schemas.openxmlformats.org/officeDocument/2006/relationships/hyperlink" Target="https://horizondirect.gorgias.com/app/ticket/366238767" TargetMode="External"/><Relationship Id="rId19" Type="http://schemas.openxmlformats.org/officeDocument/2006/relationships/hyperlink" Target="https://horizondirect.gorgias.com/app/ticket/366427322" TargetMode="External"/><Relationship Id="rId510" Type="http://schemas.openxmlformats.org/officeDocument/2006/relationships/hyperlink" Target="https://4ammedia.zendesk.com/agent/tickets/248355" TargetMode="External"/><Relationship Id="rId18" Type="http://schemas.openxmlformats.org/officeDocument/2006/relationships/hyperlink" Target="https://horizondirect.gorgias.com/app/ticket/366226219" TargetMode="External"/><Relationship Id="rId84" Type="http://schemas.openxmlformats.org/officeDocument/2006/relationships/hyperlink" Target="https://horizondirect.gorgias.com/app/ticket/371308096" TargetMode="External"/><Relationship Id="rId83" Type="http://schemas.openxmlformats.org/officeDocument/2006/relationships/hyperlink" Target="https://horizondirect.gorgias.com/app/ticket/371303194" TargetMode="External"/><Relationship Id="rId86" Type="http://schemas.openxmlformats.org/officeDocument/2006/relationships/hyperlink" Target="https://horizondirect.gorgias.com/app/ticket/371463541" TargetMode="External"/><Relationship Id="rId85" Type="http://schemas.openxmlformats.org/officeDocument/2006/relationships/hyperlink" Target="https://horizondirect.gorgias.com/app/ticket/371310513" TargetMode="External"/><Relationship Id="rId88" Type="http://schemas.openxmlformats.org/officeDocument/2006/relationships/hyperlink" Target="https://horizondirect.gorgias.com/app/ticket/371353350" TargetMode="External"/><Relationship Id="rId87" Type="http://schemas.openxmlformats.org/officeDocument/2006/relationships/hyperlink" Target="https://horizondirect.gorgias.com/app/ticket/371477337" TargetMode="External"/><Relationship Id="rId89" Type="http://schemas.openxmlformats.org/officeDocument/2006/relationships/hyperlink" Target="https://horizondirect.gorgias.com/app/ticket/371851070" TargetMode="External"/><Relationship Id="rId80" Type="http://schemas.openxmlformats.org/officeDocument/2006/relationships/hyperlink" Target="https://horizondirect.gorgias.com/app/ticket/371153748" TargetMode="External"/><Relationship Id="rId82" Type="http://schemas.openxmlformats.org/officeDocument/2006/relationships/hyperlink" Target="https://horizondirect.gorgias.com/app/ticket/371171340" TargetMode="External"/><Relationship Id="rId81" Type="http://schemas.openxmlformats.org/officeDocument/2006/relationships/hyperlink" Target="https://horizondirect.gorgias.com/app/ticket/371166377" TargetMode="External"/><Relationship Id="rId73" Type="http://schemas.openxmlformats.org/officeDocument/2006/relationships/hyperlink" Target="https://horizondirect.gorgias.com/app/ticket/370435949" TargetMode="External"/><Relationship Id="rId72" Type="http://schemas.openxmlformats.org/officeDocument/2006/relationships/hyperlink" Target="https://horizondirect.gorgias.com/app/ticket/370441561" TargetMode="External"/><Relationship Id="rId75" Type="http://schemas.openxmlformats.org/officeDocument/2006/relationships/hyperlink" Target="https://horizondirect.gorgias.com/app/ticket/370829199" TargetMode="External"/><Relationship Id="rId74" Type="http://schemas.openxmlformats.org/officeDocument/2006/relationships/hyperlink" Target="https://horizondirect.gorgias.com/app/ticket/370826451" TargetMode="External"/><Relationship Id="rId77" Type="http://schemas.openxmlformats.org/officeDocument/2006/relationships/hyperlink" Target="https://horizondirect.gorgias.com/app/ticket/370990847" TargetMode="External"/><Relationship Id="rId76" Type="http://schemas.openxmlformats.org/officeDocument/2006/relationships/hyperlink" Target="https://horizondirect.gorgias.com/app/ticket/370832391" TargetMode="External"/><Relationship Id="rId79" Type="http://schemas.openxmlformats.org/officeDocument/2006/relationships/hyperlink" Target="https://horizondirect.gorgias.com/app/ticket/370997465" TargetMode="External"/><Relationship Id="rId78" Type="http://schemas.openxmlformats.org/officeDocument/2006/relationships/hyperlink" Target="https://horizondirect.gorgias.com/app/ticket/370992026" TargetMode="External"/><Relationship Id="rId71" Type="http://schemas.openxmlformats.org/officeDocument/2006/relationships/hyperlink" Target="https://horizondirect.gorgias.com/app/ticket/370438432" TargetMode="External"/><Relationship Id="rId70" Type="http://schemas.openxmlformats.org/officeDocument/2006/relationships/hyperlink" Target="https://horizondirect.gorgias.com/app/ticket/370255661" TargetMode="External"/><Relationship Id="rId62" Type="http://schemas.openxmlformats.org/officeDocument/2006/relationships/hyperlink" Target="https://horizondirect.gorgias.com/app/ticket/369909930" TargetMode="External"/><Relationship Id="rId61" Type="http://schemas.openxmlformats.org/officeDocument/2006/relationships/hyperlink" Target="https://horizondirect.gorgias.com/app/ticket/369701362" TargetMode="External"/><Relationship Id="rId64" Type="http://schemas.openxmlformats.org/officeDocument/2006/relationships/hyperlink" Target="https://horizondirect.gorgias.com/app/ticket/369892690" TargetMode="External"/><Relationship Id="rId63" Type="http://schemas.openxmlformats.org/officeDocument/2006/relationships/hyperlink" Target="https://horizondirect.gorgias.com/app/ticket/369900222" TargetMode="External"/><Relationship Id="rId66" Type="http://schemas.openxmlformats.org/officeDocument/2006/relationships/hyperlink" Target="https://horizondirect.gorgias.com/app/ticket/370086940" TargetMode="External"/><Relationship Id="rId65" Type="http://schemas.openxmlformats.org/officeDocument/2006/relationships/hyperlink" Target="https://horizondirect.gorgias.com/app/ticket/370083357" TargetMode="External"/><Relationship Id="rId68" Type="http://schemas.openxmlformats.org/officeDocument/2006/relationships/hyperlink" Target="https://horizondirect.gorgias.com/app/ticket/370228747" TargetMode="External"/><Relationship Id="rId67" Type="http://schemas.openxmlformats.org/officeDocument/2006/relationships/hyperlink" Target="https://horizondirect.gorgias.com/app/ticket/370091754" TargetMode="External"/><Relationship Id="rId60" Type="http://schemas.openxmlformats.org/officeDocument/2006/relationships/hyperlink" Target="https://horizondirect.gorgias.com/app/ticket/369676505" TargetMode="External"/><Relationship Id="rId69" Type="http://schemas.openxmlformats.org/officeDocument/2006/relationships/hyperlink" Target="https://horizondirect.gorgias.com/app/ticket/370247541" TargetMode="External"/><Relationship Id="rId51" Type="http://schemas.openxmlformats.org/officeDocument/2006/relationships/hyperlink" Target="https://horizondirect.gorgias.com/app/ticket/368867564" TargetMode="External"/><Relationship Id="rId50" Type="http://schemas.openxmlformats.org/officeDocument/2006/relationships/hyperlink" Target="https://horizondirect.gorgias.com/app/ticket/368862547" TargetMode="External"/><Relationship Id="rId53" Type="http://schemas.openxmlformats.org/officeDocument/2006/relationships/hyperlink" Target="https://horizondirect.gorgias.com/app/ticket/369003491" TargetMode="External"/><Relationship Id="rId52" Type="http://schemas.openxmlformats.org/officeDocument/2006/relationships/hyperlink" Target="https://horizondirect.gorgias.com/app/ticket/368991030" TargetMode="External"/><Relationship Id="rId55" Type="http://schemas.openxmlformats.org/officeDocument/2006/relationships/hyperlink" Target="https://horizondirect.gorgias.com/app/ticket/369185544" TargetMode="External"/><Relationship Id="rId54" Type="http://schemas.openxmlformats.org/officeDocument/2006/relationships/hyperlink" Target="https://horizondirect.gorgias.com/app/ticket/369006344" TargetMode="External"/><Relationship Id="rId57" Type="http://schemas.openxmlformats.org/officeDocument/2006/relationships/hyperlink" Target="https://horizondirect.gorgias.com/app/ticket/369202650" TargetMode="External"/><Relationship Id="rId56" Type="http://schemas.openxmlformats.org/officeDocument/2006/relationships/hyperlink" Target="https://horizondirect.gorgias.com/app/ticket/369204391" TargetMode="External"/><Relationship Id="rId59" Type="http://schemas.openxmlformats.org/officeDocument/2006/relationships/hyperlink" Target="https://horizondirect.gorgias.com/app/ticket/369653693" TargetMode="External"/><Relationship Id="rId58" Type="http://schemas.openxmlformats.org/officeDocument/2006/relationships/hyperlink" Target="https://horizondirect.gorgias.com/app/ticket/369219966" TargetMode="External"/><Relationship Id="rId107" Type="http://schemas.openxmlformats.org/officeDocument/2006/relationships/hyperlink" Target="https://horizondirect.gorgias.com/app/ticket/373151302" TargetMode="External"/><Relationship Id="rId228" Type="http://schemas.openxmlformats.org/officeDocument/2006/relationships/hyperlink" Target="https://horizondirect.gorgias.com/app/ticket/380261927" TargetMode="External"/><Relationship Id="rId349" Type="http://schemas.openxmlformats.org/officeDocument/2006/relationships/hyperlink" Target="https://assets.aircall.io/calls/3728762348/recording" TargetMode="External"/><Relationship Id="rId106" Type="http://schemas.openxmlformats.org/officeDocument/2006/relationships/hyperlink" Target="https://horizondirect.gorgias.com/app/ticket/373064174" TargetMode="External"/><Relationship Id="rId227" Type="http://schemas.openxmlformats.org/officeDocument/2006/relationships/hyperlink" Target="https://horizondirect.gorgias.com/app/ticket/380242552" TargetMode="External"/><Relationship Id="rId348" Type="http://schemas.openxmlformats.org/officeDocument/2006/relationships/hyperlink" Target="https://assets.aircall.io/calls/3728737650/recording" TargetMode="External"/><Relationship Id="rId469" Type="http://schemas.openxmlformats.org/officeDocument/2006/relationships/hyperlink" Target="https://4ammedia.zendesk.com/agent/tickets/212034" TargetMode="External"/><Relationship Id="rId105" Type="http://schemas.openxmlformats.org/officeDocument/2006/relationships/hyperlink" Target="https://horizondirect.gorgias.com/app/ticket/373063376" TargetMode="External"/><Relationship Id="rId226" Type="http://schemas.openxmlformats.org/officeDocument/2006/relationships/hyperlink" Target="https://horizondirect.gorgias.com/app/ticket/380227895" TargetMode="External"/><Relationship Id="rId347" Type="http://schemas.openxmlformats.org/officeDocument/2006/relationships/hyperlink" Target="https://assets.aircall.io/calls/3728705880/recording" TargetMode="External"/><Relationship Id="rId468" Type="http://schemas.openxmlformats.org/officeDocument/2006/relationships/hyperlink" Target="https://4ammedia.zendesk.com/agent/tickets/211879" TargetMode="External"/><Relationship Id="rId104" Type="http://schemas.openxmlformats.org/officeDocument/2006/relationships/hyperlink" Target="https://horizondirect.gorgias.com/app/ticket/373054220" TargetMode="External"/><Relationship Id="rId225" Type="http://schemas.openxmlformats.org/officeDocument/2006/relationships/hyperlink" Target="https://horizondirect.gorgias.com/app/ticket/380151548" TargetMode="External"/><Relationship Id="rId346" Type="http://schemas.openxmlformats.org/officeDocument/2006/relationships/hyperlink" Target="https://assets.aircall.io/calls/3724711067/recording" TargetMode="External"/><Relationship Id="rId467" Type="http://schemas.openxmlformats.org/officeDocument/2006/relationships/hyperlink" Target="https://4ammedia.zendesk.com/agent/tickets/210650" TargetMode="External"/><Relationship Id="rId109" Type="http://schemas.openxmlformats.org/officeDocument/2006/relationships/hyperlink" Target="https://horizondirect.gorgias.com/app/ticket/373172329" TargetMode="External"/><Relationship Id="rId108" Type="http://schemas.openxmlformats.org/officeDocument/2006/relationships/hyperlink" Target="https://horizondirect.gorgias.com/app/ticket/373158884" TargetMode="External"/><Relationship Id="rId229" Type="http://schemas.openxmlformats.org/officeDocument/2006/relationships/hyperlink" Target="https://horizondirect.gorgias.com/app/ticket/380286895" TargetMode="External"/><Relationship Id="rId220" Type="http://schemas.openxmlformats.org/officeDocument/2006/relationships/hyperlink" Target="https://horizondirect.gorgias.com/app/ticket/379850174" TargetMode="External"/><Relationship Id="rId341" Type="http://schemas.openxmlformats.org/officeDocument/2006/relationships/hyperlink" Target="https://horizondirect.gorgias.com/app/ticket/387870375" TargetMode="External"/><Relationship Id="rId462" Type="http://schemas.openxmlformats.org/officeDocument/2006/relationships/hyperlink" Target="https://4ammedia.zendesk.com/agent/tickets/209291" TargetMode="External"/><Relationship Id="rId583" Type="http://schemas.openxmlformats.org/officeDocument/2006/relationships/table" Target="../tables/table122.xml"/><Relationship Id="rId340" Type="http://schemas.openxmlformats.org/officeDocument/2006/relationships/hyperlink" Target="https://horizondirect.gorgias.com/app/ticket/387761512" TargetMode="External"/><Relationship Id="rId461" Type="http://schemas.openxmlformats.org/officeDocument/2006/relationships/hyperlink" Target="https://4ammedia.zendesk.com/agent/tickets/204706" TargetMode="External"/><Relationship Id="rId582" Type="http://schemas.openxmlformats.org/officeDocument/2006/relationships/table" Target="../tables/table121.xml"/><Relationship Id="rId460" Type="http://schemas.openxmlformats.org/officeDocument/2006/relationships/hyperlink" Target="https://4ammedia.zendesk.com/agent/tickets/204607" TargetMode="External"/><Relationship Id="rId581" Type="http://schemas.openxmlformats.org/officeDocument/2006/relationships/table" Target="../tables/table120.xml"/><Relationship Id="rId580" Type="http://schemas.openxmlformats.org/officeDocument/2006/relationships/table" Target="../tables/table119.xml"/><Relationship Id="rId103" Type="http://schemas.openxmlformats.org/officeDocument/2006/relationships/hyperlink" Target="https://horizondirect.gorgias.com/app/ticket/372842702" TargetMode="External"/><Relationship Id="rId224" Type="http://schemas.openxmlformats.org/officeDocument/2006/relationships/hyperlink" Target="https://horizondirect.gorgias.com/app/ticket/380139070" TargetMode="External"/><Relationship Id="rId345" Type="http://schemas.openxmlformats.org/officeDocument/2006/relationships/hyperlink" Target="https://assets.aircall.io/calls/3724684664/recording" TargetMode="External"/><Relationship Id="rId466" Type="http://schemas.openxmlformats.org/officeDocument/2006/relationships/hyperlink" Target="https://4ammedia.zendesk.com/agent/tickets/210571" TargetMode="External"/><Relationship Id="rId587" Type="http://schemas.openxmlformats.org/officeDocument/2006/relationships/table" Target="../tables/table126.xml"/><Relationship Id="rId102" Type="http://schemas.openxmlformats.org/officeDocument/2006/relationships/hyperlink" Target="https://horizondirect.gorgias.com/app/ticket/372837209" TargetMode="External"/><Relationship Id="rId223" Type="http://schemas.openxmlformats.org/officeDocument/2006/relationships/hyperlink" Target="https://horizondirect.gorgias.com/app/ticket/379969387" TargetMode="External"/><Relationship Id="rId344" Type="http://schemas.openxmlformats.org/officeDocument/2006/relationships/hyperlink" Target="https://assets.aircall.io/calls/3724530570/recording" TargetMode="External"/><Relationship Id="rId465" Type="http://schemas.openxmlformats.org/officeDocument/2006/relationships/hyperlink" Target="https://4ammedia.zendesk.com/agent/tickets/210405" TargetMode="External"/><Relationship Id="rId586" Type="http://schemas.openxmlformats.org/officeDocument/2006/relationships/table" Target="../tables/table125.xml"/><Relationship Id="rId101" Type="http://schemas.openxmlformats.org/officeDocument/2006/relationships/hyperlink" Target="https://horizondirect.gorgias.com/app/ticket/372835443" TargetMode="External"/><Relationship Id="rId222" Type="http://schemas.openxmlformats.org/officeDocument/2006/relationships/hyperlink" Target="https://horizondirect.gorgias.com/app/ticket/379964752" TargetMode="External"/><Relationship Id="rId343" Type="http://schemas.openxmlformats.org/officeDocument/2006/relationships/hyperlink" Target="https://horizondirect.gorgias.com/app/ticket/387875616" TargetMode="External"/><Relationship Id="rId464" Type="http://schemas.openxmlformats.org/officeDocument/2006/relationships/hyperlink" Target="https://4ammedia.zendesk.com/agent/tickets/209476" TargetMode="External"/><Relationship Id="rId585" Type="http://schemas.openxmlformats.org/officeDocument/2006/relationships/table" Target="../tables/table124.xml"/><Relationship Id="rId100" Type="http://schemas.openxmlformats.org/officeDocument/2006/relationships/hyperlink" Target="https://horizondirect.gorgias.com/app/ticket/372361119" TargetMode="External"/><Relationship Id="rId221" Type="http://schemas.openxmlformats.org/officeDocument/2006/relationships/hyperlink" Target="https://horizondirect.gorgias.com/app/ticket/379963514" TargetMode="External"/><Relationship Id="rId342" Type="http://schemas.openxmlformats.org/officeDocument/2006/relationships/hyperlink" Target="https://horizondirect.gorgias.com/app/ticket/387874153" TargetMode="External"/><Relationship Id="rId463" Type="http://schemas.openxmlformats.org/officeDocument/2006/relationships/hyperlink" Target="https://4ammedia.zendesk.com/agent/tickets/209470" TargetMode="External"/><Relationship Id="rId584" Type="http://schemas.openxmlformats.org/officeDocument/2006/relationships/table" Target="../tables/table123.xml"/><Relationship Id="rId217" Type="http://schemas.openxmlformats.org/officeDocument/2006/relationships/hyperlink" Target="https://horizondirect.gorgias.com/app/ticket/379679762" TargetMode="External"/><Relationship Id="rId338" Type="http://schemas.openxmlformats.org/officeDocument/2006/relationships/hyperlink" Target="https://horizondirect.gorgias.com/app/ticket/387749713" TargetMode="External"/><Relationship Id="rId459" Type="http://schemas.openxmlformats.org/officeDocument/2006/relationships/hyperlink" Target="https://4ammedia.zendesk.com/agent/tickets/204426" TargetMode="External"/><Relationship Id="rId216" Type="http://schemas.openxmlformats.org/officeDocument/2006/relationships/hyperlink" Target="https://horizondirect.gorgias.com/app/ticket/379673368" TargetMode="External"/><Relationship Id="rId337" Type="http://schemas.openxmlformats.org/officeDocument/2006/relationships/hyperlink" Target="https://horizondirect.gorgias.com/app/ticket/387586372" TargetMode="External"/><Relationship Id="rId458" Type="http://schemas.openxmlformats.org/officeDocument/2006/relationships/hyperlink" Target="https://4ammedia.zendesk.com/agent/tickets/202708" TargetMode="External"/><Relationship Id="rId579" Type="http://schemas.openxmlformats.org/officeDocument/2006/relationships/table" Target="../tables/table118.xml"/><Relationship Id="rId215" Type="http://schemas.openxmlformats.org/officeDocument/2006/relationships/hyperlink" Target="https://horizondirect.gorgias.com/app/ticket/379669935" TargetMode="External"/><Relationship Id="rId336" Type="http://schemas.openxmlformats.org/officeDocument/2006/relationships/hyperlink" Target="https://horizondirect.gorgias.com/app/ticket/387583319" TargetMode="External"/><Relationship Id="rId457" Type="http://schemas.openxmlformats.org/officeDocument/2006/relationships/hyperlink" Target="https://4ammedia.zendesk.com/agent/tickets/202653" TargetMode="External"/><Relationship Id="rId578" Type="http://schemas.openxmlformats.org/officeDocument/2006/relationships/table" Target="../tables/table117.xml"/><Relationship Id="rId214" Type="http://schemas.openxmlformats.org/officeDocument/2006/relationships/hyperlink" Target="https://horizondirect.gorgias.com/app/ticket/379392049" TargetMode="External"/><Relationship Id="rId335" Type="http://schemas.openxmlformats.org/officeDocument/2006/relationships/hyperlink" Target="https://horizondirect.gorgias.com/app/ticket/387582361" TargetMode="External"/><Relationship Id="rId456" Type="http://schemas.openxmlformats.org/officeDocument/2006/relationships/hyperlink" Target="https://4ammedia.zendesk.com/agent/tickets/202394" TargetMode="External"/><Relationship Id="rId577" Type="http://schemas.openxmlformats.org/officeDocument/2006/relationships/table" Target="../tables/table116.xml"/><Relationship Id="rId219" Type="http://schemas.openxmlformats.org/officeDocument/2006/relationships/hyperlink" Target="https://horizondirect.gorgias.com/app/ticket/379826861" TargetMode="External"/><Relationship Id="rId218" Type="http://schemas.openxmlformats.org/officeDocument/2006/relationships/hyperlink" Target="https://horizondirect.gorgias.com/app/ticket/379820104" TargetMode="External"/><Relationship Id="rId339" Type="http://schemas.openxmlformats.org/officeDocument/2006/relationships/hyperlink" Target="https://horizondirect.gorgias.com/app/ticket/387757385" TargetMode="External"/><Relationship Id="rId330" Type="http://schemas.openxmlformats.org/officeDocument/2006/relationships/hyperlink" Target="https://assets.aircall.io/calls/3707556278/recording" TargetMode="External"/><Relationship Id="rId451" Type="http://schemas.openxmlformats.org/officeDocument/2006/relationships/hyperlink" Target="https://4ammedia.zendesk.com/agent/tickets/198713" TargetMode="External"/><Relationship Id="rId572" Type="http://schemas.openxmlformats.org/officeDocument/2006/relationships/table" Target="../tables/table111.xml"/><Relationship Id="rId450" Type="http://schemas.openxmlformats.org/officeDocument/2006/relationships/hyperlink" Target="https://4ammedia.zendesk.com/agent/tickets/198625" TargetMode="External"/><Relationship Id="rId571" Type="http://schemas.openxmlformats.org/officeDocument/2006/relationships/table" Target="../tables/table110.xml"/><Relationship Id="rId570" Type="http://schemas.openxmlformats.org/officeDocument/2006/relationships/table" Target="../tables/table109.xml"/><Relationship Id="rId213" Type="http://schemas.openxmlformats.org/officeDocument/2006/relationships/hyperlink" Target="https://horizondirect.gorgias.com/app/ticket/379379538" TargetMode="External"/><Relationship Id="rId334" Type="http://schemas.openxmlformats.org/officeDocument/2006/relationships/hyperlink" Target="https://assets.aircall.io/calls/3711687959/recording" TargetMode="External"/><Relationship Id="rId455" Type="http://schemas.openxmlformats.org/officeDocument/2006/relationships/hyperlink" Target="https://4ammedia.zendesk.com/agent/tickets/200997" TargetMode="External"/><Relationship Id="rId576" Type="http://schemas.openxmlformats.org/officeDocument/2006/relationships/table" Target="../tables/table115.xml"/><Relationship Id="rId212" Type="http://schemas.openxmlformats.org/officeDocument/2006/relationships/hyperlink" Target="https://horizondirect.gorgias.com/app/ticket/379365627" TargetMode="External"/><Relationship Id="rId333" Type="http://schemas.openxmlformats.org/officeDocument/2006/relationships/hyperlink" Target="https://assets.aircall.io/calls/3711671525/recording" TargetMode="External"/><Relationship Id="rId454" Type="http://schemas.openxmlformats.org/officeDocument/2006/relationships/hyperlink" Target="https://4ammedia.zendesk.com/agent/tickets/200746" TargetMode="External"/><Relationship Id="rId575" Type="http://schemas.openxmlformats.org/officeDocument/2006/relationships/table" Target="../tables/table114.xml"/><Relationship Id="rId211" Type="http://schemas.openxmlformats.org/officeDocument/2006/relationships/hyperlink" Target="https://horizondirect.gorgias.com/app/ticket/379267873" TargetMode="External"/><Relationship Id="rId332" Type="http://schemas.openxmlformats.org/officeDocument/2006/relationships/hyperlink" Target="https://assets.aircall.io/calls/3711587735/recording" TargetMode="External"/><Relationship Id="rId453" Type="http://schemas.openxmlformats.org/officeDocument/2006/relationships/hyperlink" Target="https://4ammedia.zendesk.com/agent/tickets/200598" TargetMode="External"/><Relationship Id="rId574" Type="http://schemas.openxmlformats.org/officeDocument/2006/relationships/table" Target="../tables/table113.xml"/><Relationship Id="rId210" Type="http://schemas.openxmlformats.org/officeDocument/2006/relationships/hyperlink" Target="https://horizondirect.gorgias.com/app/ticket/379249766" TargetMode="External"/><Relationship Id="rId331" Type="http://schemas.openxmlformats.org/officeDocument/2006/relationships/hyperlink" Target="https://assets.aircall.io/calls/3707628573/recording" TargetMode="External"/><Relationship Id="rId452" Type="http://schemas.openxmlformats.org/officeDocument/2006/relationships/hyperlink" Target="https://4ammedia.zendesk.com/agent/tickets/198852" TargetMode="External"/><Relationship Id="rId573" Type="http://schemas.openxmlformats.org/officeDocument/2006/relationships/table" Target="../tables/table112.xml"/><Relationship Id="rId370" Type="http://schemas.openxmlformats.org/officeDocument/2006/relationships/hyperlink" Target="https://assets.aircall.io/calls/3757241439/recording" TargetMode="External"/><Relationship Id="rId491" Type="http://schemas.openxmlformats.org/officeDocument/2006/relationships/hyperlink" Target="https://4ammedia.zendesk.com/agent/tickets/228734" TargetMode="External"/><Relationship Id="rId490" Type="http://schemas.openxmlformats.org/officeDocument/2006/relationships/hyperlink" Target="https://4ammedia.zendesk.com/agent/tickets/228561" TargetMode="External"/><Relationship Id="rId129" Type="http://schemas.openxmlformats.org/officeDocument/2006/relationships/hyperlink" Target="https://horizondirect.gorgias.com/app/ticket/374569538" TargetMode="External"/><Relationship Id="rId128" Type="http://schemas.openxmlformats.org/officeDocument/2006/relationships/hyperlink" Target="https://horizondirect.gorgias.com/app/ticket/374558825" TargetMode="External"/><Relationship Id="rId249" Type="http://schemas.openxmlformats.org/officeDocument/2006/relationships/hyperlink" Target="https://horizondirect.gorgias.com/app/ticket/381643067" TargetMode="External"/><Relationship Id="rId127" Type="http://schemas.openxmlformats.org/officeDocument/2006/relationships/hyperlink" Target="https://horizondirect.gorgias.com/app/ticket/374448229" TargetMode="External"/><Relationship Id="rId248" Type="http://schemas.openxmlformats.org/officeDocument/2006/relationships/hyperlink" Target="https://horizondirect.gorgias.com/app/ticket/381632570" TargetMode="External"/><Relationship Id="rId369" Type="http://schemas.openxmlformats.org/officeDocument/2006/relationships/hyperlink" Target="https://assets.aircall.io/calls/3757233222/recording" TargetMode="External"/><Relationship Id="rId126" Type="http://schemas.openxmlformats.org/officeDocument/2006/relationships/hyperlink" Target="https://horizondirect.gorgias.com/app/ticket/374447482" TargetMode="External"/><Relationship Id="rId247" Type="http://schemas.openxmlformats.org/officeDocument/2006/relationships/hyperlink" Target="https://horizondirect.gorgias.com/app/ticket/381501487" TargetMode="External"/><Relationship Id="rId368" Type="http://schemas.openxmlformats.org/officeDocument/2006/relationships/hyperlink" Target="https://assets.aircall.io/calls/3757189597/recording" TargetMode="External"/><Relationship Id="rId489" Type="http://schemas.openxmlformats.org/officeDocument/2006/relationships/hyperlink" Target="https://4ammedia.zendesk.com/agent/tickets/228395" TargetMode="External"/><Relationship Id="rId121" Type="http://schemas.openxmlformats.org/officeDocument/2006/relationships/hyperlink" Target="https://horizondirect.gorgias.com/app/ticket/373844308" TargetMode="External"/><Relationship Id="rId242" Type="http://schemas.openxmlformats.org/officeDocument/2006/relationships/hyperlink" Target="https://horizondirect.gorgias.com/app/ticket/381124083" TargetMode="External"/><Relationship Id="rId363" Type="http://schemas.openxmlformats.org/officeDocument/2006/relationships/hyperlink" Target="https://assets.aircall.io/calls/3748719978/recording" TargetMode="External"/><Relationship Id="rId484" Type="http://schemas.openxmlformats.org/officeDocument/2006/relationships/hyperlink" Target="https://4ammedia.zendesk.com/agent/tickets/224632" TargetMode="External"/><Relationship Id="rId120" Type="http://schemas.openxmlformats.org/officeDocument/2006/relationships/hyperlink" Target="https://horizondirect.gorgias.com/app/ticket/373834842" TargetMode="External"/><Relationship Id="rId241" Type="http://schemas.openxmlformats.org/officeDocument/2006/relationships/hyperlink" Target="https://horizondirect.gorgias.com/app/ticket/381036579" TargetMode="External"/><Relationship Id="rId362" Type="http://schemas.openxmlformats.org/officeDocument/2006/relationships/hyperlink" Target="https://assets.aircall.io/calls/3748569406/recording" TargetMode="External"/><Relationship Id="rId483" Type="http://schemas.openxmlformats.org/officeDocument/2006/relationships/hyperlink" Target="https://4ammedia.zendesk.com/agent/tickets/224474" TargetMode="External"/><Relationship Id="rId240" Type="http://schemas.openxmlformats.org/officeDocument/2006/relationships/hyperlink" Target="https://horizondirect.gorgias.com/app/ticket/381034297" TargetMode="External"/><Relationship Id="rId361" Type="http://schemas.openxmlformats.org/officeDocument/2006/relationships/hyperlink" Target="https://assets.aircall.io/calls/3744389498/recording" TargetMode="External"/><Relationship Id="rId482" Type="http://schemas.openxmlformats.org/officeDocument/2006/relationships/hyperlink" Target="https://4ammedia.zendesk.com/agent/tickets/222664" TargetMode="External"/><Relationship Id="rId360" Type="http://schemas.openxmlformats.org/officeDocument/2006/relationships/hyperlink" Target="https://assets.aircall.io/calls/3744310395/recording" TargetMode="External"/><Relationship Id="rId481" Type="http://schemas.openxmlformats.org/officeDocument/2006/relationships/hyperlink" Target="https://4ammedia.zendesk.com/agent/tickets/222551" TargetMode="External"/><Relationship Id="rId125" Type="http://schemas.openxmlformats.org/officeDocument/2006/relationships/hyperlink" Target="https://horizondirect.gorgias.com/app/ticket/374444054" TargetMode="External"/><Relationship Id="rId246" Type="http://schemas.openxmlformats.org/officeDocument/2006/relationships/hyperlink" Target="https://horizondirect.gorgias.com/app/ticket/381490259" TargetMode="External"/><Relationship Id="rId367" Type="http://schemas.openxmlformats.org/officeDocument/2006/relationships/hyperlink" Target="https://assets.aircall.io/calls/3752980671/recording" TargetMode="External"/><Relationship Id="rId488" Type="http://schemas.openxmlformats.org/officeDocument/2006/relationships/hyperlink" Target="https://4ammedia.zendesk.com/agent/tickets/227093" TargetMode="External"/><Relationship Id="rId124" Type="http://schemas.openxmlformats.org/officeDocument/2006/relationships/hyperlink" Target="https://horizondirect.gorgias.com/app/ticket/374112006" TargetMode="External"/><Relationship Id="rId245" Type="http://schemas.openxmlformats.org/officeDocument/2006/relationships/hyperlink" Target="https://horizondirect.gorgias.com/app/ticket/381467567" TargetMode="External"/><Relationship Id="rId366" Type="http://schemas.openxmlformats.org/officeDocument/2006/relationships/hyperlink" Target="https://assets.aircall.io/calls/3752666703/recording" TargetMode="External"/><Relationship Id="rId487" Type="http://schemas.openxmlformats.org/officeDocument/2006/relationships/hyperlink" Target="https://4ammedia.zendesk.com/agent/tickets/226954" TargetMode="External"/><Relationship Id="rId123" Type="http://schemas.openxmlformats.org/officeDocument/2006/relationships/hyperlink" Target="https://horizondirect.gorgias.com/app/ticket/374098311" TargetMode="External"/><Relationship Id="rId244" Type="http://schemas.openxmlformats.org/officeDocument/2006/relationships/hyperlink" Target="https://horizondirect.gorgias.com/app/ticket/381152782" TargetMode="External"/><Relationship Id="rId365" Type="http://schemas.openxmlformats.org/officeDocument/2006/relationships/hyperlink" Target="https://assets.aircall.io/calls/3752577335/recording" TargetMode="External"/><Relationship Id="rId486" Type="http://schemas.openxmlformats.org/officeDocument/2006/relationships/hyperlink" Target="https://4ammedia.zendesk.com/agent/tickets/226829" TargetMode="External"/><Relationship Id="rId122" Type="http://schemas.openxmlformats.org/officeDocument/2006/relationships/hyperlink" Target="https://horizondirect.gorgias.com/app/ticket/374084858" TargetMode="External"/><Relationship Id="rId243" Type="http://schemas.openxmlformats.org/officeDocument/2006/relationships/hyperlink" Target="https://horizondirect.gorgias.com/app/ticket/381139459" TargetMode="External"/><Relationship Id="rId364" Type="http://schemas.openxmlformats.org/officeDocument/2006/relationships/hyperlink" Target="https://assets.aircall.io/calls/3748737143/recording" TargetMode="External"/><Relationship Id="rId485" Type="http://schemas.openxmlformats.org/officeDocument/2006/relationships/hyperlink" Target="https://4ammedia.zendesk.com/agent/tickets/224843" TargetMode="External"/><Relationship Id="rId95" Type="http://schemas.openxmlformats.org/officeDocument/2006/relationships/hyperlink" Target="https://horizondirect.gorgias.com/app/ticket/372137656" TargetMode="External"/><Relationship Id="rId94" Type="http://schemas.openxmlformats.org/officeDocument/2006/relationships/hyperlink" Target="https://horizondirect.gorgias.com/app/ticket/372016646" TargetMode="External"/><Relationship Id="rId97" Type="http://schemas.openxmlformats.org/officeDocument/2006/relationships/hyperlink" Target="https://horizondirect.gorgias.com/app/ticket/372143634" TargetMode="External"/><Relationship Id="rId96" Type="http://schemas.openxmlformats.org/officeDocument/2006/relationships/hyperlink" Target="https://horizondirect.gorgias.com/app/ticket/372138955" TargetMode="External"/><Relationship Id="rId99" Type="http://schemas.openxmlformats.org/officeDocument/2006/relationships/hyperlink" Target="https://horizondirect.gorgias.com/app/ticket/372357344" TargetMode="External"/><Relationship Id="rId480" Type="http://schemas.openxmlformats.org/officeDocument/2006/relationships/hyperlink" Target="https://4ammedia.zendesk.com/agent/tickets/222388" TargetMode="External"/><Relationship Id="rId98" Type="http://schemas.openxmlformats.org/officeDocument/2006/relationships/hyperlink" Target="https://horizondirect.gorgias.com/app/ticket/372355047" TargetMode="External"/><Relationship Id="rId91" Type="http://schemas.openxmlformats.org/officeDocument/2006/relationships/hyperlink" Target="https://horizondirect.gorgias.com/app/ticket/371861610" TargetMode="External"/><Relationship Id="rId90" Type="http://schemas.openxmlformats.org/officeDocument/2006/relationships/hyperlink" Target="https://horizondirect.gorgias.com/app/ticket/371847569" TargetMode="External"/><Relationship Id="rId93" Type="http://schemas.openxmlformats.org/officeDocument/2006/relationships/hyperlink" Target="https://horizondirect.gorgias.com/app/ticket/372009950" TargetMode="External"/><Relationship Id="rId92" Type="http://schemas.openxmlformats.org/officeDocument/2006/relationships/hyperlink" Target="https://horizondirect.gorgias.com/app/ticket/372013781" TargetMode="External"/><Relationship Id="rId118" Type="http://schemas.openxmlformats.org/officeDocument/2006/relationships/hyperlink" Target="https://horizondirect.gorgias.com/app/ticket/373646970" TargetMode="External"/><Relationship Id="rId239" Type="http://schemas.openxmlformats.org/officeDocument/2006/relationships/hyperlink" Target="https://horizondirect.gorgias.com/app/ticket/381012071" TargetMode="External"/><Relationship Id="rId117" Type="http://schemas.openxmlformats.org/officeDocument/2006/relationships/hyperlink" Target="https://horizondirect.gorgias.com/app/ticket/373645279" TargetMode="External"/><Relationship Id="rId238" Type="http://schemas.openxmlformats.org/officeDocument/2006/relationships/hyperlink" Target="https://horizondirect.gorgias.com/app/ticket/380870973" TargetMode="External"/><Relationship Id="rId359" Type="http://schemas.openxmlformats.org/officeDocument/2006/relationships/hyperlink" Target="https://assets.aircall.io/calls/3744228668/recording" TargetMode="External"/><Relationship Id="rId116" Type="http://schemas.openxmlformats.org/officeDocument/2006/relationships/hyperlink" Target="https://horizondirect.gorgias.com/app/ticket/373562198" TargetMode="External"/><Relationship Id="rId237" Type="http://schemas.openxmlformats.org/officeDocument/2006/relationships/hyperlink" Target="https://horizondirect.gorgias.com/app/ticket/380882640" TargetMode="External"/><Relationship Id="rId358" Type="http://schemas.openxmlformats.org/officeDocument/2006/relationships/hyperlink" Target="https://assets.aircall.io/calls/3740591646/recording" TargetMode="External"/><Relationship Id="rId479" Type="http://schemas.openxmlformats.org/officeDocument/2006/relationships/hyperlink" Target="https://4ammedia.zendesk.com/agent/tickets/221269" TargetMode="External"/><Relationship Id="rId115" Type="http://schemas.openxmlformats.org/officeDocument/2006/relationships/hyperlink" Target="https://horizondirect.gorgias.com/app/ticket/373510118" TargetMode="External"/><Relationship Id="rId236" Type="http://schemas.openxmlformats.org/officeDocument/2006/relationships/hyperlink" Target="https://horizondirect.gorgias.com/app/ticket/380874157" TargetMode="External"/><Relationship Id="rId357" Type="http://schemas.openxmlformats.org/officeDocument/2006/relationships/hyperlink" Target="https://assets.aircall.io/calls/3740557215/recording" TargetMode="External"/><Relationship Id="rId478" Type="http://schemas.openxmlformats.org/officeDocument/2006/relationships/hyperlink" Target="https://4ammedia.zendesk.com/agent/tickets/221131" TargetMode="External"/><Relationship Id="rId119" Type="http://schemas.openxmlformats.org/officeDocument/2006/relationships/hyperlink" Target="https://horizondirect.gorgias.com/app/ticket/373799770" TargetMode="External"/><Relationship Id="rId110" Type="http://schemas.openxmlformats.org/officeDocument/2006/relationships/hyperlink" Target="https://horizondirect.gorgias.com/app/ticket/373269817" TargetMode="External"/><Relationship Id="rId231" Type="http://schemas.openxmlformats.org/officeDocument/2006/relationships/hyperlink" Target="https://horizondirect.gorgias.com/app/ticket/380560701" TargetMode="External"/><Relationship Id="rId352" Type="http://schemas.openxmlformats.org/officeDocument/2006/relationships/hyperlink" Target="https://assets.aircall.io/calls/3735100620/recording" TargetMode="External"/><Relationship Id="rId473" Type="http://schemas.openxmlformats.org/officeDocument/2006/relationships/hyperlink" Target="https://4ammedia.zendesk.com/agent/tickets/214066" TargetMode="External"/><Relationship Id="rId230" Type="http://schemas.openxmlformats.org/officeDocument/2006/relationships/hyperlink" Target="https://horizondirect.gorgias.com/app/ticket/380554548" TargetMode="External"/><Relationship Id="rId351" Type="http://schemas.openxmlformats.org/officeDocument/2006/relationships/hyperlink" Target="https://assets.aircall.io/calls/3735080870/recording" TargetMode="External"/><Relationship Id="rId472" Type="http://schemas.openxmlformats.org/officeDocument/2006/relationships/hyperlink" Target="https://4ammedia.zendesk.com/agent/tickets/213903" TargetMode="External"/><Relationship Id="rId350" Type="http://schemas.openxmlformats.org/officeDocument/2006/relationships/hyperlink" Target="https://assets.aircall.io/calls/3735022242/recording" TargetMode="External"/><Relationship Id="rId471" Type="http://schemas.openxmlformats.org/officeDocument/2006/relationships/hyperlink" Target="https://4ammedia.zendesk.com/agent/tickets/213883" TargetMode="External"/><Relationship Id="rId470" Type="http://schemas.openxmlformats.org/officeDocument/2006/relationships/hyperlink" Target="https://4ammedia.zendesk.com/agent/tickets/212185" TargetMode="External"/><Relationship Id="rId114" Type="http://schemas.openxmlformats.org/officeDocument/2006/relationships/hyperlink" Target="https://horizondirect.gorgias.com/app/ticket/373505394" TargetMode="External"/><Relationship Id="rId235" Type="http://schemas.openxmlformats.org/officeDocument/2006/relationships/hyperlink" Target="https://horizondirect.gorgias.com/app/ticket/380757908" TargetMode="External"/><Relationship Id="rId356" Type="http://schemas.openxmlformats.org/officeDocument/2006/relationships/hyperlink" Target="https://assets.aircall.io/calls/3740278849/recording" TargetMode="External"/><Relationship Id="rId477" Type="http://schemas.openxmlformats.org/officeDocument/2006/relationships/hyperlink" Target="https://4ammedia.zendesk.com/agent/tickets/221025" TargetMode="External"/><Relationship Id="rId113" Type="http://schemas.openxmlformats.org/officeDocument/2006/relationships/hyperlink" Target="https://horizondirect.gorgias.com/app/ticket/373501946" TargetMode="External"/><Relationship Id="rId234" Type="http://schemas.openxmlformats.org/officeDocument/2006/relationships/hyperlink" Target="https://horizondirect.gorgias.com/app/ticket/380735127" TargetMode="External"/><Relationship Id="rId355" Type="http://schemas.openxmlformats.org/officeDocument/2006/relationships/hyperlink" Target="https://assets.aircall.io/calls/3735987311/recording" TargetMode="External"/><Relationship Id="rId476" Type="http://schemas.openxmlformats.org/officeDocument/2006/relationships/hyperlink" Target="https://4ammedia.zendesk.com/agent/tickets/216078" TargetMode="External"/><Relationship Id="rId112" Type="http://schemas.openxmlformats.org/officeDocument/2006/relationships/hyperlink" Target="https://horizondirect.gorgias.com/app/ticket/373129571" TargetMode="External"/><Relationship Id="rId233" Type="http://schemas.openxmlformats.org/officeDocument/2006/relationships/hyperlink" Target="https://horizondirect.gorgias.com/app/ticket/380715890" TargetMode="External"/><Relationship Id="rId354" Type="http://schemas.openxmlformats.org/officeDocument/2006/relationships/hyperlink" Target="https://assets.aircall.io/calls/3735973811/recording" TargetMode="External"/><Relationship Id="rId475" Type="http://schemas.openxmlformats.org/officeDocument/2006/relationships/hyperlink" Target="https://4ammedia.zendesk.com/agent/tickets/216062" TargetMode="External"/><Relationship Id="rId111" Type="http://schemas.openxmlformats.org/officeDocument/2006/relationships/hyperlink" Target="https://horizondirect.gorgias.com/app/ticket/373136944" TargetMode="External"/><Relationship Id="rId232" Type="http://schemas.openxmlformats.org/officeDocument/2006/relationships/hyperlink" Target="https://horizondirect.gorgias.com/app/ticket/380567963" TargetMode="External"/><Relationship Id="rId353" Type="http://schemas.openxmlformats.org/officeDocument/2006/relationships/hyperlink" Target="https://assets.aircall.io/calls/3735956932/recording" TargetMode="External"/><Relationship Id="rId474" Type="http://schemas.openxmlformats.org/officeDocument/2006/relationships/hyperlink" Target="https://4ammedia.zendesk.com/agent/tickets/215974" TargetMode="External"/><Relationship Id="rId305" Type="http://schemas.openxmlformats.org/officeDocument/2006/relationships/hyperlink" Target="https://horizondirect.gorgias.com/app/ticket/385477350" TargetMode="External"/><Relationship Id="rId426" Type="http://schemas.openxmlformats.org/officeDocument/2006/relationships/hyperlink" Target="https://4ammedia.zendesk.com/agent/tickets/170274" TargetMode="External"/><Relationship Id="rId304" Type="http://schemas.openxmlformats.org/officeDocument/2006/relationships/hyperlink" Target="https://horizondirect.gorgias.com/app/ticket/385351806" TargetMode="External"/><Relationship Id="rId425" Type="http://schemas.openxmlformats.org/officeDocument/2006/relationships/hyperlink" Target="https://4ammedia.zendesk.com/agent/tickets/170152" TargetMode="External"/><Relationship Id="rId303" Type="http://schemas.openxmlformats.org/officeDocument/2006/relationships/hyperlink" Target="https://horizondirect.gorgias.com/app/ticket/385352311" TargetMode="External"/><Relationship Id="rId424" Type="http://schemas.openxmlformats.org/officeDocument/2006/relationships/hyperlink" Target="https://4ammedia.zendesk.com/agent/tickets/169894" TargetMode="External"/><Relationship Id="rId302" Type="http://schemas.openxmlformats.org/officeDocument/2006/relationships/hyperlink" Target="https://horizondirect.gorgias.com/app/ticket/385355317" TargetMode="External"/><Relationship Id="rId423" Type="http://schemas.openxmlformats.org/officeDocument/2006/relationships/hyperlink" Target="https://4ammedia.zendesk.com/agent/tickets/168363" TargetMode="External"/><Relationship Id="rId309" Type="http://schemas.openxmlformats.org/officeDocument/2006/relationships/hyperlink" Target="https://horizondirect.gorgias.com/app/ticket/385640567" TargetMode="External"/><Relationship Id="rId308" Type="http://schemas.openxmlformats.org/officeDocument/2006/relationships/hyperlink" Target="https://horizondirect.gorgias.com/app/ticket/385637967" TargetMode="External"/><Relationship Id="rId429" Type="http://schemas.openxmlformats.org/officeDocument/2006/relationships/hyperlink" Target="https://4ammedia.zendesk.com/agent/tickets/171802" TargetMode="External"/><Relationship Id="rId307" Type="http://schemas.openxmlformats.org/officeDocument/2006/relationships/hyperlink" Target="https://horizondirect.gorgias.com/app/ticket/385493545" TargetMode="External"/><Relationship Id="rId428" Type="http://schemas.openxmlformats.org/officeDocument/2006/relationships/hyperlink" Target="https://4ammedia.zendesk.com/agent/tickets/171677" TargetMode="External"/><Relationship Id="rId306" Type="http://schemas.openxmlformats.org/officeDocument/2006/relationships/hyperlink" Target="https://horizondirect.gorgias.com/app/ticket/385491720" TargetMode="External"/><Relationship Id="rId427" Type="http://schemas.openxmlformats.org/officeDocument/2006/relationships/hyperlink" Target="https://4ammedia.zendesk.com/agent/tickets/171562" TargetMode="External"/><Relationship Id="rId301" Type="http://schemas.openxmlformats.org/officeDocument/2006/relationships/hyperlink" Target="https://horizondirect.gorgias.com/app/ticket/385190839" TargetMode="External"/><Relationship Id="rId422" Type="http://schemas.openxmlformats.org/officeDocument/2006/relationships/hyperlink" Target="https://4ammedia.zendesk.com/agent/tickets/168283" TargetMode="External"/><Relationship Id="rId543" Type="http://schemas.openxmlformats.org/officeDocument/2006/relationships/drawing" Target="../drawings/drawing9.xml"/><Relationship Id="rId300" Type="http://schemas.openxmlformats.org/officeDocument/2006/relationships/hyperlink" Target="https://horizondirect.gorgias.com/app/ticket/385178254" TargetMode="External"/><Relationship Id="rId421" Type="http://schemas.openxmlformats.org/officeDocument/2006/relationships/hyperlink" Target="https://4ammedia.zendesk.com/agent/tickets/168156" TargetMode="External"/><Relationship Id="rId542" Type="http://schemas.openxmlformats.org/officeDocument/2006/relationships/hyperlink" Target="https://4ammedia.zendesk.com/agent/tickets/273459" TargetMode="External"/><Relationship Id="rId420" Type="http://schemas.openxmlformats.org/officeDocument/2006/relationships/hyperlink" Target="https://4ammedia.zendesk.com/agent/tickets/167248" TargetMode="External"/><Relationship Id="rId541" Type="http://schemas.openxmlformats.org/officeDocument/2006/relationships/hyperlink" Target="https://4ammedia.zendesk.com/agent/tickets/273327" TargetMode="External"/><Relationship Id="rId540" Type="http://schemas.openxmlformats.org/officeDocument/2006/relationships/hyperlink" Target="https://4ammedia.zendesk.com/agent/tickets/273172" TargetMode="External"/><Relationship Id="rId415" Type="http://schemas.openxmlformats.org/officeDocument/2006/relationships/hyperlink" Target="https://4ammedia.zendesk.com/agent/tickets/161492" TargetMode="External"/><Relationship Id="rId536" Type="http://schemas.openxmlformats.org/officeDocument/2006/relationships/hyperlink" Target="https://4ammedia.zendesk.com/agent/tickets/268102" TargetMode="External"/><Relationship Id="rId414" Type="http://schemas.openxmlformats.org/officeDocument/2006/relationships/hyperlink" Target="https://4ammedia.zendesk.com/agent/tickets/161338" TargetMode="External"/><Relationship Id="rId535" Type="http://schemas.openxmlformats.org/officeDocument/2006/relationships/hyperlink" Target="https://4ammedia.zendesk.com/agent/tickets/267944" TargetMode="External"/><Relationship Id="rId413" Type="http://schemas.openxmlformats.org/officeDocument/2006/relationships/hyperlink" Target="https://4ammedia.zendesk.com/agent/tickets/161295" TargetMode="External"/><Relationship Id="rId534" Type="http://schemas.openxmlformats.org/officeDocument/2006/relationships/hyperlink" Target="https://4ammedia.zendesk.com/agent/tickets/267801" TargetMode="External"/><Relationship Id="rId412" Type="http://schemas.openxmlformats.org/officeDocument/2006/relationships/hyperlink" Target="https://4ammedia.zendesk.com/agent/tickets/159607" TargetMode="External"/><Relationship Id="rId533" Type="http://schemas.openxmlformats.org/officeDocument/2006/relationships/hyperlink" Target="https://4ammedia.zendesk.com/agent/tickets/265441" TargetMode="External"/><Relationship Id="rId419" Type="http://schemas.openxmlformats.org/officeDocument/2006/relationships/hyperlink" Target="https://4ammedia.zendesk.com/agent/tickets/167169" TargetMode="External"/><Relationship Id="rId418" Type="http://schemas.openxmlformats.org/officeDocument/2006/relationships/hyperlink" Target="https://4ammedia.zendesk.com/agent/tickets/163090" TargetMode="External"/><Relationship Id="rId539" Type="http://schemas.openxmlformats.org/officeDocument/2006/relationships/hyperlink" Target="https://4ammedia.zendesk.com/agent/tickets/269697" TargetMode="External"/><Relationship Id="rId417" Type="http://schemas.openxmlformats.org/officeDocument/2006/relationships/hyperlink" Target="https://4ammedia.zendesk.com/agent/tickets/163039" TargetMode="External"/><Relationship Id="rId538" Type="http://schemas.openxmlformats.org/officeDocument/2006/relationships/hyperlink" Target="https://4ammedia.zendesk.com/agent/tickets/269672" TargetMode="External"/><Relationship Id="rId416" Type="http://schemas.openxmlformats.org/officeDocument/2006/relationships/hyperlink" Target="https://4ammedia.zendesk.com/agent/tickets/162958" TargetMode="External"/><Relationship Id="rId537" Type="http://schemas.openxmlformats.org/officeDocument/2006/relationships/hyperlink" Target="https://4ammedia.zendesk.com/agent/tickets/269513" TargetMode="External"/><Relationship Id="rId411" Type="http://schemas.openxmlformats.org/officeDocument/2006/relationships/hyperlink" Target="https://4ammedia.zendesk.com/agent/tickets/159431" TargetMode="External"/><Relationship Id="rId532" Type="http://schemas.openxmlformats.org/officeDocument/2006/relationships/hyperlink" Target="https://4ammedia.zendesk.com/agent/tickets/265403" TargetMode="External"/><Relationship Id="rId410" Type="http://schemas.openxmlformats.org/officeDocument/2006/relationships/hyperlink" Target="https://4ammedia.zendesk.com/agent/tickets/159316" TargetMode="External"/><Relationship Id="rId531" Type="http://schemas.openxmlformats.org/officeDocument/2006/relationships/hyperlink" Target="https://4ammedia.zendesk.com/agent/tickets/265337" TargetMode="External"/><Relationship Id="rId530" Type="http://schemas.openxmlformats.org/officeDocument/2006/relationships/hyperlink" Target="https://4ammedia.zendesk.com/agent/tickets/263653" TargetMode="External"/><Relationship Id="rId206" Type="http://schemas.openxmlformats.org/officeDocument/2006/relationships/hyperlink" Target="https://horizondirect.gorgias.com/app/ticket/379099868" TargetMode="External"/><Relationship Id="rId327" Type="http://schemas.openxmlformats.org/officeDocument/2006/relationships/hyperlink" Target="https://assets.aircall.io/calls/3703867004/recording" TargetMode="External"/><Relationship Id="rId448" Type="http://schemas.openxmlformats.org/officeDocument/2006/relationships/hyperlink" Target="https://4ammedia.zendesk.com/agent/tickets/197923" TargetMode="External"/><Relationship Id="rId569" Type="http://schemas.openxmlformats.org/officeDocument/2006/relationships/table" Target="../tables/table108.xml"/><Relationship Id="rId205" Type="http://schemas.openxmlformats.org/officeDocument/2006/relationships/hyperlink" Target="https://horizondirect.gorgias.com/app/ticket/378999565" TargetMode="External"/><Relationship Id="rId326" Type="http://schemas.openxmlformats.org/officeDocument/2006/relationships/hyperlink" Target="https://assets.aircall.io/calls/3703853300/recording" TargetMode="External"/><Relationship Id="rId447" Type="http://schemas.openxmlformats.org/officeDocument/2006/relationships/hyperlink" Target="https://4ammedia.zendesk.com/agent/tickets/193613" TargetMode="External"/><Relationship Id="rId568" Type="http://schemas.openxmlformats.org/officeDocument/2006/relationships/table" Target="../tables/table107.xml"/><Relationship Id="rId204" Type="http://schemas.openxmlformats.org/officeDocument/2006/relationships/hyperlink" Target="https://horizondirect.gorgias.com/app/ticket/378993779" TargetMode="External"/><Relationship Id="rId325" Type="http://schemas.openxmlformats.org/officeDocument/2006/relationships/hyperlink" Target="https://horizondirect.gorgias.com/app/ticket/386662606" TargetMode="External"/><Relationship Id="rId446" Type="http://schemas.openxmlformats.org/officeDocument/2006/relationships/hyperlink" Target="https://4ammedia.zendesk.com/agent/tickets/193540" TargetMode="External"/><Relationship Id="rId567" Type="http://schemas.openxmlformats.org/officeDocument/2006/relationships/table" Target="../tables/table106.xml"/><Relationship Id="rId203" Type="http://schemas.openxmlformats.org/officeDocument/2006/relationships/hyperlink" Target="https://horizondirect.gorgias.com/app/ticket/378986741" TargetMode="External"/><Relationship Id="rId324" Type="http://schemas.openxmlformats.org/officeDocument/2006/relationships/hyperlink" Target="https://horizondirect.gorgias.com/app/ticket/386659823" TargetMode="External"/><Relationship Id="rId445" Type="http://schemas.openxmlformats.org/officeDocument/2006/relationships/hyperlink" Target="https://4ammedia.zendesk.com/agent/tickets/193495" TargetMode="External"/><Relationship Id="rId566" Type="http://schemas.openxmlformats.org/officeDocument/2006/relationships/table" Target="../tables/table105.xml"/><Relationship Id="rId209" Type="http://schemas.openxmlformats.org/officeDocument/2006/relationships/hyperlink" Target="https://horizondirect.gorgias.com/app/ticket/379242284" TargetMode="External"/><Relationship Id="rId208" Type="http://schemas.openxmlformats.org/officeDocument/2006/relationships/hyperlink" Target="https://horizondirect.gorgias.com/app/ticket/379123348" TargetMode="External"/><Relationship Id="rId329" Type="http://schemas.openxmlformats.org/officeDocument/2006/relationships/hyperlink" Target="https://assets.aircall.io/calls/3707425407/recording" TargetMode="External"/><Relationship Id="rId207" Type="http://schemas.openxmlformats.org/officeDocument/2006/relationships/hyperlink" Target="https://horizondirect.gorgias.com/app/ticket/379114010" TargetMode="External"/><Relationship Id="rId328" Type="http://schemas.openxmlformats.org/officeDocument/2006/relationships/hyperlink" Target="https://assets.aircall.io/calls/3703933086/recording" TargetMode="External"/><Relationship Id="rId449" Type="http://schemas.openxmlformats.org/officeDocument/2006/relationships/hyperlink" Target="https://4ammedia.zendesk.com/agent/tickets/197931" TargetMode="External"/><Relationship Id="rId440" Type="http://schemas.openxmlformats.org/officeDocument/2006/relationships/hyperlink" Target="https://4ammedia.zendesk.com/agent/tickets/189952" TargetMode="External"/><Relationship Id="rId202" Type="http://schemas.openxmlformats.org/officeDocument/2006/relationships/hyperlink" Target="https://horizondirect.gorgias.com/app/ticket/378865242" TargetMode="External"/><Relationship Id="rId323" Type="http://schemas.openxmlformats.org/officeDocument/2006/relationships/hyperlink" Target="https://horizondirect.gorgias.com/app/ticket/386671126" TargetMode="External"/><Relationship Id="rId444" Type="http://schemas.openxmlformats.org/officeDocument/2006/relationships/hyperlink" Target="https://4ammedia.zendesk.com/agent/tickets/191591" TargetMode="External"/><Relationship Id="rId201" Type="http://schemas.openxmlformats.org/officeDocument/2006/relationships/hyperlink" Target="https://horizondirect.gorgias.com/app/ticket/378856560" TargetMode="External"/><Relationship Id="rId322" Type="http://schemas.openxmlformats.org/officeDocument/2006/relationships/hyperlink" Target="https://horizondirect.gorgias.com/app/ticket/386521256" TargetMode="External"/><Relationship Id="rId443" Type="http://schemas.openxmlformats.org/officeDocument/2006/relationships/hyperlink" Target="https://4ammedia.zendesk.com/agent/tickets/192130" TargetMode="External"/><Relationship Id="rId200" Type="http://schemas.openxmlformats.org/officeDocument/2006/relationships/hyperlink" Target="https://horizondirect.gorgias.com/app/ticket/378856560" TargetMode="External"/><Relationship Id="rId321" Type="http://schemas.openxmlformats.org/officeDocument/2006/relationships/hyperlink" Target="https://horizondirect.gorgias.com/app/ticket/386503133" TargetMode="External"/><Relationship Id="rId442" Type="http://schemas.openxmlformats.org/officeDocument/2006/relationships/hyperlink" Target="https://4ammedia.zendesk.com/agent/tickets/192070" TargetMode="External"/><Relationship Id="rId320" Type="http://schemas.openxmlformats.org/officeDocument/2006/relationships/hyperlink" Target="https://horizondirect.gorgias.com/app/ticket/386496093" TargetMode="External"/><Relationship Id="rId441" Type="http://schemas.openxmlformats.org/officeDocument/2006/relationships/hyperlink" Target="https://4ammedia.zendesk.com/agent/tickets/190138" TargetMode="External"/><Relationship Id="rId316" Type="http://schemas.openxmlformats.org/officeDocument/2006/relationships/hyperlink" Target="https://horizondirect.gorgias.com/app/ticket/386078563" TargetMode="External"/><Relationship Id="rId437" Type="http://schemas.openxmlformats.org/officeDocument/2006/relationships/hyperlink" Target="https://4ammedia.zendesk.com/agent/tickets/178276" TargetMode="External"/><Relationship Id="rId315" Type="http://schemas.openxmlformats.org/officeDocument/2006/relationships/hyperlink" Target="https://horizondirect.gorgias.com/app/ticket/386065894" TargetMode="External"/><Relationship Id="rId436" Type="http://schemas.openxmlformats.org/officeDocument/2006/relationships/hyperlink" Target="https://4ammedia.zendesk.com/agent/tickets/178248" TargetMode="External"/><Relationship Id="rId314" Type="http://schemas.openxmlformats.org/officeDocument/2006/relationships/hyperlink" Target="https://horizondirect.gorgias.com/app/ticket/386058318" TargetMode="External"/><Relationship Id="rId435" Type="http://schemas.openxmlformats.org/officeDocument/2006/relationships/hyperlink" Target="https://4ammedia.zendesk.com/agent/tickets/177512" TargetMode="External"/><Relationship Id="rId313" Type="http://schemas.openxmlformats.org/officeDocument/2006/relationships/hyperlink" Target="https://horizondirect.gorgias.com/app/ticket/385765852" TargetMode="External"/><Relationship Id="rId434" Type="http://schemas.openxmlformats.org/officeDocument/2006/relationships/hyperlink" Target="https://4ammedia.zendesk.com/agent/tickets/177498" TargetMode="External"/><Relationship Id="rId319" Type="http://schemas.openxmlformats.org/officeDocument/2006/relationships/hyperlink" Target="https://horizondirect.gorgias.com/app/ticket/386219717" TargetMode="External"/><Relationship Id="rId318" Type="http://schemas.openxmlformats.org/officeDocument/2006/relationships/hyperlink" Target="https://horizondirect.gorgias.com/app/ticket/386216634" TargetMode="External"/><Relationship Id="rId439" Type="http://schemas.openxmlformats.org/officeDocument/2006/relationships/hyperlink" Target="https://4ammedia.zendesk.com/agent/tickets/189906" TargetMode="External"/><Relationship Id="rId317" Type="http://schemas.openxmlformats.org/officeDocument/2006/relationships/hyperlink" Target="https://horizondirect.gorgias.com/app/ticket/386212674" TargetMode="External"/><Relationship Id="rId438" Type="http://schemas.openxmlformats.org/officeDocument/2006/relationships/hyperlink" Target="https://4ammedia.zendesk.com/agent/tickets/178336" TargetMode="External"/><Relationship Id="rId312" Type="http://schemas.openxmlformats.org/officeDocument/2006/relationships/hyperlink" Target="https://horizondirect.gorgias.com/app/ticket/385763294" TargetMode="External"/><Relationship Id="rId433" Type="http://schemas.openxmlformats.org/officeDocument/2006/relationships/hyperlink" Target="https://4ammedia.zendesk.com/agent/tickets/177396" TargetMode="External"/><Relationship Id="rId311" Type="http://schemas.openxmlformats.org/officeDocument/2006/relationships/hyperlink" Target="https://horizondirect.gorgias.com/app/ticket/385761526" TargetMode="External"/><Relationship Id="rId432" Type="http://schemas.openxmlformats.org/officeDocument/2006/relationships/hyperlink" Target="https://4ammedia.zendesk.com/agent/tickets/176373" TargetMode="External"/><Relationship Id="rId310" Type="http://schemas.openxmlformats.org/officeDocument/2006/relationships/hyperlink" Target="https://horizondirect.gorgias.com/app/ticket/385644996" TargetMode="External"/><Relationship Id="rId431" Type="http://schemas.openxmlformats.org/officeDocument/2006/relationships/hyperlink" Target="https://4ammedia.zendesk.com/agent/tickets/176359" TargetMode="External"/><Relationship Id="rId430" Type="http://schemas.openxmlformats.org/officeDocument/2006/relationships/hyperlink" Target="https://4ammedia.zendesk.com/agent/tickets/176289"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horizondirect.gorgias.com/app/ticket/378091196" TargetMode="External"/><Relationship Id="rId194" Type="http://schemas.openxmlformats.org/officeDocument/2006/relationships/hyperlink" Target="https://horizondirect.gorgias.com/app/ticket/378259638" TargetMode="External"/><Relationship Id="rId193" Type="http://schemas.openxmlformats.org/officeDocument/2006/relationships/hyperlink" Target="https://horizondirect.gorgias.com/app/ticket/378202050" TargetMode="External"/><Relationship Id="rId192" Type="http://schemas.openxmlformats.org/officeDocument/2006/relationships/hyperlink" Target="https://horizondirect.gorgias.com/app/ticket/378117201" TargetMode="External"/><Relationship Id="rId191" Type="http://schemas.openxmlformats.org/officeDocument/2006/relationships/hyperlink" Target="https://horizondirect.gorgias.com/app/ticket/378074499" TargetMode="External"/><Relationship Id="rId187" Type="http://schemas.openxmlformats.org/officeDocument/2006/relationships/hyperlink" Target="https://horizondirect.gorgias.com/app/ticket/377939923" TargetMode="External"/><Relationship Id="rId186" Type="http://schemas.openxmlformats.org/officeDocument/2006/relationships/hyperlink" Target="https://horizondirect.gorgias.com/app/ticket/377382102" TargetMode="External"/><Relationship Id="rId185" Type="http://schemas.openxmlformats.org/officeDocument/2006/relationships/hyperlink" Target="https://horizondirect.gorgias.com/app/ticket/377350096" TargetMode="External"/><Relationship Id="rId184" Type="http://schemas.openxmlformats.org/officeDocument/2006/relationships/hyperlink" Target="https://horizondirect.gorgias.com/app/ticket/377328548" TargetMode="External"/><Relationship Id="rId189" Type="http://schemas.openxmlformats.org/officeDocument/2006/relationships/hyperlink" Target="https://horizondirect.gorgias.com/app/ticket/377994961" TargetMode="External"/><Relationship Id="rId188" Type="http://schemas.openxmlformats.org/officeDocument/2006/relationships/hyperlink" Target="https://horizondirect.gorgias.com/app/ticket/377952732" TargetMode="External"/><Relationship Id="rId183" Type="http://schemas.openxmlformats.org/officeDocument/2006/relationships/hyperlink" Target="https://horizondirect.gorgias.com/app/ticket/377197857" TargetMode="External"/><Relationship Id="rId182" Type="http://schemas.openxmlformats.org/officeDocument/2006/relationships/hyperlink" Target="https://horizondirect.gorgias.com/app/ticket/377195580" TargetMode="External"/><Relationship Id="rId181" Type="http://schemas.openxmlformats.org/officeDocument/2006/relationships/hyperlink" Target="https://horizondirect.gorgias.com/app/ticket/377192509" TargetMode="External"/><Relationship Id="rId180" Type="http://schemas.openxmlformats.org/officeDocument/2006/relationships/hyperlink" Target="https://horizondirect.gorgias.com/app/ticket/377031058" TargetMode="External"/><Relationship Id="rId176" Type="http://schemas.openxmlformats.org/officeDocument/2006/relationships/hyperlink" Target="https://horizondirect.gorgias.com/app/ticket/376912107" TargetMode="External"/><Relationship Id="rId297" Type="http://schemas.openxmlformats.org/officeDocument/2006/relationships/hyperlink" Target="https://horizondirect.gorgias.com/app/ticket/384464577" TargetMode="External"/><Relationship Id="rId175" Type="http://schemas.openxmlformats.org/officeDocument/2006/relationships/hyperlink" Target="https://horizondirect.gorgias.com/app/ticket/376913066" TargetMode="External"/><Relationship Id="rId296" Type="http://schemas.openxmlformats.org/officeDocument/2006/relationships/hyperlink" Target="https://horizondirect.gorgias.com/app/ticket/384465563" TargetMode="External"/><Relationship Id="rId174" Type="http://schemas.openxmlformats.org/officeDocument/2006/relationships/hyperlink" Target="https://horizondirect.gorgias.com/app/ticket/376708546" TargetMode="External"/><Relationship Id="rId295" Type="http://schemas.openxmlformats.org/officeDocument/2006/relationships/hyperlink" Target="https://horizondirect.gorgias.com/app/ticket/384467571" TargetMode="External"/><Relationship Id="rId173" Type="http://schemas.openxmlformats.org/officeDocument/2006/relationships/hyperlink" Target="https://horizondirect.gorgias.com/app/ticket/376704059" TargetMode="External"/><Relationship Id="rId294" Type="http://schemas.openxmlformats.org/officeDocument/2006/relationships/hyperlink" Target="https://horizondirect.gorgias.com/app/ticket/384327104" TargetMode="External"/><Relationship Id="rId179" Type="http://schemas.openxmlformats.org/officeDocument/2006/relationships/hyperlink" Target="https://horizondirect.gorgias.com/app/ticket/377020952" TargetMode="External"/><Relationship Id="rId178" Type="http://schemas.openxmlformats.org/officeDocument/2006/relationships/hyperlink" Target="https://horizondirect.gorgias.com/app/ticket/377012180" TargetMode="External"/><Relationship Id="rId299" Type="http://schemas.openxmlformats.org/officeDocument/2006/relationships/hyperlink" Target="https://horizondirect.gorgias.com/app/ticket/384586951" TargetMode="External"/><Relationship Id="rId177" Type="http://schemas.openxmlformats.org/officeDocument/2006/relationships/hyperlink" Target="https://horizondirect.gorgias.com/app/ticket/376909038" TargetMode="External"/><Relationship Id="rId298" Type="http://schemas.openxmlformats.org/officeDocument/2006/relationships/hyperlink" Target="https://horizondirect.gorgias.com/app/ticket/384580572" TargetMode="External"/><Relationship Id="rId198" Type="http://schemas.openxmlformats.org/officeDocument/2006/relationships/hyperlink" Target="https://horizondirect.gorgias.com/app/ticket/378550404" TargetMode="External"/><Relationship Id="rId197" Type="http://schemas.openxmlformats.org/officeDocument/2006/relationships/hyperlink" Target="https://horizondirect.gorgias.com/app/ticket/378537092" TargetMode="External"/><Relationship Id="rId196" Type="http://schemas.openxmlformats.org/officeDocument/2006/relationships/hyperlink" Target="https://horizondirect.gorgias.com/app/ticket/378522312" TargetMode="External"/><Relationship Id="rId195" Type="http://schemas.openxmlformats.org/officeDocument/2006/relationships/hyperlink" Target="https://horizondirect.gorgias.com/app/ticket/378259638" TargetMode="External"/><Relationship Id="rId199" Type="http://schemas.openxmlformats.org/officeDocument/2006/relationships/hyperlink" Target="https://horizondirect.gorgias.com/app/ticket/378619479" TargetMode="External"/><Relationship Id="rId150" Type="http://schemas.openxmlformats.org/officeDocument/2006/relationships/hyperlink" Target="https://horizondirect.gorgias.com/app/ticket/375309837" TargetMode="External"/><Relationship Id="rId271" Type="http://schemas.openxmlformats.org/officeDocument/2006/relationships/hyperlink" Target="https://horizondirect.gorgias.com/app/ticket/382994950" TargetMode="External"/><Relationship Id="rId392" Type="http://schemas.openxmlformats.org/officeDocument/2006/relationships/hyperlink" Target="https://assets.aircall.io/calls/3781861801/recording" TargetMode="External"/><Relationship Id="rId270" Type="http://schemas.openxmlformats.org/officeDocument/2006/relationships/hyperlink" Target="https://horizondirect.gorgias.com/app/ticket/382887838" TargetMode="External"/><Relationship Id="rId391" Type="http://schemas.openxmlformats.org/officeDocument/2006/relationships/hyperlink" Target="https://assets.aircall.io/calls/3781643752/recording" TargetMode="External"/><Relationship Id="rId390" Type="http://schemas.openxmlformats.org/officeDocument/2006/relationships/hyperlink" Target="https://assets.aircall.io/calls/3777684161/recording" TargetMode="External"/><Relationship Id="rId1" Type="http://schemas.openxmlformats.org/officeDocument/2006/relationships/hyperlink" Target="https://horizondirect.gorgias.com/app/ticket/365268424" TargetMode="External"/><Relationship Id="rId2" Type="http://schemas.openxmlformats.org/officeDocument/2006/relationships/hyperlink" Target="https://horizondirect.gorgias.com/app/ticket/365274132" TargetMode="External"/><Relationship Id="rId3" Type="http://schemas.openxmlformats.org/officeDocument/2006/relationships/hyperlink" Target="https://horizondirect.gorgias.com/app/ticket/365322492" TargetMode="External"/><Relationship Id="rId149" Type="http://schemas.openxmlformats.org/officeDocument/2006/relationships/hyperlink" Target="https://horizondirect.gorgias.com/app/ticket/375298469" TargetMode="External"/><Relationship Id="rId4" Type="http://schemas.openxmlformats.org/officeDocument/2006/relationships/hyperlink" Target="https://horizondirect.gorgias.com/app/ticket/365430389" TargetMode="External"/><Relationship Id="rId148" Type="http://schemas.openxmlformats.org/officeDocument/2006/relationships/hyperlink" Target="https://horizondirect.gorgias.com/app/ticket/375297091" TargetMode="External"/><Relationship Id="rId269" Type="http://schemas.openxmlformats.org/officeDocument/2006/relationships/hyperlink" Target="https://horizondirect.gorgias.com/app/ticket/382863463" TargetMode="External"/><Relationship Id="rId9" Type="http://schemas.openxmlformats.org/officeDocument/2006/relationships/hyperlink" Target="https://horizondirect.gorgias.com/app/ticket/365729806" TargetMode="External"/><Relationship Id="rId143" Type="http://schemas.openxmlformats.org/officeDocument/2006/relationships/hyperlink" Target="https://horizondirect.gorgias.com/app/ticket/374962441" TargetMode="External"/><Relationship Id="rId264" Type="http://schemas.openxmlformats.org/officeDocument/2006/relationships/hyperlink" Target="https://horizondirect.gorgias.com/app/ticket/382591548" TargetMode="External"/><Relationship Id="rId385" Type="http://schemas.openxmlformats.org/officeDocument/2006/relationships/hyperlink" Target="https://assets.aircall.io/calls/3777144449/recording" TargetMode="External"/><Relationship Id="rId142" Type="http://schemas.openxmlformats.org/officeDocument/2006/relationships/hyperlink" Target="https://horizondirect.gorgias.com/app/ticket/374957806" TargetMode="External"/><Relationship Id="rId263" Type="http://schemas.openxmlformats.org/officeDocument/2006/relationships/hyperlink" Target="https://horizondirect.gorgias.com/app/ticket/382574599" TargetMode="External"/><Relationship Id="rId384" Type="http://schemas.openxmlformats.org/officeDocument/2006/relationships/hyperlink" Target="https://assets.aircall.io/calls/3776500038/recording" TargetMode="External"/><Relationship Id="rId141" Type="http://schemas.openxmlformats.org/officeDocument/2006/relationships/hyperlink" Target="https://horizondirect.gorgias.com/app/ticket/374852867" TargetMode="External"/><Relationship Id="rId262" Type="http://schemas.openxmlformats.org/officeDocument/2006/relationships/hyperlink" Target="https://horizondirect.gorgias.com/app/ticket/382543336" TargetMode="External"/><Relationship Id="rId383" Type="http://schemas.openxmlformats.org/officeDocument/2006/relationships/hyperlink" Target="https://assets.aircall.io/calls/3776493963/recording" TargetMode="External"/><Relationship Id="rId140" Type="http://schemas.openxmlformats.org/officeDocument/2006/relationships/hyperlink" Target="https://horizondirect.gorgias.com/app/ticket/374852101" TargetMode="External"/><Relationship Id="rId261" Type="http://schemas.openxmlformats.org/officeDocument/2006/relationships/hyperlink" Target="https://horizondirect.gorgias.com/app/ticket/382316970" TargetMode="External"/><Relationship Id="rId382" Type="http://schemas.openxmlformats.org/officeDocument/2006/relationships/hyperlink" Target="https://assets.aircall.io/calls/3776290391/recording" TargetMode="External"/><Relationship Id="rId5" Type="http://schemas.openxmlformats.org/officeDocument/2006/relationships/hyperlink" Target="https://horizondirect.gorgias.com/app/ticket/365439659" TargetMode="External"/><Relationship Id="rId147" Type="http://schemas.openxmlformats.org/officeDocument/2006/relationships/hyperlink" Target="https://horizondirect.gorgias.com/app/ticket/375083687" TargetMode="External"/><Relationship Id="rId268" Type="http://schemas.openxmlformats.org/officeDocument/2006/relationships/hyperlink" Target="https://horizondirect.gorgias.com/app/ticket/382853005" TargetMode="External"/><Relationship Id="rId389" Type="http://schemas.openxmlformats.org/officeDocument/2006/relationships/hyperlink" Target="https://assets.aircall.io/calls/3777672319/recording" TargetMode="External"/><Relationship Id="rId6" Type="http://schemas.openxmlformats.org/officeDocument/2006/relationships/hyperlink" Target="https://horizondirect.gorgias.com/app/ticket/365445937" TargetMode="External"/><Relationship Id="rId146" Type="http://schemas.openxmlformats.org/officeDocument/2006/relationships/hyperlink" Target="https://horizondirect.gorgias.com/app/ticket/375081305" TargetMode="External"/><Relationship Id="rId267" Type="http://schemas.openxmlformats.org/officeDocument/2006/relationships/hyperlink" Target="https://horizondirect.gorgias.com/app/ticket/382749119" TargetMode="External"/><Relationship Id="rId388" Type="http://schemas.openxmlformats.org/officeDocument/2006/relationships/hyperlink" Target="https://assets.aircall.io/calls/3777668489/recording" TargetMode="External"/><Relationship Id="rId7" Type="http://schemas.openxmlformats.org/officeDocument/2006/relationships/hyperlink" Target="https://horizondirect.gorgias.com/app/ticket/365719346" TargetMode="External"/><Relationship Id="rId145" Type="http://schemas.openxmlformats.org/officeDocument/2006/relationships/hyperlink" Target="https://horizondirect.gorgias.com/app/ticket/375090421" TargetMode="External"/><Relationship Id="rId266" Type="http://schemas.openxmlformats.org/officeDocument/2006/relationships/hyperlink" Target="https://horizondirect.gorgias.com/app/ticket/382747555" TargetMode="External"/><Relationship Id="rId387" Type="http://schemas.openxmlformats.org/officeDocument/2006/relationships/hyperlink" Target="https://assets.aircall.io/calls/3777227858/recording" TargetMode="External"/><Relationship Id="rId8" Type="http://schemas.openxmlformats.org/officeDocument/2006/relationships/hyperlink" Target="https://horizondirect.gorgias.com/app/ticket/365725962" TargetMode="External"/><Relationship Id="rId144" Type="http://schemas.openxmlformats.org/officeDocument/2006/relationships/hyperlink" Target="https://horizondirect.gorgias.com/app/ticket/374955355" TargetMode="External"/><Relationship Id="rId265" Type="http://schemas.openxmlformats.org/officeDocument/2006/relationships/hyperlink" Target="https://horizondirect.gorgias.com/app/ticket/382750288" TargetMode="External"/><Relationship Id="rId386" Type="http://schemas.openxmlformats.org/officeDocument/2006/relationships/hyperlink" Target="https://assets.aircall.io/calls/3777215483/recording" TargetMode="External"/><Relationship Id="rId260" Type="http://schemas.openxmlformats.org/officeDocument/2006/relationships/hyperlink" Target="https://horizondirect.gorgias.com/app/ticket/382310649" TargetMode="External"/><Relationship Id="rId381" Type="http://schemas.openxmlformats.org/officeDocument/2006/relationships/hyperlink" Target="https://assets.aircall.io/calls/3773085633/recording" TargetMode="External"/><Relationship Id="rId380" Type="http://schemas.openxmlformats.org/officeDocument/2006/relationships/hyperlink" Target="https://assets.aircall.io/calls/3772672202/recording" TargetMode="External"/><Relationship Id="rId139" Type="http://schemas.openxmlformats.org/officeDocument/2006/relationships/hyperlink" Target="https://horizondirect.gorgias.com/app/ticket/374833930" TargetMode="External"/><Relationship Id="rId138" Type="http://schemas.openxmlformats.org/officeDocument/2006/relationships/hyperlink" Target="https://horizondirect.gorgias.com/app/ticket/374579967" TargetMode="External"/><Relationship Id="rId259" Type="http://schemas.openxmlformats.org/officeDocument/2006/relationships/hyperlink" Target="https://horizondirect.gorgias.com/app/ticket/382299160" TargetMode="External"/><Relationship Id="rId137" Type="http://schemas.openxmlformats.org/officeDocument/2006/relationships/hyperlink" Target="https://horizondirect.gorgias.com/app/ticket/374572196" TargetMode="External"/><Relationship Id="rId258" Type="http://schemas.openxmlformats.org/officeDocument/2006/relationships/hyperlink" Target="https://horizondirect.gorgias.com/app/ticket/382240075" TargetMode="External"/><Relationship Id="rId379" Type="http://schemas.openxmlformats.org/officeDocument/2006/relationships/hyperlink" Target="https://assets.aircall.io/calls/3772540747/recording" TargetMode="External"/><Relationship Id="rId132" Type="http://schemas.openxmlformats.org/officeDocument/2006/relationships/hyperlink" Target="https://horizondirect.gorgias.com/app/ticket/374217492" TargetMode="External"/><Relationship Id="rId253" Type="http://schemas.openxmlformats.org/officeDocument/2006/relationships/hyperlink" Target="https://horizondirect.gorgias.com/app/ticket/381894457" TargetMode="External"/><Relationship Id="rId374" Type="http://schemas.openxmlformats.org/officeDocument/2006/relationships/hyperlink" Target="https://assets.aircall.io/calls/3748485486/recording" TargetMode="External"/><Relationship Id="rId495" Type="http://schemas.openxmlformats.org/officeDocument/2006/relationships/hyperlink" Target="https://4ammedia.zendesk.com/agent/tickets/228199" TargetMode="External"/><Relationship Id="rId131" Type="http://schemas.openxmlformats.org/officeDocument/2006/relationships/hyperlink" Target="https://horizondirect.gorgias.com/app/ticket/374203242" TargetMode="External"/><Relationship Id="rId252" Type="http://schemas.openxmlformats.org/officeDocument/2006/relationships/hyperlink" Target="https://horizondirect.gorgias.com/app/ticket/381677532" TargetMode="External"/><Relationship Id="rId373" Type="http://schemas.openxmlformats.org/officeDocument/2006/relationships/hyperlink" Target="https://assets.aircall.io/calls/3748387841/recording" TargetMode="External"/><Relationship Id="rId494" Type="http://schemas.openxmlformats.org/officeDocument/2006/relationships/hyperlink" Target="https://4ammedia.zendesk.com/agent/tickets/227104" TargetMode="External"/><Relationship Id="rId130" Type="http://schemas.openxmlformats.org/officeDocument/2006/relationships/hyperlink" Target="https://horizondirect.gorgias.com/app/ticket/374202509" TargetMode="External"/><Relationship Id="rId251" Type="http://schemas.openxmlformats.org/officeDocument/2006/relationships/hyperlink" Target="https://horizondirect.gorgias.com/app/ticket/381674905" TargetMode="External"/><Relationship Id="rId372" Type="http://schemas.openxmlformats.org/officeDocument/2006/relationships/hyperlink" Target="https://assets.aircall.io/calls/3744338075/recording" TargetMode="External"/><Relationship Id="rId493" Type="http://schemas.openxmlformats.org/officeDocument/2006/relationships/hyperlink" Target="https://4ammedia.zendesk.com/agent/tickets/226969" TargetMode="External"/><Relationship Id="rId250" Type="http://schemas.openxmlformats.org/officeDocument/2006/relationships/hyperlink" Target="https://horizondirect.gorgias.com/app/ticket/381671944" TargetMode="External"/><Relationship Id="rId371" Type="http://schemas.openxmlformats.org/officeDocument/2006/relationships/hyperlink" Target="http://cafe72fdc7290cc40c856a166f88f2b8a9/" TargetMode="External"/><Relationship Id="rId492" Type="http://schemas.openxmlformats.org/officeDocument/2006/relationships/hyperlink" Target="https://4ammedia.zendesk.com/agent/tickets/226923" TargetMode="External"/><Relationship Id="rId136" Type="http://schemas.openxmlformats.org/officeDocument/2006/relationships/hyperlink" Target="https://horizondirect.gorgias.com/app/ticket/374560331" TargetMode="External"/><Relationship Id="rId257" Type="http://schemas.openxmlformats.org/officeDocument/2006/relationships/hyperlink" Target="https://horizondirect.gorgias.com/app/ticket/382230958" TargetMode="External"/><Relationship Id="rId378" Type="http://schemas.openxmlformats.org/officeDocument/2006/relationships/hyperlink" Target="https://assets.aircall.io/calls/3770121176/recording" TargetMode="External"/><Relationship Id="rId499" Type="http://schemas.openxmlformats.org/officeDocument/2006/relationships/hyperlink" Target="https://4ammedia.zendesk.com/agent/tickets/233931" TargetMode="External"/><Relationship Id="rId135" Type="http://schemas.openxmlformats.org/officeDocument/2006/relationships/hyperlink" Target="https://horizondirect.gorgias.com/app/ticket/374458997" TargetMode="External"/><Relationship Id="rId256" Type="http://schemas.openxmlformats.org/officeDocument/2006/relationships/hyperlink" Target="https://horizondirect.gorgias.com/app/ticket/382226430" TargetMode="External"/><Relationship Id="rId377" Type="http://schemas.openxmlformats.org/officeDocument/2006/relationships/hyperlink" Target="https://assets.aircall.io/calls/3769951297/recording" TargetMode="External"/><Relationship Id="rId498" Type="http://schemas.openxmlformats.org/officeDocument/2006/relationships/hyperlink" Target="https://4ammedia.zendesk.com/agent/tickets/233885" TargetMode="External"/><Relationship Id="rId134" Type="http://schemas.openxmlformats.org/officeDocument/2006/relationships/hyperlink" Target="https://horizondirect.gorgias.com/app/ticket/374448238" TargetMode="External"/><Relationship Id="rId255" Type="http://schemas.openxmlformats.org/officeDocument/2006/relationships/hyperlink" Target="http://horizondirect.gorgias.com/app/ticket/381922952" TargetMode="External"/><Relationship Id="rId376" Type="http://schemas.openxmlformats.org/officeDocument/2006/relationships/hyperlink" Target="https://assets.aircall.io/calls/3732759461/recording" TargetMode="External"/><Relationship Id="rId497" Type="http://schemas.openxmlformats.org/officeDocument/2006/relationships/hyperlink" Target="https://4ammedia.zendesk.com/agent/tickets/228317" TargetMode="External"/><Relationship Id="rId133" Type="http://schemas.openxmlformats.org/officeDocument/2006/relationships/hyperlink" Target="https://horizondirect.gorgias.com/app/ticket/374439119" TargetMode="External"/><Relationship Id="rId254" Type="http://schemas.openxmlformats.org/officeDocument/2006/relationships/hyperlink" Target="https://horizondirect.gorgias.com/app/ticket/381907347" TargetMode="External"/><Relationship Id="rId375" Type="http://schemas.openxmlformats.org/officeDocument/2006/relationships/hyperlink" Target="https://assets.aircall.io/calls/3748510848/recording" TargetMode="External"/><Relationship Id="rId496" Type="http://schemas.openxmlformats.org/officeDocument/2006/relationships/hyperlink" Target="https://4ammedia.zendesk.com/agent/tickets/228277" TargetMode="External"/><Relationship Id="rId172" Type="http://schemas.openxmlformats.org/officeDocument/2006/relationships/hyperlink" Target="https://horizondirect.gorgias.com/app/ticket/376692392" TargetMode="External"/><Relationship Id="rId293" Type="http://schemas.openxmlformats.org/officeDocument/2006/relationships/hyperlink" Target="https://horizondirect.gorgias.com/app/ticket/384315753" TargetMode="External"/><Relationship Id="rId171" Type="http://schemas.openxmlformats.org/officeDocument/2006/relationships/hyperlink" Target="https://horizondirect.gorgias.com/app/ticket/376452607" TargetMode="External"/><Relationship Id="rId292" Type="http://schemas.openxmlformats.org/officeDocument/2006/relationships/hyperlink" Target="https://horizondirect.gorgias.com/app/ticket/384295245" TargetMode="External"/><Relationship Id="rId170" Type="http://schemas.openxmlformats.org/officeDocument/2006/relationships/hyperlink" Target="https://horizondirect.gorgias.com/app/ticket/376445108" TargetMode="External"/><Relationship Id="rId291" Type="http://schemas.openxmlformats.org/officeDocument/2006/relationships/hyperlink" Target="https://horizondirect.gorgias.com/app/ticket/384167959" TargetMode="External"/><Relationship Id="rId290" Type="http://schemas.openxmlformats.org/officeDocument/2006/relationships/hyperlink" Target="https://horizondirect.gorgias.com/app/ticket/384172447" TargetMode="External"/><Relationship Id="rId165" Type="http://schemas.openxmlformats.org/officeDocument/2006/relationships/hyperlink" Target="https://horizondirect.gorgias.com/app/ticket/376128297" TargetMode="External"/><Relationship Id="rId286" Type="http://schemas.openxmlformats.org/officeDocument/2006/relationships/hyperlink" Target="https://horizondirect.gorgias.com/app/ticket/384088827" TargetMode="External"/><Relationship Id="rId164" Type="http://schemas.openxmlformats.org/officeDocument/2006/relationships/hyperlink" Target="https://horizondirect.gorgias.com/app/ticket/376119201" TargetMode="External"/><Relationship Id="rId285" Type="http://schemas.openxmlformats.org/officeDocument/2006/relationships/hyperlink" Target="https://horizondirect.gorgias.com/app/ticket/383737787" TargetMode="External"/><Relationship Id="rId163" Type="http://schemas.openxmlformats.org/officeDocument/2006/relationships/hyperlink" Target="https://horizondirect.gorgias.com/app/ticket/376108067" TargetMode="External"/><Relationship Id="rId284" Type="http://schemas.openxmlformats.org/officeDocument/2006/relationships/hyperlink" Target="https://horizondirect.gorgias.com/app/ticket/383724463" TargetMode="External"/><Relationship Id="rId162" Type="http://schemas.openxmlformats.org/officeDocument/2006/relationships/hyperlink" Target="https://horizondirect.gorgias.com/app/ticket/375881371" TargetMode="External"/><Relationship Id="rId283" Type="http://schemas.openxmlformats.org/officeDocument/2006/relationships/hyperlink" Target="https://horizondirect.gorgias.com/app/ticket/383703537" TargetMode="External"/><Relationship Id="rId169" Type="http://schemas.openxmlformats.org/officeDocument/2006/relationships/hyperlink" Target="https://horizondirect.gorgias.com/app/ticket/376400460" TargetMode="External"/><Relationship Id="rId168" Type="http://schemas.openxmlformats.org/officeDocument/2006/relationships/hyperlink" Target="https://horizondirect.gorgias.com/app/ticket/376318840" TargetMode="External"/><Relationship Id="rId289" Type="http://schemas.openxmlformats.org/officeDocument/2006/relationships/hyperlink" Target="https://horizondirect.gorgias.com/app/ticket/384186754" TargetMode="External"/><Relationship Id="rId167" Type="http://schemas.openxmlformats.org/officeDocument/2006/relationships/hyperlink" Target="https://horizondirect.gorgias.com/app/ticket/376316699" TargetMode="External"/><Relationship Id="rId288" Type="http://schemas.openxmlformats.org/officeDocument/2006/relationships/hyperlink" Target="https://horizondirect.gorgias.com/app/ticket/384105750" TargetMode="External"/><Relationship Id="rId166" Type="http://schemas.openxmlformats.org/officeDocument/2006/relationships/hyperlink" Target="https://horizondirect.gorgias.com/app/ticket/376314937" TargetMode="External"/><Relationship Id="rId287" Type="http://schemas.openxmlformats.org/officeDocument/2006/relationships/hyperlink" Target="https://horizondirect.gorgias.com/app/ticket/384101455" TargetMode="External"/><Relationship Id="rId161" Type="http://schemas.openxmlformats.org/officeDocument/2006/relationships/hyperlink" Target="https://horizondirect.gorgias.com/app/ticket/375880601" TargetMode="External"/><Relationship Id="rId282" Type="http://schemas.openxmlformats.org/officeDocument/2006/relationships/hyperlink" Target="https://horizondirect.gorgias.com/app/ticket/383574374" TargetMode="External"/><Relationship Id="rId160" Type="http://schemas.openxmlformats.org/officeDocument/2006/relationships/hyperlink" Target="https://horizondirect.gorgias.com/app/ticket/375880487" TargetMode="External"/><Relationship Id="rId281" Type="http://schemas.openxmlformats.org/officeDocument/2006/relationships/hyperlink" Target="https://horizondirect.gorgias.com/app/ticket/383587504" TargetMode="External"/><Relationship Id="rId280" Type="http://schemas.openxmlformats.org/officeDocument/2006/relationships/hyperlink" Target="https://horizondirect.gorgias.com/app/ticket/383599772" TargetMode="External"/><Relationship Id="rId159" Type="http://schemas.openxmlformats.org/officeDocument/2006/relationships/hyperlink" Target="https://horizondirect.gorgias.com/app/ticket/375717857" TargetMode="External"/><Relationship Id="rId154" Type="http://schemas.openxmlformats.org/officeDocument/2006/relationships/hyperlink" Target="https://horizondirect.gorgias.com/app/ticket/375539824" TargetMode="External"/><Relationship Id="rId275" Type="http://schemas.openxmlformats.org/officeDocument/2006/relationships/hyperlink" Target="https://horizondirect.gorgias.com/app/ticket/383321153" TargetMode="External"/><Relationship Id="rId396" Type="http://schemas.openxmlformats.org/officeDocument/2006/relationships/hyperlink" Target="https://4ammedia.zendesk.com/agent/tickets/143910" TargetMode="External"/><Relationship Id="rId153" Type="http://schemas.openxmlformats.org/officeDocument/2006/relationships/hyperlink" Target="https://horizondirect.gorgias.com/app/ticket/375444894" TargetMode="External"/><Relationship Id="rId274" Type="http://schemas.openxmlformats.org/officeDocument/2006/relationships/hyperlink" Target="https://horizondirect.gorgias.com/app/ticket/383304944" TargetMode="External"/><Relationship Id="rId395" Type="http://schemas.openxmlformats.org/officeDocument/2006/relationships/hyperlink" Target="https://4ammedia.zendesk.com/agent/tickets/143744" TargetMode="External"/><Relationship Id="rId152" Type="http://schemas.openxmlformats.org/officeDocument/2006/relationships/hyperlink" Target="https://horizondirect.gorgias.com/app/ticket/375435830" TargetMode="External"/><Relationship Id="rId273" Type="http://schemas.openxmlformats.org/officeDocument/2006/relationships/hyperlink" Target="https://horizondirect.gorgias.com/app/ticket/383021681" TargetMode="External"/><Relationship Id="rId394" Type="http://schemas.openxmlformats.org/officeDocument/2006/relationships/hyperlink" Target="https://4ammedia.zendesk.com/agent/tickets/143411" TargetMode="External"/><Relationship Id="rId151" Type="http://schemas.openxmlformats.org/officeDocument/2006/relationships/hyperlink" Target="https://horizondirect.gorgias.com/app/ticket/375425432" TargetMode="External"/><Relationship Id="rId272" Type="http://schemas.openxmlformats.org/officeDocument/2006/relationships/hyperlink" Target="https://horizondirect.gorgias.com/app/ticket/383005728" TargetMode="External"/><Relationship Id="rId393" Type="http://schemas.openxmlformats.org/officeDocument/2006/relationships/hyperlink" Target="https://assets.aircall.io/calls/3781920359/recording" TargetMode="External"/><Relationship Id="rId158" Type="http://schemas.openxmlformats.org/officeDocument/2006/relationships/hyperlink" Target="https://horizondirect.gorgias.com/app/ticket/375716477" TargetMode="External"/><Relationship Id="rId279" Type="http://schemas.openxmlformats.org/officeDocument/2006/relationships/hyperlink" Target="https://horizondirect.gorgias.com/app/ticket/383467550" TargetMode="External"/><Relationship Id="rId157" Type="http://schemas.openxmlformats.org/officeDocument/2006/relationships/hyperlink" Target="https://horizondirect.gorgias.com/app/ticket/375715555" TargetMode="External"/><Relationship Id="rId278" Type="http://schemas.openxmlformats.org/officeDocument/2006/relationships/hyperlink" Target="https://horizondirect.gorgias.com/app/ticket/383439868" TargetMode="External"/><Relationship Id="rId399" Type="http://schemas.openxmlformats.org/officeDocument/2006/relationships/hyperlink" Target="https://4ammedia.zendesk.com/agent/tickets/145275" TargetMode="External"/><Relationship Id="rId156" Type="http://schemas.openxmlformats.org/officeDocument/2006/relationships/hyperlink" Target="https://horizondirect.gorgias.com/app/ticket/375582445" TargetMode="External"/><Relationship Id="rId277" Type="http://schemas.openxmlformats.org/officeDocument/2006/relationships/hyperlink" Target="https://horizondirect.gorgias.com/app/ticket/383432234" TargetMode="External"/><Relationship Id="rId398" Type="http://schemas.openxmlformats.org/officeDocument/2006/relationships/hyperlink" Target="https://4ammedia.zendesk.com/agent/tickets/145171" TargetMode="External"/><Relationship Id="rId155" Type="http://schemas.openxmlformats.org/officeDocument/2006/relationships/hyperlink" Target="https://horizondirect.gorgias.com/app/ticket/375561352" TargetMode="External"/><Relationship Id="rId276" Type="http://schemas.openxmlformats.org/officeDocument/2006/relationships/hyperlink" Target="https://horizondirect.gorgias.com/app/ticket/383323591" TargetMode="External"/><Relationship Id="rId397" Type="http://schemas.openxmlformats.org/officeDocument/2006/relationships/hyperlink" Target="https://4ammedia.zendesk.com/agent/tickets/145043" TargetMode="External"/><Relationship Id="rId40" Type="http://schemas.openxmlformats.org/officeDocument/2006/relationships/hyperlink" Target="https://horizondirect.gorgias.com/app/ticket/367764221" TargetMode="External"/><Relationship Id="rId42" Type="http://schemas.openxmlformats.org/officeDocument/2006/relationships/hyperlink" Target="https://horizondirect.gorgias.com/app/ticket/367781995" TargetMode="External"/><Relationship Id="rId41" Type="http://schemas.openxmlformats.org/officeDocument/2006/relationships/hyperlink" Target="https://horizondirect.gorgias.com/app/ticket/367769116" TargetMode="External"/><Relationship Id="rId44" Type="http://schemas.openxmlformats.org/officeDocument/2006/relationships/hyperlink" Target="https://horizondirect.gorgias.com/app/ticket/368249720" TargetMode="External"/><Relationship Id="rId43" Type="http://schemas.openxmlformats.org/officeDocument/2006/relationships/hyperlink" Target="https://horizondirect.gorgias.com/app/ticket/368231308" TargetMode="External"/><Relationship Id="rId46" Type="http://schemas.openxmlformats.org/officeDocument/2006/relationships/hyperlink" Target="https://horizondirect.gorgias.com/app/ticket/368511943" TargetMode="External"/><Relationship Id="rId45" Type="http://schemas.openxmlformats.org/officeDocument/2006/relationships/hyperlink" Target="https://horizondirect.gorgias.com/app/ticket/368285934" TargetMode="External"/><Relationship Id="rId509" Type="http://schemas.openxmlformats.org/officeDocument/2006/relationships/hyperlink" Target="https://4ammedia.zendesk.com/agent/tickets/240949" TargetMode="External"/><Relationship Id="rId508" Type="http://schemas.openxmlformats.org/officeDocument/2006/relationships/hyperlink" Target="https://4ammedia.zendesk.com/agent/tickets/240912" TargetMode="External"/><Relationship Id="rId503" Type="http://schemas.openxmlformats.org/officeDocument/2006/relationships/hyperlink" Target="https://4ammedia.zendesk.com/agent/tickets/237268" TargetMode="External"/><Relationship Id="rId502" Type="http://schemas.openxmlformats.org/officeDocument/2006/relationships/hyperlink" Target="https://4ammedia.zendesk.com/agent/tickets/237078" TargetMode="External"/><Relationship Id="rId501" Type="http://schemas.openxmlformats.org/officeDocument/2006/relationships/hyperlink" Target="https://4ammedia.zendesk.com/agent/tickets/236969" TargetMode="External"/><Relationship Id="rId500" Type="http://schemas.openxmlformats.org/officeDocument/2006/relationships/hyperlink" Target="https://4ammedia.zendesk.com/agent/tickets/234035" TargetMode="External"/><Relationship Id="rId507" Type="http://schemas.openxmlformats.org/officeDocument/2006/relationships/hyperlink" Target="https://4ammedia.zendesk.com/agent/tickets/240800" TargetMode="External"/><Relationship Id="rId506" Type="http://schemas.openxmlformats.org/officeDocument/2006/relationships/hyperlink" Target="https://4ammedia.zendesk.com/agent/tickets/239128" TargetMode="External"/><Relationship Id="rId505" Type="http://schemas.openxmlformats.org/officeDocument/2006/relationships/hyperlink" Target="https://4ammedia.zendesk.com/agent/tickets/239052" TargetMode="External"/><Relationship Id="rId504" Type="http://schemas.openxmlformats.org/officeDocument/2006/relationships/hyperlink" Target="https://4ammedia.zendesk.com/agent/tickets/238780" TargetMode="External"/><Relationship Id="rId48" Type="http://schemas.openxmlformats.org/officeDocument/2006/relationships/hyperlink" Target="https://horizondirect.gorgias.com/app/ticket/368489867" TargetMode="External"/><Relationship Id="rId47" Type="http://schemas.openxmlformats.org/officeDocument/2006/relationships/hyperlink" Target="https://horizondirect.gorgias.com/app/ticket/368485470" TargetMode="External"/><Relationship Id="rId49" Type="http://schemas.openxmlformats.org/officeDocument/2006/relationships/hyperlink" Target="https://horizondirect.gorgias.com/app/ticket/368621942" TargetMode="External"/><Relationship Id="rId31" Type="http://schemas.openxmlformats.org/officeDocument/2006/relationships/hyperlink" Target="https://horizondirect.gorgias.com/app/ticket/367223453" TargetMode="External"/><Relationship Id="rId30" Type="http://schemas.openxmlformats.org/officeDocument/2006/relationships/hyperlink" Target="https://horizondirect.gorgias.com/app/ticket/366890872" TargetMode="External"/><Relationship Id="rId33" Type="http://schemas.openxmlformats.org/officeDocument/2006/relationships/hyperlink" Target="https://horizondirect.gorgias.com/app/ticket/367249906" TargetMode="External"/><Relationship Id="rId32" Type="http://schemas.openxmlformats.org/officeDocument/2006/relationships/hyperlink" Target="https://horizondirect.gorgias.com/app/ticket/367240691" TargetMode="External"/><Relationship Id="rId35" Type="http://schemas.openxmlformats.org/officeDocument/2006/relationships/hyperlink" Target="https://horizondirect.gorgias.com/app/ticket/367417333" TargetMode="External"/><Relationship Id="rId34" Type="http://schemas.openxmlformats.org/officeDocument/2006/relationships/hyperlink" Target="https://horizondirect.gorgias.com/app/ticket/367419642" TargetMode="External"/><Relationship Id="rId37" Type="http://schemas.openxmlformats.org/officeDocument/2006/relationships/hyperlink" Target="https://horizondirect.gorgias.com/app/ticket/367565552" TargetMode="External"/><Relationship Id="rId36" Type="http://schemas.openxmlformats.org/officeDocument/2006/relationships/hyperlink" Target="https://horizondirect.gorgias.com/app/ticket/367416818" TargetMode="External"/><Relationship Id="rId39" Type="http://schemas.openxmlformats.org/officeDocument/2006/relationships/hyperlink" Target="https://horizondirect.gorgias.com/app/ticket/367589114" TargetMode="External"/><Relationship Id="rId38" Type="http://schemas.openxmlformats.org/officeDocument/2006/relationships/hyperlink" Target="https://horizondirect.gorgias.com/app/ticket/367573552" TargetMode="External"/><Relationship Id="rId20" Type="http://schemas.openxmlformats.org/officeDocument/2006/relationships/hyperlink" Target="https://horizondirect.gorgias.com/app/ticket/366393817" TargetMode="External"/><Relationship Id="rId22" Type="http://schemas.openxmlformats.org/officeDocument/2006/relationships/hyperlink" Target="https://horizondirect.gorgias.com/app/ticket/366441349" TargetMode="External"/><Relationship Id="rId21" Type="http://schemas.openxmlformats.org/officeDocument/2006/relationships/hyperlink" Target="https://horizondirect.gorgias.com/app/ticket/366251073" TargetMode="External"/><Relationship Id="rId24" Type="http://schemas.openxmlformats.org/officeDocument/2006/relationships/hyperlink" Target="https://horizondirect.gorgias.com/app/ticket/366445264" TargetMode="External"/><Relationship Id="rId23" Type="http://schemas.openxmlformats.org/officeDocument/2006/relationships/hyperlink" Target="https://horizondirect.gorgias.com/app/ticket/366428290" TargetMode="External"/><Relationship Id="rId409" Type="http://schemas.openxmlformats.org/officeDocument/2006/relationships/hyperlink" Target="https://4ammedia.zendesk.com/agent/tickets/152332" TargetMode="External"/><Relationship Id="rId404" Type="http://schemas.openxmlformats.org/officeDocument/2006/relationships/hyperlink" Target="https://4ammedia.zendesk.com/agent/tickets/149654" TargetMode="External"/><Relationship Id="rId525" Type="http://schemas.openxmlformats.org/officeDocument/2006/relationships/hyperlink" Target="https://4ammedia.zendesk.com/agent/tickets/259988" TargetMode="External"/><Relationship Id="rId403" Type="http://schemas.openxmlformats.org/officeDocument/2006/relationships/hyperlink" Target="https://4ammedia.zendesk.com/agent/tickets/149594" TargetMode="External"/><Relationship Id="rId524" Type="http://schemas.openxmlformats.org/officeDocument/2006/relationships/hyperlink" Target="https://4ammedia.zendesk.com/agent/tickets/254781" TargetMode="External"/><Relationship Id="rId402" Type="http://schemas.openxmlformats.org/officeDocument/2006/relationships/hyperlink" Target="https://4ammedia.zendesk.com/agent/tickets/147915" TargetMode="External"/><Relationship Id="rId523" Type="http://schemas.openxmlformats.org/officeDocument/2006/relationships/hyperlink" Target="https://4ammedia.zendesk.com/agent/tickets/254716" TargetMode="External"/><Relationship Id="rId401" Type="http://schemas.openxmlformats.org/officeDocument/2006/relationships/hyperlink" Target="https://4ammedia.zendesk.com/agent/tickets/147882" TargetMode="External"/><Relationship Id="rId522" Type="http://schemas.openxmlformats.org/officeDocument/2006/relationships/hyperlink" Target="https://4ammedia.zendesk.com/agent/tickets/254610" TargetMode="External"/><Relationship Id="rId408" Type="http://schemas.openxmlformats.org/officeDocument/2006/relationships/hyperlink" Target="https://4ammedia.zendesk.com/agent/tickets/151299" TargetMode="External"/><Relationship Id="rId529" Type="http://schemas.openxmlformats.org/officeDocument/2006/relationships/hyperlink" Target="https://4ammedia.zendesk.com/agent/tickets/261683" TargetMode="External"/><Relationship Id="rId407" Type="http://schemas.openxmlformats.org/officeDocument/2006/relationships/hyperlink" Target="https://4ammedia.zendesk.com/agent/tickets/151054" TargetMode="External"/><Relationship Id="rId528" Type="http://schemas.openxmlformats.org/officeDocument/2006/relationships/hyperlink" Target="https://4ammedia.zendesk.com/agent/tickets/261653" TargetMode="External"/><Relationship Id="rId406" Type="http://schemas.openxmlformats.org/officeDocument/2006/relationships/hyperlink" Target="https://4ammedia.zendesk.com/agent/tickets/150946" TargetMode="External"/><Relationship Id="rId527" Type="http://schemas.openxmlformats.org/officeDocument/2006/relationships/hyperlink" Target="https://4ammedia.zendesk.com/agent/tickets/260386" TargetMode="External"/><Relationship Id="rId405" Type="http://schemas.openxmlformats.org/officeDocument/2006/relationships/hyperlink" Target="https://4ammedia.zendesk.com/agent/tickets/149667" TargetMode="External"/><Relationship Id="rId526" Type="http://schemas.openxmlformats.org/officeDocument/2006/relationships/hyperlink" Target="https://4ammedia.zendesk.com/agent/tickets/260175" TargetMode="External"/><Relationship Id="rId26" Type="http://schemas.openxmlformats.org/officeDocument/2006/relationships/hyperlink" Target="https://horizondirect.gorgias.com/app/ticket/366705044" TargetMode="External"/><Relationship Id="rId25" Type="http://schemas.openxmlformats.org/officeDocument/2006/relationships/hyperlink" Target="https://horizondirect.gorgias.com/app/ticket/366700920" TargetMode="External"/><Relationship Id="rId28" Type="http://schemas.openxmlformats.org/officeDocument/2006/relationships/hyperlink" Target="https://horizondirect.gorgias.com/app/ticket/366868513" TargetMode="External"/><Relationship Id="rId27" Type="http://schemas.openxmlformats.org/officeDocument/2006/relationships/hyperlink" Target="https://horizondirect.gorgias.com/app/ticket/366718762" TargetMode="External"/><Relationship Id="rId400" Type="http://schemas.openxmlformats.org/officeDocument/2006/relationships/hyperlink" Target="https://4ammedia.zendesk.com/agent/tickets/147867" TargetMode="External"/><Relationship Id="rId521" Type="http://schemas.openxmlformats.org/officeDocument/2006/relationships/hyperlink" Target="https://4ammedia.zendesk.com/agent/tickets/252651" TargetMode="External"/><Relationship Id="rId29" Type="http://schemas.openxmlformats.org/officeDocument/2006/relationships/hyperlink" Target="https://horizondirect.gorgias.com/app/ticket/366877460" TargetMode="External"/><Relationship Id="rId520" Type="http://schemas.openxmlformats.org/officeDocument/2006/relationships/hyperlink" Target="https://4ammedia.zendesk.com/agent/tickets/252513" TargetMode="External"/><Relationship Id="rId11" Type="http://schemas.openxmlformats.org/officeDocument/2006/relationships/hyperlink" Target="https://horizondirect.gorgias.com/app/ticket/365892453" TargetMode="External"/><Relationship Id="rId10" Type="http://schemas.openxmlformats.org/officeDocument/2006/relationships/hyperlink" Target="https://horizondirect.gorgias.com/app/ticket/365847635" TargetMode="External"/><Relationship Id="rId13" Type="http://schemas.openxmlformats.org/officeDocument/2006/relationships/hyperlink" Target="https://horizondirect.gorgias.com/app/ticket/365989363" TargetMode="External"/><Relationship Id="rId12" Type="http://schemas.openxmlformats.org/officeDocument/2006/relationships/hyperlink" Target="https://horizondirect.gorgias.com/app/ticket/365900311" TargetMode="External"/><Relationship Id="rId519" Type="http://schemas.openxmlformats.org/officeDocument/2006/relationships/hyperlink" Target="https://4ammedia.zendesk.com/agent/tickets/252438" TargetMode="External"/><Relationship Id="rId514" Type="http://schemas.openxmlformats.org/officeDocument/2006/relationships/hyperlink" Target="https://4ammedia.zendesk.com/agent/tickets/248384" TargetMode="External"/><Relationship Id="rId513" Type="http://schemas.openxmlformats.org/officeDocument/2006/relationships/hyperlink" Target="https://4ammedia.zendesk.com/agent/tickets/248366" TargetMode="External"/><Relationship Id="rId512" Type="http://schemas.openxmlformats.org/officeDocument/2006/relationships/hyperlink" Target="https://4ammedia.zendesk.com/agent/tickets/247300" TargetMode="External"/><Relationship Id="rId511" Type="http://schemas.openxmlformats.org/officeDocument/2006/relationships/hyperlink" Target="https://4ammedia.zendesk.com/agent/tickets/247210" TargetMode="External"/><Relationship Id="rId518" Type="http://schemas.openxmlformats.org/officeDocument/2006/relationships/hyperlink" Target="https://4ammedia.zendesk.com/agent/tickets/250767" TargetMode="External"/><Relationship Id="rId517" Type="http://schemas.openxmlformats.org/officeDocument/2006/relationships/hyperlink" Target="https://4ammedia.zendesk.com/agent/tickets/250538" TargetMode="External"/><Relationship Id="rId516" Type="http://schemas.openxmlformats.org/officeDocument/2006/relationships/hyperlink" Target="https://4ammedia.zendesk.com/agent/tickets/250320" TargetMode="External"/><Relationship Id="rId515" Type="http://schemas.openxmlformats.org/officeDocument/2006/relationships/hyperlink" Target="https://4ammedia.zendesk.com/agent/tickets/248396" TargetMode="External"/><Relationship Id="rId15" Type="http://schemas.openxmlformats.org/officeDocument/2006/relationships/hyperlink" Target="https://horizondirect.gorgias.com/app/ticket/365972285" TargetMode="External"/><Relationship Id="rId14" Type="http://schemas.openxmlformats.org/officeDocument/2006/relationships/hyperlink" Target="https://horizondirect.gorgias.com/app/ticket/365976775" TargetMode="External"/><Relationship Id="rId17" Type="http://schemas.openxmlformats.org/officeDocument/2006/relationships/hyperlink" Target="https://horizondirect.gorgias.com/app/ticket/366242167" TargetMode="External"/><Relationship Id="rId16" Type="http://schemas.openxmlformats.org/officeDocument/2006/relationships/hyperlink" Target="https://horizondirect.gorgias.com/app/ticket/366246653" TargetMode="External"/><Relationship Id="rId19" Type="http://schemas.openxmlformats.org/officeDocument/2006/relationships/hyperlink" Target="https://horizondirect.gorgias.com/app/ticket/366412138" TargetMode="External"/><Relationship Id="rId510" Type="http://schemas.openxmlformats.org/officeDocument/2006/relationships/hyperlink" Target="https://4ammedia.zendesk.com/agent/tickets/247169" TargetMode="External"/><Relationship Id="rId18" Type="http://schemas.openxmlformats.org/officeDocument/2006/relationships/hyperlink" Target="https://horizondirect.gorgias.com/app/ticket/366228738" TargetMode="External"/><Relationship Id="rId84" Type="http://schemas.openxmlformats.org/officeDocument/2006/relationships/hyperlink" Target="https://horizondirect.gorgias.com/app/ticket/371157528" TargetMode="External"/><Relationship Id="rId83" Type="http://schemas.openxmlformats.org/officeDocument/2006/relationships/hyperlink" Target="https://horizondirect.gorgias.com/app/ticket/371153470" TargetMode="External"/><Relationship Id="rId86" Type="http://schemas.openxmlformats.org/officeDocument/2006/relationships/hyperlink" Target="https://horizondirect.gorgias.com/app/ticket/371330805" TargetMode="External"/><Relationship Id="rId85" Type="http://schemas.openxmlformats.org/officeDocument/2006/relationships/hyperlink" Target="https://horizondirect.gorgias.com/app/ticket/371310881" TargetMode="External"/><Relationship Id="rId88" Type="http://schemas.openxmlformats.org/officeDocument/2006/relationships/hyperlink" Target="https://horizondirect.gorgias.com/app/ticket/371451916" TargetMode="External"/><Relationship Id="rId87" Type="http://schemas.openxmlformats.org/officeDocument/2006/relationships/hyperlink" Target="https://horizondirect.gorgias.com/app/ticket/371346336" TargetMode="External"/><Relationship Id="rId89" Type="http://schemas.openxmlformats.org/officeDocument/2006/relationships/hyperlink" Target="https://horizondirect.gorgias.com/app/ticket/371467368" TargetMode="External"/><Relationship Id="rId80" Type="http://schemas.openxmlformats.org/officeDocument/2006/relationships/hyperlink" Target="https://horizondirect.gorgias.com/app/ticket/370995494" TargetMode="External"/><Relationship Id="rId82" Type="http://schemas.openxmlformats.org/officeDocument/2006/relationships/hyperlink" Target="https://horizondirect.gorgias.com/app/ticket/371142606" TargetMode="External"/><Relationship Id="rId81" Type="http://schemas.openxmlformats.org/officeDocument/2006/relationships/hyperlink" Target="https://horizondirect.gorgias.com/app/ticket/370964343" TargetMode="External"/><Relationship Id="rId73" Type="http://schemas.openxmlformats.org/officeDocument/2006/relationships/hyperlink" Target="https://horizondirect.gorgias.com/app/ticket/370543180" TargetMode="External"/><Relationship Id="rId72" Type="http://schemas.openxmlformats.org/officeDocument/2006/relationships/hyperlink" Target="https://horizondirect.gorgias.com/app/ticket/370422123" TargetMode="External"/><Relationship Id="rId75" Type="http://schemas.openxmlformats.org/officeDocument/2006/relationships/hyperlink" Target="https://horizondirect.gorgias.com/app/ticket/370547935" TargetMode="External"/><Relationship Id="rId74" Type="http://schemas.openxmlformats.org/officeDocument/2006/relationships/hyperlink" Target="https://horizondirect.gorgias.com/app/ticket/370545511" TargetMode="External"/><Relationship Id="rId77" Type="http://schemas.openxmlformats.org/officeDocument/2006/relationships/hyperlink" Target="https://horizondirect.gorgias.com/app/ticket/370842288" TargetMode="External"/><Relationship Id="rId76" Type="http://schemas.openxmlformats.org/officeDocument/2006/relationships/hyperlink" Target="https://horizondirect.gorgias.com/app/ticket/370838910" TargetMode="External"/><Relationship Id="rId79" Type="http://schemas.openxmlformats.org/officeDocument/2006/relationships/hyperlink" Target="https://horizondirect.gorgias.com/app/ticket/370971808" TargetMode="External"/><Relationship Id="rId78" Type="http://schemas.openxmlformats.org/officeDocument/2006/relationships/hyperlink" Target="https://horizondirect.gorgias.com/app/ticket/370846633" TargetMode="External"/><Relationship Id="rId71" Type="http://schemas.openxmlformats.org/officeDocument/2006/relationships/hyperlink" Target="https://horizondirect.gorgias.com/app/ticket/370423887" TargetMode="External"/><Relationship Id="rId70" Type="http://schemas.openxmlformats.org/officeDocument/2006/relationships/hyperlink" Target="https://horizondirect.gorgias.com/app/ticket/370431659" TargetMode="External"/><Relationship Id="rId62" Type="http://schemas.openxmlformats.org/officeDocument/2006/relationships/hyperlink" Target="https://horizondirect.gorgias.com/app/ticket/369658064" TargetMode="External"/><Relationship Id="rId61" Type="http://schemas.openxmlformats.org/officeDocument/2006/relationships/hyperlink" Target="https://horizondirect.gorgias.com/app/ticket/369709748" TargetMode="External"/><Relationship Id="rId64" Type="http://schemas.openxmlformats.org/officeDocument/2006/relationships/hyperlink" Target="https://horizondirect.gorgias.com/app/ticket/369892323" TargetMode="External"/><Relationship Id="rId63" Type="http://schemas.openxmlformats.org/officeDocument/2006/relationships/hyperlink" Target="https://horizondirect.gorgias.com/app/ticket/369672272" TargetMode="External"/><Relationship Id="rId66" Type="http://schemas.openxmlformats.org/officeDocument/2006/relationships/hyperlink" Target="https://horizondirect.gorgias.com/app/ticket/369732410" TargetMode="External"/><Relationship Id="rId65" Type="http://schemas.openxmlformats.org/officeDocument/2006/relationships/hyperlink" Target="https://horizondirect.gorgias.com/app/ticket/369873595" TargetMode="External"/><Relationship Id="rId68" Type="http://schemas.openxmlformats.org/officeDocument/2006/relationships/hyperlink" Target="https://horizondirect.gorgias.com/app/ticket/370101139" TargetMode="External"/><Relationship Id="rId67" Type="http://schemas.openxmlformats.org/officeDocument/2006/relationships/hyperlink" Target="https://horizondirect.gorgias.com/app/ticket/370098783" TargetMode="External"/><Relationship Id="rId60" Type="http://schemas.openxmlformats.org/officeDocument/2006/relationships/hyperlink" Target="https://horizondirect.gorgias.com/app/ticket/369256971" TargetMode="External"/><Relationship Id="rId69" Type="http://schemas.openxmlformats.org/officeDocument/2006/relationships/hyperlink" Target="https://horizondirect.gorgias.com/app/ticket/370107257" TargetMode="External"/><Relationship Id="rId51" Type="http://schemas.openxmlformats.org/officeDocument/2006/relationships/hyperlink" Target="https://horizondirect.gorgias.com/app/ticket/368680729" TargetMode="External"/><Relationship Id="rId50" Type="http://schemas.openxmlformats.org/officeDocument/2006/relationships/hyperlink" Target="https://horizondirect.gorgias.com/app/ticket/368637757" TargetMode="External"/><Relationship Id="rId53" Type="http://schemas.openxmlformats.org/officeDocument/2006/relationships/hyperlink" Target="https://horizondirect.gorgias.com/app/ticket/368843764" TargetMode="External"/><Relationship Id="rId52" Type="http://schemas.openxmlformats.org/officeDocument/2006/relationships/hyperlink" Target="https://horizondirect.gorgias.com/app/ticket/368840525" TargetMode="External"/><Relationship Id="rId55" Type="http://schemas.openxmlformats.org/officeDocument/2006/relationships/hyperlink" Target="https://horizondirect.gorgias.com/app/ticket/369017229" TargetMode="External"/><Relationship Id="rId54" Type="http://schemas.openxmlformats.org/officeDocument/2006/relationships/hyperlink" Target="https://horizondirect.gorgias.com/app/ticket/368846896" TargetMode="External"/><Relationship Id="rId57" Type="http://schemas.openxmlformats.org/officeDocument/2006/relationships/hyperlink" Target="https://horizondirect.gorgias.com/app/ticket/369050373" TargetMode="External"/><Relationship Id="rId56" Type="http://schemas.openxmlformats.org/officeDocument/2006/relationships/hyperlink" Target="https://horizondirect.gorgias.com/app/ticket/369032370" TargetMode="External"/><Relationship Id="rId59" Type="http://schemas.openxmlformats.org/officeDocument/2006/relationships/hyperlink" Target="https://horizondirect.gorgias.com/app/ticket/369218267" TargetMode="External"/><Relationship Id="rId58" Type="http://schemas.openxmlformats.org/officeDocument/2006/relationships/hyperlink" Target="https://horizondirect.gorgias.com/app/ticket/369212191" TargetMode="External"/><Relationship Id="rId107" Type="http://schemas.openxmlformats.org/officeDocument/2006/relationships/hyperlink" Target="https://horizondirect.gorgias.com/app/ticket/372839889" TargetMode="External"/><Relationship Id="rId228" Type="http://schemas.openxmlformats.org/officeDocument/2006/relationships/hyperlink" Target="https://horizondirect.gorgias.com/app/ticket/380264031" TargetMode="External"/><Relationship Id="rId349" Type="http://schemas.openxmlformats.org/officeDocument/2006/relationships/hyperlink" Target="https://horizondirect.gorgias.com/app/ticket/387743093" TargetMode="External"/><Relationship Id="rId106" Type="http://schemas.openxmlformats.org/officeDocument/2006/relationships/hyperlink" Target="https://horizondirect.gorgias.com/app/ticket/372838253" TargetMode="External"/><Relationship Id="rId227" Type="http://schemas.openxmlformats.org/officeDocument/2006/relationships/hyperlink" Target="https://horizondirect.gorgias.com/app/ticket/380251977" TargetMode="External"/><Relationship Id="rId348" Type="http://schemas.openxmlformats.org/officeDocument/2006/relationships/hyperlink" Target="https://assets.aircall.io/calls/3711969266/recording" TargetMode="External"/><Relationship Id="rId469" Type="http://schemas.openxmlformats.org/officeDocument/2006/relationships/hyperlink" Target="https://4ammedia.zendesk.com/agent/tickets/209261" TargetMode="External"/><Relationship Id="rId105" Type="http://schemas.openxmlformats.org/officeDocument/2006/relationships/hyperlink" Target="https://horizondirect.gorgias.com/app/ticket/372702945" TargetMode="External"/><Relationship Id="rId226" Type="http://schemas.openxmlformats.org/officeDocument/2006/relationships/hyperlink" Target="https://horizondirect.gorgias.com/app/ticket/380240855" TargetMode="External"/><Relationship Id="rId347" Type="http://schemas.openxmlformats.org/officeDocument/2006/relationships/hyperlink" Target="https://assets.aircall.io/calls/3711953716/recording" TargetMode="External"/><Relationship Id="rId468" Type="http://schemas.openxmlformats.org/officeDocument/2006/relationships/hyperlink" Target="https://4ammedia.zendesk.com/agent/tickets/209154" TargetMode="External"/><Relationship Id="rId104" Type="http://schemas.openxmlformats.org/officeDocument/2006/relationships/hyperlink" Target="https://horizondirect.gorgias.com/app/ticket/372693207" TargetMode="External"/><Relationship Id="rId225" Type="http://schemas.openxmlformats.org/officeDocument/2006/relationships/hyperlink" Target="https://horizondirect.gorgias.com/app/ticket/379967138" TargetMode="External"/><Relationship Id="rId346" Type="http://schemas.openxmlformats.org/officeDocument/2006/relationships/hyperlink" Target="https://assets.aircall.io/calls/3711942037/recording" TargetMode="External"/><Relationship Id="rId467" Type="http://schemas.openxmlformats.org/officeDocument/2006/relationships/hyperlink" Target="https://4ammedia.zendesk.com/agent/tickets/204932" TargetMode="External"/><Relationship Id="rId109" Type="http://schemas.openxmlformats.org/officeDocument/2006/relationships/hyperlink" Target="https://horizondirect.gorgias.com/app/ticket/372972902" TargetMode="External"/><Relationship Id="rId108" Type="http://schemas.openxmlformats.org/officeDocument/2006/relationships/hyperlink" Target="https://horizondirect.gorgias.com/app/ticket/372840469" TargetMode="External"/><Relationship Id="rId229" Type="http://schemas.openxmlformats.org/officeDocument/2006/relationships/hyperlink" Target="https://horizondirect.gorgias.com/app/ticket/379943031" TargetMode="External"/><Relationship Id="rId220" Type="http://schemas.openxmlformats.org/officeDocument/2006/relationships/hyperlink" Target="https://horizondirect.gorgias.com/app/ticket/379820956" TargetMode="External"/><Relationship Id="rId341" Type="http://schemas.openxmlformats.org/officeDocument/2006/relationships/hyperlink" Target="https://assets.aircall.io/calls/3703689534/recording" TargetMode="External"/><Relationship Id="rId462" Type="http://schemas.openxmlformats.org/officeDocument/2006/relationships/hyperlink" Target="https://4ammedia.zendesk.com/agent/tickets/202457" TargetMode="External"/><Relationship Id="rId583" Type="http://schemas.openxmlformats.org/officeDocument/2006/relationships/table" Target="../tables/table144.xml"/><Relationship Id="rId340" Type="http://schemas.openxmlformats.org/officeDocument/2006/relationships/hyperlink" Target="https://assets.aircall.io/calls/3703668034/recording" TargetMode="External"/><Relationship Id="rId461" Type="http://schemas.openxmlformats.org/officeDocument/2006/relationships/hyperlink" Target="https://4ammedia.zendesk.com/agent/tickets/200846" TargetMode="External"/><Relationship Id="rId582" Type="http://schemas.openxmlformats.org/officeDocument/2006/relationships/table" Target="../tables/table143.xml"/><Relationship Id="rId460" Type="http://schemas.openxmlformats.org/officeDocument/2006/relationships/hyperlink" Target="https://4ammedia.zendesk.com/agent/tickets/200824" TargetMode="External"/><Relationship Id="rId581" Type="http://schemas.openxmlformats.org/officeDocument/2006/relationships/table" Target="../tables/table142.xml"/><Relationship Id="rId580" Type="http://schemas.openxmlformats.org/officeDocument/2006/relationships/table" Target="../tables/table141.xml"/><Relationship Id="rId103" Type="http://schemas.openxmlformats.org/officeDocument/2006/relationships/hyperlink" Target="https://horizondirect.gorgias.com/app/ticket/372689729" TargetMode="External"/><Relationship Id="rId224" Type="http://schemas.openxmlformats.org/officeDocument/2006/relationships/hyperlink" Target="https://horizondirect.gorgias.com/app/ticket/379955151" TargetMode="External"/><Relationship Id="rId345" Type="http://schemas.openxmlformats.org/officeDocument/2006/relationships/hyperlink" Target="https://assets.aircall.io/calls/3707549625/recording" TargetMode="External"/><Relationship Id="rId466" Type="http://schemas.openxmlformats.org/officeDocument/2006/relationships/hyperlink" Target="https://4ammedia.zendesk.com/agent/tickets/204865" TargetMode="External"/><Relationship Id="rId587" Type="http://schemas.openxmlformats.org/officeDocument/2006/relationships/table" Target="../tables/table148.xml"/><Relationship Id="rId102" Type="http://schemas.openxmlformats.org/officeDocument/2006/relationships/hyperlink" Target="https://horizondirect.gorgias.com/app/ticket/372349403" TargetMode="External"/><Relationship Id="rId223" Type="http://schemas.openxmlformats.org/officeDocument/2006/relationships/hyperlink" Target="https://horizondirect.gorgias.com/app/ticket/379949743" TargetMode="External"/><Relationship Id="rId344" Type="http://schemas.openxmlformats.org/officeDocument/2006/relationships/hyperlink" Target="https://assets.aircall.io/calls/3707460067/recording" TargetMode="External"/><Relationship Id="rId465" Type="http://schemas.openxmlformats.org/officeDocument/2006/relationships/hyperlink" Target="https://4ammedia.zendesk.com/agent/tickets/204627" TargetMode="External"/><Relationship Id="rId586" Type="http://schemas.openxmlformats.org/officeDocument/2006/relationships/table" Target="../tables/table147.xml"/><Relationship Id="rId101" Type="http://schemas.openxmlformats.org/officeDocument/2006/relationships/hyperlink" Target="https://horizondirect.gorgias.com/app/ticket/372351990" TargetMode="External"/><Relationship Id="rId222" Type="http://schemas.openxmlformats.org/officeDocument/2006/relationships/hyperlink" Target="https://horizondirect.gorgias.com/app/ticket/379846309" TargetMode="External"/><Relationship Id="rId343" Type="http://schemas.openxmlformats.org/officeDocument/2006/relationships/hyperlink" Target="https://assets.aircall.io/calls/3707430580/recording" TargetMode="External"/><Relationship Id="rId464" Type="http://schemas.openxmlformats.org/officeDocument/2006/relationships/hyperlink" Target="https://4ammedia.zendesk.com/agent/tickets/202618" TargetMode="External"/><Relationship Id="rId585" Type="http://schemas.openxmlformats.org/officeDocument/2006/relationships/table" Target="../tables/table146.xml"/><Relationship Id="rId100" Type="http://schemas.openxmlformats.org/officeDocument/2006/relationships/hyperlink" Target="https://horizondirect.gorgias.com/app/ticket/372347929" TargetMode="External"/><Relationship Id="rId221" Type="http://schemas.openxmlformats.org/officeDocument/2006/relationships/hyperlink" Target="https://horizondirect.gorgias.com/app/ticket/379834004" TargetMode="External"/><Relationship Id="rId342" Type="http://schemas.openxmlformats.org/officeDocument/2006/relationships/hyperlink" Target="https://assets.aircall.io/calls/3703793419/recording" TargetMode="External"/><Relationship Id="rId463" Type="http://schemas.openxmlformats.org/officeDocument/2006/relationships/hyperlink" Target="https://4ammedia.zendesk.com/agent/tickets/202571" TargetMode="External"/><Relationship Id="rId584" Type="http://schemas.openxmlformats.org/officeDocument/2006/relationships/table" Target="../tables/table145.xml"/><Relationship Id="rId217" Type="http://schemas.openxmlformats.org/officeDocument/2006/relationships/hyperlink" Target="https://horizondirect.gorgias.com/app/ticket/379684162" TargetMode="External"/><Relationship Id="rId338" Type="http://schemas.openxmlformats.org/officeDocument/2006/relationships/hyperlink" Target="https://assets.aircall.io/calls/3699396256/recording" TargetMode="External"/><Relationship Id="rId459" Type="http://schemas.openxmlformats.org/officeDocument/2006/relationships/hyperlink" Target="https://4ammedia.zendesk.com/agent/tickets/200605" TargetMode="External"/><Relationship Id="rId216" Type="http://schemas.openxmlformats.org/officeDocument/2006/relationships/hyperlink" Target="https://horizondirect.gorgias.com/app/ticket/379587708" TargetMode="External"/><Relationship Id="rId337" Type="http://schemas.openxmlformats.org/officeDocument/2006/relationships/hyperlink" Target="https://assets.aircall.io/calls/3699371730/recording" TargetMode="External"/><Relationship Id="rId458" Type="http://schemas.openxmlformats.org/officeDocument/2006/relationships/hyperlink" Target="https://4ammedia.zendesk.com/agent/tickets/199018" TargetMode="External"/><Relationship Id="rId579" Type="http://schemas.openxmlformats.org/officeDocument/2006/relationships/table" Target="../tables/table140.xml"/><Relationship Id="rId215" Type="http://schemas.openxmlformats.org/officeDocument/2006/relationships/hyperlink" Target="https://horizondirect.gorgias.com/app/ticket/379576501" TargetMode="External"/><Relationship Id="rId336" Type="http://schemas.openxmlformats.org/officeDocument/2006/relationships/hyperlink" Target="https://horizondirect.gorgias.com/app/ticket/386866129" TargetMode="External"/><Relationship Id="rId457" Type="http://schemas.openxmlformats.org/officeDocument/2006/relationships/hyperlink" Target="https://4ammedia.zendesk.com/agent/tickets/198954" TargetMode="External"/><Relationship Id="rId578" Type="http://schemas.openxmlformats.org/officeDocument/2006/relationships/table" Target="../tables/table139.xml"/><Relationship Id="rId214" Type="http://schemas.openxmlformats.org/officeDocument/2006/relationships/hyperlink" Target="https://horizondirect.gorgias.com/app/ticket/379568054" TargetMode="External"/><Relationship Id="rId335" Type="http://schemas.openxmlformats.org/officeDocument/2006/relationships/hyperlink" Target="https://horizondirect.gorgias.com/app/ticket/386855807" TargetMode="External"/><Relationship Id="rId456" Type="http://schemas.openxmlformats.org/officeDocument/2006/relationships/hyperlink" Target="https://4ammedia.zendesk.com/agent/tickets/198823" TargetMode="External"/><Relationship Id="rId577" Type="http://schemas.openxmlformats.org/officeDocument/2006/relationships/table" Target="../tables/table138.xml"/><Relationship Id="rId219" Type="http://schemas.openxmlformats.org/officeDocument/2006/relationships/hyperlink" Target="https://horizondirect.gorgias.com/app/ticket/379704122" TargetMode="External"/><Relationship Id="rId218" Type="http://schemas.openxmlformats.org/officeDocument/2006/relationships/hyperlink" Target="https://horizondirect.gorgias.com/app/ticket/379686826" TargetMode="External"/><Relationship Id="rId339" Type="http://schemas.openxmlformats.org/officeDocument/2006/relationships/hyperlink" Target="https://assets.aircall.io/calls/3699415501/recording" TargetMode="External"/><Relationship Id="rId330" Type="http://schemas.openxmlformats.org/officeDocument/2006/relationships/hyperlink" Target="https://horizondirect.gorgias.com/app/ticket/386383080" TargetMode="External"/><Relationship Id="rId451" Type="http://schemas.openxmlformats.org/officeDocument/2006/relationships/hyperlink" Target="https://4ammedia.zendesk.com/agent/tickets/193325" TargetMode="External"/><Relationship Id="rId572" Type="http://schemas.openxmlformats.org/officeDocument/2006/relationships/table" Target="../tables/table133.xml"/><Relationship Id="rId450" Type="http://schemas.openxmlformats.org/officeDocument/2006/relationships/hyperlink" Target="https://4ammedia.zendesk.com/agent/tickets/193307" TargetMode="External"/><Relationship Id="rId571" Type="http://schemas.openxmlformats.org/officeDocument/2006/relationships/table" Target="../tables/table132.xml"/><Relationship Id="rId570" Type="http://schemas.openxmlformats.org/officeDocument/2006/relationships/table" Target="../tables/table131.xml"/><Relationship Id="rId213" Type="http://schemas.openxmlformats.org/officeDocument/2006/relationships/hyperlink" Target="https://horizondirect.gorgias.com/app/ticket/379482781" TargetMode="External"/><Relationship Id="rId334" Type="http://schemas.openxmlformats.org/officeDocument/2006/relationships/hyperlink" Target="https://horizondirect.gorgias.com/app/ticket/386849076" TargetMode="External"/><Relationship Id="rId455" Type="http://schemas.openxmlformats.org/officeDocument/2006/relationships/hyperlink" Target="https://4ammedia.zendesk.com/agent/tickets/195048" TargetMode="External"/><Relationship Id="rId576" Type="http://schemas.openxmlformats.org/officeDocument/2006/relationships/table" Target="../tables/table137.xml"/><Relationship Id="rId212" Type="http://schemas.openxmlformats.org/officeDocument/2006/relationships/hyperlink" Target="https://horizondirect.gorgias.com/app/ticket/379473475" TargetMode="External"/><Relationship Id="rId333" Type="http://schemas.openxmlformats.org/officeDocument/2006/relationships/hyperlink" Target="https://horizondirect.gorgias.com/app/ticket/386760688" TargetMode="External"/><Relationship Id="rId454" Type="http://schemas.openxmlformats.org/officeDocument/2006/relationships/hyperlink" Target="https://4ammedia.zendesk.com/agent/tickets/194999" TargetMode="External"/><Relationship Id="rId575" Type="http://schemas.openxmlformats.org/officeDocument/2006/relationships/table" Target="../tables/table136.xml"/><Relationship Id="rId211" Type="http://schemas.openxmlformats.org/officeDocument/2006/relationships/hyperlink" Target="https://horizondirect.gorgias.com/app/ticket/379469137" TargetMode="External"/><Relationship Id="rId332" Type="http://schemas.openxmlformats.org/officeDocument/2006/relationships/hyperlink" Target="https://horizondirect.gorgias.com/app/ticket/386760097" TargetMode="External"/><Relationship Id="rId453" Type="http://schemas.openxmlformats.org/officeDocument/2006/relationships/hyperlink" Target="https://4ammedia.zendesk.com/agent/tickets/194974" TargetMode="External"/><Relationship Id="rId574" Type="http://schemas.openxmlformats.org/officeDocument/2006/relationships/table" Target="../tables/table135.xml"/><Relationship Id="rId210" Type="http://schemas.openxmlformats.org/officeDocument/2006/relationships/hyperlink" Target="https://horizondirect.gorgias.com/app/ticket/379386199" TargetMode="External"/><Relationship Id="rId331" Type="http://schemas.openxmlformats.org/officeDocument/2006/relationships/hyperlink" Target="https://horizondirect.gorgias.com/app/ticket/386751022" TargetMode="External"/><Relationship Id="rId452" Type="http://schemas.openxmlformats.org/officeDocument/2006/relationships/hyperlink" Target="https://4ammedia.zendesk.com/agent/tickets/193355" TargetMode="External"/><Relationship Id="rId573" Type="http://schemas.openxmlformats.org/officeDocument/2006/relationships/table" Target="../tables/table134.xml"/><Relationship Id="rId370" Type="http://schemas.openxmlformats.org/officeDocument/2006/relationships/hyperlink" Target="https://assets.aircall.io/calls/3740612330/recording" TargetMode="External"/><Relationship Id="rId491" Type="http://schemas.openxmlformats.org/officeDocument/2006/relationships/hyperlink" Target="https://4ammedia.zendesk.com/agent/tickets/224998" TargetMode="External"/><Relationship Id="rId490" Type="http://schemas.openxmlformats.org/officeDocument/2006/relationships/hyperlink" Target="https://4ammedia.zendesk.com/agent/tickets/224744" TargetMode="External"/><Relationship Id="rId129" Type="http://schemas.openxmlformats.org/officeDocument/2006/relationships/hyperlink" Target="https://horizondirect.gorgias.com/app/ticket/374112766" TargetMode="External"/><Relationship Id="rId128" Type="http://schemas.openxmlformats.org/officeDocument/2006/relationships/hyperlink" Target="https://horizondirect.gorgias.com/app/ticket/374098698" TargetMode="External"/><Relationship Id="rId249" Type="http://schemas.openxmlformats.org/officeDocument/2006/relationships/hyperlink" Target="https://horizondirect.gorgias.com/app/ticket/381503930" TargetMode="External"/><Relationship Id="rId127" Type="http://schemas.openxmlformats.org/officeDocument/2006/relationships/hyperlink" Target="https://horizondirect.gorgias.com/app/ticket/374083042" TargetMode="External"/><Relationship Id="rId248" Type="http://schemas.openxmlformats.org/officeDocument/2006/relationships/hyperlink" Target="https://horizondirect.gorgias.com/app/ticket/381495209" TargetMode="External"/><Relationship Id="rId369" Type="http://schemas.openxmlformats.org/officeDocument/2006/relationships/hyperlink" Target="https://assets.aircall.io/calls/3740100563/recording" TargetMode="External"/><Relationship Id="rId126" Type="http://schemas.openxmlformats.org/officeDocument/2006/relationships/hyperlink" Target="https://horizondirect.gorgias.com/app/ticket/373822678" TargetMode="External"/><Relationship Id="rId247" Type="http://schemas.openxmlformats.org/officeDocument/2006/relationships/hyperlink" Target="https://horizondirect.gorgias.com/app/ticket/381468286" TargetMode="External"/><Relationship Id="rId368" Type="http://schemas.openxmlformats.org/officeDocument/2006/relationships/hyperlink" Target="https://assets.aircall.io/calls/3740074347/recording" TargetMode="External"/><Relationship Id="rId489" Type="http://schemas.openxmlformats.org/officeDocument/2006/relationships/hyperlink" Target="https://4ammedia.zendesk.com/agent/tickets/224360" TargetMode="External"/><Relationship Id="rId121" Type="http://schemas.openxmlformats.org/officeDocument/2006/relationships/hyperlink" Target="https://horizondirect.gorgias.com/app/ticket/373677117" TargetMode="External"/><Relationship Id="rId242" Type="http://schemas.openxmlformats.org/officeDocument/2006/relationships/hyperlink" Target="https://horizondirect.gorgias.com/app/ticket/381156602" TargetMode="External"/><Relationship Id="rId363" Type="http://schemas.openxmlformats.org/officeDocument/2006/relationships/hyperlink" Target="https://assets.aircall.io/calls/3736124411/recording" TargetMode="External"/><Relationship Id="rId484" Type="http://schemas.openxmlformats.org/officeDocument/2006/relationships/hyperlink" Target="https://4ammedia.zendesk.com/agent/tickets/221411" TargetMode="External"/><Relationship Id="rId120" Type="http://schemas.openxmlformats.org/officeDocument/2006/relationships/hyperlink" Target="https://horizondirect.gorgias.com/app/ticket/373490196" TargetMode="External"/><Relationship Id="rId241" Type="http://schemas.openxmlformats.org/officeDocument/2006/relationships/hyperlink" Target="https://horizondirect.gorgias.com/app/ticket/381137513" TargetMode="External"/><Relationship Id="rId362" Type="http://schemas.openxmlformats.org/officeDocument/2006/relationships/hyperlink" Target="https://assets.aircall.io/calls/3736123821/recording" TargetMode="External"/><Relationship Id="rId483" Type="http://schemas.openxmlformats.org/officeDocument/2006/relationships/hyperlink" Target="https://4ammedia.zendesk.com/agent/tickets/221401" TargetMode="External"/><Relationship Id="rId240" Type="http://schemas.openxmlformats.org/officeDocument/2006/relationships/hyperlink" Target="https://horizondirect.gorgias.com/app/ticket/381007847" TargetMode="External"/><Relationship Id="rId361" Type="http://schemas.openxmlformats.org/officeDocument/2006/relationships/hyperlink" Target="https://assets.aircall.io/calls/3736096786/recording" TargetMode="External"/><Relationship Id="rId482" Type="http://schemas.openxmlformats.org/officeDocument/2006/relationships/hyperlink" Target="https://4ammedia.zendesk.com/agent/tickets/216082" TargetMode="External"/><Relationship Id="rId360" Type="http://schemas.openxmlformats.org/officeDocument/2006/relationships/hyperlink" Target="https://assets.aircall.io/calls/3735225280/recording" TargetMode="External"/><Relationship Id="rId481" Type="http://schemas.openxmlformats.org/officeDocument/2006/relationships/hyperlink" Target="https://4ammedia.zendesk.com/agent/tickets/215998" TargetMode="External"/><Relationship Id="rId125" Type="http://schemas.openxmlformats.org/officeDocument/2006/relationships/hyperlink" Target="https://horizondirect.gorgias.com/app/ticket/373816191" TargetMode="External"/><Relationship Id="rId246" Type="http://schemas.openxmlformats.org/officeDocument/2006/relationships/hyperlink" Target="https://horizondirect.gorgias.com/app/ticket/381253105" TargetMode="External"/><Relationship Id="rId367" Type="http://schemas.openxmlformats.org/officeDocument/2006/relationships/hyperlink" Target="https://assets.aircall.io/calls/3739875524/recording" TargetMode="External"/><Relationship Id="rId488" Type="http://schemas.openxmlformats.org/officeDocument/2006/relationships/hyperlink" Target="https://4ammedia.zendesk.com/agent/tickets/222613" TargetMode="External"/><Relationship Id="rId124" Type="http://schemas.openxmlformats.org/officeDocument/2006/relationships/hyperlink" Target="https://horizondirect.gorgias.com/app/ticket/373812653" TargetMode="External"/><Relationship Id="rId245" Type="http://schemas.openxmlformats.org/officeDocument/2006/relationships/hyperlink" Target="https://horizondirect.gorgias.com/app/ticket/381244811" TargetMode="External"/><Relationship Id="rId366" Type="http://schemas.openxmlformats.org/officeDocument/2006/relationships/hyperlink" Target="https://assets.aircall.io/calls/3736582460/recording" TargetMode="External"/><Relationship Id="rId487" Type="http://schemas.openxmlformats.org/officeDocument/2006/relationships/hyperlink" Target="https://4ammedia.zendesk.com/agent/tickets/222574" TargetMode="External"/><Relationship Id="rId123" Type="http://schemas.openxmlformats.org/officeDocument/2006/relationships/hyperlink" Target="https://horizondirect.gorgias.com/app/ticket/373697076" TargetMode="External"/><Relationship Id="rId244" Type="http://schemas.openxmlformats.org/officeDocument/2006/relationships/hyperlink" Target="https://horizondirect.gorgias.com/app/ticket/381236250" TargetMode="External"/><Relationship Id="rId365" Type="http://schemas.openxmlformats.org/officeDocument/2006/relationships/hyperlink" Target="https://assets.aircall.io/calls/3736563172/recording" TargetMode="External"/><Relationship Id="rId486" Type="http://schemas.openxmlformats.org/officeDocument/2006/relationships/hyperlink" Target="https://4ammedia.zendesk.com/agent/tickets/222562" TargetMode="External"/><Relationship Id="rId122" Type="http://schemas.openxmlformats.org/officeDocument/2006/relationships/hyperlink" Target="https://horizondirect.gorgias.com/app/ticket/373680458" TargetMode="External"/><Relationship Id="rId243" Type="http://schemas.openxmlformats.org/officeDocument/2006/relationships/hyperlink" Target="https://horizondirect.gorgias.com/app/ticket/381167785" TargetMode="External"/><Relationship Id="rId364" Type="http://schemas.openxmlformats.org/officeDocument/2006/relationships/hyperlink" Target="https://assets.aircall.io/calls/3736551103/recording" TargetMode="External"/><Relationship Id="rId485" Type="http://schemas.openxmlformats.org/officeDocument/2006/relationships/hyperlink" Target="https://4ammedia.zendesk.com/agent/tickets/221462" TargetMode="External"/><Relationship Id="rId95" Type="http://schemas.openxmlformats.org/officeDocument/2006/relationships/hyperlink" Target="https://horizondirect.gorgias.com/app/ticket/372016836" TargetMode="External"/><Relationship Id="rId94" Type="http://schemas.openxmlformats.org/officeDocument/2006/relationships/hyperlink" Target="https://horizondirect.gorgias.com/app/ticket/372016305" TargetMode="External"/><Relationship Id="rId97" Type="http://schemas.openxmlformats.org/officeDocument/2006/relationships/hyperlink" Target="https://horizondirect.gorgias.com/app/ticket/372241116" TargetMode="External"/><Relationship Id="rId96" Type="http://schemas.openxmlformats.org/officeDocument/2006/relationships/hyperlink" Target="https://horizondirect.gorgias.com/app/ticket/372032362" TargetMode="External"/><Relationship Id="rId99" Type="http://schemas.openxmlformats.org/officeDocument/2006/relationships/hyperlink" Target="https://horizondirect.gorgias.com/app/ticket/372242870" TargetMode="External"/><Relationship Id="rId480" Type="http://schemas.openxmlformats.org/officeDocument/2006/relationships/hyperlink" Target="https://4ammedia.zendesk.com/agent/tickets/215907" TargetMode="External"/><Relationship Id="rId98" Type="http://schemas.openxmlformats.org/officeDocument/2006/relationships/hyperlink" Target="https://horizondirect.gorgias.com/app/ticket/372233405" TargetMode="External"/><Relationship Id="rId91" Type="http://schemas.openxmlformats.org/officeDocument/2006/relationships/hyperlink" Target="https://horizondirect.gorgias.com/app/ticket/371851184" TargetMode="External"/><Relationship Id="rId90" Type="http://schemas.openxmlformats.org/officeDocument/2006/relationships/hyperlink" Target="https://horizondirect.gorgias.com/app/ticket/371470269" TargetMode="External"/><Relationship Id="rId93" Type="http://schemas.openxmlformats.org/officeDocument/2006/relationships/hyperlink" Target="https://horizondirect.gorgias.com/app/ticket/371863633" TargetMode="External"/><Relationship Id="rId92" Type="http://schemas.openxmlformats.org/officeDocument/2006/relationships/hyperlink" Target="https://horizondirect.gorgias.com/app/ticket/371866033" TargetMode="External"/><Relationship Id="rId118" Type="http://schemas.openxmlformats.org/officeDocument/2006/relationships/hyperlink" Target="https://horizondirect.gorgias.com/app/ticket/373484458" TargetMode="External"/><Relationship Id="rId239" Type="http://schemas.openxmlformats.org/officeDocument/2006/relationships/hyperlink" Target="https://horizondirect.gorgias.com/app/ticket/381000725" TargetMode="External"/><Relationship Id="rId117" Type="http://schemas.openxmlformats.org/officeDocument/2006/relationships/hyperlink" Target="https://horizondirect.gorgias.com/app/ticket/373169244" TargetMode="External"/><Relationship Id="rId238" Type="http://schemas.openxmlformats.org/officeDocument/2006/relationships/hyperlink" Target="https://horizondirect.gorgias.com/app/ticket/380987124" TargetMode="External"/><Relationship Id="rId359" Type="http://schemas.openxmlformats.org/officeDocument/2006/relationships/hyperlink" Target="https://assets.aircall.io/calls/3735176975/recording" TargetMode="External"/><Relationship Id="rId116" Type="http://schemas.openxmlformats.org/officeDocument/2006/relationships/hyperlink" Target="https://horizondirect.gorgias.com/app/ticket/373161963" TargetMode="External"/><Relationship Id="rId237" Type="http://schemas.openxmlformats.org/officeDocument/2006/relationships/hyperlink" Target="https://horizondirect.gorgias.com/app/ticket/380735235" TargetMode="External"/><Relationship Id="rId358" Type="http://schemas.openxmlformats.org/officeDocument/2006/relationships/hyperlink" Target="https://assets.aircall.io/calls/3735098505/recording" TargetMode="External"/><Relationship Id="rId479" Type="http://schemas.openxmlformats.org/officeDocument/2006/relationships/hyperlink" Target="https://4ammedia.zendesk.com/agent/tickets/214154" TargetMode="External"/><Relationship Id="rId115" Type="http://schemas.openxmlformats.org/officeDocument/2006/relationships/hyperlink" Target="https://horizondirect.gorgias.com/app/ticket/373150162" TargetMode="External"/><Relationship Id="rId236" Type="http://schemas.openxmlformats.org/officeDocument/2006/relationships/hyperlink" Target="https://horizondirect.gorgias.com/app/ticket/380718830" TargetMode="External"/><Relationship Id="rId357" Type="http://schemas.openxmlformats.org/officeDocument/2006/relationships/hyperlink" Target="https://assets.aircall.io/calls/3732987784/recording" TargetMode="External"/><Relationship Id="rId478" Type="http://schemas.openxmlformats.org/officeDocument/2006/relationships/hyperlink" Target="https://4ammedia.zendesk.com/agent/tickets/214018" TargetMode="External"/><Relationship Id="rId119" Type="http://schemas.openxmlformats.org/officeDocument/2006/relationships/hyperlink" Target="https://horizondirect.gorgias.com/app/ticket/373487221" TargetMode="External"/><Relationship Id="rId110" Type="http://schemas.openxmlformats.org/officeDocument/2006/relationships/hyperlink" Target="https://horizondirect.gorgias.com/app/ticket/372975129" TargetMode="External"/><Relationship Id="rId231" Type="http://schemas.openxmlformats.org/officeDocument/2006/relationships/hyperlink" Target="https://horizondirect.gorgias.com/app/ticket/379983972" TargetMode="External"/><Relationship Id="rId352" Type="http://schemas.openxmlformats.org/officeDocument/2006/relationships/hyperlink" Target="https://horizondirect.gorgias.com/app/ticket/387871217" TargetMode="External"/><Relationship Id="rId473" Type="http://schemas.openxmlformats.org/officeDocument/2006/relationships/hyperlink" Target="https://4ammedia.zendesk.com/agent/tickets/210563" TargetMode="External"/><Relationship Id="rId230" Type="http://schemas.openxmlformats.org/officeDocument/2006/relationships/hyperlink" Target="https://horizondirect.gorgias.com/app/ticket/379963366" TargetMode="External"/><Relationship Id="rId351" Type="http://schemas.openxmlformats.org/officeDocument/2006/relationships/hyperlink" Target="https://horizondirect.gorgias.com/app/ticket/387757715" TargetMode="External"/><Relationship Id="rId472" Type="http://schemas.openxmlformats.org/officeDocument/2006/relationships/hyperlink" Target="https://4ammedia.zendesk.com/agent/tickets/210514" TargetMode="External"/><Relationship Id="rId350" Type="http://schemas.openxmlformats.org/officeDocument/2006/relationships/hyperlink" Target="https://horizondirect.gorgias.com/app/ticket/387757272" TargetMode="External"/><Relationship Id="rId471" Type="http://schemas.openxmlformats.org/officeDocument/2006/relationships/hyperlink" Target="https://4ammedia.zendesk.com/agent/tickets/210498" TargetMode="External"/><Relationship Id="rId470" Type="http://schemas.openxmlformats.org/officeDocument/2006/relationships/hyperlink" Target="https://4ammedia.zendesk.com/agent/tickets/209302" TargetMode="External"/><Relationship Id="rId114" Type="http://schemas.openxmlformats.org/officeDocument/2006/relationships/hyperlink" Target="https://horizondirect.gorgias.com/app/ticket/373044385" TargetMode="External"/><Relationship Id="rId235" Type="http://schemas.openxmlformats.org/officeDocument/2006/relationships/hyperlink" Target="https://horizondirect.gorgias.com/app/ticket/380718127" TargetMode="External"/><Relationship Id="rId356" Type="http://schemas.openxmlformats.org/officeDocument/2006/relationships/hyperlink" Target="https://assets.aircall.io/calls/3732915500/recording" TargetMode="External"/><Relationship Id="rId477" Type="http://schemas.openxmlformats.org/officeDocument/2006/relationships/hyperlink" Target="https://4ammedia.zendesk.com/agent/tickets/213929" TargetMode="External"/><Relationship Id="rId113" Type="http://schemas.openxmlformats.org/officeDocument/2006/relationships/hyperlink" Target="https://horizondirect.gorgias.com/app/ticket/373040614" TargetMode="External"/><Relationship Id="rId234" Type="http://schemas.openxmlformats.org/officeDocument/2006/relationships/hyperlink" Target="https://horizondirect.gorgias.com/app/ticket/380595725" TargetMode="External"/><Relationship Id="rId355" Type="http://schemas.openxmlformats.org/officeDocument/2006/relationships/hyperlink" Target="https://assets.aircall.io/calls/3732894941/recording" TargetMode="External"/><Relationship Id="rId476" Type="http://schemas.openxmlformats.org/officeDocument/2006/relationships/hyperlink" Target="https://4ammedia.zendesk.com/agent/tickets/212269" TargetMode="External"/><Relationship Id="rId112" Type="http://schemas.openxmlformats.org/officeDocument/2006/relationships/hyperlink" Target="https://horizondirect.gorgias.com/app/ticket/373039168" TargetMode="External"/><Relationship Id="rId233" Type="http://schemas.openxmlformats.org/officeDocument/2006/relationships/hyperlink" Target="https://horizondirect.gorgias.com/app/ticket/380585671" TargetMode="External"/><Relationship Id="rId354" Type="http://schemas.openxmlformats.org/officeDocument/2006/relationships/hyperlink" Target="https://horizondirect.gorgias.com/app/ticket/387878201" TargetMode="External"/><Relationship Id="rId475" Type="http://schemas.openxmlformats.org/officeDocument/2006/relationships/hyperlink" Target="https://4ammedia.zendesk.com/agent/tickets/212109" TargetMode="External"/><Relationship Id="rId111" Type="http://schemas.openxmlformats.org/officeDocument/2006/relationships/hyperlink" Target="https://horizondirect.gorgias.com/app/ticket/372976513" TargetMode="External"/><Relationship Id="rId232" Type="http://schemas.openxmlformats.org/officeDocument/2006/relationships/hyperlink" Target="https://horizondirect.gorgias.com/app/ticket/380564774" TargetMode="External"/><Relationship Id="rId353" Type="http://schemas.openxmlformats.org/officeDocument/2006/relationships/hyperlink" Target="https://horizondirect.gorgias.com/app/ticket/387875028" TargetMode="External"/><Relationship Id="rId474" Type="http://schemas.openxmlformats.org/officeDocument/2006/relationships/hyperlink" Target="https://4ammedia.zendesk.com/agent/tickets/211905" TargetMode="External"/><Relationship Id="rId305" Type="http://schemas.openxmlformats.org/officeDocument/2006/relationships/hyperlink" Target="https://horizondirect.gorgias.com/app/ticket/385054438" TargetMode="External"/><Relationship Id="rId426" Type="http://schemas.openxmlformats.org/officeDocument/2006/relationships/hyperlink" Target="https://4ammedia.zendesk.com/agent/tickets/162878" TargetMode="External"/><Relationship Id="rId304" Type="http://schemas.openxmlformats.org/officeDocument/2006/relationships/hyperlink" Target="https://horizondirect.gorgias.com/app/ticket/385049455" TargetMode="External"/><Relationship Id="rId425" Type="http://schemas.openxmlformats.org/officeDocument/2006/relationships/hyperlink" Target="https://4ammedia.zendesk.com/agent/tickets/162678" TargetMode="External"/><Relationship Id="rId303" Type="http://schemas.openxmlformats.org/officeDocument/2006/relationships/hyperlink" Target="https://horizondirect.gorgias.com/app/ticket/384966829" TargetMode="External"/><Relationship Id="rId424" Type="http://schemas.openxmlformats.org/officeDocument/2006/relationships/hyperlink" Target="https://4ammedia.zendesk.com/agent/tickets/162602" TargetMode="External"/><Relationship Id="rId302" Type="http://schemas.openxmlformats.org/officeDocument/2006/relationships/hyperlink" Target="https://horizondirect.gorgias.com/app/ticket/384961469" TargetMode="External"/><Relationship Id="rId423" Type="http://schemas.openxmlformats.org/officeDocument/2006/relationships/hyperlink" Target="https://4ammedia.zendesk.com/agent/tickets/161502" TargetMode="External"/><Relationship Id="rId309" Type="http://schemas.openxmlformats.org/officeDocument/2006/relationships/hyperlink" Target="https://horizondirect.gorgias.com/app/ticket/385196084" TargetMode="External"/><Relationship Id="rId308" Type="http://schemas.openxmlformats.org/officeDocument/2006/relationships/hyperlink" Target="https://horizondirect.gorgias.com/app/ticket/385182811" TargetMode="External"/><Relationship Id="rId429" Type="http://schemas.openxmlformats.org/officeDocument/2006/relationships/hyperlink" Target="https://4ammedia.zendesk.com/agent/tickets/167266" TargetMode="External"/><Relationship Id="rId307" Type="http://schemas.openxmlformats.org/officeDocument/2006/relationships/hyperlink" Target="https://horizondirect.gorgias.com/app/ticket/385170130" TargetMode="External"/><Relationship Id="rId428" Type="http://schemas.openxmlformats.org/officeDocument/2006/relationships/hyperlink" Target="https://4ammedia.zendesk.com/agent/tickets/167250" TargetMode="External"/><Relationship Id="rId306" Type="http://schemas.openxmlformats.org/officeDocument/2006/relationships/hyperlink" Target="https://horizondirect.gorgias.com/app/ticket/385067713" TargetMode="External"/><Relationship Id="rId427" Type="http://schemas.openxmlformats.org/officeDocument/2006/relationships/hyperlink" Target="https://4ammedia.zendesk.com/agent/tickets/167197" TargetMode="External"/><Relationship Id="rId301" Type="http://schemas.openxmlformats.org/officeDocument/2006/relationships/hyperlink" Target="https://horizondirect.gorgias.com/app/ticket/384950094" TargetMode="External"/><Relationship Id="rId422" Type="http://schemas.openxmlformats.org/officeDocument/2006/relationships/hyperlink" Target="https://4ammedia.zendesk.com/agent/tickets/161469" TargetMode="External"/><Relationship Id="rId543" Type="http://schemas.openxmlformats.org/officeDocument/2006/relationships/drawing" Target="../drawings/drawing10.xml"/><Relationship Id="rId300" Type="http://schemas.openxmlformats.org/officeDocument/2006/relationships/hyperlink" Target="https://horizondirect.gorgias.com/app/ticket/384600124" TargetMode="External"/><Relationship Id="rId421" Type="http://schemas.openxmlformats.org/officeDocument/2006/relationships/hyperlink" Target="https://4ammedia.zendesk.com/agent/tickets/161440" TargetMode="External"/><Relationship Id="rId542" Type="http://schemas.openxmlformats.org/officeDocument/2006/relationships/hyperlink" Target="https://4ammedia.zendesk.com/agent/tickets/273516" TargetMode="External"/><Relationship Id="rId420" Type="http://schemas.openxmlformats.org/officeDocument/2006/relationships/hyperlink" Target="https://4ammedia.zendesk.com/agent/tickets/159850" TargetMode="External"/><Relationship Id="rId541" Type="http://schemas.openxmlformats.org/officeDocument/2006/relationships/hyperlink" Target="https://4ammedia.zendesk.com/agent/tickets/273457" TargetMode="External"/><Relationship Id="rId540" Type="http://schemas.openxmlformats.org/officeDocument/2006/relationships/hyperlink" Target="https://4ammedia.zendesk.com/agent/tickets/273237" TargetMode="External"/><Relationship Id="rId415" Type="http://schemas.openxmlformats.org/officeDocument/2006/relationships/hyperlink" Target="https://4ammedia.zendesk.com/agent/tickets/157904" TargetMode="External"/><Relationship Id="rId536" Type="http://schemas.openxmlformats.org/officeDocument/2006/relationships/hyperlink" Target="https://4ammedia.zendesk.com/agent/tickets/266068" TargetMode="External"/><Relationship Id="rId414" Type="http://schemas.openxmlformats.org/officeDocument/2006/relationships/hyperlink" Target="https://4ammedia.zendesk.com/agent/tickets/156991" TargetMode="External"/><Relationship Id="rId535" Type="http://schemas.openxmlformats.org/officeDocument/2006/relationships/hyperlink" Target="https://4ammedia.zendesk.com/agent/tickets/266020" TargetMode="External"/><Relationship Id="rId413" Type="http://schemas.openxmlformats.org/officeDocument/2006/relationships/hyperlink" Target="https://4ammedia.zendesk.com/agent/tickets/156991" TargetMode="External"/><Relationship Id="rId534" Type="http://schemas.openxmlformats.org/officeDocument/2006/relationships/hyperlink" Target="https://4ammedia.zendesk.com/agent/tickets/265795" TargetMode="External"/><Relationship Id="rId412" Type="http://schemas.openxmlformats.org/officeDocument/2006/relationships/hyperlink" Target="https://4ammedia.zendesk.com/agent/tickets/156826" TargetMode="External"/><Relationship Id="rId533" Type="http://schemas.openxmlformats.org/officeDocument/2006/relationships/hyperlink" Target="https://4ammedia.zendesk.com/agent/tickets/263642" TargetMode="External"/><Relationship Id="rId419" Type="http://schemas.openxmlformats.org/officeDocument/2006/relationships/hyperlink" Target="https://4ammedia.zendesk.com/agent/tickets/159291" TargetMode="External"/><Relationship Id="rId418" Type="http://schemas.openxmlformats.org/officeDocument/2006/relationships/hyperlink" Target="https://4ammedia.zendesk.com/agent/tickets/159641" TargetMode="External"/><Relationship Id="rId539" Type="http://schemas.openxmlformats.org/officeDocument/2006/relationships/hyperlink" Target="https://4ammedia.zendesk.com/agent/tickets/268174" TargetMode="External"/><Relationship Id="rId417" Type="http://schemas.openxmlformats.org/officeDocument/2006/relationships/hyperlink" Target="https://4ammedia.zendesk.com/agent/tickets/158187" TargetMode="External"/><Relationship Id="rId538" Type="http://schemas.openxmlformats.org/officeDocument/2006/relationships/hyperlink" Target="https://4ammedia.zendesk.com/agent/tickets/268090" TargetMode="External"/><Relationship Id="rId416" Type="http://schemas.openxmlformats.org/officeDocument/2006/relationships/hyperlink" Target="https://4ammedia.zendesk.com/agent/tickets/158171" TargetMode="External"/><Relationship Id="rId537" Type="http://schemas.openxmlformats.org/officeDocument/2006/relationships/hyperlink" Target="https://4ammedia.zendesk.com/agent/tickets/267938" TargetMode="External"/><Relationship Id="rId411" Type="http://schemas.openxmlformats.org/officeDocument/2006/relationships/hyperlink" Target="https://4ammedia.zendesk.com/agent/tickets/152796" TargetMode="External"/><Relationship Id="rId532" Type="http://schemas.openxmlformats.org/officeDocument/2006/relationships/hyperlink" Target="https://4ammedia.zendesk.com/agent/tickets/263348" TargetMode="External"/><Relationship Id="rId410" Type="http://schemas.openxmlformats.org/officeDocument/2006/relationships/hyperlink" Target="https://4ammedia.zendesk.com/agent/tickets/152633" TargetMode="External"/><Relationship Id="rId531" Type="http://schemas.openxmlformats.org/officeDocument/2006/relationships/hyperlink" Target="https://4ammedia.zendesk.com/agent/tickets/263082" TargetMode="External"/><Relationship Id="rId530" Type="http://schemas.openxmlformats.org/officeDocument/2006/relationships/hyperlink" Target="https://4ammedia.zendesk.com/agent/tickets/261720" TargetMode="External"/><Relationship Id="rId206" Type="http://schemas.openxmlformats.org/officeDocument/2006/relationships/hyperlink" Target="https://horizondirect.gorgias.com/app/ticket/378968786" TargetMode="External"/><Relationship Id="rId327" Type="http://schemas.openxmlformats.org/officeDocument/2006/relationships/hyperlink" Target="https://horizondirect.gorgias.com/app/ticket/386230282" TargetMode="External"/><Relationship Id="rId448" Type="http://schemas.openxmlformats.org/officeDocument/2006/relationships/hyperlink" Target="https://4ammedia.zendesk.com/agent/tickets/192141" TargetMode="External"/><Relationship Id="rId569" Type="http://schemas.openxmlformats.org/officeDocument/2006/relationships/table" Target="../tables/table130.xml"/><Relationship Id="rId205" Type="http://schemas.openxmlformats.org/officeDocument/2006/relationships/hyperlink" Target="https://horizondirect.gorgias.com/app/ticket/378963441" TargetMode="External"/><Relationship Id="rId326" Type="http://schemas.openxmlformats.org/officeDocument/2006/relationships/hyperlink" Target="https://horizondirect.gorgias.com/app/ticket/386217081" TargetMode="External"/><Relationship Id="rId447" Type="http://schemas.openxmlformats.org/officeDocument/2006/relationships/hyperlink" Target="https://4ammedia.zendesk.com/agent/tickets/191952" TargetMode="External"/><Relationship Id="rId568" Type="http://schemas.openxmlformats.org/officeDocument/2006/relationships/table" Target="../tables/table129.xml"/><Relationship Id="rId204" Type="http://schemas.openxmlformats.org/officeDocument/2006/relationships/hyperlink" Target="https://horizondirect.gorgias.com/app/ticket/378855896" TargetMode="External"/><Relationship Id="rId325" Type="http://schemas.openxmlformats.org/officeDocument/2006/relationships/hyperlink" Target="https://horizondirect.gorgias.com/app/ticket/386216740" TargetMode="External"/><Relationship Id="rId446" Type="http://schemas.openxmlformats.org/officeDocument/2006/relationships/hyperlink" Target="https://4ammedia.zendesk.com/agent/tickets/190308" TargetMode="External"/><Relationship Id="rId567" Type="http://schemas.openxmlformats.org/officeDocument/2006/relationships/table" Target="../tables/table128.xml"/><Relationship Id="rId203" Type="http://schemas.openxmlformats.org/officeDocument/2006/relationships/hyperlink" Target="https://horizondirect.gorgias.com/app/ticket/378840873" TargetMode="External"/><Relationship Id="rId324" Type="http://schemas.openxmlformats.org/officeDocument/2006/relationships/hyperlink" Target="https://horizondirect.gorgias.com/app/ticket/386102288" TargetMode="External"/><Relationship Id="rId445" Type="http://schemas.openxmlformats.org/officeDocument/2006/relationships/hyperlink" Target="https://4ammedia.zendesk.com/agent/tickets/190090" TargetMode="External"/><Relationship Id="rId566" Type="http://schemas.openxmlformats.org/officeDocument/2006/relationships/table" Target="../tables/table127.xml"/><Relationship Id="rId209" Type="http://schemas.openxmlformats.org/officeDocument/2006/relationships/hyperlink" Target="https://horizondirect.gorgias.com/app/ticket/379373437" TargetMode="External"/><Relationship Id="rId208" Type="http://schemas.openxmlformats.org/officeDocument/2006/relationships/hyperlink" Target="https://horizondirect.gorgias.com/app/ticket/379363276" TargetMode="External"/><Relationship Id="rId329" Type="http://schemas.openxmlformats.org/officeDocument/2006/relationships/hyperlink" Target="https://horizondirect.gorgias.com/app/ticket/386369729" TargetMode="External"/><Relationship Id="rId207" Type="http://schemas.openxmlformats.org/officeDocument/2006/relationships/hyperlink" Target="https://horizondirect.gorgias.com/app/ticket/378970537" TargetMode="External"/><Relationship Id="rId328" Type="http://schemas.openxmlformats.org/officeDocument/2006/relationships/hyperlink" Target="https://horizondirect.gorgias.com/app/ticket/386358519" TargetMode="External"/><Relationship Id="rId449" Type="http://schemas.openxmlformats.org/officeDocument/2006/relationships/hyperlink" Target="https://4ammedia.zendesk.com/agent/tickets/192149" TargetMode="External"/><Relationship Id="rId440" Type="http://schemas.openxmlformats.org/officeDocument/2006/relationships/hyperlink" Target="https://4ammedia.zendesk.com/agent/tickets/173413" TargetMode="External"/><Relationship Id="rId202" Type="http://schemas.openxmlformats.org/officeDocument/2006/relationships/hyperlink" Target="https://horizondirect.gorgias.com/app/ticket/378835677" TargetMode="External"/><Relationship Id="rId323" Type="http://schemas.openxmlformats.org/officeDocument/2006/relationships/hyperlink" Target="https://horizondirect.gorgias.com/app/ticket/386076585" TargetMode="External"/><Relationship Id="rId444" Type="http://schemas.openxmlformats.org/officeDocument/2006/relationships/hyperlink" Target="https://4ammedia.zendesk.com/agent/tickets/189931" TargetMode="External"/><Relationship Id="rId201" Type="http://schemas.openxmlformats.org/officeDocument/2006/relationships/hyperlink" Target="https://horizondirect.gorgias.com/app/ticket/378647128" TargetMode="External"/><Relationship Id="rId322" Type="http://schemas.openxmlformats.org/officeDocument/2006/relationships/hyperlink" Target="https://horizondirect.gorgias.com/app/ticket/386072569" TargetMode="External"/><Relationship Id="rId443" Type="http://schemas.openxmlformats.org/officeDocument/2006/relationships/hyperlink" Target="https://4ammedia.zendesk.com/agent/tickets/176236" TargetMode="External"/><Relationship Id="rId200" Type="http://schemas.openxmlformats.org/officeDocument/2006/relationships/hyperlink" Target="https://horizondirect.gorgias.com/app/ticket/378633214" TargetMode="External"/><Relationship Id="rId321" Type="http://schemas.openxmlformats.org/officeDocument/2006/relationships/hyperlink" Target="https://horizondirect.gorgias.com/app/ticket/385776781" TargetMode="External"/><Relationship Id="rId442" Type="http://schemas.openxmlformats.org/officeDocument/2006/relationships/hyperlink" Target="https://4ammedia.zendesk.com/agent/tickets/176070" TargetMode="External"/><Relationship Id="rId320" Type="http://schemas.openxmlformats.org/officeDocument/2006/relationships/hyperlink" Target="https://horizondirect.gorgias.com/app/ticket/385773193" TargetMode="External"/><Relationship Id="rId441" Type="http://schemas.openxmlformats.org/officeDocument/2006/relationships/hyperlink" Target="https://4ammedia.zendesk.com/agent/tickets/173556" TargetMode="External"/><Relationship Id="rId316" Type="http://schemas.openxmlformats.org/officeDocument/2006/relationships/hyperlink" Target="https://horizondirect.gorgias.com/app/ticket/385619601" TargetMode="External"/><Relationship Id="rId437" Type="http://schemas.openxmlformats.org/officeDocument/2006/relationships/hyperlink" Target="https://4ammedia.zendesk.com/agent/tickets/171894" TargetMode="External"/><Relationship Id="rId315" Type="http://schemas.openxmlformats.org/officeDocument/2006/relationships/hyperlink" Target="https://horizondirect.gorgias.com/app/ticket/385482779" TargetMode="External"/><Relationship Id="rId436" Type="http://schemas.openxmlformats.org/officeDocument/2006/relationships/hyperlink" Target="https://4ammedia.zendesk.com/agent/tickets/171690" TargetMode="External"/><Relationship Id="rId314" Type="http://schemas.openxmlformats.org/officeDocument/2006/relationships/hyperlink" Target="https://horizondirect.gorgias.com/app/ticket/385476697" TargetMode="External"/><Relationship Id="rId435" Type="http://schemas.openxmlformats.org/officeDocument/2006/relationships/hyperlink" Target="https://4ammedia.zendesk.com/agent/tickets/170348" TargetMode="External"/><Relationship Id="rId313" Type="http://schemas.openxmlformats.org/officeDocument/2006/relationships/hyperlink" Target="https://horizondirect.gorgias.com/app/ticket/385470397" TargetMode="External"/><Relationship Id="rId434" Type="http://schemas.openxmlformats.org/officeDocument/2006/relationships/hyperlink" Target="https://4ammedia.zendesk.com/agent/tickets/170176" TargetMode="External"/><Relationship Id="rId319" Type="http://schemas.openxmlformats.org/officeDocument/2006/relationships/hyperlink" Target="https://horizondirect.gorgias.com/app/ticket/385771959" TargetMode="External"/><Relationship Id="rId318" Type="http://schemas.openxmlformats.org/officeDocument/2006/relationships/hyperlink" Target="https://horizondirect.gorgias.com/app/ticket/385634639" TargetMode="External"/><Relationship Id="rId439" Type="http://schemas.openxmlformats.org/officeDocument/2006/relationships/hyperlink" Target="https://4ammedia.zendesk.com/agent/tickets/173164" TargetMode="External"/><Relationship Id="rId317" Type="http://schemas.openxmlformats.org/officeDocument/2006/relationships/hyperlink" Target="https://horizondirect.gorgias.com/app/ticket/385624924" TargetMode="External"/><Relationship Id="rId438" Type="http://schemas.openxmlformats.org/officeDocument/2006/relationships/hyperlink" Target="https://4ammedia.zendesk.com/agent/tickets/171949" TargetMode="External"/><Relationship Id="rId312" Type="http://schemas.openxmlformats.org/officeDocument/2006/relationships/hyperlink" Target="https://horizondirect.gorgias.com/app/ticket/385359197" TargetMode="External"/><Relationship Id="rId433" Type="http://schemas.openxmlformats.org/officeDocument/2006/relationships/hyperlink" Target="https://4ammedia.zendesk.com/agent/tickets/169954" TargetMode="External"/><Relationship Id="rId311" Type="http://schemas.openxmlformats.org/officeDocument/2006/relationships/hyperlink" Target="https://horizondirect.gorgias.com/app/ticket/385351069" TargetMode="External"/><Relationship Id="rId432" Type="http://schemas.openxmlformats.org/officeDocument/2006/relationships/hyperlink" Target="https://4ammedia.zendesk.com/agent/tickets/167529" TargetMode="External"/><Relationship Id="rId310" Type="http://schemas.openxmlformats.org/officeDocument/2006/relationships/hyperlink" Target="https://horizondirect.gorgias.com/app/ticket/385348630" TargetMode="External"/><Relationship Id="rId431" Type="http://schemas.openxmlformats.org/officeDocument/2006/relationships/hyperlink" Target="https://4ammedia.zendesk.com/agent/tickets/168256" TargetMode="External"/><Relationship Id="rId430" Type="http://schemas.openxmlformats.org/officeDocument/2006/relationships/hyperlink" Target="https://4ammedia.zendesk.com/agent/tickets/168094"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horizondirect.gorgias.com/app/ticket/386820100" TargetMode="External"/><Relationship Id="rId194" Type="http://schemas.openxmlformats.org/officeDocument/2006/relationships/hyperlink" Target="https://assets.aircall.io/calls/3699462234/recording" TargetMode="External"/><Relationship Id="rId193" Type="http://schemas.openxmlformats.org/officeDocument/2006/relationships/hyperlink" Target="https://assets.aircall.io/calls/3699429781/recording" TargetMode="External"/><Relationship Id="rId192" Type="http://schemas.openxmlformats.org/officeDocument/2006/relationships/hyperlink" Target="https://horizondirect.gorgias.com/app/ticket/386840337" TargetMode="External"/><Relationship Id="rId191" Type="http://schemas.openxmlformats.org/officeDocument/2006/relationships/hyperlink" Target="https://horizondirect.gorgias.com/app/ticket/386829069" TargetMode="External"/><Relationship Id="rId187" Type="http://schemas.openxmlformats.org/officeDocument/2006/relationships/hyperlink" Target="https://horizondirect.gorgias.com/app/ticket/386724443" TargetMode="External"/><Relationship Id="rId186" Type="http://schemas.openxmlformats.org/officeDocument/2006/relationships/hyperlink" Target="https://horizondirect.gorgias.com/app/ticket/386338676" TargetMode="External"/><Relationship Id="rId185" Type="http://schemas.openxmlformats.org/officeDocument/2006/relationships/hyperlink" Target="https://horizondirect.gorgias.com/app/ticket/386330688" TargetMode="External"/><Relationship Id="rId184" Type="http://schemas.openxmlformats.org/officeDocument/2006/relationships/hyperlink" Target="https://horizondirect.gorgias.com/app/ticket/386321608" TargetMode="External"/><Relationship Id="rId189" Type="http://schemas.openxmlformats.org/officeDocument/2006/relationships/hyperlink" Target="https://horizondirect.gorgias.com/app/ticket/386733218" TargetMode="External"/><Relationship Id="rId188" Type="http://schemas.openxmlformats.org/officeDocument/2006/relationships/hyperlink" Target="https://horizondirect.gorgias.com/app/ticket/386727164" TargetMode="External"/><Relationship Id="rId183" Type="http://schemas.openxmlformats.org/officeDocument/2006/relationships/hyperlink" Target="https://horizondirect.gorgias.com/app/ticket/386217453" TargetMode="External"/><Relationship Id="rId182" Type="http://schemas.openxmlformats.org/officeDocument/2006/relationships/hyperlink" Target="https://horizondirect.gorgias.com/app/ticket/386198673" TargetMode="External"/><Relationship Id="rId181" Type="http://schemas.openxmlformats.org/officeDocument/2006/relationships/hyperlink" Target="https://horizondirect.gorgias.com/app/ticket/386181486" TargetMode="External"/><Relationship Id="rId180" Type="http://schemas.openxmlformats.org/officeDocument/2006/relationships/hyperlink" Target="https://horizondirect.gorgias.com/app/ticket/385931032" TargetMode="External"/><Relationship Id="rId176" Type="http://schemas.openxmlformats.org/officeDocument/2006/relationships/hyperlink" Target="https://horizondirect.gorgias.com/app/ticket/385833777" TargetMode="External"/><Relationship Id="rId297" Type="http://schemas.openxmlformats.org/officeDocument/2006/relationships/hyperlink" Target="https://4ammedia.zendesk.com/agent/tickets/165638" TargetMode="External"/><Relationship Id="rId175" Type="http://schemas.openxmlformats.org/officeDocument/2006/relationships/hyperlink" Target="https://horizondirect.gorgias.com/app/ticket/385827222" TargetMode="External"/><Relationship Id="rId296" Type="http://schemas.openxmlformats.org/officeDocument/2006/relationships/hyperlink" Target="https://4ammedia.zendesk.com/agent/tickets/165460" TargetMode="External"/><Relationship Id="rId174" Type="http://schemas.openxmlformats.org/officeDocument/2006/relationships/hyperlink" Target="https://horizondirect.gorgias.com/app/ticket/385471543" TargetMode="External"/><Relationship Id="rId295" Type="http://schemas.openxmlformats.org/officeDocument/2006/relationships/hyperlink" Target="https://4ammedia.zendesk.com/agent/tickets/165394" TargetMode="External"/><Relationship Id="rId173" Type="http://schemas.openxmlformats.org/officeDocument/2006/relationships/hyperlink" Target="https://horizondirect.gorgias.com/app/ticket/385456762" TargetMode="External"/><Relationship Id="rId294" Type="http://schemas.openxmlformats.org/officeDocument/2006/relationships/hyperlink" Target="https://4ammedia.zendesk.com/agent/tickets/163963" TargetMode="External"/><Relationship Id="rId179" Type="http://schemas.openxmlformats.org/officeDocument/2006/relationships/hyperlink" Target="https://horizondirect.gorgias.com/app/ticket/385929757" TargetMode="External"/><Relationship Id="rId178" Type="http://schemas.openxmlformats.org/officeDocument/2006/relationships/hyperlink" Target="https://horizondirect.gorgias.com/app/ticket/385918741" TargetMode="External"/><Relationship Id="rId299" Type="http://schemas.openxmlformats.org/officeDocument/2006/relationships/hyperlink" Target="https://4ammedia.zendesk.com/agent/tickets/169881" TargetMode="External"/><Relationship Id="rId177" Type="http://schemas.openxmlformats.org/officeDocument/2006/relationships/hyperlink" Target="https://horizondirect.gorgias.com/app/ticket/385839823" TargetMode="External"/><Relationship Id="rId298" Type="http://schemas.openxmlformats.org/officeDocument/2006/relationships/hyperlink" Target="https://4ammedia.zendesk.com/agent/tickets/169841" TargetMode="External"/><Relationship Id="rId198" Type="http://schemas.openxmlformats.org/officeDocument/2006/relationships/hyperlink" Target="https://assets.aircall.io/calls/3703663144/recording/info" TargetMode="External"/><Relationship Id="rId197" Type="http://schemas.openxmlformats.org/officeDocument/2006/relationships/hyperlink" Target="https://assets.aircall.io/calls/3703624668/recording/info" TargetMode="External"/><Relationship Id="rId196" Type="http://schemas.openxmlformats.org/officeDocument/2006/relationships/hyperlink" Target="https://assets.aircall.io/calls/3703592741/recording" TargetMode="External"/><Relationship Id="rId195" Type="http://schemas.openxmlformats.org/officeDocument/2006/relationships/hyperlink" Target="https://assets.aircall.io/calls/3699521934/recording" TargetMode="External"/><Relationship Id="rId199" Type="http://schemas.openxmlformats.org/officeDocument/2006/relationships/hyperlink" Target="https://assets.aircall.io/calls/3707546333/recording" TargetMode="External"/><Relationship Id="rId150" Type="http://schemas.openxmlformats.org/officeDocument/2006/relationships/hyperlink" Target="https://horizondirect.gorgias.com/app/ticket/384176309" TargetMode="External"/><Relationship Id="rId271" Type="http://schemas.openxmlformats.org/officeDocument/2006/relationships/hyperlink" Target="https://4ammedia.zendesk.com/agent/tickets/150435" TargetMode="External"/><Relationship Id="rId392" Type="http://schemas.openxmlformats.org/officeDocument/2006/relationships/hyperlink" Target="https://4ammedia.zendesk.com/agent/tickets/253877" TargetMode="External"/><Relationship Id="rId270" Type="http://schemas.openxmlformats.org/officeDocument/2006/relationships/hyperlink" Target="https://4ammedia.zendesk.com/agent/tickets/149283" TargetMode="External"/><Relationship Id="rId391" Type="http://schemas.openxmlformats.org/officeDocument/2006/relationships/hyperlink" Target="https://4ammedia.zendesk.com/agent/tickets/253560" TargetMode="External"/><Relationship Id="rId390" Type="http://schemas.openxmlformats.org/officeDocument/2006/relationships/hyperlink" Target="https://4ammedia.zendesk.com/agent/tickets/252563" TargetMode="External"/><Relationship Id="rId1" Type="http://schemas.openxmlformats.org/officeDocument/2006/relationships/hyperlink" Target="https://horizondirect.gorgias.com/app/ticket/375257911" TargetMode="External"/><Relationship Id="rId2" Type="http://schemas.openxmlformats.org/officeDocument/2006/relationships/hyperlink" Target="https://horizondirect.gorgias.com/app/ticket/375317394" TargetMode="External"/><Relationship Id="rId3" Type="http://schemas.openxmlformats.org/officeDocument/2006/relationships/hyperlink" Target="https://horizondirect.gorgias.com/app/ticket/375272763" TargetMode="External"/><Relationship Id="rId149" Type="http://schemas.openxmlformats.org/officeDocument/2006/relationships/hyperlink" Target="https://horizondirect.gorgias.com/app/ticket/384167108" TargetMode="External"/><Relationship Id="rId4" Type="http://schemas.openxmlformats.org/officeDocument/2006/relationships/hyperlink" Target="https://horizondirect.gorgias.com/app/ticket/375697970" TargetMode="External"/><Relationship Id="rId148" Type="http://schemas.openxmlformats.org/officeDocument/2006/relationships/hyperlink" Target="https://horizondirect.gorgias.com/app/ticket/384152304" TargetMode="External"/><Relationship Id="rId269" Type="http://schemas.openxmlformats.org/officeDocument/2006/relationships/hyperlink" Target="https://4ammedia.zendesk.com/agent/tickets/149165" TargetMode="External"/><Relationship Id="rId9" Type="http://schemas.openxmlformats.org/officeDocument/2006/relationships/hyperlink" Target="https://horizondirect.gorgias.com/app/ticket/375863092" TargetMode="External"/><Relationship Id="rId143" Type="http://schemas.openxmlformats.org/officeDocument/2006/relationships/hyperlink" Target="https://horizondirect.gorgias.com/app/ticket/383989901" TargetMode="External"/><Relationship Id="rId264" Type="http://schemas.openxmlformats.org/officeDocument/2006/relationships/hyperlink" Target="https://4ammedia.zendesk.com/agent/tickets/144744" TargetMode="External"/><Relationship Id="rId385" Type="http://schemas.openxmlformats.org/officeDocument/2006/relationships/hyperlink" Target="https://4ammedia.zendesk.com/agent/tickets/249343" TargetMode="External"/><Relationship Id="rId142" Type="http://schemas.openxmlformats.org/officeDocument/2006/relationships/hyperlink" Target="https://horizondirect.gorgias.com/app/ticket/383975116" TargetMode="External"/><Relationship Id="rId263" Type="http://schemas.openxmlformats.org/officeDocument/2006/relationships/hyperlink" Target="https://4ammedia.zendesk.com/agent/tickets/144643" TargetMode="External"/><Relationship Id="rId384" Type="http://schemas.openxmlformats.org/officeDocument/2006/relationships/hyperlink" Target="https://4ammedia.zendesk.com/agent/tickets/245720" TargetMode="External"/><Relationship Id="rId141" Type="http://schemas.openxmlformats.org/officeDocument/2006/relationships/hyperlink" Target="https://horizondirect.gorgias.com/app/ticket/383560847" TargetMode="External"/><Relationship Id="rId262" Type="http://schemas.openxmlformats.org/officeDocument/2006/relationships/hyperlink" Target="https://4ammedia.zendesk.com/agent/tickets/144525" TargetMode="External"/><Relationship Id="rId383" Type="http://schemas.openxmlformats.org/officeDocument/2006/relationships/hyperlink" Target="https://4ammedia.zendesk.com/agent/tickets/245620" TargetMode="External"/><Relationship Id="rId140" Type="http://schemas.openxmlformats.org/officeDocument/2006/relationships/hyperlink" Target="https://horizondirect.gorgias.com/app/ticket/383554744" TargetMode="External"/><Relationship Id="rId261" Type="http://schemas.openxmlformats.org/officeDocument/2006/relationships/hyperlink" Target="https://4ammedia.zendesk.com/agent/tickets/143782" TargetMode="External"/><Relationship Id="rId382" Type="http://schemas.openxmlformats.org/officeDocument/2006/relationships/hyperlink" Target="https://4ammedia.zendesk.com/agent/tickets/245229" TargetMode="External"/><Relationship Id="rId5" Type="http://schemas.openxmlformats.org/officeDocument/2006/relationships/hyperlink" Target="https://horizondirect.gorgias.com/app/ticket/375712379" TargetMode="External"/><Relationship Id="rId147" Type="http://schemas.openxmlformats.org/officeDocument/2006/relationships/hyperlink" Target="https://horizondirect.gorgias.com/app/ticket/384085414" TargetMode="External"/><Relationship Id="rId268" Type="http://schemas.openxmlformats.org/officeDocument/2006/relationships/hyperlink" Target="https://4ammedia.zendesk.com/agent/tickets/149103" TargetMode="External"/><Relationship Id="rId389" Type="http://schemas.openxmlformats.org/officeDocument/2006/relationships/hyperlink" Target="https://4ammedia.zendesk.com/agent/tickets/252094" TargetMode="External"/><Relationship Id="rId6" Type="http://schemas.openxmlformats.org/officeDocument/2006/relationships/hyperlink" Target="https://horizondirect.gorgias.com/app/ticket/375725101" TargetMode="External"/><Relationship Id="rId146" Type="http://schemas.openxmlformats.org/officeDocument/2006/relationships/hyperlink" Target="https://horizondirect.gorgias.com/app/ticket/384077871" TargetMode="External"/><Relationship Id="rId267" Type="http://schemas.openxmlformats.org/officeDocument/2006/relationships/hyperlink" Target="https://4ammedia.zendesk.com/agent/tickets/146241" TargetMode="External"/><Relationship Id="rId388" Type="http://schemas.openxmlformats.org/officeDocument/2006/relationships/hyperlink" Target="https://4ammedia.zendesk.com/agent/tickets/251937" TargetMode="External"/><Relationship Id="rId7" Type="http://schemas.openxmlformats.org/officeDocument/2006/relationships/hyperlink" Target="https://horizondirect.gorgias.com/app/ticket/375841851" TargetMode="External"/><Relationship Id="rId145" Type="http://schemas.openxmlformats.org/officeDocument/2006/relationships/hyperlink" Target="https://horizondirect.gorgias.com/app/ticket/384065251" TargetMode="External"/><Relationship Id="rId266" Type="http://schemas.openxmlformats.org/officeDocument/2006/relationships/hyperlink" Target="https://4ammedia.zendesk.com/agent/tickets/146214" TargetMode="External"/><Relationship Id="rId387" Type="http://schemas.openxmlformats.org/officeDocument/2006/relationships/hyperlink" Target="https://4ammedia.zendesk.com/agent/tickets/249734" TargetMode="External"/><Relationship Id="rId8" Type="http://schemas.openxmlformats.org/officeDocument/2006/relationships/hyperlink" Target="https://horizondirect.gorgias.com/app/ticket/375850195" TargetMode="External"/><Relationship Id="rId144" Type="http://schemas.openxmlformats.org/officeDocument/2006/relationships/hyperlink" Target="https://horizondirect.gorgias.com/app/ticket/384000045" TargetMode="External"/><Relationship Id="rId265" Type="http://schemas.openxmlformats.org/officeDocument/2006/relationships/hyperlink" Target="https://4ammedia.zendesk.com/agent/tickets/146132" TargetMode="External"/><Relationship Id="rId386" Type="http://schemas.openxmlformats.org/officeDocument/2006/relationships/hyperlink" Target="https://4ammedia.zendesk.com/agent/tickets/249462" TargetMode="External"/><Relationship Id="rId260" Type="http://schemas.openxmlformats.org/officeDocument/2006/relationships/hyperlink" Target="https://4ammedia.zendesk.com/agent/tickets/143570" TargetMode="External"/><Relationship Id="rId381" Type="http://schemas.openxmlformats.org/officeDocument/2006/relationships/hyperlink" Target="https://4ammedia.zendesk.com/agent/tickets/243140" TargetMode="External"/><Relationship Id="rId380" Type="http://schemas.openxmlformats.org/officeDocument/2006/relationships/hyperlink" Target="https://4ammedia.zendesk.com/agent/tickets/243031" TargetMode="External"/><Relationship Id="rId139" Type="http://schemas.openxmlformats.org/officeDocument/2006/relationships/hyperlink" Target="https://horizondirect.gorgias.com/app/ticket/383578781" TargetMode="External"/><Relationship Id="rId138" Type="http://schemas.openxmlformats.org/officeDocument/2006/relationships/hyperlink" Target="https://horizondirect.gorgias.com/app/ticket/383435491" TargetMode="External"/><Relationship Id="rId259" Type="http://schemas.openxmlformats.org/officeDocument/2006/relationships/hyperlink" Target="https://4ammedia.zendesk.com/agent/tickets/143291" TargetMode="External"/><Relationship Id="rId137" Type="http://schemas.openxmlformats.org/officeDocument/2006/relationships/hyperlink" Target="https://horizondirect.gorgias.com/app/ticket/383418362" TargetMode="External"/><Relationship Id="rId258" Type="http://schemas.openxmlformats.org/officeDocument/2006/relationships/hyperlink" Target="https://assets.aircall.io/calls/3785625386/recording" TargetMode="External"/><Relationship Id="rId379" Type="http://schemas.openxmlformats.org/officeDocument/2006/relationships/hyperlink" Target="https://4ammedia.zendesk.com/agent/tickets/242684" TargetMode="External"/><Relationship Id="rId132" Type="http://schemas.openxmlformats.org/officeDocument/2006/relationships/hyperlink" Target="https://horizondirect.gorgias.com/app/ticket/383008048" TargetMode="External"/><Relationship Id="rId253" Type="http://schemas.openxmlformats.org/officeDocument/2006/relationships/hyperlink" Target="https://assets.aircall.io/calls/3780704273/recording" TargetMode="External"/><Relationship Id="rId374" Type="http://schemas.openxmlformats.org/officeDocument/2006/relationships/hyperlink" Target="https://4ammedia.zendesk.com/agent/tickets/238430" TargetMode="External"/><Relationship Id="rId131" Type="http://schemas.openxmlformats.org/officeDocument/2006/relationships/hyperlink" Target="https://horizondirect.gorgias.com/app/ticket/382979263" TargetMode="External"/><Relationship Id="rId252" Type="http://schemas.openxmlformats.org/officeDocument/2006/relationships/hyperlink" Target="https://assets.aircall.io/calls/3775926550/recording" TargetMode="External"/><Relationship Id="rId373" Type="http://schemas.openxmlformats.org/officeDocument/2006/relationships/hyperlink" Target="https://4ammedia.zendesk.com/agent/tickets/238344" TargetMode="External"/><Relationship Id="rId130" Type="http://schemas.openxmlformats.org/officeDocument/2006/relationships/hyperlink" Target="https://horizondirect.gorgias.com/app/ticket/382962608" TargetMode="External"/><Relationship Id="rId251" Type="http://schemas.openxmlformats.org/officeDocument/2006/relationships/hyperlink" Target="https://assets.aircall.io/calls/3775873656/recording" TargetMode="External"/><Relationship Id="rId372" Type="http://schemas.openxmlformats.org/officeDocument/2006/relationships/hyperlink" Target="https://4ammedia.zendesk.com/agent/tickets/236355" TargetMode="External"/><Relationship Id="rId250" Type="http://schemas.openxmlformats.org/officeDocument/2006/relationships/hyperlink" Target="https://assets.aircall.io/calls/3775580584/recording" TargetMode="External"/><Relationship Id="rId371" Type="http://schemas.openxmlformats.org/officeDocument/2006/relationships/hyperlink" Target="https://4ammedia.zendesk.com/agent/tickets/236222" TargetMode="External"/><Relationship Id="rId136" Type="http://schemas.openxmlformats.org/officeDocument/2006/relationships/hyperlink" Target="https://horizondirect.gorgias.com/app/ticket/383419292" TargetMode="External"/><Relationship Id="rId257" Type="http://schemas.openxmlformats.org/officeDocument/2006/relationships/hyperlink" Target="https://assets.aircall.io/calls/3785600798/recording" TargetMode="External"/><Relationship Id="rId378" Type="http://schemas.openxmlformats.org/officeDocument/2006/relationships/hyperlink" Target="https://4ammedia.zendesk.com/agent/tickets/240690" TargetMode="External"/><Relationship Id="rId135" Type="http://schemas.openxmlformats.org/officeDocument/2006/relationships/hyperlink" Target="https://horizondirect.gorgias.com/app/ticket/383237096" TargetMode="External"/><Relationship Id="rId256" Type="http://schemas.openxmlformats.org/officeDocument/2006/relationships/hyperlink" Target="https://assets.aircall.io/calls/3785414241/recording" TargetMode="External"/><Relationship Id="rId377" Type="http://schemas.openxmlformats.org/officeDocument/2006/relationships/hyperlink" Target="https://4ammedia.zendesk.com/agent/tickets/240636" TargetMode="External"/><Relationship Id="rId134" Type="http://schemas.openxmlformats.org/officeDocument/2006/relationships/hyperlink" Target="https://horizondirect.gorgias.com/app/ticket/383230833" TargetMode="External"/><Relationship Id="rId255" Type="http://schemas.openxmlformats.org/officeDocument/2006/relationships/hyperlink" Target="https://assets.aircall.io/calls/3781026402/recording" TargetMode="External"/><Relationship Id="rId376" Type="http://schemas.openxmlformats.org/officeDocument/2006/relationships/hyperlink" Target="https://4ammedia.zendesk.com/agent/tickets/240491" TargetMode="External"/><Relationship Id="rId133" Type="http://schemas.openxmlformats.org/officeDocument/2006/relationships/hyperlink" Target="https://horizondirect.gorgias.com/app/ticket/383224658" TargetMode="External"/><Relationship Id="rId254" Type="http://schemas.openxmlformats.org/officeDocument/2006/relationships/hyperlink" Target="https://assets.aircall.io/calls/3780946073/recording" TargetMode="External"/><Relationship Id="rId375" Type="http://schemas.openxmlformats.org/officeDocument/2006/relationships/hyperlink" Target="https://4ammedia.zendesk.com/agent/tickets/238500" TargetMode="External"/><Relationship Id="rId172" Type="http://schemas.openxmlformats.org/officeDocument/2006/relationships/hyperlink" Target="https://horizondirect.gorgias.com/app/ticket/385451596" TargetMode="External"/><Relationship Id="rId293" Type="http://schemas.openxmlformats.org/officeDocument/2006/relationships/hyperlink" Target="https://4ammedia.zendesk.com/agent/tickets/163849" TargetMode="External"/><Relationship Id="rId171" Type="http://schemas.openxmlformats.org/officeDocument/2006/relationships/hyperlink" Target="https://horizondirect.gorgias.com/app/ticket/385301974" TargetMode="External"/><Relationship Id="rId292" Type="http://schemas.openxmlformats.org/officeDocument/2006/relationships/hyperlink" Target="https://4ammedia.zendesk.com/agent/tickets/163792" TargetMode="External"/><Relationship Id="rId170" Type="http://schemas.openxmlformats.org/officeDocument/2006/relationships/hyperlink" Target="https://horizondirect.gorgias.com/app/ticket/385292905" TargetMode="External"/><Relationship Id="rId291" Type="http://schemas.openxmlformats.org/officeDocument/2006/relationships/hyperlink" Target="https://4ammedia.zendesk.com/agent/tickets/162148" TargetMode="External"/><Relationship Id="rId290" Type="http://schemas.openxmlformats.org/officeDocument/2006/relationships/hyperlink" Target="https://4ammedia.zendesk.com/agent/tickets/162075" TargetMode="External"/><Relationship Id="rId165" Type="http://schemas.openxmlformats.org/officeDocument/2006/relationships/hyperlink" Target="https://horizondirect.gorgias.com/app/ticket/385036022" TargetMode="External"/><Relationship Id="rId286" Type="http://schemas.openxmlformats.org/officeDocument/2006/relationships/hyperlink" Target="https://4ammedia.zendesk.com/agent/tickets/160859" TargetMode="External"/><Relationship Id="rId164" Type="http://schemas.openxmlformats.org/officeDocument/2006/relationships/hyperlink" Target="https://horizondirect.gorgias.com/app/ticket/385033364" TargetMode="External"/><Relationship Id="rId285" Type="http://schemas.openxmlformats.org/officeDocument/2006/relationships/hyperlink" Target="https://4ammedia.zendesk.com/agent/tickets/158945" TargetMode="External"/><Relationship Id="rId163" Type="http://schemas.openxmlformats.org/officeDocument/2006/relationships/hyperlink" Target="https://horizondirect.gorgias.com/app/ticket/385025684" TargetMode="External"/><Relationship Id="rId284" Type="http://schemas.openxmlformats.org/officeDocument/2006/relationships/hyperlink" Target="https://4ammedia.zendesk.com/agent/tickets/158887" TargetMode="External"/><Relationship Id="rId162" Type="http://schemas.openxmlformats.org/officeDocument/2006/relationships/hyperlink" Target="https://horizondirect.gorgias.com/app/ticket/384948359" TargetMode="External"/><Relationship Id="rId283" Type="http://schemas.openxmlformats.org/officeDocument/2006/relationships/hyperlink" Target="https://4ammedia.zendesk.com/agent/tickets/158770" TargetMode="External"/><Relationship Id="rId169" Type="http://schemas.openxmlformats.org/officeDocument/2006/relationships/hyperlink" Target="https://horizondirect.gorgias.com/app/ticket/385287640" TargetMode="External"/><Relationship Id="rId168" Type="http://schemas.openxmlformats.org/officeDocument/2006/relationships/hyperlink" Target="https://horizondirect.gorgias.com/app/ticket/385174522" TargetMode="External"/><Relationship Id="rId289" Type="http://schemas.openxmlformats.org/officeDocument/2006/relationships/hyperlink" Target="https://4ammedia.zendesk.com/agent/tickets/162024" TargetMode="External"/><Relationship Id="rId167" Type="http://schemas.openxmlformats.org/officeDocument/2006/relationships/hyperlink" Target="https://horizondirect.gorgias.com/app/ticket/385157388" TargetMode="External"/><Relationship Id="rId288" Type="http://schemas.openxmlformats.org/officeDocument/2006/relationships/hyperlink" Target="https://4ammedia.zendesk.com/agent/tickets/161113" TargetMode="External"/><Relationship Id="rId166" Type="http://schemas.openxmlformats.org/officeDocument/2006/relationships/hyperlink" Target="https://horizondirect.gorgias.com/app/ticket/385145763" TargetMode="External"/><Relationship Id="rId287" Type="http://schemas.openxmlformats.org/officeDocument/2006/relationships/hyperlink" Target="https://4ammedia.zendesk.com/agent/tickets/161052" TargetMode="External"/><Relationship Id="rId161" Type="http://schemas.openxmlformats.org/officeDocument/2006/relationships/hyperlink" Target="https://horizondirect.gorgias.com/app/ticket/384938801" TargetMode="External"/><Relationship Id="rId282" Type="http://schemas.openxmlformats.org/officeDocument/2006/relationships/hyperlink" Target="https://4ammedia.zendesk.com/agent/tickets/155588" TargetMode="External"/><Relationship Id="rId160" Type="http://schemas.openxmlformats.org/officeDocument/2006/relationships/hyperlink" Target="https://horizondirect.gorgias.com/app/ticket/384931260" TargetMode="External"/><Relationship Id="rId281" Type="http://schemas.openxmlformats.org/officeDocument/2006/relationships/hyperlink" Target="https://4ammedia.zendesk.com/agent/tickets/155501" TargetMode="External"/><Relationship Id="rId280" Type="http://schemas.openxmlformats.org/officeDocument/2006/relationships/hyperlink" Target="https://4ammedia.zendesk.com/agent/tickets/155141" TargetMode="External"/><Relationship Id="rId159" Type="http://schemas.openxmlformats.org/officeDocument/2006/relationships/hyperlink" Target="https://horizondirect.gorgias.com/app/ticket/384582245" TargetMode="External"/><Relationship Id="rId154" Type="http://schemas.openxmlformats.org/officeDocument/2006/relationships/hyperlink" Target="https://horizondirect.gorgias.com/app/ticket/384420648" TargetMode="External"/><Relationship Id="rId275" Type="http://schemas.openxmlformats.org/officeDocument/2006/relationships/hyperlink" Target="https://4ammedia.zendesk.com/agent/tickets/152078" TargetMode="External"/><Relationship Id="rId396" Type="http://schemas.openxmlformats.org/officeDocument/2006/relationships/hyperlink" Target="https://4ammedia.zendesk.com/agent/tickets/256429" TargetMode="External"/><Relationship Id="rId153" Type="http://schemas.openxmlformats.org/officeDocument/2006/relationships/hyperlink" Target="https://horizondirect.gorgias.com/app/ticket/384280489" TargetMode="External"/><Relationship Id="rId274" Type="http://schemas.openxmlformats.org/officeDocument/2006/relationships/hyperlink" Target="https://4ammedia.zendesk.com/agent/tickets/151940" TargetMode="External"/><Relationship Id="rId395" Type="http://schemas.openxmlformats.org/officeDocument/2006/relationships/hyperlink" Target="https://4ammedia.zendesk.com/agent/tickets/256110" TargetMode="External"/><Relationship Id="rId152" Type="http://schemas.openxmlformats.org/officeDocument/2006/relationships/hyperlink" Target="https://horizondirect.gorgias.com/app/ticket/384277597" TargetMode="External"/><Relationship Id="rId273" Type="http://schemas.openxmlformats.org/officeDocument/2006/relationships/hyperlink" Target="https://4ammedia.zendesk.com/agent/tickets/150612" TargetMode="External"/><Relationship Id="rId394" Type="http://schemas.openxmlformats.org/officeDocument/2006/relationships/hyperlink" Target="https://4ammedia.zendesk.com/agent/tickets/255747" TargetMode="External"/><Relationship Id="rId151" Type="http://schemas.openxmlformats.org/officeDocument/2006/relationships/hyperlink" Target="https://horizondirect.gorgias.com/app/ticket/384267349" TargetMode="External"/><Relationship Id="rId272" Type="http://schemas.openxmlformats.org/officeDocument/2006/relationships/hyperlink" Target="https://4ammedia.zendesk.com/agent/tickets/150523" TargetMode="External"/><Relationship Id="rId393" Type="http://schemas.openxmlformats.org/officeDocument/2006/relationships/hyperlink" Target="https://4ammedia.zendesk.com/agent/tickets/254047" TargetMode="External"/><Relationship Id="rId158" Type="http://schemas.openxmlformats.org/officeDocument/2006/relationships/hyperlink" Target="https://horizondirect.gorgias.com/app/ticket/384567291" TargetMode="External"/><Relationship Id="rId279" Type="http://schemas.openxmlformats.org/officeDocument/2006/relationships/hyperlink" Target="https://4ammedia.zendesk.com/agent/tickets/154173" TargetMode="External"/><Relationship Id="rId157" Type="http://schemas.openxmlformats.org/officeDocument/2006/relationships/hyperlink" Target="https://horizondirect.gorgias.com/app/ticket/384559295" TargetMode="External"/><Relationship Id="rId278" Type="http://schemas.openxmlformats.org/officeDocument/2006/relationships/hyperlink" Target="https://4ammedia.zendesk.com/agent/tickets/154050" TargetMode="External"/><Relationship Id="rId399" Type="http://schemas.openxmlformats.org/officeDocument/2006/relationships/hyperlink" Target="https://4ammedia.zendesk.com/agent/tickets/258335" TargetMode="External"/><Relationship Id="rId156" Type="http://schemas.openxmlformats.org/officeDocument/2006/relationships/hyperlink" Target="https://horizondirect.gorgias.com/app/ticket/384444124" TargetMode="External"/><Relationship Id="rId277" Type="http://schemas.openxmlformats.org/officeDocument/2006/relationships/hyperlink" Target="https://4ammedia.zendesk.com/agent/tickets/153759" TargetMode="External"/><Relationship Id="rId398" Type="http://schemas.openxmlformats.org/officeDocument/2006/relationships/hyperlink" Target="https://4ammedia.zendesk.com/agent/tickets/258088" TargetMode="External"/><Relationship Id="rId155" Type="http://schemas.openxmlformats.org/officeDocument/2006/relationships/hyperlink" Target="https://horizondirect.gorgias.com/app/ticket/384427987" TargetMode="External"/><Relationship Id="rId276" Type="http://schemas.openxmlformats.org/officeDocument/2006/relationships/hyperlink" Target="https://4ammedia.zendesk.com/agent/tickets/152123" TargetMode="External"/><Relationship Id="rId397" Type="http://schemas.openxmlformats.org/officeDocument/2006/relationships/hyperlink" Target="https://4ammedia.zendesk.com/agent/tickets/257920" TargetMode="External"/><Relationship Id="rId40" Type="http://schemas.openxmlformats.org/officeDocument/2006/relationships/hyperlink" Target="https://horizondirect.gorgias.com/app/ticket/377505457" TargetMode="External"/><Relationship Id="rId42" Type="http://schemas.openxmlformats.org/officeDocument/2006/relationships/hyperlink" Target="https://horizondirect.gorgias.com/app/ticket/377524148" TargetMode="External"/><Relationship Id="rId41" Type="http://schemas.openxmlformats.org/officeDocument/2006/relationships/hyperlink" Target="https://horizondirect.gorgias.com/app/ticket/377512457" TargetMode="External"/><Relationship Id="rId44" Type="http://schemas.openxmlformats.org/officeDocument/2006/relationships/hyperlink" Target="https://horizondirect.gorgias.com/app/ticket/377824919" TargetMode="External"/><Relationship Id="rId43" Type="http://schemas.openxmlformats.org/officeDocument/2006/relationships/hyperlink" Target="https://horizondirect.gorgias.com/app/ticket/377822699" TargetMode="External"/><Relationship Id="rId46" Type="http://schemas.openxmlformats.org/officeDocument/2006/relationships/hyperlink" Target="https://horizondirect.gorgias.com/app/ticket/377916144" TargetMode="External"/><Relationship Id="rId45" Type="http://schemas.openxmlformats.org/officeDocument/2006/relationships/hyperlink" Target="https://horizondirect.gorgias.com/app/ticket/377838277" TargetMode="External"/><Relationship Id="rId48" Type="http://schemas.openxmlformats.org/officeDocument/2006/relationships/hyperlink" Target="https://horizondirect.gorgias.com/app/ticket/377934366" TargetMode="External"/><Relationship Id="rId47" Type="http://schemas.openxmlformats.org/officeDocument/2006/relationships/hyperlink" Target="https://horizondirect.gorgias.com/app/ticket/377928975" TargetMode="External"/><Relationship Id="rId49" Type="http://schemas.openxmlformats.org/officeDocument/2006/relationships/hyperlink" Target="https://horizondirect.gorgias.com/app/ticket/378089877" TargetMode="External"/><Relationship Id="rId31" Type="http://schemas.openxmlformats.org/officeDocument/2006/relationships/hyperlink" Target="https://horizondirect.gorgias.com/app/ticket/377036496" TargetMode="External"/><Relationship Id="rId30" Type="http://schemas.openxmlformats.org/officeDocument/2006/relationships/hyperlink" Target="https://horizondirect.gorgias.com/app/ticket/376835175" TargetMode="External"/><Relationship Id="rId33" Type="http://schemas.openxmlformats.org/officeDocument/2006/relationships/hyperlink" Target="https://horizondirect.gorgias.com/app/ticket/377056480" TargetMode="External"/><Relationship Id="rId32" Type="http://schemas.openxmlformats.org/officeDocument/2006/relationships/hyperlink" Target="https://horizondirect.gorgias.com/app/ticket/377049173" TargetMode="External"/><Relationship Id="rId35" Type="http://schemas.openxmlformats.org/officeDocument/2006/relationships/hyperlink" Target="https://horizondirect.gorgias.com/app/ticket/377203127" TargetMode="External"/><Relationship Id="rId34" Type="http://schemas.openxmlformats.org/officeDocument/2006/relationships/hyperlink" Target="https://horizondirect.gorgias.com/app/ticket/377201000" TargetMode="External"/><Relationship Id="rId37" Type="http://schemas.openxmlformats.org/officeDocument/2006/relationships/hyperlink" Target="https://horizondirect.gorgias.com/app/ticket/377350078" TargetMode="External"/><Relationship Id="rId36" Type="http://schemas.openxmlformats.org/officeDocument/2006/relationships/hyperlink" Target="https://horizondirect.gorgias.com/app/ticket/377213298" TargetMode="External"/><Relationship Id="rId39" Type="http://schemas.openxmlformats.org/officeDocument/2006/relationships/hyperlink" Target="https://horizondirect.gorgias.com/app/ticket/377379155" TargetMode="External"/><Relationship Id="rId38" Type="http://schemas.openxmlformats.org/officeDocument/2006/relationships/hyperlink" Target="https://horizondirect.gorgias.com/app/ticket/377362294" TargetMode="External"/><Relationship Id="rId20" Type="http://schemas.openxmlformats.org/officeDocument/2006/relationships/hyperlink" Target="https://horizondirect.gorgias.com/app/ticket/376304845" TargetMode="External"/><Relationship Id="rId22" Type="http://schemas.openxmlformats.org/officeDocument/2006/relationships/hyperlink" Target="https://horizondirect.gorgias.com/app/ticket/376567057" TargetMode="External"/><Relationship Id="rId21" Type="http://schemas.openxmlformats.org/officeDocument/2006/relationships/hyperlink" Target="https://horizondirect.gorgias.com/app/ticket/376307766" TargetMode="External"/><Relationship Id="rId24" Type="http://schemas.openxmlformats.org/officeDocument/2006/relationships/hyperlink" Target="https://horizondirect.gorgias.com/app/ticket/376600450" TargetMode="External"/><Relationship Id="rId23" Type="http://schemas.openxmlformats.org/officeDocument/2006/relationships/hyperlink" Target="https://horizondirect.gorgias.com/app/ticket/376580297" TargetMode="External"/><Relationship Id="rId409" Type="http://schemas.openxmlformats.org/officeDocument/2006/relationships/hyperlink" Target="https://4ammedia.zendesk.com/agent/tickets/269534" TargetMode="External"/><Relationship Id="rId404" Type="http://schemas.openxmlformats.org/officeDocument/2006/relationships/hyperlink" Target="https://4ammedia.zendesk.com/agent/tickets/265416" TargetMode="External"/><Relationship Id="rId403" Type="http://schemas.openxmlformats.org/officeDocument/2006/relationships/hyperlink" Target="https://4ammedia.zendesk.com/agent/tickets/265113" TargetMode="External"/><Relationship Id="rId402" Type="http://schemas.openxmlformats.org/officeDocument/2006/relationships/hyperlink" Target="https://4ammedia.zendesk.com/agent/tickets/262838" TargetMode="External"/><Relationship Id="rId401" Type="http://schemas.openxmlformats.org/officeDocument/2006/relationships/hyperlink" Target="https://4ammedia.zendesk.com/agent/tickets/262636" TargetMode="External"/><Relationship Id="rId408" Type="http://schemas.openxmlformats.org/officeDocument/2006/relationships/hyperlink" Target="https://4ammedia.zendesk.com/agent/tickets/267616" TargetMode="External"/><Relationship Id="rId407" Type="http://schemas.openxmlformats.org/officeDocument/2006/relationships/hyperlink" Target="https://4ammedia.zendesk.com/agent/tickets/267220" TargetMode="External"/><Relationship Id="rId406" Type="http://schemas.openxmlformats.org/officeDocument/2006/relationships/hyperlink" Target="https://4ammedia.zendesk.com/agent/tickets/267131" TargetMode="External"/><Relationship Id="rId405" Type="http://schemas.openxmlformats.org/officeDocument/2006/relationships/hyperlink" Target="https://4ammedia.zendesk.com/agent/tickets/265576" TargetMode="External"/><Relationship Id="rId26" Type="http://schemas.openxmlformats.org/officeDocument/2006/relationships/hyperlink" Target="https://horizondirect.gorgias.com/app/ticket/376710427" TargetMode="External"/><Relationship Id="rId25" Type="http://schemas.openxmlformats.org/officeDocument/2006/relationships/hyperlink" Target="https://horizondirect.gorgias.com/app/ticket/376705556" TargetMode="External"/><Relationship Id="rId28" Type="http://schemas.openxmlformats.org/officeDocument/2006/relationships/hyperlink" Target="https://horizondirect.gorgias.com/app/ticket/376822689" TargetMode="External"/><Relationship Id="rId27" Type="http://schemas.openxmlformats.org/officeDocument/2006/relationships/hyperlink" Target="https://horizondirect.gorgias.com/app/ticket/376714236" TargetMode="External"/><Relationship Id="rId400" Type="http://schemas.openxmlformats.org/officeDocument/2006/relationships/hyperlink" Target="https://4ammedia.zendesk.com/agent/tickets/262447" TargetMode="External"/><Relationship Id="rId29" Type="http://schemas.openxmlformats.org/officeDocument/2006/relationships/hyperlink" Target="https://horizondirect.gorgias.com/app/ticket/376826227" TargetMode="External"/><Relationship Id="rId11" Type="http://schemas.openxmlformats.org/officeDocument/2006/relationships/hyperlink" Target="https://horizondirect.gorgias.com/app/ticket/375948367" TargetMode="External"/><Relationship Id="rId10" Type="http://schemas.openxmlformats.org/officeDocument/2006/relationships/hyperlink" Target="https://horizondirect.gorgias.com/app/ticket/375946839" TargetMode="External"/><Relationship Id="rId13" Type="http://schemas.openxmlformats.org/officeDocument/2006/relationships/hyperlink" Target="https://horizondirect.gorgias.com/app/ticket/376016046" TargetMode="External"/><Relationship Id="rId12" Type="http://schemas.openxmlformats.org/officeDocument/2006/relationships/hyperlink" Target="https://horizondirect.gorgias.com/app/ticket/375949124" TargetMode="External"/><Relationship Id="rId15" Type="http://schemas.openxmlformats.org/officeDocument/2006/relationships/hyperlink" Target="https://horizondirect.gorgias.com/app/ticket/375955833" TargetMode="External"/><Relationship Id="rId14" Type="http://schemas.openxmlformats.org/officeDocument/2006/relationships/hyperlink" Target="https://horizondirect.gorgias.com/app/ticket/376011430" TargetMode="External"/><Relationship Id="rId17" Type="http://schemas.openxmlformats.org/officeDocument/2006/relationships/hyperlink" Target="https://horizondirect.gorgias.com/app/ticket/376149444" TargetMode="External"/><Relationship Id="rId16" Type="http://schemas.openxmlformats.org/officeDocument/2006/relationships/hyperlink" Target="https://horizondirect.gorgias.com/app/ticket/376137490" TargetMode="External"/><Relationship Id="rId19" Type="http://schemas.openxmlformats.org/officeDocument/2006/relationships/hyperlink" Target="https://horizondirect.gorgias.com/app/ticket/376300770" TargetMode="External"/><Relationship Id="rId18" Type="http://schemas.openxmlformats.org/officeDocument/2006/relationships/hyperlink" Target="https://horizondirect.gorgias.com/app/ticket/376157242" TargetMode="External"/><Relationship Id="rId84" Type="http://schemas.openxmlformats.org/officeDocument/2006/relationships/hyperlink" Target="https://horizondirect.gorgias.com/app/ticket/379972243" TargetMode="External"/><Relationship Id="rId83" Type="http://schemas.openxmlformats.org/officeDocument/2006/relationships/hyperlink" Target="https://horizondirect.gorgias.com/app/ticket/379964806" TargetMode="External"/><Relationship Id="rId86" Type="http://schemas.openxmlformats.org/officeDocument/2006/relationships/hyperlink" Target="https://horizondirect.gorgias.com/app/ticket/380116605" TargetMode="External"/><Relationship Id="rId85" Type="http://schemas.openxmlformats.org/officeDocument/2006/relationships/hyperlink" Target="https://horizondirect.gorgias.com/app/ticket/380115740" TargetMode="External"/><Relationship Id="rId88" Type="http://schemas.openxmlformats.org/officeDocument/2006/relationships/hyperlink" Target="https://horizondirect.gorgias.com/app/ticket/379953604" TargetMode="External"/><Relationship Id="rId87" Type="http://schemas.openxmlformats.org/officeDocument/2006/relationships/hyperlink" Target="https://horizondirect.gorgias.com/app/ticket/380127290" TargetMode="External"/><Relationship Id="rId89" Type="http://schemas.openxmlformats.org/officeDocument/2006/relationships/hyperlink" Target="https://horizondirect.gorgias.com/app/ticket/379959652" TargetMode="External"/><Relationship Id="rId80" Type="http://schemas.openxmlformats.org/officeDocument/2006/relationships/hyperlink" Target="https://horizondirect.gorgias.com/app/ticket/379840588" TargetMode="External"/><Relationship Id="rId82" Type="http://schemas.openxmlformats.org/officeDocument/2006/relationships/hyperlink" Target="https://horizondirect.gorgias.com/app/ticket/379959652" TargetMode="External"/><Relationship Id="rId81" Type="http://schemas.openxmlformats.org/officeDocument/2006/relationships/hyperlink" Target="https://horizondirect.gorgias.com/app/ticket/379861759" TargetMode="External"/><Relationship Id="rId73" Type="http://schemas.openxmlformats.org/officeDocument/2006/relationships/hyperlink" Target="https://horizondirect.gorgias.com/app/ticket/379559528" TargetMode="External"/><Relationship Id="rId72" Type="http://schemas.openxmlformats.org/officeDocument/2006/relationships/hyperlink" Target="https://horizondirect.gorgias.com/app/ticket/379480339" TargetMode="External"/><Relationship Id="rId75" Type="http://schemas.openxmlformats.org/officeDocument/2006/relationships/hyperlink" Target="https://horizondirect.gorgias.com/app/ticket/379568934" TargetMode="External"/><Relationship Id="rId74" Type="http://schemas.openxmlformats.org/officeDocument/2006/relationships/hyperlink" Target="https://horizondirect.gorgias.com/app/ticket/379562936" TargetMode="External"/><Relationship Id="rId77" Type="http://schemas.openxmlformats.org/officeDocument/2006/relationships/hyperlink" Target="https://horizondirect.gorgias.com/app/ticket/379674295" TargetMode="External"/><Relationship Id="rId76" Type="http://schemas.openxmlformats.org/officeDocument/2006/relationships/hyperlink" Target="https://horizondirect.gorgias.com/app/ticket/379671189" TargetMode="External"/><Relationship Id="rId79" Type="http://schemas.openxmlformats.org/officeDocument/2006/relationships/hyperlink" Target="https://horizondirect.gorgias.com/app/ticket/379827852" TargetMode="External"/><Relationship Id="rId78" Type="http://schemas.openxmlformats.org/officeDocument/2006/relationships/hyperlink" Target="https://horizondirect.gorgias.com/app/ticket/379685817" TargetMode="External"/><Relationship Id="rId71" Type="http://schemas.openxmlformats.org/officeDocument/2006/relationships/hyperlink" Target="https://horizondirect.gorgias.com/app/ticket/379473460" TargetMode="External"/><Relationship Id="rId70" Type="http://schemas.openxmlformats.org/officeDocument/2006/relationships/hyperlink" Target="https://horizondirect.gorgias.com/app/ticket/379464776" TargetMode="External"/><Relationship Id="rId62" Type="http://schemas.openxmlformats.org/officeDocument/2006/relationships/hyperlink" Target="https://horizondirect.gorgias.com/app/ticket/378859650" TargetMode="External"/><Relationship Id="rId61" Type="http://schemas.openxmlformats.org/officeDocument/2006/relationships/hyperlink" Target="https://horizondirect.gorgias.com/app/ticket/378823311" TargetMode="External"/><Relationship Id="rId64" Type="http://schemas.openxmlformats.org/officeDocument/2006/relationships/hyperlink" Target="https://horizondirect.gorgias.com/app/ticket/379006621" TargetMode="External"/><Relationship Id="rId63" Type="http://schemas.openxmlformats.org/officeDocument/2006/relationships/hyperlink" Target="https://horizondirect.gorgias.com/app/ticket/378881904" TargetMode="External"/><Relationship Id="rId66" Type="http://schemas.openxmlformats.org/officeDocument/2006/relationships/hyperlink" Target="https://horizondirect.gorgias.com/app/ticket/379019047" TargetMode="External"/><Relationship Id="rId65" Type="http://schemas.openxmlformats.org/officeDocument/2006/relationships/hyperlink" Target="https://horizondirect.gorgias.com/app/ticket/379008704" TargetMode="External"/><Relationship Id="rId68" Type="http://schemas.openxmlformats.org/officeDocument/2006/relationships/hyperlink" Target="https://horizondirect.gorgias.com/app/ticket/379124968" TargetMode="External"/><Relationship Id="rId67" Type="http://schemas.openxmlformats.org/officeDocument/2006/relationships/hyperlink" Target="https://horizondirect.gorgias.com/app/ticket/379112715" TargetMode="External"/><Relationship Id="rId60" Type="http://schemas.openxmlformats.org/officeDocument/2006/relationships/hyperlink" Target="https://horizondirect.gorgias.com/app/ticket/378642095" TargetMode="External"/><Relationship Id="rId69" Type="http://schemas.openxmlformats.org/officeDocument/2006/relationships/hyperlink" Target="https://horizondirect.gorgias.com/app/ticket/379144213" TargetMode="External"/><Relationship Id="rId51" Type="http://schemas.openxmlformats.org/officeDocument/2006/relationships/hyperlink" Target="https://horizondirect.gorgias.com/app/ticket/378111788" TargetMode="External"/><Relationship Id="rId50" Type="http://schemas.openxmlformats.org/officeDocument/2006/relationships/hyperlink" Target="https://horizondirect.gorgias.com/app/ticket/378106147" TargetMode="External"/><Relationship Id="rId53" Type="http://schemas.openxmlformats.org/officeDocument/2006/relationships/hyperlink" Target="https://horizondirect.gorgias.com/app/ticket/378249946" TargetMode="External"/><Relationship Id="rId52" Type="http://schemas.openxmlformats.org/officeDocument/2006/relationships/hyperlink" Target="https://horizondirect.gorgias.com/app/ticket/378233485" TargetMode="External"/><Relationship Id="rId55" Type="http://schemas.openxmlformats.org/officeDocument/2006/relationships/hyperlink" Target="https://horizondirect.gorgias.com/app/ticket/378392209" TargetMode="External"/><Relationship Id="rId54" Type="http://schemas.openxmlformats.org/officeDocument/2006/relationships/hyperlink" Target="https://horizondirect.gorgias.com/app/ticket/378256695" TargetMode="External"/><Relationship Id="rId57" Type="http://schemas.openxmlformats.org/officeDocument/2006/relationships/hyperlink" Target="https://horizondirect.gorgias.com/app/ticket/378408894" TargetMode="External"/><Relationship Id="rId56" Type="http://schemas.openxmlformats.org/officeDocument/2006/relationships/hyperlink" Target="https://horizondirect.gorgias.com/app/ticket/378397126" TargetMode="External"/><Relationship Id="rId59" Type="http://schemas.openxmlformats.org/officeDocument/2006/relationships/hyperlink" Target="https://horizondirect.gorgias.com/app/ticket/378638850" TargetMode="External"/><Relationship Id="rId58" Type="http://schemas.openxmlformats.org/officeDocument/2006/relationships/hyperlink" Target="https://horizondirect.gorgias.com/app/ticket/378628552" TargetMode="External"/><Relationship Id="rId107" Type="http://schemas.openxmlformats.org/officeDocument/2006/relationships/hyperlink" Target="https://horizondirect.gorgias.com/app/ticket/381471284" TargetMode="External"/><Relationship Id="rId228" Type="http://schemas.openxmlformats.org/officeDocument/2006/relationships/hyperlink" Target="https://assets.aircall.io/calls/3748664994/recording" TargetMode="External"/><Relationship Id="rId349" Type="http://schemas.openxmlformats.org/officeDocument/2006/relationships/hyperlink" Target="https://4ammedia.zendesk.com/agent/tickets/215194" TargetMode="External"/><Relationship Id="rId106" Type="http://schemas.openxmlformats.org/officeDocument/2006/relationships/hyperlink" Target="https://horizondirect.gorgias.com/app/ticket/381448957" TargetMode="External"/><Relationship Id="rId227" Type="http://schemas.openxmlformats.org/officeDocument/2006/relationships/hyperlink" Target="https://assets.aircall.io/calls/3748627614/recording" TargetMode="External"/><Relationship Id="rId348" Type="http://schemas.openxmlformats.org/officeDocument/2006/relationships/hyperlink" Target="https://4ammedia.zendesk.com/agent/tickets/213512" TargetMode="External"/><Relationship Id="rId105" Type="http://schemas.openxmlformats.org/officeDocument/2006/relationships/hyperlink" Target="https://horizondirect.gorgias.com/app/ticket/381247876" TargetMode="External"/><Relationship Id="rId226" Type="http://schemas.openxmlformats.org/officeDocument/2006/relationships/hyperlink" Target="https://assets.aircall.io/calls/3748528238/recording" TargetMode="External"/><Relationship Id="rId347" Type="http://schemas.openxmlformats.org/officeDocument/2006/relationships/hyperlink" Target="https://4ammedia.zendesk.com/agent/tickets/213435" TargetMode="External"/><Relationship Id="rId104" Type="http://schemas.openxmlformats.org/officeDocument/2006/relationships/hyperlink" Target="https://horizondirect.gorgias.com/app/ticket/381224977" TargetMode="External"/><Relationship Id="rId225" Type="http://schemas.openxmlformats.org/officeDocument/2006/relationships/hyperlink" Target="https://assets.aircall.io/calls/3740067499/recording" TargetMode="External"/><Relationship Id="rId346" Type="http://schemas.openxmlformats.org/officeDocument/2006/relationships/hyperlink" Target="https://4ammedia.zendesk.com/agent/tickets/213232" TargetMode="External"/><Relationship Id="rId109" Type="http://schemas.openxmlformats.org/officeDocument/2006/relationships/hyperlink" Target="https://horizondirect.gorgias.com/app/ticket/381611940" TargetMode="External"/><Relationship Id="rId108" Type="http://schemas.openxmlformats.org/officeDocument/2006/relationships/hyperlink" Target="https://horizondirect.gorgias.com/app/ticket/381474612" TargetMode="External"/><Relationship Id="rId229" Type="http://schemas.openxmlformats.org/officeDocument/2006/relationships/hyperlink" Target="https://assets.aircall.io/calls/3752141065/recording" TargetMode="External"/><Relationship Id="rId220" Type="http://schemas.openxmlformats.org/officeDocument/2006/relationships/hyperlink" Target="https://assets.aircall.io/calls/3736326237/recording" TargetMode="External"/><Relationship Id="rId341" Type="http://schemas.openxmlformats.org/officeDocument/2006/relationships/hyperlink" Target="https://4ammedia.zendesk.com/agent/tickets/210128" TargetMode="External"/><Relationship Id="rId340" Type="http://schemas.openxmlformats.org/officeDocument/2006/relationships/hyperlink" Target="https://4ammedia.zendesk.com/agent/tickets/209924" TargetMode="External"/><Relationship Id="rId103" Type="http://schemas.openxmlformats.org/officeDocument/2006/relationships/hyperlink" Target="https://horizondirect.gorgias.com/app/ticket/381213450" TargetMode="External"/><Relationship Id="rId224" Type="http://schemas.openxmlformats.org/officeDocument/2006/relationships/hyperlink" Target="https://assets.aircall.io/calls/3740040387/recording" TargetMode="External"/><Relationship Id="rId345" Type="http://schemas.openxmlformats.org/officeDocument/2006/relationships/hyperlink" Target="https://4ammedia.zendesk.com/agent/tickets/211373" TargetMode="External"/><Relationship Id="rId102" Type="http://schemas.openxmlformats.org/officeDocument/2006/relationships/hyperlink" Target="https://horizondirect.gorgias.com/app/ticket/380998672" TargetMode="External"/><Relationship Id="rId223" Type="http://schemas.openxmlformats.org/officeDocument/2006/relationships/hyperlink" Target="https://assets.aircall.io/calls/3739829112/recording" TargetMode="External"/><Relationship Id="rId344" Type="http://schemas.openxmlformats.org/officeDocument/2006/relationships/hyperlink" Target="https://4ammedia.zendesk.com/agent/tickets/211270" TargetMode="External"/><Relationship Id="rId101" Type="http://schemas.openxmlformats.org/officeDocument/2006/relationships/hyperlink" Target="https://horizondirect.gorgias.com/app/ticket/380991078" TargetMode="External"/><Relationship Id="rId222" Type="http://schemas.openxmlformats.org/officeDocument/2006/relationships/hyperlink" Target="https://assets.aircall.io/calls/3736361572/recording" TargetMode="External"/><Relationship Id="rId343" Type="http://schemas.openxmlformats.org/officeDocument/2006/relationships/hyperlink" Target="https://4ammedia.zendesk.com/agent/tickets/211154" TargetMode="External"/><Relationship Id="rId100" Type="http://schemas.openxmlformats.org/officeDocument/2006/relationships/hyperlink" Target="https://horizondirect.gorgias.com/app/ticket/380984437" TargetMode="External"/><Relationship Id="rId221" Type="http://schemas.openxmlformats.org/officeDocument/2006/relationships/hyperlink" Target="https://assets.aircall.io/calls/3736350243/recording" TargetMode="External"/><Relationship Id="rId342" Type="http://schemas.openxmlformats.org/officeDocument/2006/relationships/hyperlink" Target="https://4ammedia.zendesk.com/agent/tickets/210366" TargetMode="External"/><Relationship Id="rId217" Type="http://schemas.openxmlformats.org/officeDocument/2006/relationships/hyperlink" Target="https://assets.aircall.io/calls/3736034407/recording" TargetMode="External"/><Relationship Id="rId338" Type="http://schemas.openxmlformats.org/officeDocument/2006/relationships/hyperlink" Target="https://assets.aircall.io/calls/3924809964/recording/insights" TargetMode="External"/><Relationship Id="rId216" Type="http://schemas.openxmlformats.org/officeDocument/2006/relationships/hyperlink" Target="https://assets.aircall.io/calls/3728084903/recording" TargetMode="External"/><Relationship Id="rId337" Type="http://schemas.openxmlformats.org/officeDocument/2006/relationships/hyperlink" Target="https://4ammedia.zendesk.com/agent/tickets/205680" TargetMode="External"/><Relationship Id="rId215" Type="http://schemas.openxmlformats.org/officeDocument/2006/relationships/hyperlink" Target="https://assets.aircall.io/calls/3728028898/recording" TargetMode="External"/><Relationship Id="rId336" Type="http://schemas.openxmlformats.org/officeDocument/2006/relationships/hyperlink" Target="https://4ammedia.zendesk.com/agent/tickets/204158" TargetMode="External"/><Relationship Id="rId214" Type="http://schemas.openxmlformats.org/officeDocument/2006/relationships/hyperlink" Target="https://assets.aircall.io/calls/3727864276/recording" TargetMode="External"/><Relationship Id="rId335" Type="http://schemas.openxmlformats.org/officeDocument/2006/relationships/hyperlink" Target="https://4ammedia.zendesk.com/agent/tickets/203862" TargetMode="External"/><Relationship Id="rId219" Type="http://schemas.openxmlformats.org/officeDocument/2006/relationships/hyperlink" Target="https://assets.aircall.io/calls/3736079854/recording" TargetMode="External"/><Relationship Id="rId218" Type="http://schemas.openxmlformats.org/officeDocument/2006/relationships/hyperlink" Target="https://assets.aircall.io/calls/3736076162/recording" TargetMode="External"/><Relationship Id="rId339" Type="http://schemas.openxmlformats.org/officeDocument/2006/relationships/hyperlink" Target="https://4ammedia.zendesk.com/agent/tickets/206060" TargetMode="External"/><Relationship Id="rId330" Type="http://schemas.openxmlformats.org/officeDocument/2006/relationships/hyperlink" Target="https://4ammedia.zendesk.com/agent/tickets/200198" TargetMode="External"/><Relationship Id="rId213" Type="http://schemas.openxmlformats.org/officeDocument/2006/relationships/hyperlink" Target="https://assets.aircall.io/calls/3724746879/recording" TargetMode="External"/><Relationship Id="rId334" Type="http://schemas.openxmlformats.org/officeDocument/2006/relationships/hyperlink" Target="https://4ammedia.zendesk.com/agent/tickets/203741" TargetMode="External"/><Relationship Id="rId212" Type="http://schemas.openxmlformats.org/officeDocument/2006/relationships/hyperlink" Target="https://assets.aircall.io/calls/3724684183/recording" TargetMode="External"/><Relationship Id="rId333" Type="http://schemas.openxmlformats.org/officeDocument/2006/relationships/hyperlink" Target="https://4ammedia.zendesk.com/agent/tickets/202055" TargetMode="External"/><Relationship Id="rId211" Type="http://schemas.openxmlformats.org/officeDocument/2006/relationships/hyperlink" Target="https://assets.aircall.io/calls/3724470727/recording" TargetMode="External"/><Relationship Id="rId332" Type="http://schemas.openxmlformats.org/officeDocument/2006/relationships/hyperlink" Target="https://4ammedia.zendesk.com/agent/tickets/201993" TargetMode="External"/><Relationship Id="rId210" Type="http://schemas.openxmlformats.org/officeDocument/2006/relationships/hyperlink" Target="https://horizondirect.gorgias.com/app/ticket/387853806" TargetMode="External"/><Relationship Id="rId331" Type="http://schemas.openxmlformats.org/officeDocument/2006/relationships/hyperlink" Target="https://4ammedia.zendesk.com/agent/tickets/201805" TargetMode="External"/><Relationship Id="rId370" Type="http://schemas.openxmlformats.org/officeDocument/2006/relationships/hyperlink" Target="https://4ammedia.zendesk.com/agent/tickets/236087" TargetMode="External"/><Relationship Id="rId129" Type="http://schemas.openxmlformats.org/officeDocument/2006/relationships/hyperlink" Target="https://horizondirect.gorgias.com/app/ticket/382864351" TargetMode="External"/><Relationship Id="rId128" Type="http://schemas.openxmlformats.org/officeDocument/2006/relationships/hyperlink" Target="https://horizondirect.gorgias.com/app/ticket/382847569" TargetMode="External"/><Relationship Id="rId249" Type="http://schemas.openxmlformats.org/officeDocument/2006/relationships/hyperlink" Target="https://assets.aircall.io/calls/3772022275/recording" TargetMode="External"/><Relationship Id="rId127" Type="http://schemas.openxmlformats.org/officeDocument/2006/relationships/hyperlink" Target="https://horizondirect.gorgias.com/app/ticket/382827624" TargetMode="External"/><Relationship Id="rId248" Type="http://schemas.openxmlformats.org/officeDocument/2006/relationships/hyperlink" Target="https://assets.aircall.io/calls/3772008358/recording" TargetMode="External"/><Relationship Id="rId369" Type="http://schemas.openxmlformats.org/officeDocument/2006/relationships/hyperlink" Target="https://4ammedia.zendesk.com/agent/tickets/235262" TargetMode="External"/><Relationship Id="rId126" Type="http://schemas.openxmlformats.org/officeDocument/2006/relationships/hyperlink" Target="https://horizondirect.gorgias.com/app/ticket/382730237" TargetMode="External"/><Relationship Id="rId247" Type="http://schemas.openxmlformats.org/officeDocument/2006/relationships/hyperlink" Target="https://assets.aircall.io/calls/3771892513/recording" TargetMode="External"/><Relationship Id="rId368" Type="http://schemas.openxmlformats.org/officeDocument/2006/relationships/hyperlink" Target="https://4ammedia.zendesk.com/agent/tickets/235249" TargetMode="External"/><Relationship Id="rId121" Type="http://schemas.openxmlformats.org/officeDocument/2006/relationships/hyperlink" Target="https://horizondirect.gorgias.com/app/ticket/382524544" TargetMode="External"/><Relationship Id="rId242" Type="http://schemas.openxmlformats.org/officeDocument/2006/relationships/hyperlink" Target="https://assets.aircall.io/calls/3764997695/recording" TargetMode="External"/><Relationship Id="rId363" Type="http://schemas.openxmlformats.org/officeDocument/2006/relationships/hyperlink" Target="https://4ammedia.zendesk.com/agent/tickets/226386" TargetMode="External"/><Relationship Id="rId120" Type="http://schemas.openxmlformats.org/officeDocument/2006/relationships/hyperlink" Target="https://horizondirect.gorgias.com/app/ticket/382308832" TargetMode="External"/><Relationship Id="rId241" Type="http://schemas.openxmlformats.org/officeDocument/2006/relationships/hyperlink" Target="https://assets.aircall.io/calls/3764846078/recording" TargetMode="External"/><Relationship Id="rId362" Type="http://schemas.openxmlformats.org/officeDocument/2006/relationships/hyperlink" Target="https://4ammedia.zendesk.com/agent/tickets/226331" TargetMode="External"/><Relationship Id="rId240" Type="http://schemas.openxmlformats.org/officeDocument/2006/relationships/hyperlink" Target="https://assets.aircall.io/calls/3761301903/recording" TargetMode="External"/><Relationship Id="rId361" Type="http://schemas.openxmlformats.org/officeDocument/2006/relationships/hyperlink" Target="https://4ammedia.zendesk.com/agent/tickets/226247" TargetMode="External"/><Relationship Id="rId360" Type="http://schemas.openxmlformats.org/officeDocument/2006/relationships/hyperlink" Target="https://4ammedia.zendesk.com/agent/tickets/223743" TargetMode="External"/><Relationship Id="rId125" Type="http://schemas.openxmlformats.org/officeDocument/2006/relationships/hyperlink" Target="https://horizondirect.gorgias.com/app/ticket/382728015" TargetMode="External"/><Relationship Id="rId246" Type="http://schemas.openxmlformats.org/officeDocument/2006/relationships/hyperlink" Target="https://assets.aircall.io/calls/3769399949/recording" TargetMode="External"/><Relationship Id="rId367" Type="http://schemas.openxmlformats.org/officeDocument/2006/relationships/hyperlink" Target="https://4ammedia.zendesk.com/agent/tickets/235111" TargetMode="External"/><Relationship Id="rId124" Type="http://schemas.openxmlformats.org/officeDocument/2006/relationships/hyperlink" Target="https://horizondirect.gorgias.com/app/ticket/382707657" TargetMode="External"/><Relationship Id="rId245" Type="http://schemas.openxmlformats.org/officeDocument/2006/relationships/hyperlink" Target="https://assets.aircall.io/calls/3769382562/recording" TargetMode="External"/><Relationship Id="rId366" Type="http://schemas.openxmlformats.org/officeDocument/2006/relationships/hyperlink" Target="https://4ammedia.zendesk.com/agent/tickets/234069" TargetMode="External"/><Relationship Id="rId123" Type="http://schemas.openxmlformats.org/officeDocument/2006/relationships/hyperlink" Target="https://horizondirect.gorgias.com/app/ticket/382540925" TargetMode="External"/><Relationship Id="rId244" Type="http://schemas.openxmlformats.org/officeDocument/2006/relationships/hyperlink" Target="https://assets.aircall.io/calls/3769233099/recording" TargetMode="External"/><Relationship Id="rId365" Type="http://schemas.openxmlformats.org/officeDocument/2006/relationships/hyperlink" Target="https://4ammedia.zendesk.com/agent/tickets/233959" TargetMode="External"/><Relationship Id="rId122" Type="http://schemas.openxmlformats.org/officeDocument/2006/relationships/hyperlink" Target="https://horizondirect.gorgias.com/app/ticket/382533424" TargetMode="External"/><Relationship Id="rId243" Type="http://schemas.openxmlformats.org/officeDocument/2006/relationships/hyperlink" Target="https://assets.aircall.io/calls/3765121643/recording" TargetMode="External"/><Relationship Id="rId364" Type="http://schemas.openxmlformats.org/officeDocument/2006/relationships/hyperlink" Target="https://4ammedia.zendesk.com/agent/tickets/233770" TargetMode="External"/><Relationship Id="rId95" Type="http://schemas.openxmlformats.org/officeDocument/2006/relationships/hyperlink" Target="https://horizondirect.gorgias.com/app/ticket/380696542" TargetMode="External"/><Relationship Id="rId94" Type="http://schemas.openxmlformats.org/officeDocument/2006/relationships/hyperlink" Target="https://horizondirect.gorgias.com/app/ticket/380690199" TargetMode="External"/><Relationship Id="rId97" Type="http://schemas.openxmlformats.org/officeDocument/2006/relationships/hyperlink" Target="https://horizondirect.gorgias.com/app/ticket/380854704" TargetMode="External"/><Relationship Id="rId96" Type="http://schemas.openxmlformats.org/officeDocument/2006/relationships/hyperlink" Target="https://horizondirect.gorgias.com/app/ticket/380722753" TargetMode="External"/><Relationship Id="rId99" Type="http://schemas.openxmlformats.org/officeDocument/2006/relationships/hyperlink" Target="https://horizondirect.gorgias.com/app/ticket/380875501" TargetMode="External"/><Relationship Id="rId98" Type="http://schemas.openxmlformats.org/officeDocument/2006/relationships/hyperlink" Target="https://horizondirect.gorgias.com/app/ticket/380866644" TargetMode="External"/><Relationship Id="rId91" Type="http://schemas.openxmlformats.org/officeDocument/2006/relationships/hyperlink" Target="https://horizondirect.gorgias.com/app/ticket/380569694" TargetMode="External"/><Relationship Id="rId90" Type="http://schemas.openxmlformats.org/officeDocument/2006/relationships/hyperlink" Target="https://horizondirect.gorgias.com/app/ticket/379964806" TargetMode="External"/><Relationship Id="rId93" Type="http://schemas.openxmlformats.org/officeDocument/2006/relationships/hyperlink" Target="https://horizondirect.gorgias.com/app/ticket/380612433" TargetMode="External"/><Relationship Id="rId92" Type="http://schemas.openxmlformats.org/officeDocument/2006/relationships/hyperlink" Target="https://horizondirect.gorgias.com/app/ticket/380585718" TargetMode="External"/><Relationship Id="rId118" Type="http://schemas.openxmlformats.org/officeDocument/2006/relationships/hyperlink" Target="https://horizondirect.gorgias.com/app/ticket/382295994" TargetMode="External"/><Relationship Id="rId239" Type="http://schemas.openxmlformats.org/officeDocument/2006/relationships/hyperlink" Target="https://assets.aircall.io/calls/3761258859/recording" TargetMode="External"/><Relationship Id="rId117" Type="http://schemas.openxmlformats.org/officeDocument/2006/relationships/hyperlink" Target="https://horizondirect.gorgias.com/app/ticket/381921937" TargetMode="External"/><Relationship Id="rId238" Type="http://schemas.openxmlformats.org/officeDocument/2006/relationships/hyperlink" Target="https://assets.aircall.io/calls/3761009621/recording" TargetMode="External"/><Relationship Id="rId359" Type="http://schemas.openxmlformats.org/officeDocument/2006/relationships/hyperlink" Target="https://4ammedia.zendesk.com/agent/tickets/223603" TargetMode="External"/><Relationship Id="rId116" Type="http://schemas.openxmlformats.org/officeDocument/2006/relationships/hyperlink" Target="https://horizondirect.gorgias.com/app/ticket/381873793" TargetMode="External"/><Relationship Id="rId237" Type="http://schemas.openxmlformats.org/officeDocument/2006/relationships/hyperlink" Target="https://assets.aircall.io/calls/3756782241/recording" TargetMode="External"/><Relationship Id="rId358" Type="http://schemas.openxmlformats.org/officeDocument/2006/relationships/hyperlink" Target="https://4ammedia.zendesk.com/agent/tickets/223482" TargetMode="External"/><Relationship Id="rId115" Type="http://schemas.openxmlformats.org/officeDocument/2006/relationships/hyperlink" Target="https://horizondirect.gorgias.com/app/ticket/381897480" TargetMode="External"/><Relationship Id="rId236" Type="http://schemas.openxmlformats.org/officeDocument/2006/relationships/hyperlink" Target="https://assets.aircall.io/calls/3756779900/recording" TargetMode="External"/><Relationship Id="rId357" Type="http://schemas.openxmlformats.org/officeDocument/2006/relationships/hyperlink" Target="https://4ammedia.zendesk.com/agent/tickets/222549" TargetMode="External"/><Relationship Id="rId119" Type="http://schemas.openxmlformats.org/officeDocument/2006/relationships/hyperlink" Target="https://horizondirect.gorgias.com/app/ticket/382299856" TargetMode="External"/><Relationship Id="rId110" Type="http://schemas.openxmlformats.org/officeDocument/2006/relationships/hyperlink" Target="https://horizondirect.gorgias.com/app/ticket/381619742" TargetMode="External"/><Relationship Id="rId231" Type="http://schemas.openxmlformats.org/officeDocument/2006/relationships/hyperlink" Target="https://assets.aircall.io/calls/3752303186/recording" TargetMode="External"/><Relationship Id="rId352" Type="http://schemas.openxmlformats.org/officeDocument/2006/relationships/hyperlink" Target="https://4ammedia.zendesk.com/agent/tickets/217375" TargetMode="External"/><Relationship Id="rId230" Type="http://schemas.openxmlformats.org/officeDocument/2006/relationships/hyperlink" Target="https://assets.aircall.io/calls/3752194274/recording" TargetMode="External"/><Relationship Id="rId351" Type="http://schemas.openxmlformats.org/officeDocument/2006/relationships/hyperlink" Target="https://4ammedia.zendesk.com/agent/tickets/215417" TargetMode="External"/><Relationship Id="rId350" Type="http://schemas.openxmlformats.org/officeDocument/2006/relationships/hyperlink" Target="https://4ammedia.zendesk.com/agent/tickets/215331" TargetMode="External"/><Relationship Id="rId114" Type="http://schemas.openxmlformats.org/officeDocument/2006/relationships/hyperlink" Target="https://horizondirect.gorgias.com/app/ticket/381781663" TargetMode="External"/><Relationship Id="rId235" Type="http://schemas.openxmlformats.org/officeDocument/2006/relationships/hyperlink" Target="https://assets.aircall.io/calls/3756762051/recording" TargetMode="External"/><Relationship Id="rId356" Type="http://schemas.openxmlformats.org/officeDocument/2006/relationships/hyperlink" Target="https://4ammedia.zendesk.com/agent/tickets/222506" TargetMode="External"/><Relationship Id="rId113" Type="http://schemas.openxmlformats.org/officeDocument/2006/relationships/hyperlink" Target="https://horizondirect.gorgias.com/app/ticket/381766254" TargetMode="External"/><Relationship Id="rId234" Type="http://schemas.openxmlformats.org/officeDocument/2006/relationships/hyperlink" Target="https://assets.aircall.io/calls/3755189811/recording" TargetMode="External"/><Relationship Id="rId355" Type="http://schemas.openxmlformats.org/officeDocument/2006/relationships/hyperlink" Target="https://4ammedia.zendesk.com/agent/tickets/222194" TargetMode="External"/><Relationship Id="rId112" Type="http://schemas.openxmlformats.org/officeDocument/2006/relationships/hyperlink" Target="https://horizondirect.gorgias.com/app/ticket/381748112" TargetMode="External"/><Relationship Id="rId233" Type="http://schemas.openxmlformats.org/officeDocument/2006/relationships/hyperlink" Target="https://assets.aircall.io/calls/3755141400/recording" TargetMode="External"/><Relationship Id="rId354" Type="http://schemas.openxmlformats.org/officeDocument/2006/relationships/hyperlink" Target="https://4ammedia.zendesk.com/agent/tickets/217470" TargetMode="External"/><Relationship Id="rId111" Type="http://schemas.openxmlformats.org/officeDocument/2006/relationships/hyperlink" Target="https://horizondirect.gorgias.com/app/ticket/381649484" TargetMode="External"/><Relationship Id="rId232" Type="http://schemas.openxmlformats.org/officeDocument/2006/relationships/hyperlink" Target="https://assets.aircall.io/calls/3754913742/recording" TargetMode="External"/><Relationship Id="rId353" Type="http://schemas.openxmlformats.org/officeDocument/2006/relationships/hyperlink" Target="https://4ammedia.zendesk.com/agent/tickets/217418" TargetMode="External"/><Relationship Id="rId305" Type="http://schemas.openxmlformats.org/officeDocument/2006/relationships/hyperlink" Target="https://4ammedia.zendesk.com/agent/tickets/172845" TargetMode="External"/><Relationship Id="rId304" Type="http://schemas.openxmlformats.org/officeDocument/2006/relationships/hyperlink" Target="https://4ammedia.zendesk.com/agent/tickets/172700" TargetMode="External"/><Relationship Id="rId303" Type="http://schemas.openxmlformats.org/officeDocument/2006/relationships/hyperlink" Target="https://4ammedia.zendesk.com/agent/tickets/171676" TargetMode="External"/><Relationship Id="rId302" Type="http://schemas.openxmlformats.org/officeDocument/2006/relationships/hyperlink" Target="https://4ammedia.zendesk.com/agent/tickets/171656" TargetMode="External"/><Relationship Id="rId309" Type="http://schemas.openxmlformats.org/officeDocument/2006/relationships/hyperlink" Target="https://4ammedia.zendesk.com/agent/tickets/174359" TargetMode="External"/><Relationship Id="rId308" Type="http://schemas.openxmlformats.org/officeDocument/2006/relationships/hyperlink" Target="https://4ammedia.zendesk.com/agent/tickets/174325" TargetMode="External"/><Relationship Id="rId307" Type="http://schemas.openxmlformats.org/officeDocument/2006/relationships/hyperlink" Target="https://4ammedia.zendesk.com/agent/tickets/174214" TargetMode="External"/><Relationship Id="rId306" Type="http://schemas.openxmlformats.org/officeDocument/2006/relationships/hyperlink" Target="https://4ammedia.zendesk.com/agent/tickets/172914" TargetMode="External"/><Relationship Id="rId301" Type="http://schemas.openxmlformats.org/officeDocument/2006/relationships/hyperlink" Target="https://4ammedia.zendesk.com/agent/tickets/171518" TargetMode="External"/><Relationship Id="rId300" Type="http://schemas.openxmlformats.org/officeDocument/2006/relationships/hyperlink" Target="https://4ammedia.zendesk.com/agent/tickets/170015" TargetMode="External"/><Relationship Id="rId415" Type="http://schemas.openxmlformats.org/officeDocument/2006/relationships/drawing" Target="../drawings/drawing11.xml"/><Relationship Id="rId414" Type="http://schemas.openxmlformats.org/officeDocument/2006/relationships/hyperlink" Target="https://4ammedia.zendesk.com/agent/tickets/271761" TargetMode="External"/><Relationship Id="rId413" Type="http://schemas.openxmlformats.org/officeDocument/2006/relationships/hyperlink" Target="https://4ammedia.zendesk.com/agent/tickets/271648" TargetMode="External"/><Relationship Id="rId412" Type="http://schemas.openxmlformats.org/officeDocument/2006/relationships/hyperlink" Target="https://4ammedia.zendesk.com/agent/tickets/271155" TargetMode="External"/><Relationship Id="rId417" Type="http://schemas.openxmlformats.org/officeDocument/2006/relationships/table" Target="../tables/table149.xml"/><Relationship Id="rId411" Type="http://schemas.openxmlformats.org/officeDocument/2006/relationships/hyperlink" Target="https://4ammedia.zendesk.com/agent/tickets/269846" TargetMode="External"/><Relationship Id="rId410" Type="http://schemas.openxmlformats.org/officeDocument/2006/relationships/hyperlink" Target="https://4ammedia.zendesk.com/agent/tickets/269668" TargetMode="External"/><Relationship Id="rId206" Type="http://schemas.openxmlformats.org/officeDocument/2006/relationships/hyperlink" Target="https://horizondirect.gorgias.com/app/ticket/387735273" TargetMode="External"/><Relationship Id="rId327" Type="http://schemas.openxmlformats.org/officeDocument/2006/relationships/hyperlink" Target="https://4ammedia.zendesk.com/agent/tickets/198597" TargetMode="External"/><Relationship Id="rId205" Type="http://schemas.openxmlformats.org/officeDocument/2006/relationships/hyperlink" Target="https://horizondirect.gorgias.com/app/ticket/387720087" TargetMode="External"/><Relationship Id="rId326" Type="http://schemas.openxmlformats.org/officeDocument/2006/relationships/hyperlink" Target="https://4ammedia.zendesk.com/agent/tickets/198524" TargetMode="External"/><Relationship Id="rId204" Type="http://schemas.openxmlformats.org/officeDocument/2006/relationships/hyperlink" Target="https://horizondirect.gorgias.com/app/ticket/387650986" TargetMode="External"/><Relationship Id="rId325" Type="http://schemas.openxmlformats.org/officeDocument/2006/relationships/hyperlink" Target="https://4ammedia.zendesk.com/agent/tickets/198358" TargetMode="External"/><Relationship Id="rId203" Type="http://schemas.openxmlformats.org/officeDocument/2006/relationships/hyperlink" Target="https://horizondirect.gorgias.com/app/ticket/387642639" TargetMode="External"/><Relationship Id="rId324" Type="http://schemas.openxmlformats.org/officeDocument/2006/relationships/hyperlink" Target="https://4ammedia.zendesk.com/agent/tickets/194749" TargetMode="External"/><Relationship Id="rId209" Type="http://schemas.openxmlformats.org/officeDocument/2006/relationships/hyperlink" Target="https://horizondirect.gorgias.com/app/ticket/387848997" TargetMode="External"/><Relationship Id="rId208" Type="http://schemas.openxmlformats.org/officeDocument/2006/relationships/hyperlink" Target="https://horizondirect.gorgias.com/app/ticket/387843388" TargetMode="External"/><Relationship Id="rId329" Type="http://schemas.openxmlformats.org/officeDocument/2006/relationships/hyperlink" Target="https://4ammedia.zendesk.com/agent/tickets/200061" TargetMode="External"/><Relationship Id="rId207" Type="http://schemas.openxmlformats.org/officeDocument/2006/relationships/hyperlink" Target="https://horizondirect.gorgias.com/app/ticket/387744963" TargetMode="External"/><Relationship Id="rId328" Type="http://schemas.openxmlformats.org/officeDocument/2006/relationships/hyperlink" Target="https://4ammedia.zendesk.com/agent/tickets/199775" TargetMode="External"/><Relationship Id="rId202" Type="http://schemas.openxmlformats.org/officeDocument/2006/relationships/hyperlink" Target="https://horizondirect.gorgias.com/app/ticket/387634712" TargetMode="External"/><Relationship Id="rId323" Type="http://schemas.openxmlformats.org/officeDocument/2006/relationships/hyperlink" Target="https://4ammedia.zendesk.com/agent/tickets/194712" TargetMode="External"/><Relationship Id="rId201" Type="http://schemas.openxmlformats.org/officeDocument/2006/relationships/hyperlink" Target="https://assets.aircall.io/calls/3707649971/recording" TargetMode="External"/><Relationship Id="rId322" Type="http://schemas.openxmlformats.org/officeDocument/2006/relationships/hyperlink" Target="https://4ammedia.zendesk.com/agent/tickets/194630" TargetMode="External"/><Relationship Id="rId200" Type="http://schemas.openxmlformats.org/officeDocument/2006/relationships/hyperlink" Target="https://assets.aircall.io/calls/3707687141/recording" TargetMode="External"/><Relationship Id="rId321" Type="http://schemas.openxmlformats.org/officeDocument/2006/relationships/hyperlink" Target="https://4ammedia.zendesk.com/agent/tickets/192991" TargetMode="External"/><Relationship Id="rId320" Type="http://schemas.openxmlformats.org/officeDocument/2006/relationships/hyperlink" Target="https://4ammedia.zendesk.com/agent/tickets/192853" TargetMode="External"/><Relationship Id="rId316" Type="http://schemas.openxmlformats.org/officeDocument/2006/relationships/hyperlink" Target="https://assets.aircall.io/calls/3893994696/recording/info" TargetMode="External"/><Relationship Id="rId315" Type="http://schemas.openxmlformats.org/officeDocument/2006/relationships/hyperlink" Target="https://4ammedia.zendesk.com/agent/tickets/189625" TargetMode="External"/><Relationship Id="rId314" Type="http://schemas.openxmlformats.org/officeDocument/2006/relationships/hyperlink" Target="https://4ammedia.zendesk.com/agent/tickets/189527" TargetMode="External"/><Relationship Id="rId313" Type="http://schemas.openxmlformats.org/officeDocument/2006/relationships/hyperlink" Target="https://4ammedia.zendesk.com/agent/tickets/189318" TargetMode="External"/><Relationship Id="rId319" Type="http://schemas.openxmlformats.org/officeDocument/2006/relationships/hyperlink" Target="https://4ammedia.zendesk.com/agent/tickets/192747" TargetMode="External"/><Relationship Id="rId318" Type="http://schemas.openxmlformats.org/officeDocument/2006/relationships/hyperlink" Target="https://assets.aircall.io/calls/3893606124/recording/info" TargetMode="External"/><Relationship Id="rId317" Type="http://schemas.openxmlformats.org/officeDocument/2006/relationships/hyperlink" Target="https://assets.aircall.io/calls/3893757824/recording/info" TargetMode="External"/><Relationship Id="rId312" Type="http://schemas.openxmlformats.org/officeDocument/2006/relationships/hyperlink" Target="https://4ammedia.zendesk.com/agent/tickets/178014" TargetMode="External"/><Relationship Id="rId311" Type="http://schemas.openxmlformats.org/officeDocument/2006/relationships/hyperlink" Target="https://4ammedia.zendesk.com/agent/tickets/177976" TargetMode="External"/><Relationship Id="rId310" Type="http://schemas.openxmlformats.org/officeDocument/2006/relationships/hyperlink" Target="https://4ammedia.zendesk.com/agent/tickets/177932"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horizondirect.gorgias.com/app/ticket/387875048" TargetMode="External"/><Relationship Id="rId194" Type="http://schemas.openxmlformats.org/officeDocument/2006/relationships/hyperlink" Target="https://assets.aircall.io/calls/3732908656/recording" TargetMode="External"/><Relationship Id="rId193" Type="http://schemas.openxmlformats.org/officeDocument/2006/relationships/hyperlink" Target="https://assets.aircall.io/calls/3732766590/recording" TargetMode="External"/><Relationship Id="rId192" Type="http://schemas.openxmlformats.org/officeDocument/2006/relationships/hyperlink" Target="https://horizondirect.gorgias.com/app/ticket/387879301" TargetMode="External"/><Relationship Id="rId191" Type="http://schemas.openxmlformats.org/officeDocument/2006/relationships/hyperlink" Target="https://horizondirect.gorgias.com/app/ticket/387877868" TargetMode="External"/><Relationship Id="rId187" Type="http://schemas.openxmlformats.org/officeDocument/2006/relationships/hyperlink" Target="https://horizondirect.gorgias.com/app/ticket/387748419" TargetMode="External"/><Relationship Id="rId186" Type="http://schemas.openxmlformats.org/officeDocument/2006/relationships/hyperlink" Target="https://horizondirect.gorgias.com/app/ticket/387665428" TargetMode="External"/><Relationship Id="rId185" Type="http://schemas.openxmlformats.org/officeDocument/2006/relationships/hyperlink" Target="https://horizondirect.gorgias.com/app/ticket/387659457" TargetMode="External"/><Relationship Id="rId184" Type="http://schemas.openxmlformats.org/officeDocument/2006/relationships/hyperlink" Target="https://horizondirect.gorgias.com/app/ticket/387653105" TargetMode="External"/><Relationship Id="rId189" Type="http://schemas.openxmlformats.org/officeDocument/2006/relationships/hyperlink" Target="https://horizondirect.gorgias.com/app/ticket/387756892" TargetMode="External"/><Relationship Id="rId188" Type="http://schemas.openxmlformats.org/officeDocument/2006/relationships/hyperlink" Target="https://horizondirect.gorgias.com/app/ticket/387756628" TargetMode="External"/><Relationship Id="rId183" Type="http://schemas.openxmlformats.org/officeDocument/2006/relationships/hyperlink" Target="https://horizondirect.gorgias.com/app/ticket/387583033" TargetMode="External"/><Relationship Id="rId182" Type="http://schemas.openxmlformats.org/officeDocument/2006/relationships/hyperlink" Target="https://horizondirect.gorgias.com/app/ticket/387563788" TargetMode="External"/><Relationship Id="rId181" Type="http://schemas.openxmlformats.org/officeDocument/2006/relationships/hyperlink" Target="https://horizondirect.gorgias.com/app/ticket/387561635" TargetMode="External"/><Relationship Id="rId180" Type="http://schemas.openxmlformats.org/officeDocument/2006/relationships/hyperlink" Target="https://assets.aircall.io/calls/3699730112/recording" TargetMode="External"/><Relationship Id="rId176" Type="http://schemas.openxmlformats.org/officeDocument/2006/relationships/hyperlink" Target="https://horizondirect.gorgias.com/app/ticket/386863135" TargetMode="External"/><Relationship Id="rId297" Type="http://schemas.openxmlformats.org/officeDocument/2006/relationships/hyperlink" Target="https://4ammedia.zendesk.com/agent/tickets/200445" TargetMode="External"/><Relationship Id="rId175" Type="http://schemas.openxmlformats.org/officeDocument/2006/relationships/hyperlink" Target="https://horizondirect.gorgias.com/app/ticket/386847225" TargetMode="External"/><Relationship Id="rId296" Type="http://schemas.openxmlformats.org/officeDocument/2006/relationships/hyperlink" Target="https://4ammedia.zendesk.com/agent/tickets/200108" TargetMode="External"/><Relationship Id="rId174" Type="http://schemas.openxmlformats.org/officeDocument/2006/relationships/hyperlink" Target="https://horizondirect.gorgias.com/app/ticket/386760671" TargetMode="External"/><Relationship Id="rId295" Type="http://schemas.openxmlformats.org/officeDocument/2006/relationships/hyperlink" Target="https://4ammedia.zendesk.com/agent/tickets/196612" TargetMode="External"/><Relationship Id="rId173" Type="http://schemas.openxmlformats.org/officeDocument/2006/relationships/hyperlink" Target="https://horizondirect.gorgias.com/app/ticket/386758117" TargetMode="External"/><Relationship Id="rId294" Type="http://schemas.openxmlformats.org/officeDocument/2006/relationships/hyperlink" Target="https://4ammedia.zendesk.com/agent/tickets/196577" TargetMode="External"/><Relationship Id="rId179" Type="http://schemas.openxmlformats.org/officeDocument/2006/relationships/hyperlink" Target="https://assets.aircall.io/calls/3699635025/recording" TargetMode="External"/><Relationship Id="rId178" Type="http://schemas.openxmlformats.org/officeDocument/2006/relationships/hyperlink" Target="https://assets.aircall.io/calls/3699437508/recording" TargetMode="External"/><Relationship Id="rId299" Type="http://schemas.openxmlformats.org/officeDocument/2006/relationships/hyperlink" Target="https://4ammedia.zendesk.com/agent/tickets/202029" TargetMode="External"/><Relationship Id="rId177" Type="http://schemas.openxmlformats.org/officeDocument/2006/relationships/hyperlink" Target="https://horizondirect.gorgias.com/app/ticket/386870220" TargetMode="External"/><Relationship Id="rId298" Type="http://schemas.openxmlformats.org/officeDocument/2006/relationships/hyperlink" Target="https://4ammedia.zendesk.com/agent/tickets/200878" TargetMode="External"/><Relationship Id="rId198" Type="http://schemas.openxmlformats.org/officeDocument/2006/relationships/hyperlink" Target="https://assets.aircall.io/calls/3735139222/recording" TargetMode="External"/><Relationship Id="rId197" Type="http://schemas.openxmlformats.org/officeDocument/2006/relationships/hyperlink" Target="https://assets.aircall.io/calls/3735105867/recording" TargetMode="External"/><Relationship Id="rId196" Type="http://schemas.openxmlformats.org/officeDocument/2006/relationships/hyperlink" Target="https://assets.aircall.io/calls/3735088341/recording" TargetMode="External"/><Relationship Id="rId195" Type="http://schemas.openxmlformats.org/officeDocument/2006/relationships/hyperlink" Target="https://assets.aircall.io/calls/3732988615/recording" TargetMode="External"/><Relationship Id="rId199" Type="http://schemas.openxmlformats.org/officeDocument/2006/relationships/hyperlink" Target="https://assets.aircall.io/calls/3748360303/recording" TargetMode="External"/><Relationship Id="rId150" Type="http://schemas.openxmlformats.org/officeDocument/2006/relationships/hyperlink" Target="https://horizondirect.gorgias.com/app/ticket/385189424" TargetMode="External"/><Relationship Id="rId271" Type="http://schemas.openxmlformats.org/officeDocument/2006/relationships/hyperlink" Target="https://4ammedia.zendesk.com/agent/tickets/171487" TargetMode="External"/><Relationship Id="rId270" Type="http://schemas.openxmlformats.org/officeDocument/2006/relationships/hyperlink" Target="https://4ammedia.zendesk.com/agent/tickets/170340" TargetMode="External"/><Relationship Id="rId1" Type="http://schemas.openxmlformats.org/officeDocument/2006/relationships/hyperlink" Target="https://horizondirect.gorgias.com/app/ticket/376146896" TargetMode="External"/><Relationship Id="rId2" Type="http://schemas.openxmlformats.org/officeDocument/2006/relationships/hyperlink" Target="https://horizondirect.gorgias.com/app/ticket/376104916" TargetMode="External"/><Relationship Id="rId3" Type="http://schemas.openxmlformats.org/officeDocument/2006/relationships/hyperlink" Target="https://horizondirect.gorgias.com/app/ticket/376111740" TargetMode="External"/><Relationship Id="rId149" Type="http://schemas.openxmlformats.org/officeDocument/2006/relationships/hyperlink" Target="https://horizondirect.gorgias.com/app/ticket/385182098" TargetMode="External"/><Relationship Id="rId4" Type="http://schemas.openxmlformats.org/officeDocument/2006/relationships/hyperlink" Target="https://horizondirect.gorgias.com/app/ticket/376261116" TargetMode="External"/><Relationship Id="rId148" Type="http://schemas.openxmlformats.org/officeDocument/2006/relationships/hyperlink" Target="https://horizondirect.gorgias.com/app/ticket/385167294" TargetMode="External"/><Relationship Id="rId269" Type="http://schemas.openxmlformats.org/officeDocument/2006/relationships/hyperlink" Target="https://4ammedia.zendesk.com/agent/tickets/170147" TargetMode="External"/><Relationship Id="rId9" Type="http://schemas.openxmlformats.org/officeDocument/2006/relationships/hyperlink" Target="https://horizondirect.gorgias.com/app/ticket/376437649" TargetMode="External"/><Relationship Id="rId143" Type="http://schemas.openxmlformats.org/officeDocument/2006/relationships/hyperlink" Target="https://horizondirect.gorgias.com/app/ticket/384953269" TargetMode="External"/><Relationship Id="rId264" Type="http://schemas.openxmlformats.org/officeDocument/2006/relationships/hyperlink" Target="https://4ammedia.zendesk.com/agent/tickets/164471" TargetMode="External"/><Relationship Id="rId142" Type="http://schemas.openxmlformats.org/officeDocument/2006/relationships/hyperlink" Target="https://horizondirect.gorgias.com/app/ticket/384945697" TargetMode="External"/><Relationship Id="rId263" Type="http://schemas.openxmlformats.org/officeDocument/2006/relationships/hyperlink" Target="https://4ammedia.zendesk.com/agent/tickets/164436" TargetMode="External"/><Relationship Id="rId141" Type="http://schemas.openxmlformats.org/officeDocument/2006/relationships/hyperlink" Target="https://horizondirect.gorgias.com/app/ticket/384862926" TargetMode="External"/><Relationship Id="rId262" Type="http://schemas.openxmlformats.org/officeDocument/2006/relationships/hyperlink" Target="https://4ammedia.zendesk.com/agent/tickets/164275" TargetMode="External"/><Relationship Id="rId140" Type="http://schemas.openxmlformats.org/officeDocument/2006/relationships/hyperlink" Target="https://horizondirect.gorgias.com/app/ticket/384849566" TargetMode="External"/><Relationship Id="rId261" Type="http://schemas.openxmlformats.org/officeDocument/2006/relationships/hyperlink" Target="https://4ammedia.zendesk.com/agent/tickets/162767" TargetMode="External"/><Relationship Id="rId5" Type="http://schemas.openxmlformats.org/officeDocument/2006/relationships/hyperlink" Target="https://horizondirect.gorgias.com/app/ticket/376301998" TargetMode="External"/><Relationship Id="rId147" Type="http://schemas.openxmlformats.org/officeDocument/2006/relationships/hyperlink" Target="https://horizondirect.gorgias.com/app/ticket/385074013" TargetMode="External"/><Relationship Id="rId268" Type="http://schemas.openxmlformats.org/officeDocument/2006/relationships/hyperlink" Target="https://4ammedia.zendesk.com/agent/tickets/169898" TargetMode="External"/><Relationship Id="rId6" Type="http://schemas.openxmlformats.org/officeDocument/2006/relationships/hyperlink" Target="https://horizondirect.gorgias.com/app/ticket/376298025" TargetMode="External"/><Relationship Id="rId146" Type="http://schemas.openxmlformats.org/officeDocument/2006/relationships/hyperlink" Target="https://horizondirect.gorgias.com/app/ticket/385065938" TargetMode="External"/><Relationship Id="rId267" Type="http://schemas.openxmlformats.org/officeDocument/2006/relationships/hyperlink" Target="https://4ammedia.zendesk.com/agent/tickets/166000" TargetMode="External"/><Relationship Id="rId7" Type="http://schemas.openxmlformats.org/officeDocument/2006/relationships/hyperlink" Target="https://horizondirect.gorgias.com/app/ticket/376401766" TargetMode="External"/><Relationship Id="rId145" Type="http://schemas.openxmlformats.org/officeDocument/2006/relationships/hyperlink" Target="https://horizondirect.gorgias.com/app/ticket/385062789" TargetMode="External"/><Relationship Id="rId266" Type="http://schemas.openxmlformats.org/officeDocument/2006/relationships/hyperlink" Target="https://4ammedia.zendesk.com/agent/tickets/165869" TargetMode="External"/><Relationship Id="rId8" Type="http://schemas.openxmlformats.org/officeDocument/2006/relationships/hyperlink" Target="https://horizondirect.gorgias.com/app/ticket/376422663" TargetMode="External"/><Relationship Id="rId144" Type="http://schemas.openxmlformats.org/officeDocument/2006/relationships/hyperlink" Target="https://horizondirect.gorgias.com/app/ticket/384963151" TargetMode="External"/><Relationship Id="rId265" Type="http://schemas.openxmlformats.org/officeDocument/2006/relationships/hyperlink" Target="https://4ammedia.zendesk.com/agent/tickets/165674" TargetMode="External"/><Relationship Id="rId260" Type="http://schemas.openxmlformats.org/officeDocument/2006/relationships/hyperlink" Target="https://4ammedia.zendesk.com/agent/tickets/162555" TargetMode="External"/><Relationship Id="rId139" Type="http://schemas.openxmlformats.org/officeDocument/2006/relationships/hyperlink" Target="https://horizondirect.gorgias.com/app/ticket/384844382" TargetMode="External"/><Relationship Id="rId138" Type="http://schemas.openxmlformats.org/officeDocument/2006/relationships/hyperlink" Target="https://horizondirect.gorgias.com/app/ticket/384458685" TargetMode="External"/><Relationship Id="rId259" Type="http://schemas.openxmlformats.org/officeDocument/2006/relationships/hyperlink" Target="https://4ammedia.zendesk.com/agent/tickets/162521" TargetMode="External"/><Relationship Id="rId137" Type="http://schemas.openxmlformats.org/officeDocument/2006/relationships/hyperlink" Target="https://horizondirect.gorgias.com/app/ticket/384449534" TargetMode="External"/><Relationship Id="rId258" Type="http://schemas.openxmlformats.org/officeDocument/2006/relationships/hyperlink" Target="https://4ammedia.zendesk.com/agent/tickets/161235" TargetMode="External"/><Relationship Id="rId132" Type="http://schemas.openxmlformats.org/officeDocument/2006/relationships/hyperlink" Target="https://horizondirect.gorgias.com/app/ticket/384186081" TargetMode="External"/><Relationship Id="rId253" Type="http://schemas.openxmlformats.org/officeDocument/2006/relationships/hyperlink" Target="http://4ammedia.zendesk.com/agent/tickets/159271" TargetMode="External"/><Relationship Id="rId374" Type="http://schemas.openxmlformats.org/officeDocument/2006/relationships/drawing" Target="../drawings/drawing12.xml"/><Relationship Id="rId131" Type="http://schemas.openxmlformats.org/officeDocument/2006/relationships/hyperlink" Target="https://horizondirect.gorgias.com/app/ticket/384181193" TargetMode="External"/><Relationship Id="rId252" Type="http://schemas.openxmlformats.org/officeDocument/2006/relationships/hyperlink" Target="https://4ammedia.zendesk.com/agent/tickets/155649" TargetMode="External"/><Relationship Id="rId373" Type="http://schemas.openxmlformats.org/officeDocument/2006/relationships/hyperlink" Target="https://4ammedia.zendesk.com/agent/tickets/273006" TargetMode="External"/><Relationship Id="rId130" Type="http://schemas.openxmlformats.org/officeDocument/2006/relationships/hyperlink" Target="https://horizondirect.gorgias.com/app/ticket/384164234" TargetMode="External"/><Relationship Id="rId251" Type="http://schemas.openxmlformats.org/officeDocument/2006/relationships/hyperlink" Target="https://4ammedia.zendesk.com/agent/tickets/155439" TargetMode="External"/><Relationship Id="rId372" Type="http://schemas.openxmlformats.org/officeDocument/2006/relationships/hyperlink" Target="https://4ammedia.zendesk.com/agent/tickets/272995" TargetMode="External"/><Relationship Id="rId250" Type="http://schemas.openxmlformats.org/officeDocument/2006/relationships/hyperlink" Target="https://4ammedia.zendesk.com/agent/tickets/155403" TargetMode="External"/><Relationship Id="rId371" Type="http://schemas.openxmlformats.org/officeDocument/2006/relationships/hyperlink" Target="https://4ammedia.zendesk.com/agent/tickets/272879" TargetMode="External"/><Relationship Id="rId136" Type="http://schemas.openxmlformats.org/officeDocument/2006/relationships/hyperlink" Target="https://horizondirect.gorgias.com/app/ticket/384437722" TargetMode="External"/><Relationship Id="rId257" Type="http://schemas.openxmlformats.org/officeDocument/2006/relationships/hyperlink" Target="https://4ammedia.zendesk.com/agent/tickets/161206" TargetMode="External"/><Relationship Id="rId135" Type="http://schemas.openxmlformats.org/officeDocument/2006/relationships/hyperlink" Target="https://horizondirect.gorgias.com/app/ticket/384327072" TargetMode="External"/><Relationship Id="rId256" Type="http://schemas.openxmlformats.org/officeDocument/2006/relationships/hyperlink" Target="https://4ammedia.zendesk.com/agent/tickets/161162" TargetMode="External"/><Relationship Id="rId134" Type="http://schemas.openxmlformats.org/officeDocument/2006/relationships/hyperlink" Target="https://horizondirect.gorgias.com/app/ticket/384312945" TargetMode="External"/><Relationship Id="rId255" Type="http://schemas.openxmlformats.org/officeDocument/2006/relationships/hyperlink" Target="https://4ammedia.zendesk.com/agent/tickets/159518" TargetMode="External"/><Relationship Id="rId376" Type="http://schemas.openxmlformats.org/officeDocument/2006/relationships/table" Target="../tables/table150.xml"/><Relationship Id="rId133" Type="http://schemas.openxmlformats.org/officeDocument/2006/relationships/hyperlink" Target="https://horizondirect.gorgias.com/app/ticket/384302466" TargetMode="External"/><Relationship Id="rId254" Type="http://schemas.openxmlformats.org/officeDocument/2006/relationships/hyperlink" Target="https://4ammedia.zendesk.com/agent/tickets/159313" TargetMode="External"/><Relationship Id="rId172" Type="http://schemas.openxmlformats.org/officeDocument/2006/relationships/hyperlink" Target="https://horizondirect.gorgias.com/app/ticket/386740427" TargetMode="External"/><Relationship Id="rId293" Type="http://schemas.openxmlformats.org/officeDocument/2006/relationships/hyperlink" Target="https://4ammedia.zendesk.com/agent/tickets/195066" TargetMode="External"/><Relationship Id="rId171" Type="http://schemas.openxmlformats.org/officeDocument/2006/relationships/hyperlink" Target="https://horizondirect.gorgias.com/app/ticket/386659486" TargetMode="External"/><Relationship Id="rId292" Type="http://schemas.openxmlformats.org/officeDocument/2006/relationships/hyperlink" Target="https://4ammedia.zendesk.com/agent/tickets/194996" TargetMode="External"/><Relationship Id="rId170" Type="http://schemas.openxmlformats.org/officeDocument/2006/relationships/hyperlink" Target="https://horizondirect.gorgias.com/app/ticket/386652755" TargetMode="External"/><Relationship Id="rId291" Type="http://schemas.openxmlformats.org/officeDocument/2006/relationships/hyperlink" Target="https://4ammedia.zendesk.com/agent/tickets/194847" TargetMode="External"/><Relationship Id="rId290" Type="http://schemas.openxmlformats.org/officeDocument/2006/relationships/hyperlink" Target="https://4ammedia.zendesk.com/agent/tickets/193536" TargetMode="External"/><Relationship Id="rId165" Type="http://schemas.openxmlformats.org/officeDocument/2006/relationships/hyperlink" Target="https://horizondirect.gorgias.com/app/ticket/386100966" TargetMode="External"/><Relationship Id="rId286" Type="http://schemas.openxmlformats.org/officeDocument/2006/relationships/hyperlink" Target="https://assets.aircall.io/calls/3894006920/recording/info" TargetMode="External"/><Relationship Id="rId164" Type="http://schemas.openxmlformats.org/officeDocument/2006/relationships/hyperlink" Target="https://horizondirect.gorgias.com/app/ticket/386091351" TargetMode="External"/><Relationship Id="rId285" Type="http://schemas.openxmlformats.org/officeDocument/2006/relationships/hyperlink" Target="https://4ammedia.zendesk.com/agent/tickets/189914" TargetMode="External"/><Relationship Id="rId163" Type="http://schemas.openxmlformats.org/officeDocument/2006/relationships/hyperlink" Target="https://horizondirect.gorgias.com/app/ticket/386073837" TargetMode="External"/><Relationship Id="rId284" Type="http://schemas.openxmlformats.org/officeDocument/2006/relationships/hyperlink" Target="https://4ammedia.zendesk.com/agent/tickets/189804" TargetMode="External"/><Relationship Id="rId162" Type="http://schemas.openxmlformats.org/officeDocument/2006/relationships/hyperlink" Target="https://horizondirect.gorgias.com/app/ticket/385959345" TargetMode="External"/><Relationship Id="rId283" Type="http://schemas.openxmlformats.org/officeDocument/2006/relationships/hyperlink" Target="https://4ammedia.zendesk.com/agent/tickets/189622" TargetMode="External"/><Relationship Id="rId169" Type="http://schemas.openxmlformats.org/officeDocument/2006/relationships/hyperlink" Target="https://horizondirect.gorgias.com/app/ticket/386642822" TargetMode="External"/><Relationship Id="rId168" Type="http://schemas.openxmlformats.org/officeDocument/2006/relationships/hyperlink" Target="https://horizondirect.gorgias.com/app/ticket/386516890" TargetMode="External"/><Relationship Id="rId289" Type="http://schemas.openxmlformats.org/officeDocument/2006/relationships/hyperlink" Target="https://4ammedia.zendesk.com/agent/tickets/193383" TargetMode="External"/><Relationship Id="rId167" Type="http://schemas.openxmlformats.org/officeDocument/2006/relationships/hyperlink" Target="https://horizondirect.gorgias.com/app/ticket/386511915" TargetMode="External"/><Relationship Id="rId288" Type="http://schemas.openxmlformats.org/officeDocument/2006/relationships/hyperlink" Target="https://assets.aircall.io/calls/3893668333/recording/info" TargetMode="External"/><Relationship Id="rId166" Type="http://schemas.openxmlformats.org/officeDocument/2006/relationships/hyperlink" Target="https://horizondirect.gorgias.com/app/ticket/386506578" TargetMode="External"/><Relationship Id="rId287" Type="http://schemas.openxmlformats.org/officeDocument/2006/relationships/hyperlink" Target="https://assets.aircall.io/calls/3894179319/recording/info" TargetMode="External"/><Relationship Id="rId161" Type="http://schemas.openxmlformats.org/officeDocument/2006/relationships/hyperlink" Target="https://horizondirect.gorgias.com/app/ticket/385957319" TargetMode="External"/><Relationship Id="rId282" Type="http://schemas.openxmlformats.org/officeDocument/2006/relationships/hyperlink" Target="https://4ammedia.zendesk.com/agent/tickets/175973" TargetMode="External"/><Relationship Id="rId160" Type="http://schemas.openxmlformats.org/officeDocument/2006/relationships/hyperlink" Target="https://horizondirect.gorgias.com/app/ticket/385954276" TargetMode="External"/><Relationship Id="rId281" Type="http://schemas.openxmlformats.org/officeDocument/2006/relationships/hyperlink" Target="https://4ammedia.zendesk.com/agent/tickets/175932" TargetMode="External"/><Relationship Id="rId280" Type="http://schemas.openxmlformats.org/officeDocument/2006/relationships/hyperlink" Target="https://4ammedia.zendesk.com/agent/tickets/175861" TargetMode="External"/><Relationship Id="rId159" Type="http://schemas.openxmlformats.org/officeDocument/2006/relationships/hyperlink" Target="https://horizondirect.gorgias.com/app/ticket/385850250" TargetMode="External"/><Relationship Id="rId154" Type="http://schemas.openxmlformats.org/officeDocument/2006/relationships/hyperlink" Target="https://horizondirect.gorgias.com/app/ticket/385747442" TargetMode="External"/><Relationship Id="rId275" Type="http://schemas.openxmlformats.org/officeDocument/2006/relationships/hyperlink" Target="https://4ammedia.zendesk.com/agent/tickets/173227" TargetMode="External"/><Relationship Id="rId153" Type="http://schemas.openxmlformats.org/officeDocument/2006/relationships/hyperlink" Target="https://horizondirect.gorgias.com/app/ticket/385626620" TargetMode="External"/><Relationship Id="rId274" Type="http://schemas.openxmlformats.org/officeDocument/2006/relationships/hyperlink" Target="https://4ammedia.zendesk.com/agent/tickets/173182" TargetMode="External"/><Relationship Id="rId152" Type="http://schemas.openxmlformats.org/officeDocument/2006/relationships/hyperlink" Target="https://horizondirect.gorgias.com/app/ticket/385621649" TargetMode="External"/><Relationship Id="rId273" Type="http://schemas.openxmlformats.org/officeDocument/2006/relationships/hyperlink" Target="https://4ammedia.zendesk.com/agent/tickets/171904" TargetMode="External"/><Relationship Id="rId151" Type="http://schemas.openxmlformats.org/officeDocument/2006/relationships/hyperlink" Target="https://horizondirect.gorgias.com/app/ticket/385610600" TargetMode="External"/><Relationship Id="rId272" Type="http://schemas.openxmlformats.org/officeDocument/2006/relationships/hyperlink" Target="https://4ammedia.zendesk.com/agent/tickets/171743" TargetMode="External"/><Relationship Id="rId158" Type="http://schemas.openxmlformats.org/officeDocument/2006/relationships/hyperlink" Target="https://horizondirect.gorgias.com/app/ticket/385844182" TargetMode="External"/><Relationship Id="rId279" Type="http://schemas.openxmlformats.org/officeDocument/2006/relationships/hyperlink" Target="https://4ammedia.zendesk.com/agent/tickets/174880" TargetMode="External"/><Relationship Id="rId157" Type="http://schemas.openxmlformats.org/officeDocument/2006/relationships/hyperlink" Target="https://horizondirect.gorgias.com/app/ticket/385866238" TargetMode="External"/><Relationship Id="rId278" Type="http://schemas.openxmlformats.org/officeDocument/2006/relationships/hyperlink" Target="https://4ammedia.zendesk.com/agent/tickets/174846" TargetMode="External"/><Relationship Id="rId156" Type="http://schemas.openxmlformats.org/officeDocument/2006/relationships/hyperlink" Target="https://horizondirect.gorgias.com/app/ticket/385759794" TargetMode="External"/><Relationship Id="rId277" Type="http://schemas.openxmlformats.org/officeDocument/2006/relationships/hyperlink" Target="https://4ammedia.zendesk.com/agent/tickets/174689" TargetMode="External"/><Relationship Id="rId155" Type="http://schemas.openxmlformats.org/officeDocument/2006/relationships/hyperlink" Target="https://horizondirect.gorgias.com/app/ticket/385757767" TargetMode="External"/><Relationship Id="rId276" Type="http://schemas.openxmlformats.org/officeDocument/2006/relationships/hyperlink" Target="https://4ammedia.zendesk.com/agent/tickets/173346" TargetMode="External"/><Relationship Id="rId40" Type="http://schemas.openxmlformats.org/officeDocument/2006/relationships/hyperlink" Target="https://horizondirect.gorgias.com/app/ticket/378634159" TargetMode="External"/><Relationship Id="rId42" Type="http://schemas.openxmlformats.org/officeDocument/2006/relationships/hyperlink" Target="https://horizondirect.gorgias.com/app/ticket/378653378" TargetMode="External"/><Relationship Id="rId41" Type="http://schemas.openxmlformats.org/officeDocument/2006/relationships/hyperlink" Target="https://horizondirect.gorgias.com/app/ticket/378647453" TargetMode="External"/><Relationship Id="rId44" Type="http://schemas.openxmlformats.org/officeDocument/2006/relationships/hyperlink" Target="https://horizondirect.gorgias.com/app/ticket/378730626" TargetMode="External"/><Relationship Id="rId43" Type="http://schemas.openxmlformats.org/officeDocument/2006/relationships/hyperlink" Target="https://horizondirect.gorgias.com/app/ticket/378716252" TargetMode="External"/><Relationship Id="rId46" Type="http://schemas.openxmlformats.org/officeDocument/2006/relationships/hyperlink" Target="https://horizondirect.gorgias.com/app/ticket/378841700" TargetMode="External"/><Relationship Id="rId45" Type="http://schemas.openxmlformats.org/officeDocument/2006/relationships/hyperlink" Target="https://horizondirect.gorgias.com/app/ticket/378741814" TargetMode="External"/><Relationship Id="rId48" Type="http://schemas.openxmlformats.org/officeDocument/2006/relationships/hyperlink" Target="https://horizondirect.gorgias.com/app/ticket/378880750" TargetMode="External"/><Relationship Id="rId47" Type="http://schemas.openxmlformats.org/officeDocument/2006/relationships/hyperlink" Target="https://horizondirect.gorgias.com/app/ticket/378868070" TargetMode="External"/><Relationship Id="rId49" Type="http://schemas.openxmlformats.org/officeDocument/2006/relationships/hyperlink" Target="https://horizondirect.gorgias.com/app/ticket/378983013" TargetMode="External"/><Relationship Id="rId31" Type="http://schemas.openxmlformats.org/officeDocument/2006/relationships/hyperlink" Target="https://horizondirect.gorgias.com/app/ticket/377931983" TargetMode="External"/><Relationship Id="rId30" Type="http://schemas.openxmlformats.org/officeDocument/2006/relationships/hyperlink" Target="https://horizondirect.gorgias.com/app/ticket/377644218" TargetMode="External"/><Relationship Id="rId33" Type="http://schemas.openxmlformats.org/officeDocument/2006/relationships/hyperlink" Target="https://horizondirect.gorgias.com/app/ticket/377923110" TargetMode="External"/><Relationship Id="rId32" Type="http://schemas.openxmlformats.org/officeDocument/2006/relationships/hyperlink" Target="https://horizondirect.gorgias.com/app/ticket/377924936" TargetMode="External"/><Relationship Id="rId35" Type="http://schemas.openxmlformats.org/officeDocument/2006/relationships/hyperlink" Target="https://horizondirect.gorgias.com/app/ticket/378112762" TargetMode="External"/><Relationship Id="rId34" Type="http://schemas.openxmlformats.org/officeDocument/2006/relationships/hyperlink" Target="https://horizondirect.gorgias.com/app/ticket/378093114" TargetMode="External"/><Relationship Id="rId37" Type="http://schemas.openxmlformats.org/officeDocument/2006/relationships/hyperlink" Target="https://horizondirect.gorgias.com/app/ticket/378559165" TargetMode="External"/><Relationship Id="rId36" Type="http://schemas.openxmlformats.org/officeDocument/2006/relationships/hyperlink" Target="https://horizondirect.gorgias.com/app/ticket/378121482" TargetMode="External"/><Relationship Id="rId39" Type="http://schemas.openxmlformats.org/officeDocument/2006/relationships/hyperlink" Target="https://horizondirect.gorgias.com/app/ticket/378570340" TargetMode="External"/><Relationship Id="rId38" Type="http://schemas.openxmlformats.org/officeDocument/2006/relationships/hyperlink" Target="https://horizondirect.gorgias.com/app/ticket/378561714" TargetMode="External"/><Relationship Id="rId20" Type="http://schemas.openxmlformats.org/officeDocument/2006/relationships/hyperlink" Target="https://horizondirect.gorgias.com/app/ticket/377209081" TargetMode="External"/><Relationship Id="rId22" Type="http://schemas.openxmlformats.org/officeDocument/2006/relationships/hyperlink" Target="https://horizondirect.gorgias.com/app/ticket/377328281" TargetMode="External"/><Relationship Id="rId21" Type="http://schemas.openxmlformats.org/officeDocument/2006/relationships/hyperlink" Target="https://horizondirect.gorgias.com/app/ticket/377189337" TargetMode="External"/><Relationship Id="rId24" Type="http://schemas.openxmlformats.org/officeDocument/2006/relationships/hyperlink" Target="https://horizondirect.gorgias.com/app/ticket/377362263" TargetMode="External"/><Relationship Id="rId23" Type="http://schemas.openxmlformats.org/officeDocument/2006/relationships/hyperlink" Target="https://horizondirect.gorgias.com/app/ticket/377342007" TargetMode="External"/><Relationship Id="rId26" Type="http://schemas.openxmlformats.org/officeDocument/2006/relationships/hyperlink" Target="https://horizondirect.gorgias.com/app/ticket/377488652" TargetMode="External"/><Relationship Id="rId25" Type="http://schemas.openxmlformats.org/officeDocument/2006/relationships/hyperlink" Target="https://horizondirect.gorgias.com/app/ticket/377485409" TargetMode="External"/><Relationship Id="rId28" Type="http://schemas.openxmlformats.org/officeDocument/2006/relationships/hyperlink" Target="https://horizondirect.gorgias.com/app/ticket/377605229" TargetMode="External"/><Relationship Id="rId27" Type="http://schemas.openxmlformats.org/officeDocument/2006/relationships/hyperlink" Target="https://horizondirect.gorgias.com/app/ticket/377516895" TargetMode="External"/><Relationship Id="rId29" Type="http://schemas.openxmlformats.org/officeDocument/2006/relationships/hyperlink" Target="https://horizondirect.gorgias.com/app/ticket/377626693" TargetMode="External"/><Relationship Id="rId11" Type="http://schemas.openxmlformats.org/officeDocument/2006/relationships/hyperlink" Target="https://horizondirect.gorgias.com/app/ticket/376724254" TargetMode="External"/><Relationship Id="rId10" Type="http://schemas.openxmlformats.org/officeDocument/2006/relationships/hyperlink" Target="https://horizondirect.gorgias.com/app/ticket/376704054" TargetMode="External"/><Relationship Id="rId13" Type="http://schemas.openxmlformats.org/officeDocument/2006/relationships/hyperlink" Target="https://horizondirect.gorgias.com/app/ticket/376792578" TargetMode="External"/><Relationship Id="rId12" Type="http://schemas.openxmlformats.org/officeDocument/2006/relationships/hyperlink" Target="https://horizondirect.gorgias.com/app/ticket/376706349" TargetMode="External"/><Relationship Id="rId15" Type="http://schemas.openxmlformats.org/officeDocument/2006/relationships/hyperlink" Target="https://horizondirect.gorgias.com/app/ticket/376817573" TargetMode="External"/><Relationship Id="rId14" Type="http://schemas.openxmlformats.org/officeDocument/2006/relationships/hyperlink" Target="https://horizondirect.gorgias.com/app/ticket/376796013" TargetMode="External"/><Relationship Id="rId17" Type="http://schemas.openxmlformats.org/officeDocument/2006/relationships/hyperlink" Target="https://horizondirect.gorgias.com/app/ticket/377031632" TargetMode="External"/><Relationship Id="rId16" Type="http://schemas.openxmlformats.org/officeDocument/2006/relationships/hyperlink" Target="https://horizondirect.gorgias.com/app/ticket/377024182" TargetMode="External"/><Relationship Id="rId19" Type="http://schemas.openxmlformats.org/officeDocument/2006/relationships/hyperlink" Target="https://horizondirect.gorgias.com/app/ticket/377192167" TargetMode="External"/><Relationship Id="rId18" Type="http://schemas.openxmlformats.org/officeDocument/2006/relationships/hyperlink" Target="https://horizondirect.gorgias.com/app/ticket/377180919" TargetMode="External"/><Relationship Id="rId84" Type="http://schemas.openxmlformats.org/officeDocument/2006/relationships/hyperlink" Target="https://horizondirect.gorgias.com/app/ticket/381034076" TargetMode="External"/><Relationship Id="rId83" Type="http://schemas.openxmlformats.org/officeDocument/2006/relationships/hyperlink" Target="https://horizondirect.gorgias.com/app/ticket/381008676" TargetMode="External"/><Relationship Id="rId86" Type="http://schemas.openxmlformats.org/officeDocument/2006/relationships/hyperlink" Target="https://horizondirect.gorgias.com/app/ticket/381143546" TargetMode="External"/><Relationship Id="rId85" Type="http://schemas.openxmlformats.org/officeDocument/2006/relationships/hyperlink" Target="https://horizondirect.gorgias.com/app/ticket/381126144" TargetMode="External"/><Relationship Id="rId88" Type="http://schemas.openxmlformats.org/officeDocument/2006/relationships/hyperlink" Target="https://horizondirect.gorgias.com/app/ticket/381258162" TargetMode="External"/><Relationship Id="rId87" Type="http://schemas.openxmlformats.org/officeDocument/2006/relationships/hyperlink" Target="https://horizondirect.gorgias.com/app/ticket/381146065" TargetMode="External"/><Relationship Id="rId89" Type="http://schemas.openxmlformats.org/officeDocument/2006/relationships/hyperlink" Target="http://horizondirect.gorgias.com/app/ticket/381253455" TargetMode="External"/><Relationship Id="rId80" Type="http://schemas.openxmlformats.org/officeDocument/2006/relationships/hyperlink" Target="https://horizondirect.gorgias.com/app/ticket/380732495" TargetMode="External"/><Relationship Id="rId82" Type="http://schemas.openxmlformats.org/officeDocument/2006/relationships/hyperlink" Target="https://horizondirect.gorgias.com/app/ticket/380995720" TargetMode="External"/><Relationship Id="rId81" Type="http://schemas.openxmlformats.org/officeDocument/2006/relationships/hyperlink" Target="https://horizondirect.gorgias.com/app/ticket/380733664" TargetMode="External"/><Relationship Id="rId73" Type="http://schemas.openxmlformats.org/officeDocument/2006/relationships/hyperlink" Target="https://horizondirect.gorgias.com/app/ticket/380350488" TargetMode="External"/><Relationship Id="rId72" Type="http://schemas.openxmlformats.org/officeDocument/2006/relationships/hyperlink" Target="https://horizondirect.gorgias.com/app/ticket/380275873" TargetMode="External"/><Relationship Id="rId75" Type="http://schemas.openxmlformats.org/officeDocument/2006/relationships/hyperlink" Target="https://horizondirect.gorgias.com/app/ticket/380371686" TargetMode="External"/><Relationship Id="rId74" Type="http://schemas.openxmlformats.org/officeDocument/2006/relationships/hyperlink" Target="https://horizondirect.gorgias.com/app/ticket/380370488" TargetMode="External"/><Relationship Id="rId77" Type="http://schemas.openxmlformats.org/officeDocument/2006/relationships/hyperlink" Target="https://horizondirect.gorgias.com/app/ticket/380582463" TargetMode="External"/><Relationship Id="rId76" Type="http://schemas.openxmlformats.org/officeDocument/2006/relationships/hyperlink" Target="https://horizondirect.gorgias.com/app/ticket/380571217" TargetMode="External"/><Relationship Id="rId79" Type="http://schemas.openxmlformats.org/officeDocument/2006/relationships/hyperlink" Target="https://horizondirect.gorgias.com/app/ticket/380720922" TargetMode="External"/><Relationship Id="rId78" Type="http://schemas.openxmlformats.org/officeDocument/2006/relationships/hyperlink" Target="https://horizondirect.gorgias.com/app/ticket/380621799" TargetMode="External"/><Relationship Id="rId71" Type="http://schemas.openxmlformats.org/officeDocument/2006/relationships/hyperlink" Target="https://horizondirect.gorgias.com/app/ticket/380260616" TargetMode="External"/><Relationship Id="rId70" Type="http://schemas.openxmlformats.org/officeDocument/2006/relationships/hyperlink" Target="https://horizondirect.gorgias.com/app/ticket/380244984" TargetMode="External"/><Relationship Id="rId62" Type="http://schemas.openxmlformats.org/officeDocument/2006/relationships/hyperlink" Target="https://horizondirect.gorgias.com/app/ticket/379687319" TargetMode="External"/><Relationship Id="rId61" Type="http://schemas.openxmlformats.org/officeDocument/2006/relationships/hyperlink" Target="https://horizondirect.gorgias.com/app/ticket/379681295" TargetMode="External"/><Relationship Id="rId64" Type="http://schemas.openxmlformats.org/officeDocument/2006/relationships/hyperlink" Target="https://horizondirect.gorgias.com/app/ticket/379822783" TargetMode="External"/><Relationship Id="rId63" Type="http://schemas.openxmlformats.org/officeDocument/2006/relationships/hyperlink" Target="https://horizondirect.gorgias.com/app/ticket/379704478" TargetMode="External"/><Relationship Id="rId66" Type="http://schemas.openxmlformats.org/officeDocument/2006/relationships/hyperlink" Target="https://horizondirect.gorgias.com/app/ticket/379842607" TargetMode="External"/><Relationship Id="rId65" Type="http://schemas.openxmlformats.org/officeDocument/2006/relationships/hyperlink" Target="https://horizondirect.gorgias.com/app/ticket/379829980" TargetMode="External"/><Relationship Id="rId68" Type="http://schemas.openxmlformats.org/officeDocument/2006/relationships/hyperlink" Target="https://horizondirect.gorgias.com/app/ticket/380141921" TargetMode="External"/><Relationship Id="rId67" Type="http://schemas.openxmlformats.org/officeDocument/2006/relationships/hyperlink" Target="https://horizondirect.gorgias.com/app/ticket/380116275" TargetMode="External"/><Relationship Id="rId60" Type="http://schemas.openxmlformats.org/officeDocument/2006/relationships/hyperlink" Target="https://horizondirect.gorgias.com/app/ticket/379479181" TargetMode="External"/><Relationship Id="rId69" Type="http://schemas.openxmlformats.org/officeDocument/2006/relationships/hyperlink" Target="https://horizondirect.gorgias.com/app/ticket/380156559" TargetMode="External"/><Relationship Id="rId51" Type="http://schemas.openxmlformats.org/officeDocument/2006/relationships/hyperlink" Target="https://horizondirect.gorgias.com/app/ticket/379008799" TargetMode="External"/><Relationship Id="rId50" Type="http://schemas.openxmlformats.org/officeDocument/2006/relationships/hyperlink" Target="https://horizondirect.gorgias.com/app/ticket/379002874" TargetMode="External"/><Relationship Id="rId53" Type="http://schemas.openxmlformats.org/officeDocument/2006/relationships/hyperlink" Target="https://horizondirect.gorgias.com/app/ticket/379253964" TargetMode="External"/><Relationship Id="rId52" Type="http://schemas.openxmlformats.org/officeDocument/2006/relationships/hyperlink" Target="https://horizondirect.gorgias.com/app/ticket/379242998" TargetMode="External"/><Relationship Id="rId55" Type="http://schemas.openxmlformats.org/officeDocument/2006/relationships/hyperlink" Target="https://horizondirect.gorgias.com/app/ticket/379373715" TargetMode="External"/><Relationship Id="rId54" Type="http://schemas.openxmlformats.org/officeDocument/2006/relationships/hyperlink" Target="https://horizondirect.gorgias.com/app/ticket/379270072" TargetMode="External"/><Relationship Id="rId57" Type="http://schemas.openxmlformats.org/officeDocument/2006/relationships/hyperlink" Target="https://horizondirect.gorgias.com/app/ticket/379408347" TargetMode="External"/><Relationship Id="rId56" Type="http://schemas.openxmlformats.org/officeDocument/2006/relationships/hyperlink" Target="https://horizondirect.gorgias.com/app/ticket/379380602" TargetMode="External"/><Relationship Id="rId59" Type="http://schemas.openxmlformats.org/officeDocument/2006/relationships/hyperlink" Target="https://horizondirect.gorgias.com/app/ticket/379472122" TargetMode="External"/><Relationship Id="rId58" Type="http://schemas.openxmlformats.org/officeDocument/2006/relationships/hyperlink" Target="https://horizondirect.gorgias.com/app/ticket/379468952" TargetMode="External"/><Relationship Id="rId107" Type="http://schemas.openxmlformats.org/officeDocument/2006/relationships/hyperlink" Target="https://horizondirect.gorgias.com/app/ticket/382552088" TargetMode="External"/><Relationship Id="rId228" Type="http://schemas.openxmlformats.org/officeDocument/2006/relationships/hyperlink" Target="https://assets.aircall.io/calls/3781673751/recording" TargetMode="External"/><Relationship Id="rId349" Type="http://schemas.openxmlformats.org/officeDocument/2006/relationships/hyperlink" Target="https://4ammedia.zendesk.com/agent/tickets/252429" TargetMode="External"/><Relationship Id="rId106" Type="http://schemas.openxmlformats.org/officeDocument/2006/relationships/hyperlink" Target="https://horizondirect.gorgias.com/app/ticket/382546928" TargetMode="External"/><Relationship Id="rId227" Type="http://schemas.openxmlformats.org/officeDocument/2006/relationships/hyperlink" Target="https://assets.aircall.io/calls/3781613129/recording" TargetMode="External"/><Relationship Id="rId348" Type="http://schemas.openxmlformats.org/officeDocument/2006/relationships/hyperlink" Target="https://4ammedia.zendesk.com/agent/tickets/252323" TargetMode="External"/><Relationship Id="rId105" Type="http://schemas.openxmlformats.org/officeDocument/2006/relationships/hyperlink" Target="https://horizondirect.gorgias.com/app/ticket/382327731" TargetMode="External"/><Relationship Id="rId226" Type="http://schemas.openxmlformats.org/officeDocument/2006/relationships/hyperlink" Target="https://assets.aircall.io/calls/3781493611/recording" TargetMode="External"/><Relationship Id="rId347" Type="http://schemas.openxmlformats.org/officeDocument/2006/relationships/hyperlink" Target="https://4ammedia.zendesk.com/agent/tickets/252173" TargetMode="External"/><Relationship Id="rId104" Type="http://schemas.openxmlformats.org/officeDocument/2006/relationships/hyperlink" Target="https://horizondirect.gorgias.com/app/ticket/382317236" TargetMode="External"/><Relationship Id="rId225" Type="http://schemas.openxmlformats.org/officeDocument/2006/relationships/hyperlink" Target="https://assets.aircall.io/calls/3777781523/recording" TargetMode="External"/><Relationship Id="rId346" Type="http://schemas.openxmlformats.org/officeDocument/2006/relationships/hyperlink" Target="https://4ammedia.zendesk.com/agent/tickets/250102" TargetMode="External"/><Relationship Id="rId109" Type="http://schemas.openxmlformats.org/officeDocument/2006/relationships/hyperlink" Target="https://horizondirect.gorgias.com/app/ticket/382309115" TargetMode="External"/><Relationship Id="rId108" Type="http://schemas.openxmlformats.org/officeDocument/2006/relationships/hyperlink" Target="https://horizondirect.gorgias.com/app/ticket/382567700" TargetMode="External"/><Relationship Id="rId229" Type="http://schemas.openxmlformats.org/officeDocument/2006/relationships/hyperlink" Target="https://assets.aircall.io/calls/3782189029/recording" TargetMode="External"/><Relationship Id="rId220" Type="http://schemas.openxmlformats.org/officeDocument/2006/relationships/hyperlink" Target="https://assets.aircall.io/calls/3776387039/recording" TargetMode="External"/><Relationship Id="rId341" Type="http://schemas.openxmlformats.org/officeDocument/2006/relationships/hyperlink" Target="https://4ammedia.zendesk.com/agent/tickets/244949" TargetMode="External"/><Relationship Id="rId340" Type="http://schemas.openxmlformats.org/officeDocument/2006/relationships/hyperlink" Target="https://4ammedia.zendesk.com/agent/tickets/242978" TargetMode="External"/><Relationship Id="rId103" Type="http://schemas.openxmlformats.org/officeDocument/2006/relationships/hyperlink" Target="https://horizondirect.gorgias.com/app/ticket/382217432" TargetMode="External"/><Relationship Id="rId224" Type="http://schemas.openxmlformats.org/officeDocument/2006/relationships/hyperlink" Target="https://assets.aircall.io/calls/3777764027/recording" TargetMode="External"/><Relationship Id="rId345" Type="http://schemas.openxmlformats.org/officeDocument/2006/relationships/hyperlink" Target="https://4ammedia.zendesk.com/agent/tickets/249944" TargetMode="External"/><Relationship Id="rId102" Type="http://schemas.openxmlformats.org/officeDocument/2006/relationships/hyperlink" Target="https://horizondirect.gorgias.com/app/ticket/382213187" TargetMode="External"/><Relationship Id="rId223" Type="http://schemas.openxmlformats.org/officeDocument/2006/relationships/hyperlink" Target="https://assets.aircall.io/calls/3777678192/recording" TargetMode="External"/><Relationship Id="rId344" Type="http://schemas.openxmlformats.org/officeDocument/2006/relationships/hyperlink" Target="https://4ammedia.zendesk.com/agent/tickets/249692" TargetMode="External"/><Relationship Id="rId101" Type="http://schemas.openxmlformats.org/officeDocument/2006/relationships/hyperlink" Target="https://horizondirect.gorgias.com/app/ticket/382204671" TargetMode="External"/><Relationship Id="rId222" Type="http://schemas.openxmlformats.org/officeDocument/2006/relationships/hyperlink" Target="https://assets.aircall.io/calls/3776470412/recording" TargetMode="External"/><Relationship Id="rId343" Type="http://schemas.openxmlformats.org/officeDocument/2006/relationships/hyperlink" Target="https://4ammedia.zendesk.com/agent/tickets/245174" TargetMode="External"/><Relationship Id="rId100" Type="http://schemas.openxmlformats.org/officeDocument/2006/relationships/hyperlink" Target="https://horizondirect.gorgias.com/app/ticket/382200768" TargetMode="External"/><Relationship Id="rId221" Type="http://schemas.openxmlformats.org/officeDocument/2006/relationships/hyperlink" Target="https://assets.aircall.io/calls/3776408130/recording" TargetMode="External"/><Relationship Id="rId342" Type="http://schemas.openxmlformats.org/officeDocument/2006/relationships/hyperlink" Target="https://4ammedia.zendesk.com/agent/tickets/245113" TargetMode="External"/><Relationship Id="rId217" Type="http://schemas.openxmlformats.org/officeDocument/2006/relationships/hyperlink" Target="https://assets.aircall.io/calls/3772534029/recording" TargetMode="External"/><Relationship Id="rId338" Type="http://schemas.openxmlformats.org/officeDocument/2006/relationships/hyperlink" Target="https://4ammedia.zendesk.com/agent/tickets/242818" TargetMode="External"/><Relationship Id="rId216" Type="http://schemas.openxmlformats.org/officeDocument/2006/relationships/hyperlink" Target="https://assets.aircall.io/calls/3761647767/recording" TargetMode="External"/><Relationship Id="rId337" Type="http://schemas.openxmlformats.org/officeDocument/2006/relationships/hyperlink" Target="https://4ammedia.zendesk.com/agent/tickets/240795" TargetMode="External"/><Relationship Id="rId215" Type="http://schemas.openxmlformats.org/officeDocument/2006/relationships/hyperlink" Target="https://assets.aircall.io/calls/3761631706/recording" TargetMode="External"/><Relationship Id="rId336" Type="http://schemas.openxmlformats.org/officeDocument/2006/relationships/hyperlink" Target="https://4ammedia.zendesk.com/agent/tickets/240702" TargetMode="External"/><Relationship Id="rId214" Type="http://schemas.openxmlformats.org/officeDocument/2006/relationships/hyperlink" Target="https://assets.aircall.io/calls/3761469896/recording" TargetMode="External"/><Relationship Id="rId335" Type="http://schemas.openxmlformats.org/officeDocument/2006/relationships/hyperlink" Target="https://4ammedia.zendesk.com/agent/tickets/240593" TargetMode="External"/><Relationship Id="rId219" Type="http://schemas.openxmlformats.org/officeDocument/2006/relationships/hyperlink" Target="https://assets.aircall.io/calls/3772678339/recording" TargetMode="External"/><Relationship Id="rId218" Type="http://schemas.openxmlformats.org/officeDocument/2006/relationships/hyperlink" Target="http://cad0664c00fcf0351037c47e6bc35badd9/" TargetMode="External"/><Relationship Id="rId339" Type="http://schemas.openxmlformats.org/officeDocument/2006/relationships/hyperlink" Target="https://4ammedia.zendesk.com/agent/tickets/242904" TargetMode="External"/><Relationship Id="rId330" Type="http://schemas.openxmlformats.org/officeDocument/2006/relationships/hyperlink" Target="https://4ammedia.zendesk.com/agent/tickets/236921" TargetMode="External"/><Relationship Id="rId213" Type="http://schemas.openxmlformats.org/officeDocument/2006/relationships/hyperlink" Target="https://assets.aircall.io/calls/3757317432/recording" TargetMode="External"/><Relationship Id="rId334" Type="http://schemas.openxmlformats.org/officeDocument/2006/relationships/hyperlink" Target="https://4ammedia.zendesk.com/agent/tickets/239074" TargetMode="External"/><Relationship Id="rId212" Type="http://schemas.openxmlformats.org/officeDocument/2006/relationships/hyperlink" Target="https://assets.aircall.io/calls/3757228621/recording" TargetMode="External"/><Relationship Id="rId333" Type="http://schemas.openxmlformats.org/officeDocument/2006/relationships/hyperlink" Target="https://4ammedia.zendesk.com/agent/tickets/238954" TargetMode="External"/><Relationship Id="rId211" Type="http://schemas.openxmlformats.org/officeDocument/2006/relationships/hyperlink" Target="https://assets.aircall.io/calls/3757212380/recording" TargetMode="External"/><Relationship Id="rId332" Type="http://schemas.openxmlformats.org/officeDocument/2006/relationships/hyperlink" Target="https://4ammedia.zendesk.com/agent/tickets/238861" TargetMode="External"/><Relationship Id="rId210" Type="http://schemas.openxmlformats.org/officeDocument/2006/relationships/hyperlink" Target="https://assets.aircall.io/calls/3756800384/recording" TargetMode="External"/><Relationship Id="rId331" Type="http://schemas.openxmlformats.org/officeDocument/2006/relationships/hyperlink" Target="https://4ammedia.zendesk.com/agent/tickets/236975" TargetMode="External"/><Relationship Id="rId370" Type="http://schemas.openxmlformats.org/officeDocument/2006/relationships/hyperlink" Target="https://4ammedia.zendesk.com/agent/tickets/270902" TargetMode="External"/><Relationship Id="rId129" Type="http://schemas.openxmlformats.org/officeDocument/2006/relationships/hyperlink" Target="https://horizondirect.gorgias.com/app/ticket/383853668" TargetMode="External"/><Relationship Id="rId128" Type="http://schemas.openxmlformats.org/officeDocument/2006/relationships/hyperlink" Target="https://horizondirect.gorgias.com/app/ticket/383852909" TargetMode="External"/><Relationship Id="rId249" Type="http://schemas.openxmlformats.org/officeDocument/2006/relationships/hyperlink" Target="https://4ammedia.zendesk.com/agent/tickets/143609" TargetMode="External"/><Relationship Id="rId127" Type="http://schemas.openxmlformats.org/officeDocument/2006/relationships/hyperlink" Target="https://horizondirect.gorgias.com/app/ticket/383847292" TargetMode="External"/><Relationship Id="rId248" Type="http://schemas.openxmlformats.org/officeDocument/2006/relationships/hyperlink" Target="https://4ammedia.zendesk.com/agent/tickets/154169" TargetMode="External"/><Relationship Id="rId369" Type="http://schemas.openxmlformats.org/officeDocument/2006/relationships/hyperlink" Target="https://4ammedia.zendesk.com/agent/tickets/270854" TargetMode="External"/><Relationship Id="rId126" Type="http://schemas.openxmlformats.org/officeDocument/2006/relationships/hyperlink" Target="https://horizondirect.gorgias.com/app/ticket/383570385" TargetMode="External"/><Relationship Id="rId247" Type="http://schemas.openxmlformats.org/officeDocument/2006/relationships/hyperlink" Target="https://4ammedia.zendesk.com/agent/tickets/154051" TargetMode="External"/><Relationship Id="rId368" Type="http://schemas.openxmlformats.org/officeDocument/2006/relationships/hyperlink" Target="https://4ammedia.zendesk.com/agent/tickets/270757" TargetMode="External"/><Relationship Id="rId121" Type="http://schemas.openxmlformats.org/officeDocument/2006/relationships/hyperlink" Target="https://horizondirect.gorgias.com/app/ticket/383432472" TargetMode="External"/><Relationship Id="rId242" Type="http://schemas.openxmlformats.org/officeDocument/2006/relationships/hyperlink" Target="https://4ammedia.zendesk.com/agent/tickets/150987" TargetMode="External"/><Relationship Id="rId363" Type="http://schemas.openxmlformats.org/officeDocument/2006/relationships/hyperlink" Target="https://4ammedia.zendesk.com/agent/tickets/267248" TargetMode="External"/><Relationship Id="rId120" Type="http://schemas.openxmlformats.org/officeDocument/2006/relationships/hyperlink" Target="https://horizondirect.gorgias.com/app/ticket/383231513" TargetMode="External"/><Relationship Id="rId241" Type="http://schemas.openxmlformats.org/officeDocument/2006/relationships/hyperlink" Target="https://4ammedia.zendesk.com/agent/tickets/150759" TargetMode="External"/><Relationship Id="rId362" Type="http://schemas.openxmlformats.org/officeDocument/2006/relationships/hyperlink" Target="https://4ammedia.zendesk.com/agent/tickets/267118" TargetMode="External"/><Relationship Id="rId240" Type="http://schemas.openxmlformats.org/officeDocument/2006/relationships/hyperlink" Target="https://4ammedia.zendesk.com/agent/tickets/149587" TargetMode="External"/><Relationship Id="rId361" Type="http://schemas.openxmlformats.org/officeDocument/2006/relationships/hyperlink" Target="https://4ammedia.zendesk.com/agent/tickets/262784" TargetMode="External"/><Relationship Id="rId360" Type="http://schemas.openxmlformats.org/officeDocument/2006/relationships/hyperlink" Target="https://4ammedia.zendesk.com/agent/tickets/262672" TargetMode="External"/><Relationship Id="rId125" Type="http://schemas.openxmlformats.org/officeDocument/2006/relationships/hyperlink" Target="https://horizondirect.gorgias.com/app/ticket/383582160" TargetMode="External"/><Relationship Id="rId246" Type="http://schemas.openxmlformats.org/officeDocument/2006/relationships/hyperlink" Target="https://4ammedia.zendesk.com/agent/tickets/152553" TargetMode="External"/><Relationship Id="rId367" Type="http://schemas.openxmlformats.org/officeDocument/2006/relationships/hyperlink" Target="https://4ammedia.zendesk.com/agent/tickets/269773" TargetMode="External"/><Relationship Id="rId124" Type="http://schemas.openxmlformats.org/officeDocument/2006/relationships/hyperlink" Target="https://horizondirect.gorgias.com/app/ticket/383597788" TargetMode="External"/><Relationship Id="rId245" Type="http://schemas.openxmlformats.org/officeDocument/2006/relationships/hyperlink" Target="https://4ammedia.zendesk.com/agent/tickets/152452" TargetMode="External"/><Relationship Id="rId366" Type="http://schemas.openxmlformats.org/officeDocument/2006/relationships/hyperlink" Target="https://4ammedia.zendesk.com/agent/tickets/269727" TargetMode="External"/><Relationship Id="rId123" Type="http://schemas.openxmlformats.org/officeDocument/2006/relationships/hyperlink" Target="https://horizondirect.gorgias.com/app/ticket/383460072" TargetMode="External"/><Relationship Id="rId244" Type="http://schemas.openxmlformats.org/officeDocument/2006/relationships/hyperlink" Target="https://4ammedia.zendesk.com/agent/tickets/152290" TargetMode="External"/><Relationship Id="rId365" Type="http://schemas.openxmlformats.org/officeDocument/2006/relationships/hyperlink" Target="https://4ammedia.zendesk.com/agent/tickets/269525" TargetMode="External"/><Relationship Id="rId122" Type="http://schemas.openxmlformats.org/officeDocument/2006/relationships/hyperlink" Target="https://horizondirect.gorgias.com/app/ticket/383440265" TargetMode="External"/><Relationship Id="rId243" Type="http://schemas.openxmlformats.org/officeDocument/2006/relationships/hyperlink" Target="https://4ammedia.zendesk.com/agent/tickets/151076" TargetMode="External"/><Relationship Id="rId364" Type="http://schemas.openxmlformats.org/officeDocument/2006/relationships/hyperlink" Target="https://4ammedia.zendesk.com/agent/tickets/267387" TargetMode="External"/><Relationship Id="rId95" Type="http://schemas.openxmlformats.org/officeDocument/2006/relationships/hyperlink" Target="https://horizondirect.gorgias.com/app/ticket/381646966" TargetMode="External"/><Relationship Id="rId94" Type="http://schemas.openxmlformats.org/officeDocument/2006/relationships/hyperlink" Target="https://horizondirect.gorgias.com/app/ticket/381523082" TargetMode="External"/><Relationship Id="rId97" Type="http://schemas.openxmlformats.org/officeDocument/2006/relationships/hyperlink" Target="https://horizondirect.gorgias.com/app/ticket/381900757" TargetMode="External"/><Relationship Id="rId96" Type="http://schemas.openxmlformats.org/officeDocument/2006/relationships/hyperlink" Target="https://horizondirect.gorgias.com/app/ticket/381670149" TargetMode="External"/><Relationship Id="rId99" Type="http://schemas.openxmlformats.org/officeDocument/2006/relationships/hyperlink" Target="https://horizondirect.gorgias.com/app/ticket/381944327" TargetMode="External"/><Relationship Id="rId98" Type="http://schemas.openxmlformats.org/officeDocument/2006/relationships/hyperlink" Target="https://horizondirect.gorgias.com/app/ticket/381902905" TargetMode="External"/><Relationship Id="rId91" Type="http://schemas.openxmlformats.org/officeDocument/2006/relationships/hyperlink" Target="https://horizondirect.gorgias.com/app/ticket/381482770" TargetMode="External"/><Relationship Id="rId90" Type="http://schemas.openxmlformats.org/officeDocument/2006/relationships/hyperlink" Target="https://horizondirect.gorgias.com/app/ticket/381260313" TargetMode="External"/><Relationship Id="rId93" Type="http://schemas.openxmlformats.org/officeDocument/2006/relationships/hyperlink" Target="https://horizondirect.gorgias.com/app/ticket/381510489" TargetMode="External"/><Relationship Id="rId92" Type="http://schemas.openxmlformats.org/officeDocument/2006/relationships/hyperlink" Target="https://horizondirect.gorgias.com/app/ticket/381495827" TargetMode="External"/><Relationship Id="rId118" Type="http://schemas.openxmlformats.org/officeDocument/2006/relationships/hyperlink" Target="https://horizondirect.gorgias.com/app/ticket/383222107" TargetMode="External"/><Relationship Id="rId239" Type="http://schemas.openxmlformats.org/officeDocument/2006/relationships/hyperlink" Target="https://4ammedia.zendesk.com/agent/tickets/149540" TargetMode="External"/><Relationship Id="rId117" Type="http://schemas.openxmlformats.org/officeDocument/2006/relationships/hyperlink" Target="https://horizondirect.gorgias.com/app/ticket/383144111" TargetMode="External"/><Relationship Id="rId238" Type="http://schemas.openxmlformats.org/officeDocument/2006/relationships/hyperlink" Target="https://4ammedia.zendesk.com/agent/tickets/149402" TargetMode="External"/><Relationship Id="rId359" Type="http://schemas.openxmlformats.org/officeDocument/2006/relationships/hyperlink" Target="https://4ammedia.zendesk.com/agent/tickets/262574" TargetMode="External"/><Relationship Id="rId116" Type="http://schemas.openxmlformats.org/officeDocument/2006/relationships/hyperlink" Target="https://horizondirect.gorgias.com/app/ticket/383135880" TargetMode="External"/><Relationship Id="rId237" Type="http://schemas.openxmlformats.org/officeDocument/2006/relationships/hyperlink" Target="https://4ammedia.zendesk.com/agent/tickets/147834" TargetMode="External"/><Relationship Id="rId358" Type="http://schemas.openxmlformats.org/officeDocument/2006/relationships/hyperlink" Target="https://4ammedia.zendesk.com/agent/tickets/258184" TargetMode="External"/><Relationship Id="rId115" Type="http://schemas.openxmlformats.org/officeDocument/2006/relationships/hyperlink" Target="https://horizondirect.gorgias.com/app/ticket/383131731" TargetMode="External"/><Relationship Id="rId236" Type="http://schemas.openxmlformats.org/officeDocument/2006/relationships/hyperlink" Target="https://4ammedia.zendesk.com/agent/tickets/147781" TargetMode="External"/><Relationship Id="rId357" Type="http://schemas.openxmlformats.org/officeDocument/2006/relationships/hyperlink" Target="https://4ammedia.zendesk.com/agent/tickets/258140" TargetMode="External"/><Relationship Id="rId119" Type="http://schemas.openxmlformats.org/officeDocument/2006/relationships/hyperlink" Target="https://horizondirect.gorgias.com/app/ticket/383228629" TargetMode="External"/><Relationship Id="rId110" Type="http://schemas.openxmlformats.org/officeDocument/2006/relationships/hyperlink" Target="https://horizondirect.gorgias.com/app/ticket/382310728" TargetMode="External"/><Relationship Id="rId231" Type="http://schemas.openxmlformats.org/officeDocument/2006/relationships/hyperlink" Target="https://assets.aircall.io/calls/3786201917/recording" TargetMode="External"/><Relationship Id="rId352" Type="http://schemas.openxmlformats.org/officeDocument/2006/relationships/hyperlink" Target="https://4ammedia.zendesk.com/agent/tickets/254224" TargetMode="External"/><Relationship Id="rId230" Type="http://schemas.openxmlformats.org/officeDocument/2006/relationships/hyperlink" Target="https://assets.aircall.io/calls/3785965268/recording" TargetMode="External"/><Relationship Id="rId351" Type="http://schemas.openxmlformats.org/officeDocument/2006/relationships/hyperlink" Target="https://4ammedia.zendesk.com/agent/tickets/254062" TargetMode="External"/><Relationship Id="rId350" Type="http://schemas.openxmlformats.org/officeDocument/2006/relationships/hyperlink" Target="https://4ammedia.zendesk.com/agent/tickets/253913" TargetMode="External"/><Relationship Id="rId114" Type="http://schemas.openxmlformats.org/officeDocument/2006/relationships/hyperlink" Target="https://horizondirect.gorgias.com/app/ticket/383028264" TargetMode="External"/><Relationship Id="rId235" Type="http://schemas.openxmlformats.org/officeDocument/2006/relationships/hyperlink" Target="https://4ammedia.zendesk.com/agent/tickets/147638" TargetMode="External"/><Relationship Id="rId356" Type="http://schemas.openxmlformats.org/officeDocument/2006/relationships/hyperlink" Target="https://4ammedia.zendesk.com/agent/tickets/257830" TargetMode="External"/><Relationship Id="rId113" Type="http://schemas.openxmlformats.org/officeDocument/2006/relationships/hyperlink" Target="https://horizondirect.gorgias.com/app/ticket/383026331" TargetMode="External"/><Relationship Id="rId234" Type="http://schemas.openxmlformats.org/officeDocument/2006/relationships/hyperlink" Target="https://4ammedia.zendesk.com/agent/tickets/143797" TargetMode="External"/><Relationship Id="rId355" Type="http://schemas.openxmlformats.org/officeDocument/2006/relationships/hyperlink" Target="https://4ammedia.zendesk.com/agent/tickets/256167" TargetMode="External"/><Relationship Id="rId112" Type="http://schemas.openxmlformats.org/officeDocument/2006/relationships/hyperlink" Target="https://horizondirect.gorgias.com/app/ticket/383007309" TargetMode="External"/><Relationship Id="rId233" Type="http://schemas.openxmlformats.org/officeDocument/2006/relationships/hyperlink" Target="https://4ammedia.zendesk.com/agent/tickets/143739" TargetMode="External"/><Relationship Id="rId354" Type="http://schemas.openxmlformats.org/officeDocument/2006/relationships/hyperlink" Target="https://4ammedia.zendesk.com/agent/tickets/256010" TargetMode="External"/><Relationship Id="rId111" Type="http://schemas.openxmlformats.org/officeDocument/2006/relationships/hyperlink" Target="https://horizondirect.gorgias.com/app/ticket/382415078" TargetMode="External"/><Relationship Id="rId232" Type="http://schemas.openxmlformats.org/officeDocument/2006/relationships/hyperlink" Target="https://4ammedia.zendesk.com/agent/tickets/143701" TargetMode="External"/><Relationship Id="rId353" Type="http://schemas.openxmlformats.org/officeDocument/2006/relationships/hyperlink" Target="https://4ammedia.zendesk.com/agent/tickets/254871" TargetMode="External"/><Relationship Id="rId305" Type="http://schemas.openxmlformats.org/officeDocument/2006/relationships/hyperlink" Target="https://4ammedia.zendesk.com/agent/tickets/206348" TargetMode="External"/><Relationship Id="rId304" Type="http://schemas.openxmlformats.org/officeDocument/2006/relationships/hyperlink" Target="https://4ammedia.zendesk.com/agent/tickets/204439" TargetMode="External"/><Relationship Id="rId303" Type="http://schemas.openxmlformats.org/officeDocument/2006/relationships/hyperlink" Target="https://4ammedia.zendesk.com/agent/tickets/204266" TargetMode="External"/><Relationship Id="rId302" Type="http://schemas.openxmlformats.org/officeDocument/2006/relationships/hyperlink" Target="https://4ammedia.zendesk.com/agent/tickets/204049" TargetMode="External"/><Relationship Id="rId309" Type="http://schemas.openxmlformats.org/officeDocument/2006/relationships/hyperlink" Target="https://4ammedia.zendesk.com/agent/tickets/211701" TargetMode="External"/><Relationship Id="rId308" Type="http://schemas.openxmlformats.org/officeDocument/2006/relationships/hyperlink" Target="https://4ammedia.zendesk.com/agent/tickets/211561" TargetMode="External"/><Relationship Id="rId307" Type="http://schemas.openxmlformats.org/officeDocument/2006/relationships/hyperlink" Target="https://4ammedia.zendesk.com/agent/tickets/206669" TargetMode="External"/><Relationship Id="rId306" Type="http://schemas.openxmlformats.org/officeDocument/2006/relationships/hyperlink" Target="https://4ammedia.zendesk.com/agent/tickets/206501" TargetMode="External"/><Relationship Id="rId301" Type="http://schemas.openxmlformats.org/officeDocument/2006/relationships/hyperlink" Target="https://4ammedia.zendesk.com/agent/tickets/202257" TargetMode="External"/><Relationship Id="rId300" Type="http://schemas.openxmlformats.org/officeDocument/2006/relationships/hyperlink" Target="https://4ammedia.zendesk.com/agent/tickets/202135" TargetMode="External"/><Relationship Id="rId206" Type="http://schemas.openxmlformats.org/officeDocument/2006/relationships/hyperlink" Target="https://assets.aircall.io/calls/3755805507/recording" TargetMode="External"/><Relationship Id="rId327" Type="http://schemas.openxmlformats.org/officeDocument/2006/relationships/hyperlink" Target="https://4ammedia.zendesk.com/agent/tickets/230255" TargetMode="External"/><Relationship Id="rId205" Type="http://schemas.openxmlformats.org/officeDocument/2006/relationships/hyperlink" Target="https://assets.aircall.io/calls/3755737323/recording" TargetMode="External"/><Relationship Id="rId326" Type="http://schemas.openxmlformats.org/officeDocument/2006/relationships/hyperlink" Target="https://4ammedia.zendesk.com/agent/tickets/230036" TargetMode="External"/><Relationship Id="rId204" Type="http://schemas.openxmlformats.org/officeDocument/2006/relationships/hyperlink" Target="https://assets.aircall.io/calls/3752599387/recording" TargetMode="External"/><Relationship Id="rId325" Type="http://schemas.openxmlformats.org/officeDocument/2006/relationships/hyperlink" Target="https://4ammedia.zendesk.com/agent/tickets/228564" TargetMode="External"/><Relationship Id="rId203" Type="http://schemas.openxmlformats.org/officeDocument/2006/relationships/hyperlink" Target="https://assets.aircall.io/calls/3752566261/recording" TargetMode="External"/><Relationship Id="rId324" Type="http://schemas.openxmlformats.org/officeDocument/2006/relationships/hyperlink" Target="https://4ammedia.zendesk.com/agent/tickets/228281" TargetMode="External"/><Relationship Id="rId209" Type="http://schemas.openxmlformats.org/officeDocument/2006/relationships/hyperlink" Target="https://assets.aircall.io/calls/3756779880/recording" TargetMode="External"/><Relationship Id="rId208" Type="http://schemas.openxmlformats.org/officeDocument/2006/relationships/hyperlink" Target="https://assets.aircall.io/calls/3756766550/recording" TargetMode="External"/><Relationship Id="rId329" Type="http://schemas.openxmlformats.org/officeDocument/2006/relationships/hyperlink" Target="https://4ammedia.zendesk.com/agent/tickets/236878" TargetMode="External"/><Relationship Id="rId207" Type="http://schemas.openxmlformats.org/officeDocument/2006/relationships/hyperlink" Target="https://assets.aircall.io/calls/3755836740/recording" TargetMode="External"/><Relationship Id="rId328" Type="http://schemas.openxmlformats.org/officeDocument/2006/relationships/hyperlink" Target="https://4ammedia.zendesk.com/agent/tickets/230293" TargetMode="External"/><Relationship Id="rId202" Type="http://schemas.openxmlformats.org/officeDocument/2006/relationships/hyperlink" Target="https://assets.aircall.io/calls/3752528009/recording" TargetMode="External"/><Relationship Id="rId323" Type="http://schemas.openxmlformats.org/officeDocument/2006/relationships/hyperlink" Target="https://4ammedia.zendesk.com/agent/tickets/228158" TargetMode="External"/><Relationship Id="rId201" Type="http://schemas.openxmlformats.org/officeDocument/2006/relationships/hyperlink" Target="https://assets.aircall.io/calls/3748465047/recording" TargetMode="External"/><Relationship Id="rId322" Type="http://schemas.openxmlformats.org/officeDocument/2006/relationships/hyperlink" Target="https://4ammedia.zendesk.com/agent/tickets/227067" TargetMode="External"/><Relationship Id="rId200" Type="http://schemas.openxmlformats.org/officeDocument/2006/relationships/hyperlink" Target="https://assets.aircall.io/calls/3748431382/recording" TargetMode="External"/><Relationship Id="rId321" Type="http://schemas.openxmlformats.org/officeDocument/2006/relationships/hyperlink" Target="https://4ammedia.zendesk.com/agent/tickets/227038" TargetMode="External"/><Relationship Id="rId320" Type="http://schemas.openxmlformats.org/officeDocument/2006/relationships/hyperlink" Target="https://4ammedia.zendesk.com/agent/tickets/227019" TargetMode="External"/><Relationship Id="rId316" Type="http://schemas.openxmlformats.org/officeDocument/2006/relationships/hyperlink" Target="https://4ammedia.zendesk.com/agent/tickets/215806" TargetMode="External"/><Relationship Id="rId315" Type="http://schemas.openxmlformats.org/officeDocument/2006/relationships/hyperlink" Target="https://4ammedia.zendesk.com/agent/tickets/215636" TargetMode="External"/><Relationship Id="rId314" Type="http://schemas.openxmlformats.org/officeDocument/2006/relationships/hyperlink" Target="https://4ammedia.zendesk.com/agent/tickets/215432" TargetMode="External"/><Relationship Id="rId313" Type="http://schemas.openxmlformats.org/officeDocument/2006/relationships/hyperlink" Target="https://4ammedia.zendesk.com/agent/tickets/214172" TargetMode="External"/><Relationship Id="rId319" Type="http://schemas.openxmlformats.org/officeDocument/2006/relationships/hyperlink" Target="https://4ammedia.zendesk.com/agent/tickets/217357" TargetMode="External"/><Relationship Id="rId318" Type="http://schemas.openxmlformats.org/officeDocument/2006/relationships/hyperlink" Target="https://4ammedia.zendesk.com/agent/tickets/217281" TargetMode="External"/><Relationship Id="rId317" Type="http://schemas.openxmlformats.org/officeDocument/2006/relationships/hyperlink" Target="https://4ammedia.zendesk.com/agent/tickets/217170" TargetMode="External"/><Relationship Id="rId312" Type="http://schemas.openxmlformats.org/officeDocument/2006/relationships/hyperlink" Target="https://4ammedia.zendesk.com/agent/tickets/213877" TargetMode="External"/><Relationship Id="rId311" Type="http://schemas.openxmlformats.org/officeDocument/2006/relationships/hyperlink" Target="https://4ammedia.zendesk.com/agent/tickets/213751" TargetMode="External"/><Relationship Id="rId310" Type="http://schemas.openxmlformats.org/officeDocument/2006/relationships/hyperlink" Target="https://4ammedia.zendesk.com/agent/tickets/211968"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assets.aircall.io/calls/3776180385/recording" TargetMode="External"/><Relationship Id="rId194" Type="http://schemas.openxmlformats.org/officeDocument/2006/relationships/hyperlink" Target="https://assets.aircall.io/calls/3781614177/recording" TargetMode="External"/><Relationship Id="rId193" Type="http://schemas.openxmlformats.org/officeDocument/2006/relationships/hyperlink" Target="https://assets.aircall.io/calls/3781500662/recording" TargetMode="External"/><Relationship Id="rId192" Type="http://schemas.openxmlformats.org/officeDocument/2006/relationships/hyperlink" Target="https://assets.aircall.io/calls/3776375531/recording" TargetMode="External"/><Relationship Id="rId191" Type="http://schemas.openxmlformats.org/officeDocument/2006/relationships/hyperlink" Target="https://assets.aircall.io/calls/3776351061/recording" TargetMode="External"/><Relationship Id="rId187" Type="http://schemas.openxmlformats.org/officeDocument/2006/relationships/hyperlink" Target="https://assets.aircall.io/calls/3772666843/recording" TargetMode="External"/><Relationship Id="rId186" Type="http://schemas.openxmlformats.org/officeDocument/2006/relationships/hyperlink" Target="https://assets.aircall.io/calls/3770038603/recording" TargetMode="External"/><Relationship Id="rId185" Type="http://schemas.openxmlformats.org/officeDocument/2006/relationships/hyperlink" Target="https://assets.aircall.io/calls/3770002147/recording" TargetMode="External"/><Relationship Id="rId184" Type="http://schemas.openxmlformats.org/officeDocument/2006/relationships/hyperlink" Target="https://assets.aircall.io/calls/3769972879/recording" TargetMode="External"/><Relationship Id="rId189" Type="http://schemas.openxmlformats.org/officeDocument/2006/relationships/hyperlink" Target="https://assets.aircall.io/calls/3772819445/recording" TargetMode="External"/><Relationship Id="rId188" Type="http://schemas.openxmlformats.org/officeDocument/2006/relationships/hyperlink" Target="https://assets.aircall.io/calls/3772742294/recording" TargetMode="External"/><Relationship Id="rId183" Type="http://schemas.openxmlformats.org/officeDocument/2006/relationships/hyperlink" Target="https://assets.aircall.io/calls/3765552129/recording" TargetMode="External"/><Relationship Id="rId182" Type="http://schemas.openxmlformats.org/officeDocument/2006/relationships/hyperlink" Target="https://assets.aircall.io/calls/3765537763/recording" TargetMode="External"/><Relationship Id="rId181" Type="http://schemas.openxmlformats.org/officeDocument/2006/relationships/hyperlink" Target="https://assets.aircall.io/calls/3765468140/recording" TargetMode="External"/><Relationship Id="rId180" Type="http://schemas.openxmlformats.org/officeDocument/2006/relationships/hyperlink" Target="https://assets.aircall.io/calls/3761180034/recording" TargetMode="External"/><Relationship Id="rId176" Type="http://schemas.openxmlformats.org/officeDocument/2006/relationships/hyperlink" Target="https://assets.aircall.io/calls/3755943679/recording" TargetMode="External"/><Relationship Id="rId297" Type="http://schemas.openxmlformats.org/officeDocument/2006/relationships/hyperlink" Target="https://4ammedia.zendesk.com/agent/tickets/224720" TargetMode="External"/><Relationship Id="rId175" Type="http://schemas.openxmlformats.org/officeDocument/2006/relationships/hyperlink" Target="https://assets.aircall.io/calls/3755863701/recording" TargetMode="External"/><Relationship Id="rId296" Type="http://schemas.openxmlformats.org/officeDocument/2006/relationships/hyperlink" Target="https://4ammedia.zendesk.com/agent/tickets/224428" TargetMode="External"/><Relationship Id="rId174" Type="http://schemas.openxmlformats.org/officeDocument/2006/relationships/hyperlink" Target="https://assets.aircall.io/calls/3752882101/recording" TargetMode="External"/><Relationship Id="rId295" Type="http://schemas.openxmlformats.org/officeDocument/2006/relationships/hyperlink" Target="https://4ammedia.zendesk.com/agent/tickets/224180" TargetMode="External"/><Relationship Id="rId173" Type="http://schemas.openxmlformats.org/officeDocument/2006/relationships/hyperlink" Target="https://assets.aircall.io/calls/3752857715/recording" TargetMode="External"/><Relationship Id="rId294" Type="http://schemas.openxmlformats.org/officeDocument/2006/relationships/hyperlink" Target="https://4ammedia.zendesk.com/agent/tickets/221412" TargetMode="External"/><Relationship Id="rId179" Type="http://schemas.openxmlformats.org/officeDocument/2006/relationships/hyperlink" Target="https://assets.aircall.io/calls/3761160118/recording" TargetMode="External"/><Relationship Id="rId178" Type="http://schemas.openxmlformats.org/officeDocument/2006/relationships/hyperlink" Target="https://assets.aircall.io/calls/3761081698/recording" TargetMode="External"/><Relationship Id="rId299" Type="http://schemas.openxmlformats.org/officeDocument/2006/relationships/hyperlink" Target="https://4ammedia.zendesk.com/agent/tickets/230436" TargetMode="External"/><Relationship Id="rId177" Type="http://schemas.openxmlformats.org/officeDocument/2006/relationships/hyperlink" Target="https://assets.aircall.io/calls/3756002902/recording" TargetMode="External"/><Relationship Id="rId298" Type="http://schemas.openxmlformats.org/officeDocument/2006/relationships/hyperlink" Target="https://4ammedia.zendesk.com/agent/tickets/230207" TargetMode="External"/><Relationship Id="rId198" Type="http://schemas.openxmlformats.org/officeDocument/2006/relationships/hyperlink" Target="https://assets.aircall.io/calls/3786257815/recording" TargetMode="External"/><Relationship Id="rId197" Type="http://schemas.openxmlformats.org/officeDocument/2006/relationships/hyperlink" Target="https://assets.aircall.io/calls/3786205634/recording" TargetMode="External"/><Relationship Id="rId196" Type="http://schemas.openxmlformats.org/officeDocument/2006/relationships/hyperlink" Target="https://assets.aircall.io/calls/3785900710/recording" TargetMode="External"/><Relationship Id="rId195" Type="http://schemas.openxmlformats.org/officeDocument/2006/relationships/hyperlink" Target="https://assets.aircall.io/calls/3781696423/recording" TargetMode="External"/><Relationship Id="rId199" Type="http://schemas.openxmlformats.org/officeDocument/2006/relationships/hyperlink" Target="https://4ammedia.zendesk.com/agent/tickets/145039" TargetMode="External"/><Relationship Id="rId150" Type="http://schemas.openxmlformats.org/officeDocument/2006/relationships/hyperlink" Target="https://horizondirect.gorgias.com/app/ticket/387879968" TargetMode="External"/><Relationship Id="rId271" Type="http://schemas.openxmlformats.org/officeDocument/2006/relationships/hyperlink" Target="https://4ammedia.zendesk.com/agent/tickets/206385" TargetMode="External"/><Relationship Id="rId270" Type="http://schemas.openxmlformats.org/officeDocument/2006/relationships/hyperlink" Target="https://4ammedia.zendesk.com/agent/tickets/200854" TargetMode="External"/><Relationship Id="rId1" Type="http://schemas.openxmlformats.org/officeDocument/2006/relationships/hyperlink" Target="https://horizondirect.gorgias.com/app/ticket/376146896" TargetMode="External"/><Relationship Id="rId2" Type="http://schemas.openxmlformats.org/officeDocument/2006/relationships/hyperlink" Target="https://horizondirect.gorgias.com/app/ticket/376104916" TargetMode="External"/><Relationship Id="rId3" Type="http://schemas.openxmlformats.org/officeDocument/2006/relationships/hyperlink" Target="https://horizondirect.gorgias.com/app/ticket/376111740" TargetMode="External"/><Relationship Id="rId149" Type="http://schemas.openxmlformats.org/officeDocument/2006/relationships/hyperlink" Target="https://horizondirect.gorgias.com/app/ticket/387874358" TargetMode="External"/><Relationship Id="rId4" Type="http://schemas.openxmlformats.org/officeDocument/2006/relationships/hyperlink" Target="https://horizondirect.gorgias.com/app/ticket/376261116" TargetMode="External"/><Relationship Id="rId148" Type="http://schemas.openxmlformats.org/officeDocument/2006/relationships/hyperlink" Target="https://horizondirect.gorgias.com/app/ticket/387868394" TargetMode="External"/><Relationship Id="rId269" Type="http://schemas.openxmlformats.org/officeDocument/2006/relationships/hyperlink" Target="https://4ammedia.zendesk.com/agent/tickets/200644" TargetMode="External"/><Relationship Id="rId9" Type="http://schemas.openxmlformats.org/officeDocument/2006/relationships/hyperlink" Target="https://horizondirect.gorgias.com/app/ticket/376437649" TargetMode="External"/><Relationship Id="rId143" Type="http://schemas.openxmlformats.org/officeDocument/2006/relationships/hyperlink" Target="https://assets.aircall.io/calls/3711735570/recording" TargetMode="External"/><Relationship Id="rId264" Type="http://schemas.openxmlformats.org/officeDocument/2006/relationships/hyperlink" Target="https://4ammedia.zendesk.com/agent/tickets/197911" TargetMode="External"/><Relationship Id="rId142" Type="http://schemas.openxmlformats.org/officeDocument/2006/relationships/hyperlink" Target="https://assets.aircall.io/calls/3711625247/recording" TargetMode="External"/><Relationship Id="rId263" Type="http://schemas.openxmlformats.org/officeDocument/2006/relationships/hyperlink" Target="https://4ammedia.zendesk.com/agent/tickets/197887" TargetMode="External"/><Relationship Id="rId141" Type="http://schemas.openxmlformats.org/officeDocument/2006/relationships/hyperlink" Target="https://assets.aircall.io/calls/3707789719/recording" TargetMode="External"/><Relationship Id="rId262" Type="http://schemas.openxmlformats.org/officeDocument/2006/relationships/hyperlink" Target="https://4ammedia.zendesk.com/agent/tickets/197802" TargetMode="External"/><Relationship Id="rId140" Type="http://schemas.openxmlformats.org/officeDocument/2006/relationships/hyperlink" Target="https://assets.aircall.io/calls/3707682946/recording" TargetMode="External"/><Relationship Id="rId261" Type="http://schemas.openxmlformats.org/officeDocument/2006/relationships/hyperlink" Target="https://4ammedia.zendesk.com/agent/tickets/196673" TargetMode="External"/><Relationship Id="rId5" Type="http://schemas.openxmlformats.org/officeDocument/2006/relationships/hyperlink" Target="https://horizondirect.gorgias.com/app/ticket/376301998" TargetMode="External"/><Relationship Id="rId147" Type="http://schemas.openxmlformats.org/officeDocument/2006/relationships/hyperlink" Target="https://horizondirect.gorgias.com/app/ticket/387661174" TargetMode="External"/><Relationship Id="rId268" Type="http://schemas.openxmlformats.org/officeDocument/2006/relationships/hyperlink" Target="https://4ammedia.zendesk.com/agent/tickets/200422" TargetMode="External"/><Relationship Id="rId6" Type="http://schemas.openxmlformats.org/officeDocument/2006/relationships/hyperlink" Target="https://horizondirect.gorgias.com/app/ticket/376298025" TargetMode="External"/><Relationship Id="rId146" Type="http://schemas.openxmlformats.org/officeDocument/2006/relationships/hyperlink" Target="https://horizondirect.gorgias.com/app/ticket/387656519" TargetMode="External"/><Relationship Id="rId267" Type="http://schemas.openxmlformats.org/officeDocument/2006/relationships/hyperlink" Target="https://4ammedia.zendesk.com/agent/tickets/199037" TargetMode="External"/><Relationship Id="rId7" Type="http://schemas.openxmlformats.org/officeDocument/2006/relationships/hyperlink" Target="https://horizondirect.gorgias.com/app/ticket/376401766" TargetMode="External"/><Relationship Id="rId145" Type="http://schemas.openxmlformats.org/officeDocument/2006/relationships/hyperlink" Target="https://horizondirect.gorgias.com/app/ticket/387649084" TargetMode="External"/><Relationship Id="rId266" Type="http://schemas.openxmlformats.org/officeDocument/2006/relationships/hyperlink" Target="https://4ammedia.zendesk.com/agent/tickets/199004" TargetMode="External"/><Relationship Id="rId8" Type="http://schemas.openxmlformats.org/officeDocument/2006/relationships/hyperlink" Target="https://horizondirect.gorgias.com/app/ticket/376422663" TargetMode="External"/><Relationship Id="rId144" Type="http://schemas.openxmlformats.org/officeDocument/2006/relationships/hyperlink" Target="https://assets.aircall.io/calls/3711828345/recording" TargetMode="External"/><Relationship Id="rId265" Type="http://schemas.openxmlformats.org/officeDocument/2006/relationships/hyperlink" Target="https://4ammedia.zendesk.com/agent/tickets/198965" TargetMode="External"/><Relationship Id="rId260" Type="http://schemas.openxmlformats.org/officeDocument/2006/relationships/hyperlink" Target="https://4ammedia.zendesk.com/agent/tickets/196471" TargetMode="External"/><Relationship Id="rId139" Type="http://schemas.openxmlformats.org/officeDocument/2006/relationships/hyperlink" Target="https://assets.aircall.io/calls/3707394796/recording" TargetMode="External"/><Relationship Id="rId138" Type="http://schemas.openxmlformats.org/officeDocument/2006/relationships/hyperlink" Target="https://assets.aircall.io/calls/3703628954/recording" TargetMode="External"/><Relationship Id="rId259" Type="http://schemas.openxmlformats.org/officeDocument/2006/relationships/hyperlink" Target="https://4ammedia.zendesk.com/agent/tickets/196323" TargetMode="External"/><Relationship Id="rId137" Type="http://schemas.openxmlformats.org/officeDocument/2006/relationships/hyperlink" Target="https://assets.aircall.io/calls/3703593784/recording" TargetMode="External"/><Relationship Id="rId258" Type="http://schemas.openxmlformats.org/officeDocument/2006/relationships/hyperlink" Target="https://4ammedia.zendesk.com/agent/tickets/195179" TargetMode="External"/><Relationship Id="rId132" Type="http://schemas.openxmlformats.org/officeDocument/2006/relationships/hyperlink" Target="https://horizondirect.gorgias.com/app/ticket/386754490" TargetMode="External"/><Relationship Id="rId253" Type="http://schemas.openxmlformats.org/officeDocument/2006/relationships/hyperlink" Target="https://4ammedia.zendesk.com/agent/tickets/189794" TargetMode="External"/><Relationship Id="rId131" Type="http://schemas.openxmlformats.org/officeDocument/2006/relationships/hyperlink" Target="https://horizondirect.gorgias.com/app/ticket/386751189" TargetMode="External"/><Relationship Id="rId252" Type="http://schemas.openxmlformats.org/officeDocument/2006/relationships/hyperlink" Target="https://4ammedia.zendesk.com/agent/tickets/178374" TargetMode="External"/><Relationship Id="rId130" Type="http://schemas.openxmlformats.org/officeDocument/2006/relationships/hyperlink" Target="https://horizondirect.gorgias.com/app/ticket/386743035" TargetMode="External"/><Relationship Id="rId251" Type="http://schemas.openxmlformats.org/officeDocument/2006/relationships/hyperlink" Target="https://4ammedia.zendesk.com/agent/tickets/178013" TargetMode="External"/><Relationship Id="rId250" Type="http://schemas.openxmlformats.org/officeDocument/2006/relationships/hyperlink" Target="https://4ammedia.zendesk.com/agent/tickets/178329" TargetMode="External"/><Relationship Id="rId136" Type="http://schemas.openxmlformats.org/officeDocument/2006/relationships/hyperlink" Target="https://assets.aircall.io/calls/3703466212/recording" TargetMode="External"/><Relationship Id="rId257" Type="http://schemas.openxmlformats.org/officeDocument/2006/relationships/hyperlink" Target="https://4ammedia.zendesk.com/agent/tickets/195174" TargetMode="External"/><Relationship Id="rId135" Type="http://schemas.openxmlformats.org/officeDocument/2006/relationships/hyperlink" Target="https://horizondirect.gorgias.com/app/ticket/386862304" TargetMode="External"/><Relationship Id="rId256" Type="http://schemas.openxmlformats.org/officeDocument/2006/relationships/hyperlink" Target="https://4ammedia.zendesk.com/agent/tickets/194964" TargetMode="External"/><Relationship Id="rId134" Type="http://schemas.openxmlformats.org/officeDocument/2006/relationships/hyperlink" Target="https://horizondirect.gorgias.com/app/ticket/386851609" TargetMode="External"/><Relationship Id="rId255" Type="http://schemas.openxmlformats.org/officeDocument/2006/relationships/hyperlink" Target="https://4ammedia.zendesk.com/agent/tickets/190248" TargetMode="External"/><Relationship Id="rId133" Type="http://schemas.openxmlformats.org/officeDocument/2006/relationships/hyperlink" Target="https://horizondirect.gorgias.com/app/ticket/386840263" TargetMode="External"/><Relationship Id="rId254" Type="http://schemas.openxmlformats.org/officeDocument/2006/relationships/hyperlink" Target="https://4ammedia.zendesk.com/agent/tickets/190065" TargetMode="External"/><Relationship Id="rId172" Type="http://schemas.openxmlformats.org/officeDocument/2006/relationships/hyperlink" Target="https://assets.aircall.io/calls/3752711764/recording" TargetMode="External"/><Relationship Id="rId293" Type="http://schemas.openxmlformats.org/officeDocument/2006/relationships/hyperlink" Target="https://4ammedia.zendesk.com/agent/tickets/221388" TargetMode="External"/><Relationship Id="rId171" Type="http://schemas.openxmlformats.org/officeDocument/2006/relationships/hyperlink" Target="https://assets.aircall.io/calls/3748701831/recording" TargetMode="External"/><Relationship Id="rId292" Type="http://schemas.openxmlformats.org/officeDocument/2006/relationships/hyperlink" Target="https://4ammedia.zendesk.com/agent/tickets/221118" TargetMode="External"/><Relationship Id="rId170" Type="http://schemas.openxmlformats.org/officeDocument/2006/relationships/hyperlink" Target="https://assets.aircall.io/calls/3748617102/recording" TargetMode="External"/><Relationship Id="rId291" Type="http://schemas.openxmlformats.org/officeDocument/2006/relationships/hyperlink" Target="https://4ammedia.zendesk.com/agent/tickets/219536" TargetMode="External"/><Relationship Id="rId290" Type="http://schemas.openxmlformats.org/officeDocument/2006/relationships/hyperlink" Target="https://4ammedia.zendesk.com/agent/tickets/219484" TargetMode="External"/><Relationship Id="rId165" Type="http://schemas.openxmlformats.org/officeDocument/2006/relationships/hyperlink" Target="https://assets.aircall.io/calls/3740227347/recording" TargetMode="External"/><Relationship Id="rId286" Type="http://schemas.openxmlformats.org/officeDocument/2006/relationships/hyperlink" Target="https://4ammedia.zendesk.com/agent/tickets/217526" TargetMode="External"/><Relationship Id="rId164" Type="http://schemas.openxmlformats.org/officeDocument/2006/relationships/hyperlink" Target="https://assets.aircall.io/calls/3740143329/recording" TargetMode="External"/><Relationship Id="rId285" Type="http://schemas.openxmlformats.org/officeDocument/2006/relationships/hyperlink" Target="https://4ammedia.zendesk.com/agent/tickets/212334" TargetMode="External"/><Relationship Id="rId163" Type="http://schemas.openxmlformats.org/officeDocument/2006/relationships/hyperlink" Target="https://assets.aircall.io/calls/3740106195/recording" TargetMode="External"/><Relationship Id="rId284" Type="http://schemas.openxmlformats.org/officeDocument/2006/relationships/hyperlink" Target="https://4ammedia.zendesk.com/agent/tickets/212101" TargetMode="External"/><Relationship Id="rId162" Type="http://schemas.openxmlformats.org/officeDocument/2006/relationships/hyperlink" Target="https://assets.aircall.io/calls/3736490986/recording" TargetMode="External"/><Relationship Id="rId283" Type="http://schemas.openxmlformats.org/officeDocument/2006/relationships/hyperlink" Target="https://4ammedia.zendesk.com/agent/tickets/211926" TargetMode="External"/><Relationship Id="rId169" Type="http://schemas.openxmlformats.org/officeDocument/2006/relationships/hyperlink" Target="https://assets.aircall.io/calls/3748538244/recording" TargetMode="External"/><Relationship Id="rId168" Type="http://schemas.openxmlformats.org/officeDocument/2006/relationships/hyperlink" Target="https://assets.aircall.io/calls/3744357028/recording" TargetMode="External"/><Relationship Id="rId289" Type="http://schemas.openxmlformats.org/officeDocument/2006/relationships/hyperlink" Target="https://4ammedia.zendesk.com/agent/tickets/219252" TargetMode="External"/><Relationship Id="rId167" Type="http://schemas.openxmlformats.org/officeDocument/2006/relationships/hyperlink" Target="https://assets.aircall.io/calls/3744320925/recording" TargetMode="External"/><Relationship Id="rId288" Type="http://schemas.openxmlformats.org/officeDocument/2006/relationships/hyperlink" Target="https://4ammedia.zendesk.com/agent/tickets/217754" TargetMode="External"/><Relationship Id="rId166" Type="http://schemas.openxmlformats.org/officeDocument/2006/relationships/hyperlink" Target="https://assets.aircall.io/calls/3744293371/recording" TargetMode="External"/><Relationship Id="rId287" Type="http://schemas.openxmlformats.org/officeDocument/2006/relationships/hyperlink" Target="https://4ammedia.zendesk.com/agent/tickets/217670" TargetMode="External"/><Relationship Id="rId161" Type="http://schemas.openxmlformats.org/officeDocument/2006/relationships/hyperlink" Target="https://assets.aircall.io/calls/3736480942/recording" TargetMode="External"/><Relationship Id="rId282" Type="http://schemas.openxmlformats.org/officeDocument/2006/relationships/hyperlink" Target="https://4ammedia.zendesk.com/agent/tickets/210664" TargetMode="External"/><Relationship Id="rId160" Type="http://schemas.openxmlformats.org/officeDocument/2006/relationships/hyperlink" Target="https://assets.aircall.io/calls/3736450167/recording" TargetMode="External"/><Relationship Id="rId281" Type="http://schemas.openxmlformats.org/officeDocument/2006/relationships/hyperlink" Target="https://4ammedia.zendesk.com/agent/tickets/210661" TargetMode="External"/><Relationship Id="rId280" Type="http://schemas.openxmlformats.org/officeDocument/2006/relationships/hyperlink" Target="https://4ammedia.zendesk.com/agent/tickets/210531" TargetMode="External"/><Relationship Id="rId159" Type="http://schemas.openxmlformats.org/officeDocument/2006/relationships/hyperlink" Target="https://assets.aircall.io/calls/3732845651/recording" TargetMode="External"/><Relationship Id="rId154" Type="http://schemas.openxmlformats.org/officeDocument/2006/relationships/hyperlink" Target="https://assets.aircall.io/calls/3728704051/recording" TargetMode="External"/><Relationship Id="rId275" Type="http://schemas.openxmlformats.org/officeDocument/2006/relationships/hyperlink" Target="https://4ammedia.zendesk.com/agent/tickets/208315" TargetMode="External"/><Relationship Id="rId153" Type="http://schemas.openxmlformats.org/officeDocument/2006/relationships/hyperlink" Target="https://assets.aircall.io/calls/3724633601/recording" TargetMode="External"/><Relationship Id="rId274" Type="http://schemas.openxmlformats.org/officeDocument/2006/relationships/hyperlink" Target="https://4ammedia.zendesk.com/agent/tickets/208171" TargetMode="External"/><Relationship Id="rId152" Type="http://schemas.openxmlformats.org/officeDocument/2006/relationships/hyperlink" Target="https://assets.aircall.io/calls/3724559490/recording" TargetMode="External"/><Relationship Id="rId273" Type="http://schemas.openxmlformats.org/officeDocument/2006/relationships/hyperlink" Target="https://4ammedia.zendesk.com/agent/tickets/206579" TargetMode="External"/><Relationship Id="rId151" Type="http://schemas.openxmlformats.org/officeDocument/2006/relationships/hyperlink" Target="https://assets.aircall.io/calls/3724520376/recording" TargetMode="External"/><Relationship Id="rId272" Type="http://schemas.openxmlformats.org/officeDocument/2006/relationships/hyperlink" Target="https://4ammedia.zendesk.com/agent/tickets/206399" TargetMode="External"/><Relationship Id="rId158" Type="http://schemas.openxmlformats.org/officeDocument/2006/relationships/hyperlink" Target="https://assets.aircall.io/calls/3732778522/recording" TargetMode="External"/><Relationship Id="rId279" Type="http://schemas.openxmlformats.org/officeDocument/2006/relationships/hyperlink" Target="https://4ammedia.zendesk.com/agent/tickets/209418" TargetMode="External"/><Relationship Id="rId157" Type="http://schemas.openxmlformats.org/officeDocument/2006/relationships/hyperlink" Target="https://assets.aircall.io/calls/3732755288/recording" TargetMode="External"/><Relationship Id="rId278" Type="http://schemas.openxmlformats.org/officeDocument/2006/relationships/hyperlink" Target="https://4ammedia.zendesk.com/agent/tickets/209394" TargetMode="External"/><Relationship Id="rId156" Type="http://schemas.openxmlformats.org/officeDocument/2006/relationships/hyperlink" Target="https://assets.aircall.io/calls/3728951608/recording" TargetMode="External"/><Relationship Id="rId277" Type="http://schemas.openxmlformats.org/officeDocument/2006/relationships/hyperlink" Target="https://4ammedia.zendesk.com/agent/tickets/209273" TargetMode="External"/><Relationship Id="rId155" Type="http://schemas.openxmlformats.org/officeDocument/2006/relationships/hyperlink" Target="https://assets.aircall.io/calls/3728923371/recording" TargetMode="External"/><Relationship Id="rId276" Type="http://schemas.openxmlformats.org/officeDocument/2006/relationships/hyperlink" Target="https://4ammedia.zendesk.com/agent/tickets/208362" TargetMode="External"/><Relationship Id="rId40" Type="http://schemas.openxmlformats.org/officeDocument/2006/relationships/hyperlink" Target="https://horizondirect.gorgias.com/app/ticket/381376489" TargetMode="External"/><Relationship Id="rId42" Type="http://schemas.openxmlformats.org/officeDocument/2006/relationships/hyperlink" Target="https://horizondirect.gorgias.com/app/ticket/381370391" TargetMode="External"/><Relationship Id="rId41" Type="http://schemas.openxmlformats.org/officeDocument/2006/relationships/hyperlink" Target="https://horizondirect.gorgias.com/app/ticket/381349939" TargetMode="External"/><Relationship Id="rId44" Type="http://schemas.openxmlformats.org/officeDocument/2006/relationships/hyperlink" Target="https://horizondirect.gorgias.com/app/ticket/381367783" TargetMode="External"/><Relationship Id="rId43" Type="http://schemas.openxmlformats.org/officeDocument/2006/relationships/hyperlink" Target="https://horizondirect.gorgias.com/app/ticket/381365022" TargetMode="External"/><Relationship Id="rId46" Type="http://schemas.openxmlformats.org/officeDocument/2006/relationships/hyperlink" Target="https://horizondirect.gorgias.com/app/ticket/381481478" TargetMode="External"/><Relationship Id="rId45" Type="http://schemas.openxmlformats.org/officeDocument/2006/relationships/hyperlink" Target="https://horizondirect.gorgias.com/app/ticket/381381449" TargetMode="External"/><Relationship Id="rId48" Type="http://schemas.openxmlformats.org/officeDocument/2006/relationships/hyperlink" Target="https://horizondirect.gorgias.com/app/ticket/381488126" TargetMode="External"/><Relationship Id="rId47" Type="http://schemas.openxmlformats.org/officeDocument/2006/relationships/hyperlink" Target="https://horizondirect.gorgias.com/app/ticket/381484631" TargetMode="External"/><Relationship Id="rId49" Type="http://schemas.openxmlformats.org/officeDocument/2006/relationships/hyperlink" Target="https://horizondirect.gorgias.com/app/ticket/381646153" TargetMode="External"/><Relationship Id="rId31" Type="http://schemas.openxmlformats.org/officeDocument/2006/relationships/hyperlink" Target="https://horizondirect.gorgias.com/app/ticket/380324822" TargetMode="External"/><Relationship Id="rId30" Type="http://schemas.openxmlformats.org/officeDocument/2006/relationships/hyperlink" Target="https://horizondirect.gorgias.com/app/ticket/380371686" TargetMode="External"/><Relationship Id="rId33" Type="http://schemas.openxmlformats.org/officeDocument/2006/relationships/hyperlink" Target="https://horizondirect.gorgias.com/app/ticket/379574136" TargetMode="External"/><Relationship Id="rId32" Type="http://schemas.openxmlformats.org/officeDocument/2006/relationships/hyperlink" Target="https://horizondirect.gorgias.com/app/ticket/380716614" TargetMode="External"/><Relationship Id="rId35" Type="http://schemas.openxmlformats.org/officeDocument/2006/relationships/hyperlink" Target="https://horizondirect.gorgias.com/app/ticket/379436702" TargetMode="External"/><Relationship Id="rId34" Type="http://schemas.openxmlformats.org/officeDocument/2006/relationships/hyperlink" Target="https://horizondirect.gorgias.com/app/ticket/380726963" TargetMode="External"/><Relationship Id="rId37" Type="http://schemas.openxmlformats.org/officeDocument/2006/relationships/hyperlink" Target="https://horizondirect.gorgias.com/app/ticket/381251575" TargetMode="External"/><Relationship Id="rId36" Type="http://schemas.openxmlformats.org/officeDocument/2006/relationships/hyperlink" Target="https://horizondirect.gorgias.com/app/ticket/380714408" TargetMode="External"/><Relationship Id="rId39" Type="http://schemas.openxmlformats.org/officeDocument/2006/relationships/hyperlink" Target="https://horizondirect.gorgias.com/app/ticket/381255027" TargetMode="External"/><Relationship Id="rId38" Type="http://schemas.openxmlformats.org/officeDocument/2006/relationships/hyperlink" Target="https://horizondirect.gorgias.com/app/ticket/381254037" TargetMode="External"/><Relationship Id="rId20" Type="http://schemas.openxmlformats.org/officeDocument/2006/relationships/hyperlink" Target="https://horizondirect.gorgias.com/app/ticket/379829980" TargetMode="External"/><Relationship Id="rId22" Type="http://schemas.openxmlformats.org/officeDocument/2006/relationships/hyperlink" Target="https://horizondirect.gorgias.com/app/ticket/380116275" TargetMode="External"/><Relationship Id="rId21" Type="http://schemas.openxmlformats.org/officeDocument/2006/relationships/hyperlink" Target="https://horizondirect.gorgias.com/app/ticket/379842607" TargetMode="External"/><Relationship Id="rId24" Type="http://schemas.openxmlformats.org/officeDocument/2006/relationships/hyperlink" Target="https://horizondirect.gorgias.com/app/ticket/380156559" TargetMode="External"/><Relationship Id="rId23" Type="http://schemas.openxmlformats.org/officeDocument/2006/relationships/hyperlink" Target="https://horizondirect.gorgias.com/app/ticket/380141921" TargetMode="External"/><Relationship Id="rId26" Type="http://schemas.openxmlformats.org/officeDocument/2006/relationships/hyperlink" Target="https://horizondirect.gorgias.com/app/ticket/380260616" TargetMode="External"/><Relationship Id="rId25" Type="http://schemas.openxmlformats.org/officeDocument/2006/relationships/hyperlink" Target="https://horizondirect.gorgias.com/app/ticket/380244984" TargetMode="External"/><Relationship Id="rId28" Type="http://schemas.openxmlformats.org/officeDocument/2006/relationships/hyperlink" Target="https://horizondirect.gorgias.com/app/ticket/380350488" TargetMode="External"/><Relationship Id="rId27" Type="http://schemas.openxmlformats.org/officeDocument/2006/relationships/hyperlink" Target="https://horizondirect.gorgias.com/app/ticket/380275873" TargetMode="External"/><Relationship Id="rId29" Type="http://schemas.openxmlformats.org/officeDocument/2006/relationships/hyperlink" Target="https://horizondirect.gorgias.com/app/ticket/380370488" TargetMode="External"/><Relationship Id="rId11" Type="http://schemas.openxmlformats.org/officeDocument/2006/relationships/hyperlink" Target="https://horizondirect.gorgias.com/app/ticket/376724254" TargetMode="External"/><Relationship Id="rId10" Type="http://schemas.openxmlformats.org/officeDocument/2006/relationships/hyperlink" Target="https://horizondirect.gorgias.com/app/ticket/376704054" TargetMode="External"/><Relationship Id="rId13" Type="http://schemas.openxmlformats.org/officeDocument/2006/relationships/hyperlink" Target="https://horizondirect.gorgias.com/app/ticket/376792578" TargetMode="External"/><Relationship Id="rId12" Type="http://schemas.openxmlformats.org/officeDocument/2006/relationships/hyperlink" Target="https://horizondirect.gorgias.com/app/ticket/376706349" TargetMode="External"/><Relationship Id="rId15" Type="http://schemas.openxmlformats.org/officeDocument/2006/relationships/hyperlink" Target="https://horizondirect.gorgias.com/app/ticket/376817573" TargetMode="External"/><Relationship Id="rId14" Type="http://schemas.openxmlformats.org/officeDocument/2006/relationships/hyperlink" Target="https://horizondirect.gorgias.com/app/ticket/376796013" TargetMode="External"/><Relationship Id="rId17" Type="http://schemas.openxmlformats.org/officeDocument/2006/relationships/hyperlink" Target="https://horizondirect.gorgias.com/app/ticket/379687319" TargetMode="External"/><Relationship Id="rId16" Type="http://schemas.openxmlformats.org/officeDocument/2006/relationships/hyperlink" Target="https://horizondirect.gorgias.com/app/ticket/379681295" TargetMode="External"/><Relationship Id="rId19" Type="http://schemas.openxmlformats.org/officeDocument/2006/relationships/hyperlink" Target="https://horizondirect.gorgias.com/app/ticket/379822783" TargetMode="External"/><Relationship Id="rId18" Type="http://schemas.openxmlformats.org/officeDocument/2006/relationships/hyperlink" Target="https://horizondirect.gorgias.com/app/ticket/379704478" TargetMode="External"/><Relationship Id="rId84" Type="http://schemas.openxmlformats.org/officeDocument/2006/relationships/hyperlink" Target="https://horizondirect.gorgias.com/app/ticket/383880434" TargetMode="External"/><Relationship Id="rId83" Type="http://schemas.openxmlformats.org/officeDocument/2006/relationships/hyperlink" Target="https://horizondirect.gorgias.com/app/ticket/383869917" TargetMode="External"/><Relationship Id="rId86" Type="http://schemas.openxmlformats.org/officeDocument/2006/relationships/hyperlink" Target="https://horizondirect.gorgias.com/app/ticket/384100980" TargetMode="External"/><Relationship Id="rId85" Type="http://schemas.openxmlformats.org/officeDocument/2006/relationships/hyperlink" Target="https://horizondirect.gorgias.com/app/ticket/384093797" TargetMode="External"/><Relationship Id="rId88" Type="http://schemas.openxmlformats.org/officeDocument/2006/relationships/hyperlink" Target="https://horizondirect.gorgias.com/app/ticket/384168381" TargetMode="External"/><Relationship Id="rId87" Type="http://schemas.openxmlformats.org/officeDocument/2006/relationships/hyperlink" Target="https://horizondirect.gorgias.com/app/ticket/384104884" TargetMode="External"/><Relationship Id="rId89" Type="http://schemas.openxmlformats.org/officeDocument/2006/relationships/hyperlink" Target="https://horizondirect.gorgias.com/app/ticket/384173964" TargetMode="External"/><Relationship Id="rId80" Type="http://schemas.openxmlformats.org/officeDocument/2006/relationships/hyperlink" Target="https://horizondirect.gorgias.com/app/ticket/383722970" TargetMode="External"/><Relationship Id="rId82" Type="http://schemas.openxmlformats.org/officeDocument/2006/relationships/hyperlink" Target="https://horizondirect.gorgias.com/app/ticket/383863961" TargetMode="External"/><Relationship Id="rId81" Type="http://schemas.openxmlformats.org/officeDocument/2006/relationships/hyperlink" Target="https://horizondirect.gorgias.com/app/ticket/383735260" TargetMode="External"/><Relationship Id="rId73" Type="http://schemas.openxmlformats.org/officeDocument/2006/relationships/hyperlink" Target="https://horizondirect.gorgias.com/app/ticket/383221173" TargetMode="External"/><Relationship Id="rId72" Type="http://schemas.openxmlformats.org/officeDocument/2006/relationships/hyperlink" Target="https://horizondirect.gorgias.com/app/ticket/383157291" TargetMode="External"/><Relationship Id="rId75" Type="http://schemas.openxmlformats.org/officeDocument/2006/relationships/hyperlink" Target="https://horizondirect.gorgias.com/app/ticket/383243868" TargetMode="External"/><Relationship Id="rId74" Type="http://schemas.openxmlformats.org/officeDocument/2006/relationships/hyperlink" Target="https://horizondirect.gorgias.com/app/ticket/383228588" TargetMode="External"/><Relationship Id="rId77" Type="http://schemas.openxmlformats.org/officeDocument/2006/relationships/hyperlink" Target="https://horizondirect.gorgias.com/app/ticket/383449183" TargetMode="External"/><Relationship Id="rId76" Type="http://schemas.openxmlformats.org/officeDocument/2006/relationships/hyperlink" Target="https://horizondirect.gorgias.com/app/ticket/383431861" TargetMode="External"/><Relationship Id="rId79" Type="http://schemas.openxmlformats.org/officeDocument/2006/relationships/hyperlink" Target="https://horizondirect.gorgias.com/app/ticket/383702713" TargetMode="External"/><Relationship Id="rId78" Type="http://schemas.openxmlformats.org/officeDocument/2006/relationships/hyperlink" Target="https://horizondirect.gorgias.com/app/ticket/383464294" TargetMode="External"/><Relationship Id="rId71" Type="http://schemas.openxmlformats.org/officeDocument/2006/relationships/hyperlink" Target="https://horizondirect.gorgias.com/app/ticket/383147677" TargetMode="External"/><Relationship Id="rId70" Type="http://schemas.openxmlformats.org/officeDocument/2006/relationships/hyperlink" Target="https://horizondirect.gorgias.com/app/ticket/383132948" TargetMode="External"/><Relationship Id="rId62" Type="http://schemas.openxmlformats.org/officeDocument/2006/relationships/hyperlink" Target="https://horizondirect.gorgias.com/app/ticket/382572679" TargetMode="External"/><Relationship Id="rId61" Type="http://schemas.openxmlformats.org/officeDocument/2006/relationships/hyperlink" Target="https://horizondirect.gorgias.com/app/ticket/382545099" TargetMode="External"/><Relationship Id="rId64" Type="http://schemas.openxmlformats.org/officeDocument/2006/relationships/hyperlink" Target="https://horizondirect.gorgias.com/app/ticket/382719493" TargetMode="External"/><Relationship Id="rId63" Type="http://schemas.openxmlformats.org/officeDocument/2006/relationships/hyperlink" Target="https://horizondirect.gorgias.com/app/ticket/382591627" TargetMode="External"/><Relationship Id="rId66" Type="http://schemas.openxmlformats.org/officeDocument/2006/relationships/hyperlink" Target="https://horizondirect.gorgias.com/app/ticket/382749837" TargetMode="External"/><Relationship Id="rId65" Type="http://schemas.openxmlformats.org/officeDocument/2006/relationships/hyperlink" Target="https://horizondirect.gorgias.com/app/ticket/382733618" TargetMode="External"/><Relationship Id="rId68" Type="http://schemas.openxmlformats.org/officeDocument/2006/relationships/hyperlink" Target="https://horizondirect.gorgias.com/app/ticket/382872852" TargetMode="External"/><Relationship Id="rId67" Type="http://schemas.openxmlformats.org/officeDocument/2006/relationships/hyperlink" Target="https://horizondirect.gorgias.com/app/ticket/382860297" TargetMode="External"/><Relationship Id="rId60" Type="http://schemas.openxmlformats.org/officeDocument/2006/relationships/hyperlink" Target="https://horizondirect.gorgias.com/app/ticket/382321079" TargetMode="External"/><Relationship Id="rId69" Type="http://schemas.openxmlformats.org/officeDocument/2006/relationships/hyperlink" Target="https://horizondirect.gorgias.com/app/ticket/382891620" TargetMode="External"/><Relationship Id="rId51" Type="http://schemas.openxmlformats.org/officeDocument/2006/relationships/hyperlink" Target="https://horizondirect.gorgias.com/app/ticket/381638990" TargetMode="External"/><Relationship Id="rId50" Type="http://schemas.openxmlformats.org/officeDocument/2006/relationships/hyperlink" Target="https://horizondirect.gorgias.com/app/ticket/381626764" TargetMode="External"/><Relationship Id="rId53" Type="http://schemas.openxmlformats.org/officeDocument/2006/relationships/hyperlink" Target="https://horizondirect.gorgias.com/app/ticket/381782889" TargetMode="External"/><Relationship Id="rId52" Type="http://schemas.openxmlformats.org/officeDocument/2006/relationships/hyperlink" Target="https://horizondirect.gorgias.com/app/ticket/381773285" TargetMode="External"/><Relationship Id="rId55" Type="http://schemas.openxmlformats.org/officeDocument/2006/relationships/hyperlink" Target="https://horizondirect.gorgias.com/app/ticket/382226917" TargetMode="External"/><Relationship Id="rId54" Type="http://schemas.openxmlformats.org/officeDocument/2006/relationships/hyperlink" Target="https://horizondirect.gorgias.com/app/ticket/381800966" TargetMode="External"/><Relationship Id="rId57" Type="http://schemas.openxmlformats.org/officeDocument/2006/relationships/hyperlink" Target="https://horizondirect.gorgias.com/app/ticket/382213811" TargetMode="External"/><Relationship Id="rId56" Type="http://schemas.openxmlformats.org/officeDocument/2006/relationships/hyperlink" Target="https://horizondirect.gorgias.com/app/ticket/382193814" TargetMode="External"/><Relationship Id="rId59" Type="http://schemas.openxmlformats.org/officeDocument/2006/relationships/hyperlink" Target="https://horizondirect.gorgias.com/app/ticket/382311350" TargetMode="External"/><Relationship Id="rId58" Type="http://schemas.openxmlformats.org/officeDocument/2006/relationships/hyperlink" Target="https://horizondirect.gorgias.com/app/ticket/382298673" TargetMode="External"/><Relationship Id="rId107" Type="http://schemas.openxmlformats.org/officeDocument/2006/relationships/hyperlink" Target="https://horizondirect.gorgias.com/app/ticket/385190907" TargetMode="External"/><Relationship Id="rId228" Type="http://schemas.openxmlformats.org/officeDocument/2006/relationships/hyperlink" Target="https://4ammedia.zendesk.com/agent/tickets/162833" TargetMode="External"/><Relationship Id="rId349" Type="http://schemas.openxmlformats.org/officeDocument/2006/relationships/drawing" Target="../drawings/drawing13.xml"/><Relationship Id="rId106" Type="http://schemas.openxmlformats.org/officeDocument/2006/relationships/hyperlink" Target="https://horizondirect.gorgias.com/app/ticket/385174956" TargetMode="External"/><Relationship Id="rId227" Type="http://schemas.openxmlformats.org/officeDocument/2006/relationships/hyperlink" Target="https://4ammedia.zendesk.com/agent/tickets/162684" TargetMode="External"/><Relationship Id="rId348" Type="http://schemas.openxmlformats.org/officeDocument/2006/relationships/hyperlink" Target="https://4ammedia.zendesk.com/agent/tickets/271259" TargetMode="External"/><Relationship Id="rId105" Type="http://schemas.openxmlformats.org/officeDocument/2006/relationships/hyperlink" Target="https://horizondirect.gorgias.com/app/ticket/385066942" TargetMode="External"/><Relationship Id="rId226" Type="http://schemas.openxmlformats.org/officeDocument/2006/relationships/hyperlink" Target="https://4ammedia.zendesk.com/agent/tickets/162610" TargetMode="External"/><Relationship Id="rId347" Type="http://schemas.openxmlformats.org/officeDocument/2006/relationships/hyperlink" Target="https://4ammedia.zendesk.com/agent/tickets/271203" TargetMode="External"/><Relationship Id="rId104" Type="http://schemas.openxmlformats.org/officeDocument/2006/relationships/hyperlink" Target="https://horizondirect.gorgias.com/app/ticket/385058950" TargetMode="External"/><Relationship Id="rId225" Type="http://schemas.openxmlformats.org/officeDocument/2006/relationships/hyperlink" Target="http://4ammedia.zendesk.com/agent/tickets/161195" TargetMode="External"/><Relationship Id="rId346" Type="http://schemas.openxmlformats.org/officeDocument/2006/relationships/hyperlink" Target="https://4ammedia.zendesk.com/agent/tickets/271150" TargetMode="External"/><Relationship Id="rId109" Type="http://schemas.openxmlformats.org/officeDocument/2006/relationships/hyperlink" Target="https://horizondirect.gorgias.com/app/ticket/385354904" TargetMode="External"/><Relationship Id="rId108" Type="http://schemas.openxmlformats.org/officeDocument/2006/relationships/hyperlink" Target="https://horizondirect.gorgias.com/app/ticket/385200575" TargetMode="External"/><Relationship Id="rId229" Type="http://schemas.openxmlformats.org/officeDocument/2006/relationships/hyperlink" Target="https://4ammedia.zendesk.com/agent/tickets/164241" TargetMode="External"/><Relationship Id="rId220" Type="http://schemas.openxmlformats.org/officeDocument/2006/relationships/hyperlink" Target="https://4ammedia.zendesk.com/agent/tickets/156782" TargetMode="External"/><Relationship Id="rId341" Type="http://schemas.openxmlformats.org/officeDocument/2006/relationships/hyperlink" Target="https://4ammedia.zendesk.com/agent/tickets/265674" TargetMode="External"/><Relationship Id="rId340" Type="http://schemas.openxmlformats.org/officeDocument/2006/relationships/hyperlink" Target="https://4ammedia.zendesk.com/agent/tickets/265482" TargetMode="External"/><Relationship Id="rId103" Type="http://schemas.openxmlformats.org/officeDocument/2006/relationships/hyperlink" Target="https://horizondirect.gorgias.com/app/ticket/385044541" TargetMode="External"/><Relationship Id="rId224" Type="http://schemas.openxmlformats.org/officeDocument/2006/relationships/hyperlink" Target="https://4ammedia.zendesk.com/agent/tickets/161082" TargetMode="External"/><Relationship Id="rId345" Type="http://schemas.openxmlformats.org/officeDocument/2006/relationships/hyperlink" Target="https://4ammedia.zendesk.com/agent/tickets/269964" TargetMode="External"/><Relationship Id="rId102" Type="http://schemas.openxmlformats.org/officeDocument/2006/relationships/hyperlink" Target="https://horizondirect.gorgias.com/app/ticket/384741175" TargetMode="External"/><Relationship Id="rId223" Type="http://schemas.openxmlformats.org/officeDocument/2006/relationships/hyperlink" Target="https://4ammedia.zendesk.com/agent/tickets/161013" TargetMode="External"/><Relationship Id="rId344" Type="http://schemas.openxmlformats.org/officeDocument/2006/relationships/hyperlink" Target="https://4ammedia.zendesk.com/agent/tickets/269791" TargetMode="External"/><Relationship Id="rId101" Type="http://schemas.openxmlformats.org/officeDocument/2006/relationships/hyperlink" Target="https://horizondirect.gorgias.com/app/ticket/384730924" TargetMode="External"/><Relationship Id="rId222" Type="http://schemas.openxmlformats.org/officeDocument/2006/relationships/hyperlink" Target="https://4ammedia.zendesk.com/agent/tickets/157135" TargetMode="External"/><Relationship Id="rId343" Type="http://schemas.openxmlformats.org/officeDocument/2006/relationships/hyperlink" Target="https://4ammedia.zendesk.com/agent/tickets/269704" TargetMode="External"/><Relationship Id="rId100" Type="http://schemas.openxmlformats.org/officeDocument/2006/relationships/hyperlink" Target="https://horizondirect.gorgias.com/app/ticket/384724795" TargetMode="External"/><Relationship Id="rId221" Type="http://schemas.openxmlformats.org/officeDocument/2006/relationships/hyperlink" Target="http://4ammedia.zendesk.com/agent/tickets/155823" TargetMode="External"/><Relationship Id="rId342" Type="http://schemas.openxmlformats.org/officeDocument/2006/relationships/hyperlink" Target="https://4ammedia.zendesk.com/agent/tickets/265739" TargetMode="External"/><Relationship Id="rId217" Type="http://schemas.openxmlformats.org/officeDocument/2006/relationships/hyperlink" Target="https://4ammedia.zendesk.com/agent/tickets/155577" TargetMode="External"/><Relationship Id="rId338" Type="http://schemas.openxmlformats.org/officeDocument/2006/relationships/hyperlink" Target="https://4ammedia.zendesk.com/agent/tickets/263668" TargetMode="External"/><Relationship Id="rId216" Type="http://schemas.openxmlformats.org/officeDocument/2006/relationships/hyperlink" Target="https://4ammedia.zendesk.com/agent/tickets/154319" TargetMode="External"/><Relationship Id="rId337" Type="http://schemas.openxmlformats.org/officeDocument/2006/relationships/hyperlink" Target="https://4ammedia.zendesk.com/agent/tickets/263346" TargetMode="External"/><Relationship Id="rId215" Type="http://schemas.openxmlformats.org/officeDocument/2006/relationships/hyperlink" Target="https://4ammedia.zendesk.com/agent/tickets/154217" TargetMode="External"/><Relationship Id="rId336" Type="http://schemas.openxmlformats.org/officeDocument/2006/relationships/hyperlink" Target="https://4ammedia.zendesk.com/agent/tickets/261780" TargetMode="External"/><Relationship Id="rId214" Type="http://schemas.openxmlformats.org/officeDocument/2006/relationships/hyperlink" Target="https://4ammedia.zendesk.com/agent/tickets/154118" TargetMode="External"/><Relationship Id="rId335" Type="http://schemas.openxmlformats.org/officeDocument/2006/relationships/hyperlink" Target="https://4ammedia.zendesk.com/agent/tickets/261644" TargetMode="External"/><Relationship Id="rId219" Type="http://schemas.openxmlformats.org/officeDocument/2006/relationships/hyperlink" Target="https://4ammedia.zendesk.com/agent/tickets/155903" TargetMode="External"/><Relationship Id="rId218" Type="http://schemas.openxmlformats.org/officeDocument/2006/relationships/hyperlink" Target="https://4ammedia.zendesk.com/agent/tickets/155748" TargetMode="External"/><Relationship Id="rId339" Type="http://schemas.openxmlformats.org/officeDocument/2006/relationships/hyperlink" Target="https://4ammedia.zendesk.com/agent/tickets/263941" TargetMode="External"/><Relationship Id="rId330" Type="http://schemas.openxmlformats.org/officeDocument/2006/relationships/hyperlink" Target="https://4ammedia.zendesk.com/agent/tickets/257965" TargetMode="External"/><Relationship Id="rId213" Type="http://schemas.openxmlformats.org/officeDocument/2006/relationships/hyperlink" Target="https://4ammedia.zendesk.com/agent/tickets/152674" TargetMode="External"/><Relationship Id="rId334" Type="http://schemas.openxmlformats.org/officeDocument/2006/relationships/hyperlink" Target="https://4ammedia.zendesk.com/agent/tickets/261436" TargetMode="External"/><Relationship Id="rId212" Type="http://schemas.openxmlformats.org/officeDocument/2006/relationships/hyperlink" Target="https://4ammedia.zendesk.com/agent/tickets/152588" TargetMode="External"/><Relationship Id="rId333" Type="http://schemas.openxmlformats.org/officeDocument/2006/relationships/hyperlink" Target="https://4ammedia.zendesk.com/agent/tickets/260398" TargetMode="External"/><Relationship Id="rId211" Type="http://schemas.openxmlformats.org/officeDocument/2006/relationships/hyperlink" Target="https://4ammedia.zendesk.com/agent/tickets/152495" TargetMode="External"/><Relationship Id="rId332" Type="http://schemas.openxmlformats.org/officeDocument/2006/relationships/hyperlink" Target="https://4ammedia.zendesk.com/agent/tickets/260296" TargetMode="External"/><Relationship Id="rId210" Type="http://schemas.openxmlformats.org/officeDocument/2006/relationships/hyperlink" Target="https://4ammedia.zendesk.com/agent/tickets/151093" TargetMode="External"/><Relationship Id="rId331" Type="http://schemas.openxmlformats.org/officeDocument/2006/relationships/hyperlink" Target="https://4ammedia.zendesk.com/agent/tickets/259953" TargetMode="External"/><Relationship Id="rId129" Type="http://schemas.openxmlformats.org/officeDocument/2006/relationships/hyperlink" Target="https://horizondirect.gorgias.com/app/ticket/386392709" TargetMode="External"/><Relationship Id="rId128" Type="http://schemas.openxmlformats.org/officeDocument/2006/relationships/hyperlink" Target="https://horizondirect.gorgias.com/app/ticket/386384644" TargetMode="External"/><Relationship Id="rId249" Type="http://schemas.openxmlformats.org/officeDocument/2006/relationships/hyperlink" Target="https://4ammedia.zendesk.com/agent/tickets/177465" TargetMode="External"/><Relationship Id="rId127" Type="http://schemas.openxmlformats.org/officeDocument/2006/relationships/hyperlink" Target="https://horizondirect.gorgias.com/app/ticket/386356120" TargetMode="External"/><Relationship Id="rId248" Type="http://schemas.openxmlformats.org/officeDocument/2006/relationships/hyperlink" Target="https://4ammedia.zendesk.com/agent/tickets/177379" TargetMode="External"/><Relationship Id="rId126" Type="http://schemas.openxmlformats.org/officeDocument/2006/relationships/hyperlink" Target="https://horizondirect.gorgias.com/app/ticket/386224699" TargetMode="External"/><Relationship Id="rId247" Type="http://schemas.openxmlformats.org/officeDocument/2006/relationships/hyperlink" Target="https://4ammedia.zendesk.com/agent/tickets/177313" TargetMode="External"/><Relationship Id="rId121" Type="http://schemas.openxmlformats.org/officeDocument/2006/relationships/hyperlink" Target="https://horizondirect.gorgias.com/app/ticket/386072788" TargetMode="External"/><Relationship Id="rId242" Type="http://schemas.openxmlformats.org/officeDocument/2006/relationships/hyperlink" Target="https://4ammedia.zendesk.com/agent/tickets/173210" TargetMode="External"/><Relationship Id="rId120" Type="http://schemas.openxmlformats.org/officeDocument/2006/relationships/hyperlink" Target="https://horizondirect.gorgias.com/app/ticket/385941473" TargetMode="External"/><Relationship Id="rId241" Type="http://schemas.openxmlformats.org/officeDocument/2006/relationships/hyperlink" Target="https://4ammedia.zendesk.com/agent/tickets/173125" TargetMode="External"/><Relationship Id="rId240" Type="http://schemas.openxmlformats.org/officeDocument/2006/relationships/hyperlink" Target="https://4ammedia.zendesk.com/agent/tickets/171815" TargetMode="External"/><Relationship Id="rId125" Type="http://schemas.openxmlformats.org/officeDocument/2006/relationships/hyperlink" Target="https://horizondirect.gorgias.com/app/ticket/386228626" TargetMode="External"/><Relationship Id="rId246" Type="http://schemas.openxmlformats.org/officeDocument/2006/relationships/hyperlink" Target="https://4ammedia.zendesk.com/agent/tickets/174926" TargetMode="External"/><Relationship Id="rId124" Type="http://schemas.openxmlformats.org/officeDocument/2006/relationships/hyperlink" Target="https://horizondirect.gorgias.com/app/ticket/386235092" TargetMode="External"/><Relationship Id="rId245" Type="http://schemas.openxmlformats.org/officeDocument/2006/relationships/hyperlink" Target="https://4ammedia.zendesk.com/agent/tickets/174904" TargetMode="External"/><Relationship Id="rId123" Type="http://schemas.openxmlformats.org/officeDocument/2006/relationships/hyperlink" Target="https://horizondirect.gorgias.com/app/ticket/386096588" TargetMode="External"/><Relationship Id="rId244" Type="http://schemas.openxmlformats.org/officeDocument/2006/relationships/hyperlink" Target="http://4ammedia.zendesk.com/agent/tickets/174853" TargetMode="External"/><Relationship Id="rId122" Type="http://schemas.openxmlformats.org/officeDocument/2006/relationships/hyperlink" Target="https://horizondirect.gorgias.com/app/ticket/386081252" TargetMode="External"/><Relationship Id="rId243" Type="http://schemas.openxmlformats.org/officeDocument/2006/relationships/hyperlink" Target="https://4ammedia.zendesk.com/agent/tickets/173332" TargetMode="External"/><Relationship Id="rId95" Type="http://schemas.openxmlformats.org/officeDocument/2006/relationships/hyperlink" Target="https://horizondirect.gorgias.com/app/ticket/384461390" TargetMode="External"/><Relationship Id="rId94" Type="http://schemas.openxmlformats.org/officeDocument/2006/relationships/hyperlink" Target="https://horizondirect.gorgias.com/app/ticket/384452602" TargetMode="External"/><Relationship Id="rId97" Type="http://schemas.openxmlformats.org/officeDocument/2006/relationships/hyperlink" Target="https://horizondirect.gorgias.com/app/ticket/384576499" TargetMode="External"/><Relationship Id="rId96" Type="http://schemas.openxmlformats.org/officeDocument/2006/relationships/hyperlink" Target="https://horizondirect.gorgias.com/app/ticket/384454691" TargetMode="External"/><Relationship Id="rId99" Type="http://schemas.openxmlformats.org/officeDocument/2006/relationships/hyperlink" Target="https://horizondirect.gorgias.com/app/ticket/384594944" TargetMode="External"/><Relationship Id="rId98" Type="http://schemas.openxmlformats.org/officeDocument/2006/relationships/hyperlink" Target="https://horizondirect.gorgias.com/app/ticket/384586904" TargetMode="External"/><Relationship Id="rId91" Type="http://schemas.openxmlformats.org/officeDocument/2006/relationships/hyperlink" Target="https://horizondirect.gorgias.com/app/ticket/384296283" TargetMode="External"/><Relationship Id="rId90" Type="http://schemas.openxmlformats.org/officeDocument/2006/relationships/hyperlink" Target="https://horizondirect.gorgias.com/app/ticket/384185906" TargetMode="External"/><Relationship Id="rId93" Type="http://schemas.openxmlformats.org/officeDocument/2006/relationships/hyperlink" Target="https://horizondirect.gorgias.com/app/ticket/384313108" TargetMode="External"/><Relationship Id="rId92" Type="http://schemas.openxmlformats.org/officeDocument/2006/relationships/hyperlink" Target="https://horizondirect.gorgias.com/app/ticket/384303422" TargetMode="External"/><Relationship Id="rId118" Type="http://schemas.openxmlformats.org/officeDocument/2006/relationships/hyperlink" Target="https://horizondirect.gorgias.com/app/ticket/385953180" TargetMode="External"/><Relationship Id="rId239" Type="http://schemas.openxmlformats.org/officeDocument/2006/relationships/hyperlink" Target="https://4ammedia.zendesk.com/agent/tickets/171752" TargetMode="External"/><Relationship Id="rId117" Type="http://schemas.openxmlformats.org/officeDocument/2006/relationships/hyperlink" Target="https://horizondirect.gorgias.com/app/ticket/385852001" TargetMode="External"/><Relationship Id="rId238" Type="http://schemas.openxmlformats.org/officeDocument/2006/relationships/hyperlink" Target="https://4ammedia.zendesk.com/agent/tickets/171480" TargetMode="External"/><Relationship Id="rId116" Type="http://schemas.openxmlformats.org/officeDocument/2006/relationships/hyperlink" Target="https://horizondirect.gorgias.com/app/ticket/385856072" TargetMode="External"/><Relationship Id="rId237" Type="http://schemas.openxmlformats.org/officeDocument/2006/relationships/hyperlink" Target="https://4ammedia.zendesk.com/agent/tickets/167218" TargetMode="External"/><Relationship Id="rId115" Type="http://schemas.openxmlformats.org/officeDocument/2006/relationships/hyperlink" Target="https://horizondirect.gorgias.com/app/ticket/385861537" TargetMode="External"/><Relationship Id="rId236" Type="http://schemas.openxmlformats.org/officeDocument/2006/relationships/hyperlink" Target="https://4ammedia.zendesk.com/agent/tickets/167202" TargetMode="External"/><Relationship Id="rId119" Type="http://schemas.openxmlformats.org/officeDocument/2006/relationships/hyperlink" Target="https://horizondirect.gorgias.com/app/ticket/385944377" TargetMode="External"/><Relationship Id="rId110" Type="http://schemas.openxmlformats.org/officeDocument/2006/relationships/hyperlink" Target="https://horizondirect.gorgias.com/app/ticket/385338498" TargetMode="External"/><Relationship Id="rId231" Type="http://schemas.openxmlformats.org/officeDocument/2006/relationships/hyperlink" Target="https://4ammedia.zendesk.com/agent/tickets/164474" TargetMode="External"/><Relationship Id="rId352" Type="http://schemas.openxmlformats.org/officeDocument/2006/relationships/table" Target="../tables/table151.xml"/><Relationship Id="rId230" Type="http://schemas.openxmlformats.org/officeDocument/2006/relationships/hyperlink" Target="https://4ammedia.zendesk.com/agent/tickets/164334" TargetMode="External"/><Relationship Id="rId114" Type="http://schemas.openxmlformats.org/officeDocument/2006/relationships/hyperlink" Target="https://horizondirect.gorgias.com/app/ticket/385481664" TargetMode="External"/><Relationship Id="rId235" Type="http://schemas.openxmlformats.org/officeDocument/2006/relationships/hyperlink" Target="https://4ammedia.zendesk.com/agent/tickets/167101" TargetMode="External"/><Relationship Id="rId113" Type="http://schemas.openxmlformats.org/officeDocument/2006/relationships/hyperlink" Target="https://horizondirect.gorgias.com/app/ticket/385476457" TargetMode="External"/><Relationship Id="rId234" Type="http://schemas.openxmlformats.org/officeDocument/2006/relationships/hyperlink" Target="https://4ammedia.zendesk.com/agent/tickets/165873" TargetMode="External"/><Relationship Id="rId112" Type="http://schemas.openxmlformats.org/officeDocument/2006/relationships/hyperlink" Target="https://horizondirect.gorgias.com/app/ticket/385461727" TargetMode="External"/><Relationship Id="rId233" Type="http://schemas.openxmlformats.org/officeDocument/2006/relationships/hyperlink" Target="https://4ammedia.zendesk.com/agent/tickets/165802" TargetMode="External"/><Relationship Id="rId111" Type="http://schemas.openxmlformats.org/officeDocument/2006/relationships/hyperlink" Target="https://horizondirect.gorgias.com/app/ticket/385341670" TargetMode="External"/><Relationship Id="rId232" Type="http://schemas.openxmlformats.org/officeDocument/2006/relationships/hyperlink" Target="https://4ammedia.zendesk.com/agent/tickets/165632" TargetMode="External"/><Relationship Id="rId353" Type="http://schemas.openxmlformats.org/officeDocument/2006/relationships/table" Target="../tables/table152.xml"/><Relationship Id="rId305" Type="http://schemas.openxmlformats.org/officeDocument/2006/relationships/hyperlink" Target="https://4ammedia.zendesk.com/agent/tickets/234047" TargetMode="External"/><Relationship Id="rId304" Type="http://schemas.openxmlformats.org/officeDocument/2006/relationships/hyperlink" Target="https://4ammedia.zendesk.com/agent/tickets/233958" TargetMode="External"/><Relationship Id="rId303" Type="http://schemas.openxmlformats.org/officeDocument/2006/relationships/hyperlink" Target="https://4ammedia.zendesk.com/agent/tickets/232629" TargetMode="External"/><Relationship Id="rId302" Type="http://schemas.openxmlformats.org/officeDocument/2006/relationships/hyperlink" Target="https://4ammedia.zendesk.com/agent/tickets/232568" TargetMode="External"/><Relationship Id="rId309" Type="http://schemas.openxmlformats.org/officeDocument/2006/relationships/hyperlink" Target="https://4ammedia.zendesk.com/agent/tickets/237281" TargetMode="External"/><Relationship Id="rId308" Type="http://schemas.openxmlformats.org/officeDocument/2006/relationships/hyperlink" Target="https://4ammedia.zendesk.com/agent/tickets/237064" TargetMode="External"/><Relationship Id="rId307" Type="http://schemas.openxmlformats.org/officeDocument/2006/relationships/hyperlink" Target="https://4ammedia.zendesk.com/agent/tickets/237005" TargetMode="External"/><Relationship Id="rId306" Type="http://schemas.openxmlformats.org/officeDocument/2006/relationships/hyperlink" Target="https://4ammedia.zendesk.com/agent/tickets/234008" TargetMode="External"/><Relationship Id="rId301" Type="http://schemas.openxmlformats.org/officeDocument/2006/relationships/hyperlink" Target="https://4ammedia.zendesk.com/agent/tickets/232412" TargetMode="External"/><Relationship Id="rId300" Type="http://schemas.openxmlformats.org/officeDocument/2006/relationships/hyperlink" Target="https://4ammedia.zendesk.com/agent/tickets/230606" TargetMode="External"/><Relationship Id="rId206" Type="http://schemas.openxmlformats.org/officeDocument/2006/relationships/hyperlink" Target="https://4ammedia.zendesk.com/agent/tickets/147667" TargetMode="External"/><Relationship Id="rId327" Type="http://schemas.openxmlformats.org/officeDocument/2006/relationships/hyperlink" Target="https://4ammedia.zendesk.com/agent/tickets/256576" TargetMode="External"/><Relationship Id="rId205" Type="http://schemas.openxmlformats.org/officeDocument/2006/relationships/hyperlink" Target="http://4ammedia.zendesk.com/agent/tickets/147504" TargetMode="External"/><Relationship Id="rId326" Type="http://schemas.openxmlformats.org/officeDocument/2006/relationships/hyperlink" Target="https://4ammedia.zendesk.com/agent/tickets/256417" TargetMode="External"/><Relationship Id="rId204" Type="http://schemas.openxmlformats.org/officeDocument/2006/relationships/hyperlink" Target="https://4ammedia.zendesk.com/agent/tickets/146522" TargetMode="External"/><Relationship Id="rId325" Type="http://schemas.openxmlformats.org/officeDocument/2006/relationships/hyperlink" Target="https://4ammedia.zendesk.com/agent/tickets/256317" TargetMode="External"/><Relationship Id="rId203" Type="http://schemas.openxmlformats.org/officeDocument/2006/relationships/hyperlink" Target="https://4ammedia.zendesk.com/agent/tickets/146420" TargetMode="External"/><Relationship Id="rId324" Type="http://schemas.openxmlformats.org/officeDocument/2006/relationships/hyperlink" Target="https://4ammedia.zendesk.com/agent/tickets/250321" TargetMode="External"/><Relationship Id="rId209" Type="http://schemas.openxmlformats.org/officeDocument/2006/relationships/hyperlink" Target="https://4ammedia.zendesk.com/agent/tickets/150997" TargetMode="External"/><Relationship Id="rId208" Type="http://schemas.openxmlformats.org/officeDocument/2006/relationships/hyperlink" Target="https://4ammedia.zendesk.com/agent/tickets/150861" TargetMode="External"/><Relationship Id="rId329" Type="http://schemas.openxmlformats.org/officeDocument/2006/relationships/hyperlink" Target="https://4ammedia.zendesk.com/agent/tickets/257899" TargetMode="External"/><Relationship Id="rId207" Type="http://schemas.openxmlformats.org/officeDocument/2006/relationships/hyperlink" Target="https://4ammedia.zendesk.com/agent/tickets/147798" TargetMode="External"/><Relationship Id="rId328" Type="http://schemas.openxmlformats.org/officeDocument/2006/relationships/hyperlink" Target="https://4ammedia.zendesk.com/agent/tickets/257853" TargetMode="External"/><Relationship Id="rId202" Type="http://schemas.openxmlformats.org/officeDocument/2006/relationships/hyperlink" Target="https://4ammedia.zendesk.com/agent/tickets/146395" TargetMode="External"/><Relationship Id="rId323" Type="http://schemas.openxmlformats.org/officeDocument/2006/relationships/hyperlink" Target="https://4ammedia.zendesk.com/agent/tickets/250118" TargetMode="External"/><Relationship Id="rId201" Type="http://schemas.openxmlformats.org/officeDocument/2006/relationships/hyperlink" Target="https://4ammedia.zendesk.com/agent/tickets/145310" TargetMode="External"/><Relationship Id="rId322" Type="http://schemas.openxmlformats.org/officeDocument/2006/relationships/hyperlink" Target="https://4ammedia.zendesk.com/agent/tickets/249935" TargetMode="External"/><Relationship Id="rId200" Type="http://schemas.openxmlformats.org/officeDocument/2006/relationships/hyperlink" Target="https://4ammedia.zendesk.com/agent/tickets/145228" TargetMode="External"/><Relationship Id="rId321" Type="http://schemas.openxmlformats.org/officeDocument/2006/relationships/hyperlink" Target="https://4ammedia.zendesk.com/agent/tickets/248435" TargetMode="External"/><Relationship Id="rId320" Type="http://schemas.openxmlformats.org/officeDocument/2006/relationships/hyperlink" Target="https://4ammedia.zendesk.com/agent/tickets/248422" TargetMode="External"/><Relationship Id="rId316" Type="http://schemas.openxmlformats.org/officeDocument/2006/relationships/hyperlink" Target="https://4ammedia.zendesk.com/agent/tickets/246811" TargetMode="External"/><Relationship Id="rId315" Type="http://schemas.openxmlformats.org/officeDocument/2006/relationships/hyperlink" Target="https://4ammedia.zendesk.com/agent/tickets/245728" TargetMode="External"/><Relationship Id="rId314" Type="http://schemas.openxmlformats.org/officeDocument/2006/relationships/hyperlink" Target="https://4ammedia.zendesk.com/agent/tickets/245630" TargetMode="External"/><Relationship Id="rId313" Type="http://schemas.openxmlformats.org/officeDocument/2006/relationships/hyperlink" Target="https://4ammedia.zendesk.com/agent/tickets/245482" TargetMode="External"/><Relationship Id="rId319" Type="http://schemas.openxmlformats.org/officeDocument/2006/relationships/hyperlink" Target="https://4ammedia.zendesk.com/agent/tickets/248385" TargetMode="External"/><Relationship Id="rId318" Type="http://schemas.openxmlformats.org/officeDocument/2006/relationships/hyperlink" Target="https://4ammedia.zendesk.com/agent/tickets/246996" TargetMode="External"/><Relationship Id="rId317" Type="http://schemas.openxmlformats.org/officeDocument/2006/relationships/hyperlink" Target="https://4ammedia.zendesk.com/agent/tickets/246900" TargetMode="External"/><Relationship Id="rId312" Type="http://schemas.openxmlformats.org/officeDocument/2006/relationships/hyperlink" Target="https://4ammedia.zendesk.com/agent/tickets/243597" TargetMode="External"/><Relationship Id="rId311" Type="http://schemas.openxmlformats.org/officeDocument/2006/relationships/hyperlink" Target="https://4ammedia.zendesk.com/agent/tickets/243530" TargetMode="External"/><Relationship Id="rId310" Type="http://schemas.openxmlformats.org/officeDocument/2006/relationships/hyperlink" Target="https://4ammedia.zendesk.com/agent/tickets/243375"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8.25"/>
    <col customWidth="1" min="2" max="2" width="19.5"/>
    <col customWidth="1" min="3" max="3" width="15.0"/>
  </cols>
  <sheetData>
    <row r="1">
      <c r="A1" s="1" t="s">
        <v>0</v>
      </c>
    </row>
    <row r="2">
      <c r="A2" s="2" t="s">
        <v>1</v>
      </c>
      <c r="B2" s="2" t="s">
        <v>2</v>
      </c>
      <c r="C2" s="2" t="s">
        <v>3</v>
      </c>
    </row>
    <row r="3">
      <c r="A3" s="3" t="s">
        <v>4</v>
      </c>
      <c r="B3" s="3" t="s">
        <v>5</v>
      </c>
      <c r="C3" s="3" t="s">
        <v>6</v>
      </c>
    </row>
    <row r="4">
      <c r="A4" s="4" t="s">
        <v>7</v>
      </c>
      <c r="B4" s="3" t="s">
        <v>15</v>
      </c>
      <c r="C4" s="3" t="s">
        <v>6</v>
      </c>
    </row>
    <row r="5">
      <c r="A5" s="3" t="s">
        <v>16</v>
      </c>
      <c r="B5" s="3" t="s">
        <v>17</v>
      </c>
      <c r="C5" s="3" t="s">
        <v>6</v>
      </c>
    </row>
    <row r="6">
      <c r="A6" s="3" t="s">
        <v>18</v>
      </c>
      <c r="B6" s="3" t="s">
        <v>19</v>
      </c>
      <c r="C6" s="3" t="s">
        <v>6</v>
      </c>
    </row>
    <row r="7">
      <c r="A7" s="3" t="s">
        <v>21</v>
      </c>
      <c r="B7" s="3" t="s">
        <v>23</v>
      </c>
      <c r="C7" s="3" t="s">
        <v>25</v>
      </c>
    </row>
    <row r="8">
      <c r="A8" s="15"/>
      <c r="B8" s="3" t="s">
        <v>29</v>
      </c>
      <c r="C8" s="3" t="s">
        <v>31</v>
      </c>
    </row>
    <row r="9">
      <c r="A9" s="3" t="s">
        <v>32</v>
      </c>
      <c r="B9" s="3" t="s">
        <v>34</v>
      </c>
      <c r="C9" s="3" t="s">
        <v>6</v>
      </c>
    </row>
    <row r="10">
      <c r="A10" s="3"/>
      <c r="B10" s="3" t="s">
        <v>37</v>
      </c>
      <c r="C10" s="3" t="s">
        <v>38</v>
      </c>
    </row>
    <row r="11">
      <c r="A11" s="15" t="s">
        <v>40</v>
      </c>
      <c r="B11" s="3" t="s">
        <v>41</v>
      </c>
      <c r="C11" s="3" t="s">
        <v>42</v>
      </c>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5.0"/>
    <col customWidth="1" min="2" max="2" width="32.63"/>
    <col customWidth="1" min="3" max="3" width="15.0"/>
    <col customWidth="1" min="4" max="4" width="17.63"/>
    <col customWidth="1" hidden="1" min="5" max="10" width="17.63"/>
  </cols>
  <sheetData>
    <row r="1">
      <c r="A1" s="13" t="s">
        <v>1</v>
      </c>
      <c r="B1" s="13" t="s">
        <v>2</v>
      </c>
      <c r="C1" s="13" t="s">
        <v>20</v>
      </c>
      <c r="D1" s="13" t="s">
        <v>22</v>
      </c>
      <c r="E1" s="14" t="s">
        <v>24</v>
      </c>
      <c r="F1" s="14" t="s">
        <v>26</v>
      </c>
      <c r="G1" s="14" t="s">
        <v>28</v>
      </c>
      <c r="H1" s="14" t="s">
        <v>30</v>
      </c>
      <c r="I1" s="14" t="s">
        <v>33</v>
      </c>
      <c r="J1" s="14" t="s">
        <v>35</v>
      </c>
    </row>
    <row r="2">
      <c r="A2" s="17" t="s">
        <v>36</v>
      </c>
      <c r="B2" s="19" t="s">
        <v>39</v>
      </c>
      <c r="C2" s="20">
        <v>9.082352381E9</v>
      </c>
      <c r="D2" s="21">
        <v>36790.0</v>
      </c>
      <c r="E2" s="22" t="s">
        <v>43</v>
      </c>
      <c r="F2" s="20" t="s">
        <v>44</v>
      </c>
      <c r="G2" s="20" t="s">
        <v>45</v>
      </c>
      <c r="H2" s="20" t="s">
        <v>46</v>
      </c>
      <c r="I2" s="20">
        <v>4123.0</v>
      </c>
      <c r="J2" s="20" t="s">
        <v>47</v>
      </c>
    </row>
    <row r="3">
      <c r="A3" s="23" t="s">
        <v>4</v>
      </c>
      <c r="B3" s="24" t="s">
        <v>48</v>
      </c>
      <c r="C3" s="25">
        <v>6.39665294367E11</v>
      </c>
      <c r="D3" s="26">
        <v>34108.0</v>
      </c>
      <c r="E3" s="27"/>
      <c r="F3" s="26"/>
      <c r="G3" s="26"/>
      <c r="H3" s="26"/>
      <c r="I3" s="26"/>
      <c r="J3" s="26"/>
    </row>
    <row r="4">
      <c r="A4" s="23" t="s">
        <v>16</v>
      </c>
      <c r="B4" s="24" t="s">
        <v>49</v>
      </c>
      <c r="C4" s="25">
        <v>9.811265923E9</v>
      </c>
      <c r="D4" s="26">
        <v>36816.0</v>
      </c>
      <c r="E4" s="27"/>
      <c r="F4" s="26"/>
      <c r="G4" s="26"/>
      <c r="H4" s="26"/>
      <c r="I4" s="26"/>
      <c r="J4" s="26"/>
    </row>
    <row r="5">
      <c r="A5" s="23" t="s">
        <v>21</v>
      </c>
      <c r="B5" s="24" t="s">
        <v>50</v>
      </c>
      <c r="C5" s="25">
        <v>9.190726863E9</v>
      </c>
      <c r="D5" s="26">
        <v>31947.0</v>
      </c>
      <c r="E5" s="27"/>
      <c r="F5" s="26"/>
      <c r="G5" s="26"/>
      <c r="H5" s="26"/>
      <c r="I5" s="26"/>
      <c r="J5" s="26"/>
    </row>
    <row r="6">
      <c r="A6" s="23" t="s">
        <v>32</v>
      </c>
      <c r="B6" s="24" t="s">
        <v>52</v>
      </c>
      <c r="C6" s="25">
        <v>9.776239411E9</v>
      </c>
      <c r="D6" s="26">
        <v>35924.0</v>
      </c>
      <c r="E6" s="27"/>
      <c r="F6" s="26"/>
      <c r="G6" s="26"/>
      <c r="H6" s="26"/>
      <c r="I6" s="26"/>
      <c r="J6" s="26"/>
    </row>
    <row r="7">
      <c r="A7" s="31" t="s">
        <v>53</v>
      </c>
      <c r="B7" s="24" t="s">
        <v>54</v>
      </c>
      <c r="C7" s="25">
        <v>9.050312839E9</v>
      </c>
      <c r="D7" s="26">
        <v>36453.0</v>
      </c>
      <c r="E7" s="27"/>
      <c r="F7" s="26"/>
      <c r="G7" s="26"/>
      <c r="H7" s="26"/>
      <c r="I7" s="26"/>
      <c r="J7" s="26"/>
    </row>
    <row r="8">
      <c r="A8" s="50" t="s">
        <v>63</v>
      </c>
      <c r="B8" s="19" t="s">
        <v>65</v>
      </c>
      <c r="C8" s="20">
        <v>9.23300598E9</v>
      </c>
      <c r="D8" s="21">
        <v>36668.0</v>
      </c>
      <c r="E8" s="22"/>
      <c r="F8" s="21"/>
      <c r="G8" s="21"/>
      <c r="H8" s="21"/>
      <c r="I8" s="21"/>
      <c r="J8" s="21"/>
    </row>
    <row r="9">
      <c r="A9" s="31" t="s">
        <v>7</v>
      </c>
      <c r="B9" s="24" t="s">
        <v>70</v>
      </c>
      <c r="C9" s="25">
        <v>9.754168344E9</v>
      </c>
      <c r="D9" s="26">
        <v>35305.0</v>
      </c>
      <c r="E9" s="27"/>
      <c r="F9" s="26"/>
      <c r="G9" s="26"/>
      <c r="H9" s="26"/>
      <c r="I9" s="26"/>
      <c r="J9" s="26"/>
    </row>
    <row r="10">
      <c r="A10" s="63" t="s">
        <v>72</v>
      </c>
      <c r="B10" s="19" t="s">
        <v>73</v>
      </c>
      <c r="C10" s="20">
        <v>9.630166253E9</v>
      </c>
      <c r="D10" s="21">
        <v>34352.0</v>
      </c>
      <c r="E10" s="22"/>
      <c r="F10" s="21"/>
      <c r="G10" s="21"/>
      <c r="H10" s="21"/>
      <c r="I10" s="21"/>
      <c r="J10"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75"/>
    <col customWidth="1" min="6" max="6" width="14.5"/>
  </cols>
  <sheetData>
    <row r="1" collapsed="1">
      <c r="A1" s="49">
        <v>46054.0</v>
      </c>
    </row>
    <row r="2" hidden="1" outlineLevel="1" collapsed="1">
      <c r="A2" s="52" t="s">
        <v>66</v>
      </c>
    </row>
    <row r="3" hidden="1" outlineLevel="2">
      <c r="A3" s="55" t="s">
        <v>67</v>
      </c>
    </row>
    <row r="4" hidden="1" outlineLevel="2">
      <c r="A4" s="57" t="s">
        <v>68</v>
      </c>
      <c r="B4" s="59" t="s">
        <v>11</v>
      </c>
      <c r="C4" s="59" t="s">
        <v>71</v>
      </c>
      <c r="D4" s="62">
        <v>46055.0</v>
      </c>
      <c r="E4" s="62">
        <v>46056.0</v>
      </c>
      <c r="F4" s="62">
        <v>46057.0</v>
      </c>
      <c r="G4" s="62">
        <v>46058.0</v>
      </c>
      <c r="H4" s="62">
        <v>46059.0</v>
      </c>
      <c r="I4" s="62">
        <v>46060.0</v>
      </c>
      <c r="J4" s="62">
        <v>46061.0</v>
      </c>
      <c r="K4" s="76" t="s">
        <v>77</v>
      </c>
      <c r="L4" s="78" t="s">
        <v>78</v>
      </c>
    </row>
    <row r="5" hidden="1" outlineLevel="2">
      <c r="A5" s="80"/>
      <c r="B5" s="81"/>
      <c r="C5" s="81"/>
      <c r="D5" s="82" t="s">
        <v>80</v>
      </c>
      <c r="E5" s="82" t="str">
        <f t="shared" ref="E5:J5" si="1">text(E4,"ddd")</f>
        <v>Tue</v>
      </c>
      <c r="F5" s="82" t="str">
        <f t="shared" si="1"/>
        <v>Wed</v>
      </c>
      <c r="G5" s="82" t="str">
        <f t="shared" si="1"/>
        <v>Thu</v>
      </c>
      <c r="H5" s="82" t="str">
        <f t="shared" si="1"/>
        <v>Fri</v>
      </c>
      <c r="I5" s="82" t="str">
        <f t="shared" si="1"/>
        <v>Sat</v>
      </c>
      <c r="J5" s="82" t="str">
        <f t="shared" si="1"/>
        <v>Sun</v>
      </c>
      <c r="K5" s="92"/>
      <c r="L5" s="81"/>
    </row>
    <row r="6" hidden="1" outlineLevel="2">
      <c r="A6" s="95" t="s">
        <v>92</v>
      </c>
      <c r="B6" s="100">
        <f>30+30+15+20+5+25</f>
        <v>125</v>
      </c>
      <c r="C6" s="100">
        <f t="shared" ref="C6:C12" si="2">SUM(D6:J6)</f>
        <v>126</v>
      </c>
      <c r="D6" s="108">
        <v>33.0</v>
      </c>
      <c r="E6" s="108">
        <v>30.0</v>
      </c>
      <c r="F6" s="108">
        <v>16.0</v>
      </c>
      <c r="G6" s="108">
        <v>18.0</v>
      </c>
      <c r="H6" s="112">
        <v>5.0</v>
      </c>
      <c r="I6" s="114" t="s">
        <v>51</v>
      </c>
      <c r="J6" s="112">
        <v>24.0</v>
      </c>
      <c r="K6" s="118">
        <f t="shared" ref="K6:K12" si="3">iferror(C6/B6,"-")</f>
        <v>1.008</v>
      </c>
      <c r="L6" s="125">
        <f t="shared" ref="L6:L12" si="4">(IF(K6="",(0),IF(K6&gt;=1,(5),IF(K6&gt;=0.9,(4),IF(K6&gt;=0.8,(3),IF(K6&gt;=0.69,(2),IF(K6&lt;=0.69,(1))))))))</f>
        <v>5</v>
      </c>
    </row>
    <row r="7" hidden="1" outlineLevel="2">
      <c r="A7" s="127" t="s">
        <v>61</v>
      </c>
      <c r="B7" s="130">
        <f>30+30+25+25+30+20</f>
        <v>160</v>
      </c>
      <c r="C7" s="130">
        <f t="shared" si="2"/>
        <v>155</v>
      </c>
      <c r="D7" s="112">
        <v>31.0</v>
      </c>
      <c r="E7" s="108">
        <v>27.0</v>
      </c>
      <c r="F7" s="112">
        <v>24.0</v>
      </c>
      <c r="G7" s="108">
        <v>23.0</v>
      </c>
      <c r="H7" s="112">
        <v>32.0</v>
      </c>
      <c r="I7" s="114" t="s">
        <v>51</v>
      </c>
      <c r="J7" s="112">
        <v>18.0</v>
      </c>
      <c r="K7" s="118">
        <f t="shared" si="3"/>
        <v>0.96875</v>
      </c>
      <c r="L7" s="125">
        <f t="shared" si="4"/>
        <v>4</v>
      </c>
    </row>
    <row r="8" hidden="1" outlineLevel="2">
      <c r="A8" s="95" t="s">
        <v>21</v>
      </c>
      <c r="B8" s="100">
        <f>35+30+35+40+35</f>
        <v>175</v>
      </c>
      <c r="C8" s="100">
        <f t="shared" si="2"/>
        <v>180</v>
      </c>
      <c r="D8" s="108">
        <v>36.0</v>
      </c>
      <c r="E8" s="114" t="s">
        <v>51</v>
      </c>
      <c r="F8" s="112">
        <v>30.0</v>
      </c>
      <c r="G8" s="108">
        <v>42.0</v>
      </c>
      <c r="H8" s="112">
        <v>39.0</v>
      </c>
      <c r="I8" s="112">
        <v>33.0</v>
      </c>
      <c r="J8" s="114" t="s">
        <v>51</v>
      </c>
      <c r="K8" s="118">
        <f t="shared" si="3"/>
        <v>1.028571429</v>
      </c>
      <c r="L8" s="125">
        <f t="shared" si="4"/>
        <v>5</v>
      </c>
    </row>
    <row r="9" hidden="1" outlineLevel="2">
      <c r="A9" s="127" t="s">
        <v>74</v>
      </c>
      <c r="B9" s="130">
        <f>35+35+25+25+30+10</f>
        <v>160</v>
      </c>
      <c r="C9" s="130">
        <f t="shared" si="2"/>
        <v>178</v>
      </c>
      <c r="D9" s="108">
        <v>42.0</v>
      </c>
      <c r="E9" s="108">
        <v>35.0</v>
      </c>
      <c r="F9" s="108">
        <v>26.0</v>
      </c>
      <c r="G9" s="108">
        <v>37.0</v>
      </c>
      <c r="H9" s="112">
        <v>30.0</v>
      </c>
      <c r="I9" s="112">
        <v>8.0</v>
      </c>
      <c r="J9" s="114" t="s">
        <v>51</v>
      </c>
      <c r="K9" s="118">
        <f t="shared" si="3"/>
        <v>1.1125</v>
      </c>
      <c r="L9" s="125">
        <f t="shared" si="4"/>
        <v>5</v>
      </c>
    </row>
    <row r="10" hidden="1" outlineLevel="2">
      <c r="A10" s="144" t="s">
        <v>53</v>
      </c>
      <c r="B10" s="100">
        <f>30+25+30</f>
        <v>85</v>
      </c>
      <c r="C10" s="130">
        <f t="shared" si="2"/>
        <v>85</v>
      </c>
      <c r="D10" s="108">
        <v>32.0</v>
      </c>
      <c r="E10" s="108">
        <v>26.0</v>
      </c>
      <c r="F10" s="112">
        <v>27.0</v>
      </c>
      <c r="G10" s="114" t="s">
        <v>51</v>
      </c>
      <c r="H10" s="114" t="s">
        <v>51</v>
      </c>
      <c r="I10" s="112" t="s">
        <v>145</v>
      </c>
      <c r="J10" s="112" t="s">
        <v>145</v>
      </c>
      <c r="K10" s="118">
        <f t="shared" si="3"/>
        <v>1</v>
      </c>
      <c r="L10" s="125">
        <f t="shared" si="4"/>
        <v>5</v>
      </c>
    </row>
    <row r="11" hidden="1" outlineLevel="2">
      <c r="A11" s="148" t="s">
        <v>85</v>
      </c>
      <c r="B11" s="100">
        <f>30+30+25+25+40+25</f>
        <v>175</v>
      </c>
      <c r="C11" s="100">
        <f t="shared" si="2"/>
        <v>176</v>
      </c>
      <c r="D11" s="108">
        <v>29.0</v>
      </c>
      <c r="E11" s="108">
        <v>31.0</v>
      </c>
      <c r="F11" s="151">
        <v>20.0</v>
      </c>
      <c r="G11" s="108">
        <v>26.0</v>
      </c>
      <c r="H11" s="114" t="s">
        <v>51</v>
      </c>
      <c r="I11" s="112">
        <v>44.0</v>
      </c>
      <c r="J11" s="112">
        <v>26.0</v>
      </c>
      <c r="K11" s="118">
        <f t="shared" si="3"/>
        <v>1.005714286</v>
      </c>
      <c r="L11" s="125">
        <f t="shared" si="4"/>
        <v>5</v>
      </c>
    </row>
    <row r="12" hidden="1" outlineLevel="2">
      <c r="A12" s="148" t="s">
        <v>154</v>
      </c>
      <c r="B12" s="100">
        <f>20*6</f>
        <v>120</v>
      </c>
      <c r="C12" s="100">
        <f t="shared" si="2"/>
        <v>119</v>
      </c>
      <c r="D12" s="108">
        <v>21.0</v>
      </c>
      <c r="E12" s="108">
        <v>20.0</v>
      </c>
      <c r="F12" s="108">
        <v>17.0</v>
      </c>
      <c r="G12" s="151">
        <v>19.0</v>
      </c>
      <c r="H12" s="112">
        <v>22.0</v>
      </c>
      <c r="I12" s="112">
        <v>20.0</v>
      </c>
      <c r="J12" s="114" t="s">
        <v>51</v>
      </c>
      <c r="K12" s="118">
        <f t="shared" si="3"/>
        <v>0.9916666667</v>
      </c>
      <c r="L12" s="125">
        <f t="shared" si="4"/>
        <v>4</v>
      </c>
    </row>
    <row r="13" hidden="1" outlineLevel="2"/>
    <row r="14" hidden="1" outlineLevel="2">
      <c r="A14" s="55" t="s">
        <v>87</v>
      </c>
    </row>
    <row r="15" hidden="1" outlineLevel="2">
      <c r="A15" s="57" t="s">
        <v>68</v>
      </c>
      <c r="B15" s="158" t="s">
        <v>157</v>
      </c>
      <c r="C15" s="158" t="s">
        <v>158</v>
      </c>
      <c r="D15" s="158" t="s">
        <v>90</v>
      </c>
      <c r="E15" s="158" t="s">
        <v>91</v>
      </c>
      <c r="F15" s="158" t="s">
        <v>93</v>
      </c>
      <c r="G15" s="161" t="s">
        <v>94</v>
      </c>
      <c r="H15" s="161" t="s">
        <v>160</v>
      </c>
    </row>
    <row r="16" hidden="1" outlineLevel="2">
      <c r="A16" s="80"/>
      <c r="B16" s="81"/>
      <c r="C16" s="162"/>
      <c r="D16" s="162"/>
      <c r="E16" s="162"/>
      <c r="F16" s="162"/>
      <c r="G16" s="162"/>
      <c r="H16" s="162"/>
    </row>
    <row r="17" hidden="1" outlineLevel="2">
      <c r="A17" s="95" t="s">
        <v>92</v>
      </c>
      <c r="B17" s="163">
        <v>130.0</v>
      </c>
      <c r="C17" s="163">
        <v>126.0</v>
      </c>
      <c r="D17" s="164">
        <f t="shared" ref="D17:D24" si="5">B17-C17</f>
        <v>4</v>
      </c>
      <c r="E17" s="167">
        <f t="shared" ref="E17:E24" si="6">IFERROR(C17/B17,"")</f>
        <v>0.9692307692</v>
      </c>
      <c r="F17" s="169">
        <v>0.002361111111111111</v>
      </c>
      <c r="G17" s="171">
        <f t="shared" ref="G17:G24" si="7">IFERROR((IF(E17="",(0),IF(E17&gt;=0.98,(5),IF(E17&gt;=0.95,(4.5),IF(E17&gt;=0.9,(4),IF(E17&gt;=0.8,(3),IF(E17&lt;=0.69,(1)))))))),"")</f>
        <v>4.5</v>
      </c>
      <c r="H17" s="171">
        <f>ROUND(
IF(F17="",
0,
MAX(1, 5 - MAX(0, (F17 - TIME(0,4,0)) / TIME(0,1,0) * 0.5))
),
2
)
</f>
        <v>5</v>
      </c>
    </row>
    <row r="18" hidden="1" outlineLevel="2">
      <c r="A18" s="127" t="s">
        <v>61</v>
      </c>
      <c r="B18" s="172">
        <v>155.0</v>
      </c>
      <c r="C18" s="172">
        <v>154.0</v>
      </c>
      <c r="D18" s="164">
        <f t="shared" si="5"/>
        <v>1</v>
      </c>
      <c r="E18" s="173">
        <f t="shared" si="6"/>
        <v>0.9935483871</v>
      </c>
      <c r="F18" s="174">
        <v>0.003969907407407407</v>
      </c>
      <c r="G18" s="171">
        <f t="shared" si="7"/>
        <v>5</v>
      </c>
      <c r="H18" s="171">
        <f>ROUND(
IF(F18="",
0,
MAX(1, 5 - MAX(0, (F18 - TIME(0,6,0)) / TIME(0,1,0) * 0.5))
),
2
)
</f>
        <v>5</v>
      </c>
    </row>
    <row r="19" hidden="1" outlineLevel="2">
      <c r="A19" s="95" t="s">
        <v>21</v>
      </c>
      <c r="B19" s="172">
        <v>178.0</v>
      </c>
      <c r="C19" s="172">
        <v>174.0</v>
      </c>
      <c r="D19" s="164">
        <f t="shared" si="5"/>
        <v>4</v>
      </c>
      <c r="E19" s="173">
        <f t="shared" si="6"/>
        <v>0.9775280899</v>
      </c>
      <c r="F19" s="174">
        <v>0.0032175925925925926</v>
      </c>
      <c r="G19" s="171">
        <f t="shared" si="7"/>
        <v>4.5</v>
      </c>
      <c r="H19" s="171">
        <f>ROUND(
IF(F19="",
0,
MAX(1, 5 - MAX(0, (F19 - TIME(0,4,0)) / TIME(0,1,0) * 0.5))
),
2
)
</f>
        <v>4.68</v>
      </c>
    </row>
    <row r="20" hidden="1" outlineLevel="2">
      <c r="A20" s="127" t="s">
        <v>74</v>
      </c>
      <c r="B20" s="163">
        <v>183.0</v>
      </c>
      <c r="C20" s="163">
        <v>180.0</v>
      </c>
      <c r="D20" s="164">
        <f t="shared" si="5"/>
        <v>3</v>
      </c>
      <c r="E20" s="167">
        <f t="shared" si="6"/>
        <v>0.9836065574</v>
      </c>
      <c r="F20" s="169">
        <v>0.0031944444444444446</v>
      </c>
      <c r="G20" s="171">
        <f t="shared" si="7"/>
        <v>5</v>
      </c>
      <c r="H20" s="171">
        <f>ROUND(
IF(F20="",
0,
MAX(1, 5 - MAX(0, (F20 - TIME(0,6,0)) / TIME(0,1,0) * 0.5))
),
2
)
</f>
        <v>5</v>
      </c>
    </row>
    <row r="21" hidden="1" outlineLevel="2">
      <c r="A21" s="144" t="s">
        <v>53</v>
      </c>
      <c r="B21" s="163">
        <v>90.0</v>
      </c>
      <c r="C21" s="163">
        <v>89.0</v>
      </c>
      <c r="D21" s="164">
        <f t="shared" si="5"/>
        <v>1</v>
      </c>
      <c r="E21" s="167">
        <f t="shared" si="6"/>
        <v>0.9888888889</v>
      </c>
      <c r="F21" s="169">
        <v>0.0030787037037037037</v>
      </c>
      <c r="G21" s="171">
        <f t="shared" si="7"/>
        <v>5</v>
      </c>
      <c r="H21" s="171">
        <f>ROUND(
IF(F21="",
0,
MAX(1, 5 - MAX(0, (F21 - TIME(0,4,0)) / TIME(0,1,0) * 0.5))
),
2
)
</f>
        <v>4.78</v>
      </c>
    </row>
    <row r="22" hidden="1" outlineLevel="2">
      <c r="A22" s="148" t="s">
        <v>85</v>
      </c>
      <c r="B22" s="172">
        <v>172.0</v>
      </c>
      <c r="C22" s="172">
        <v>172.0</v>
      </c>
      <c r="D22" s="164">
        <f t="shared" si="5"/>
        <v>0</v>
      </c>
      <c r="E22" s="173">
        <f t="shared" si="6"/>
        <v>1</v>
      </c>
      <c r="F22" s="174">
        <v>0.0033333333333333335</v>
      </c>
      <c r="G22" s="171">
        <f t="shared" si="7"/>
        <v>5</v>
      </c>
      <c r="H22" s="171">
        <f>ROUND(
IF(F22="",
0,
MAX(1, 5 - MAX(0, (F22 - TIME(0,7,0)) / TIME(0,1,0) * 0.5))
),
2
)
</f>
        <v>5</v>
      </c>
    </row>
    <row r="23" hidden="1" outlineLevel="2">
      <c r="A23" s="148" t="s">
        <v>154</v>
      </c>
      <c r="B23" s="163">
        <v>119.0</v>
      </c>
      <c r="C23" s="163">
        <v>116.0</v>
      </c>
      <c r="D23" s="164">
        <f t="shared" si="5"/>
        <v>3</v>
      </c>
      <c r="E23" s="167">
        <f t="shared" si="6"/>
        <v>0.974789916</v>
      </c>
      <c r="F23" s="169">
        <v>0.0044907407407407405</v>
      </c>
      <c r="G23" s="171">
        <f t="shared" si="7"/>
        <v>4.5</v>
      </c>
      <c r="H23" s="171">
        <f t="shared" ref="H23:H24" si="8">ROUND(
IF(F23="",
0,
MAX(1, 5 - MAX(0, (F23 - TIME(0,8,0)) / TIME(0,1,0) * 0.5))
),
2
)
</f>
        <v>5</v>
      </c>
    </row>
    <row r="24" hidden="1" outlineLevel="2">
      <c r="A24" s="148" t="s">
        <v>192</v>
      </c>
      <c r="B24" s="163">
        <v>19.0</v>
      </c>
      <c r="C24" s="163">
        <v>19.0</v>
      </c>
      <c r="D24" s="164">
        <f t="shared" si="5"/>
        <v>0</v>
      </c>
      <c r="E24" s="167">
        <f t="shared" si="6"/>
        <v>1</v>
      </c>
      <c r="F24" s="169">
        <v>0.0015972222222222223</v>
      </c>
      <c r="G24" s="171">
        <f t="shared" si="7"/>
        <v>5</v>
      </c>
      <c r="H24" s="171">
        <f t="shared" si="8"/>
        <v>5</v>
      </c>
    </row>
    <row r="25" hidden="1" outlineLevel="2"/>
    <row r="26" hidden="1" outlineLevel="2">
      <c r="A26" s="55" t="s">
        <v>195</v>
      </c>
    </row>
    <row r="27" hidden="1" outlineLevel="2">
      <c r="A27" s="192" t="s">
        <v>196</v>
      </c>
      <c r="B27" s="193" t="s">
        <v>198</v>
      </c>
      <c r="C27" s="195" t="s">
        <v>199</v>
      </c>
      <c r="D27" s="195" t="s">
        <v>200</v>
      </c>
      <c r="E27" s="197" t="s">
        <v>201</v>
      </c>
      <c r="F27" s="199" t="s">
        <v>202</v>
      </c>
      <c r="G27" s="201"/>
    </row>
    <row r="28" hidden="1" outlineLevel="2">
      <c r="A28" s="202" t="s">
        <v>4</v>
      </c>
      <c r="B28" s="209">
        <f t="shared" ref="B28:B34" si="9">(C28*0.3)+(D28*0.1)</f>
        <v>0.4</v>
      </c>
      <c r="C28" s="210">
        <v>1.0</v>
      </c>
      <c r="D28" s="210">
        <f>Dan!D236</f>
        <v>1</v>
      </c>
      <c r="E28" s="214">
        <f t="shared" ref="E28:E34" si="10">(L6+G17+H17)/15*0.3</f>
        <v>0.29</v>
      </c>
      <c r="F28" s="218">
        <f t="shared" ref="F28:F34" si="11">(E28/30%)*10</f>
        <v>9.666666667</v>
      </c>
      <c r="G28" s="201"/>
      <c r="H28" s="201"/>
      <c r="I28" s="201"/>
      <c r="J28" s="201"/>
    </row>
    <row r="29" hidden="1" outlineLevel="2">
      <c r="A29" s="220" t="s">
        <v>57</v>
      </c>
      <c r="B29" s="223">
        <f t="shared" si="9"/>
        <v>0.4</v>
      </c>
      <c r="C29" s="210">
        <v>1.0</v>
      </c>
      <c r="D29" s="210">
        <f>Godwin!D236</f>
        <v>1</v>
      </c>
      <c r="E29" s="226">
        <f t="shared" si="10"/>
        <v>0.28</v>
      </c>
      <c r="F29" s="218">
        <f t="shared" si="11"/>
        <v>9.333333333</v>
      </c>
      <c r="G29" s="201"/>
      <c r="H29" s="201"/>
      <c r="I29" s="201"/>
      <c r="J29" s="201"/>
    </row>
    <row r="30" hidden="1" outlineLevel="2">
      <c r="A30" s="227" t="s">
        <v>21</v>
      </c>
      <c r="B30" s="229">
        <f t="shared" si="9"/>
        <v>0.3946666667</v>
      </c>
      <c r="C30" s="210">
        <v>1.0</v>
      </c>
      <c r="D30" s="231">
        <f>Candy!D108</f>
        <v>0.9466666667</v>
      </c>
      <c r="E30" s="232">
        <f t="shared" si="10"/>
        <v>0.2836</v>
      </c>
      <c r="F30" s="218">
        <f t="shared" si="11"/>
        <v>9.453333333</v>
      </c>
      <c r="G30" s="201"/>
      <c r="H30" s="201"/>
      <c r="I30" s="201"/>
      <c r="J30" s="201"/>
    </row>
    <row r="31" hidden="1" outlineLevel="2">
      <c r="A31" s="220" t="s">
        <v>32</v>
      </c>
      <c r="B31" s="223">
        <f t="shared" si="9"/>
        <v>0.4</v>
      </c>
      <c r="C31" s="210">
        <v>1.0</v>
      </c>
      <c r="D31" s="231">
        <f>Claudette!D236</f>
        <v>1</v>
      </c>
      <c r="E31" s="226">
        <f t="shared" si="10"/>
        <v>0.3</v>
      </c>
      <c r="F31" s="218">
        <f t="shared" si="11"/>
        <v>10</v>
      </c>
      <c r="G31" s="201"/>
      <c r="H31" s="201"/>
      <c r="I31" s="201"/>
      <c r="J31" s="201"/>
    </row>
    <row r="32" hidden="1" outlineLevel="2">
      <c r="A32" s="236" t="s">
        <v>58</v>
      </c>
      <c r="B32" s="229">
        <f t="shared" si="9"/>
        <v>0.4</v>
      </c>
      <c r="C32" s="210">
        <v>1.0</v>
      </c>
      <c r="D32" s="231">
        <f>Sofhia!D236</f>
        <v>1</v>
      </c>
      <c r="E32" s="232">
        <f t="shared" si="10"/>
        <v>0.2956</v>
      </c>
      <c r="F32" s="218">
        <f t="shared" si="11"/>
        <v>9.853333333</v>
      </c>
      <c r="G32" s="201"/>
      <c r="H32" s="201"/>
      <c r="I32" s="201"/>
      <c r="J32" s="201"/>
    </row>
    <row r="33" hidden="1" outlineLevel="2">
      <c r="A33" s="241" t="s">
        <v>85</v>
      </c>
      <c r="B33" s="223">
        <f t="shared" si="9"/>
        <v>0.4</v>
      </c>
      <c r="C33" s="210">
        <v>1.0</v>
      </c>
      <c r="D33" s="231">
        <f>Cherry!D54</f>
        <v>1</v>
      </c>
      <c r="E33" s="226">
        <f t="shared" si="10"/>
        <v>0.3</v>
      </c>
      <c r="F33" s="218">
        <f t="shared" si="11"/>
        <v>10</v>
      </c>
      <c r="G33" s="201"/>
      <c r="H33" s="201"/>
      <c r="I33" s="201"/>
      <c r="J33" s="201"/>
    </row>
    <row r="34" hidden="1" outlineLevel="2">
      <c r="A34" s="245" t="s">
        <v>154</v>
      </c>
      <c r="B34" s="229" t="str">
        <f t="shared" si="9"/>
        <v>#REF!</v>
      </c>
      <c r="C34" s="210">
        <v>0.71</v>
      </c>
      <c r="D34" s="231" t="str">
        <f>Faith!D54</f>
        <v>#REF!</v>
      </c>
      <c r="E34" s="232">
        <f t="shared" si="10"/>
        <v>0.27</v>
      </c>
      <c r="F34" s="218">
        <f t="shared" si="11"/>
        <v>9</v>
      </c>
      <c r="G34" s="201"/>
      <c r="H34" s="201"/>
      <c r="I34" s="201"/>
      <c r="J34" s="201"/>
    </row>
    <row r="35" hidden="1" outlineLevel="2">
      <c r="A35" s="250"/>
      <c r="B35" s="251"/>
      <c r="C35" s="252"/>
      <c r="D35" s="253"/>
      <c r="E35" s="254"/>
      <c r="F35" s="201"/>
      <c r="G35" s="201"/>
      <c r="H35" s="201"/>
      <c r="I35" s="201"/>
      <c r="J35" s="201"/>
    </row>
    <row r="36" hidden="1" outlineLevel="2">
      <c r="A36" s="55" t="s">
        <v>222</v>
      </c>
      <c r="B36" s="251"/>
      <c r="C36" s="252"/>
      <c r="D36" s="253"/>
      <c r="E36" s="254"/>
      <c r="F36" s="201"/>
      <c r="G36" s="201"/>
      <c r="H36" s="201"/>
      <c r="I36" s="201"/>
      <c r="J36" s="201"/>
    </row>
    <row r="37" hidden="1" outlineLevel="2">
      <c r="A37" s="256" t="s">
        <v>196</v>
      </c>
      <c r="B37" s="257" t="s">
        <v>223</v>
      </c>
      <c r="C37" s="62">
        <v>46055.0</v>
      </c>
      <c r="D37" s="62">
        <v>46056.0</v>
      </c>
      <c r="E37" s="62">
        <v>46057.0</v>
      </c>
      <c r="F37" s="62">
        <v>46058.0</v>
      </c>
      <c r="G37" s="62">
        <v>46059.0</v>
      </c>
      <c r="H37" s="62">
        <v>46060.0</v>
      </c>
      <c r="I37" s="62">
        <v>46061.0</v>
      </c>
    </row>
    <row r="38" hidden="1" outlineLevel="2">
      <c r="A38" s="258"/>
      <c r="B38" s="258"/>
      <c r="C38" s="82" t="s">
        <v>80</v>
      </c>
      <c r="D38" s="82" t="s">
        <v>226</v>
      </c>
      <c r="E38" s="82" t="s">
        <v>227</v>
      </c>
      <c r="F38" s="82" t="s">
        <v>228</v>
      </c>
      <c r="G38" s="82" t="s">
        <v>230</v>
      </c>
      <c r="H38" s="82" t="s">
        <v>231</v>
      </c>
      <c r="I38" s="82" t="s">
        <v>232</v>
      </c>
    </row>
    <row r="39" hidden="1" outlineLevel="2">
      <c r="A39" s="220" t="s">
        <v>4</v>
      </c>
      <c r="B39" s="264">
        <f t="shared" ref="B39:B45" si="12">Sum(C39:I39)</f>
        <v>8</v>
      </c>
      <c r="C39" s="265"/>
      <c r="D39" s="265"/>
      <c r="E39" s="265"/>
      <c r="F39" s="265"/>
      <c r="G39" s="266">
        <v>8.0</v>
      </c>
      <c r="H39" s="265"/>
      <c r="I39" s="265"/>
    </row>
    <row r="40" hidden="1" outlineLevel="2">
      <c r="A40" s="227" t="s">
        <v>57</v>
      </c>
      <c r="B40" s="264">
        <f t="shared" si="12"/>
        <v>14</v>
      </c>
      <c r="C40" s="267">
        <v>2.0</v>
      </c>
      <c r="D40" s="268"/>
      <c r="E40" s="267">
        <v>2.0</v>
      </c>
      <c r="F40" s="268"/>
      <c r="G40" s="267">
        <v>2.0</v>
      </c>
      <c r="H40" s="268"/>
      <c r="I40" s="267">
        <v>8.0</v>
      </c>
    </row>
    <row r="41" hidden="1" outlineLevel="2">
      <c r="A41" s="220" t="s">
        <v>21</v>
      </c>
      <c r="B41" s="264">
        <f t="shared" si="12"/>
        <v>6</v>
      </c>
      <c r="C41" s="265"/>
      <c r="D41" s="265"/>
      <c r="E41" s="265"/>
      <c r="F41" s="266">
        <v>2.0</v>
      </c>
      <c r="G41" s="266">
        <v>2.0</v>
      </c>
      <c r="H41" s="266">
        <v>2.0</v>
      </c>
      <c r="I41" s="265"/>
    </row>
    <row r="42" hidden="1" outlineLevel="2">
      <c r="A42" s="227" t="s">
        <v>32</v>
      </c>
      <c r="B42" s="264">
        <f t="shared" si="12"/>
        <v>12</v>
      </c>
      <c r="C42" s="268"/>
      <c r="D42" s="267">
        <v>2.0</v>
      </c>
      <c r="E42" s="268"/>
      <c r="F42" s="267">
        <v>2.0</v>
      </c>
      <c r="G42" s="268"/>
      <c r="H42" s="267">
        <v>8.0</v>
      </c>
      <c r="I42" s="268"/>
    </row>
    <row r="43" hidden="1" outlineLevel="2">
      <c r="A43" s="272" t="s">
        <v>58</v>
      </c>
      <c r="B43" s="264">
        <f t="shared" si="12"/>
        <v>6</v>
      </c>
      <c r="C43" s="266">
        <v>2.0</v>
      </c>
      <c r="D43" s="266">
        <v>2.0</v>
      </c>
      <c r="E43" s="266">
        <v>2.0</v>
      </c>
      <c r="F43" s="265"/>
      <c r="G43" s="265"/>
      <c r="H43" s="265"/>
      <c r="I43" s="265"/>
    </row>
    <row r="44" hidden="1" outlineLevel="2">
      <c r="A44" s="245" t="s">
        <v>85</v>
      </c>
      <c r="B44" s="264">
        <f t="shared" si="12"/>
        <v>12</v>
      </c>
      <c r="C44" s="268"/>
      <c r="D44" s="267">
        <v>2.0</v>
      </c>
      <c r="E44" s="268"/>
      <c r="F44" s="267">
        <v>8.0</v>
      </c>
      <c r="G44" s="268"/>
      <c r="H44" s="267">
        <v>2.0</v>
      </c>
      <c r="I44" s="268"/>
    </row>
    <row r="45" hidden="1" outlineLevel="2">
      <c r="A45" s="241" t="s">
        <v>154</v>
      </c>
      <c r="B45" s="264">
        <f t="shared" si="12"/>
        <v>8</v>
      </c>
      <c r="C45" s="265"/>
      <c r="D45" s="265"/>
      <c r="E45" s="265"/>
      <c r="F45" s="265"/>
      <c r="G45" s="266"/>
      <c r="H45" s="266">
        <v>8.0</v>
      </c>
      <c r="I45" s="265"/>
    </row>
    <row r="46" hidden="1" outlineLevel="1" collapsed="1">
      <c r="A46" s="52" t="s">
        <v>243</v>
      </c>
    </row>
    <row r="47" hidden="1" outlineLevel="2">
      <c r="A47" s="55" t="s">
        <v>67</v>
      </c>
    </row>
    <row r="48" hidden="1" outlineLevel="2">
      <c r="A48" s="57" t="s">
        <v>68</v>
      </c>
      <c r="B48" s="59" t="s">
        <v>11</v>
      </c>
      <c r="C48" s="59" t="s">
        <v>71</v>
      </c>
      <c r="D48" s="62">
        <v>46062.0</v>
      </c>
      <c r="E48" s="62">
        <v>46063.0</v>
      </c>
      <c r="F48" s="62">
        <v>46064.0</v>
      </c>
      <c r="G48" s="62">
        <v>46065.0</v>
      </c>
      <c r="H48" s="62">
        <v>46066.0</v>
      </c>
      <c r="I48" s="62">
        <v>46067.0</v>
      </c>
      <c r="J48" s="62">
        <v>46068.0</v>
      </c>
      <c r="K48" s="76" t="s">
        <v>77</v>
      </c>
      <c r="L48" s="78" t="s">
        <v>78</v>
      </c>
    </row>
    <row r="49" hidden="1" outlineLevel="2">
      <c r="A49" s="80"/>
      <c r="B49" s="81"/>
      <c r="C49" s="81"/>
      <c r="D49" s="82" t="s">
        <v>80</v>
      </c>
      <c r="E49" s="82" t="str">
        <f t="shared" ref="E49:J49" si="13">text(E48,"ddd")</f>
        <v>Tue</v>
      </c>
      <c r="F49" s="82" t="str">
        <f t="shared" si="13"/>
        <v>Wed</v>
      </c>
      <c r="G49" s="82" t="str">
        <f t="shared" si="13"/>
        <v>Thu</v>
      </c>
      <c r="H49" s="82" t="str">
        <f t="shared" si="13"/>
        <v>Fri</v>
      </c>
      <c r="I49" s="82" t="str">
        <f t="shared" si="13"/>
        <v>Sat</v>
      </c>
      <c r="J49" s="82" t="str">
        <f t="shared" si="13"/>
        <v>Sun</v>
      </c>
      <c r="K49" s="92"/>
      <c r="L49" s="81"/>
    </row>
    <row r="50" hidden="1" outlineLevel="2">
      <c r="A50" s="95" t="s">
        <v>92</v>
      </c>
      <c r="B50" s="100">
        <f>25+35+25+15+5</f>
        <v>105</v>
      </c>
      <c r="C50" s="100">
        <f t="shared" ref="C50:C57" si="14">SUM(D50:J50)</f>
        <v>76</v>
      </c>
      <c r="D50" s="108">
        <v>24.0</v>
      </c>
      <c r="E50" s="108">
        <v>36.0</v>
      </c>
      <c r="F50" s="108" t="s">
        <v>261</v>
      </c>
      <c r="G50" s="108">
        <v>11.0</v>
      </c>
      <c r="H50" s="112">
        <v>5.0</v>
      </c>
      <c r="I50" s="151" t="s">
        <v>51</v>
      </c>
      <c r="J50" s="151" t="s">
        <v>51</v>
      </c>
      <c r="K50" s="118">
        <f t="shared" ref="K50:K57" si="15">iferror(C50/B50,"-")</f>
        <v>0.7238095238</v>
      </c>
      <c r="L50" s="125">
        <f t="shared" ref="L50:L57" si="16">(IF(K50="",(0),IF(K50&gt;=1,(5),IF(K50&gt;=0.9,(4),IF(K50&gt;=0.8,(3),IF(K50&gt;=0.69,(2),IF(K50&lt;=0.69,(1))))))))</f>
        <v>2</v>
      </c>
    </row>
    <row r="51" hidden="1" outlineLevel="2">
      <c r="A51" s="127" t="s">
        <v>61</v>
      </c>
      <c r="B51" s="130">
        <f>30+25+25+30+25+13</f>
        <v>148</v>
      </c>
      <c r="C51" s="130">
        <f t="shared" si="14"/>
        <v>137</v>
      </c>
      <c r="D51" s="112">
        <v>28.0</v>
      </c>
      <c r="E51" s="108">
        <v>23.0</v>
      </c>
      <c r="F51" s="112">
        <v>27.0</v>
      </c>
      <c r="G51" s="108">
        <v>26.0</v>
      </c>
      <c r="H51" s="112">
        <v>21.0</v>
      </c>
      <c r="I51" s="151" t="s">
        <v>51</v>
      </c>
      <c r="J51" s="112">
        <v>12.0</v>
      </c>
      <c r="K51" s="118">
        <f t="shared" si="15"/>
        <v>0.9256756757</v>
      </c>
      <c r="L51" s="125">
        <f t="shared" si="16"/>
        <v>4</v>
      </c>
    </row>
    <row r="52" hidden="1" outlineLevel="2">
      <c r="A52" s="95" t="s">
        <v>21</v>
      </c>
      <c r="B52" s="100">
        <f>35+45+25+25+25</f>
        <v>155</v>
      </c>
      <c r="C52" s="100">
        <f t="shared" si="14"/>
        <v>159</v>
      </c>
      <c r="D52" s="108">
        <v>38.0</v>
      </c>
      <c r="E52" s="151" t="s">
        <v>51</v>
      </c>
      <c r="F52" s="112">
        <v>46.0</v>
      </c>
      <c r="G52" s="108">
        <v>24.0</v>
      </c>
      <c r="H52" s="112">
        <v>25.0</v>
      </c>
      <c r="I52" s="112">
        <v>26.0</v>
      </c>
      <c r="J52" s="151" t="s">
        <v>51</v>
      </c>
      <c r="K52" s="118">
        <f t="shared" si="15"/>
        <v>1.025806452</v>
      </c>
      <c r="L52" s="125">
        <f t="shared" si="16"/>
        <v>5</v>
      </c>
    </row>
    <row r="53" hidden="1" outlineLevel="2">
      <c r="A53" s="127" t="s">
        <v>74</v>
      </c>
      <c r="B53" s="130">
        <f>30+25+30+25+7</f>
        <v>117</v>
      </c>
      <c r="C53" s="130">
        <f t="shared" si="14"/>
        <v>119</v>
      </c>
      <c r="D53" s="151" t="s">
        <v>51</v>
      </c>
      <c r="E53" s="108">
        <v>33.0</v>
      </c>
      <c r="F53" s="108">
        <v>23.0</v>
      </c>
      <c r="G53" s="108">
        <v>38.0</v>
      </c>
      <c r="H53" s="112">
        <v>19.0</v>
      </c>
      <c r="I53" s="112">
        <v>6.0</v>
      </c>
      <c r="J53" s="151" t="s">
        <v>51</v>
      </c>
      <c r="K53" s="118">
        <f t="shared" si="15"/>
        <v>1.017094017</v>
      </c>
      <c r="L53" s="125">
        <f t="shared" si="16"/>
        <v>5</v>
      </c>
    </row>
    <row r="54" hidden="1" outlineLevel="2">
      <c r="A54" s="144" t="s">
        <v>53</v>
      </c>
      <c r="B54" s="100">
        <f>25+35+25+25+25+20</f>
        <v>155</v>
      </c>
      <c r="C54" s="130">
        <f t="shared" si="14"/>
        <v>162</v>
      </c>
      <c r="D54" s="108">
        <v>21.0</v>
      </c>
      <c r="E54" s="108">
        <v>41.0</v>
      </c>
      <c r="F54" s="112">
        <v>26.0</v>
      </c>
      <c r="G54" s="151" t="s">
        <v>51</v>
      </c>
      <c r="H54" s="108">
        <v>23.0</v>
      </c>
      <c r="I54" s="112">
        <v>29.0</v>
      </c>
      <c r="J54" s="112">
        <v>22.0</v>
      </c>
      <c r="K54" s="118">
        <f t="shared" si="15"/>
        <v>1.04516129</v>
      </c>
      <c r="L54" s="125">
        <f t="shared" si="16"/>
        <v>5</v>
      </c>
    </row>
    <row r="55" hidden="1" outlineLevel="2">
      <c r="A55" s="148" t="s">
        <v>85</v>
      </c>
      <c r="B55" s="100">
        <f>35+25+30+25+25+13</f>
        <v>153</v>
      </c>
      <c r="C55" s="100">
        <f t="shared" si="14"/>
        <v>140</v>
      </c>
      <c r="D55" s="108">
        <v>35.0</v>
      </c>
      <c r="E55" s="108">
        <v>18.0</v>
      </c>
      <c r="F55" s="151">
        <v>32.0</v>
      </c>
      <c r="G55" s="108">
        <v>17.0</v>
      </c>
      <c r="H55" s="151" t="s">
        <v>51</v>
      </c>
      <c r="I55" s="277">
        <v>26.0</v>
      </c>
      <c r="J55" s="112">
        <v>12.0</v>
      </c>
      <c r="K55" s="118">
        <f t="shared" si="15"/>
        <v>0.9150326797</v>
      </c>
      <c r="L55" s="125">
        <f t="shared" si="16"/>
        <v>4</v>
      </c>
    </row>
    <row r="56" hidden="1" outlineLevel="2">
      <c r="A56" s="148" t="s">
        <v>154</v>
      </c>
      <c r="B56" s="100">
        <f>20*6</f>
        <v>120</v>
      </c>
      <c r="C56" s="100">
        <f t="shared" si="14"/>
        <v>128</v>
      </c>
      <c r="D56" s="108">
        <v>28.0</v>
      </c>
      <c r="E56" s="108">
        <v>18.0</v>
      </c>
      <c r="F56" s="108">
        <v>18.0</v>
      </c>
      <c r="G56" s="151">
        <v>22.0</v>
      </c>
      <c r="H56" s="112">
        <v>25.0</v>
      </c>
      <c r="I56" s="112">
        <v>17.0</v>
      </c>
      <c r="J56" s="151" t="s">
        <v>51</v>
      </c>
      <c r="K56" s="118">
        <f t="shared" si="15"/>
        <v>1.066666667</v>
      </c>
      <c r="L56" s="125">
        <f t="shared" si="16"/>
        <v>5</v>
      </c>
    </row>
    <row r="57" hidden="1" outlineLevel="2">
      <c r="A57" s="148" t="s">
        <v>7</v>
      </c>
      <c r="B57" s="100">
        <f>20+10+10+13</f>
        <v>53</v>
      </c>
      <c r="C57" s="100">
        <f t="shared" si="14"/>
        <v>55</v>
      </c>
      <c r="D57" s="278" t="s">
        <v>278</v>
      </c>
      <c r="E57" s="108">
        <v>23.0</v>
      </c>
      <c r="F57" s="151" t="s">
        <v>51</v>
      </c>
      <c r="G57" s="151" t="s">
        <v>51</v>
      </c>
      <c r="H57" s="112">
        <v>10.0</v>
      </c>
      <c r="I57" s="112">
        <v>9.0</v>
      </c>
      <c r="J57" s="112">
        <v>13.0</v>
      </c>
      <c r="K57" s="118">
        <f t="shared" si="15"/>
        <v>1.037735849</v>
      </c>
      <c r="L57" s="125">
        <f t="shared" si="16"/>
        <v>5</v>
      </c>
    </row>
    <row r="58" hidden="1" outlineLevel="2"/>
    <row r="59" hidden="1" outlineLevel="2">
      <c r="A59" s="55" t="s">
        <v>87</v>
      </c>
    </row>
    <row r="60" hidden="1" outlineLevel="2">
      <c r="A60" s="57" t="s">
        <v>68</v>
      </c>
      <c r="B60" s="158" t="s">
        <v>157</v>
      </c>
      <c r="C60" s="158" t="s">
        <v>158</v>
      </c>
      <c r="D60" s="158" t="s">
        <v>90</v>
      </c>
      <c r="E60" s="158" t="s">
        <v>91</v>
      </c>
      <c r="F60" s="158" t="s">
        <v>93</v>
      </c>
      <c r="G60" s="161" t="s">
        <v>94</v>
      </c>
      <c r="H60" s="161" t="s">
        <v>160</v>
      </c>
    </row>
    <row r="61" hidden="1" outlineLevel="2">
      <c r="A61" s="80"/>
      <c r="B61" s="81"/>
      <c r="C61" s="162"/>
      <c r="D61" s="162"/>
      <c r="E61" s="162"/>
      <c r="F61" s="162"/>
      <c r="G61" s="162"/>
      <c r="H61" s="162"/>
    </row>
    <row r="62" hidden="1" outlineLevel="2">
      <c r="A62" s="95" t="s">
        <v>92</v>
      </c>
      <c r="B62" s="163">
        <v>78.0</v>
      </c>
      <c r="C62" s="163">
        <v>76.0</v>
      </c>
      <c r="D62" s="164">
        <f t="shared" ref="D62:D69" si="17">B62-C62</f>
        <v>2</v>
      </c>
      <c r="E62" s="167">
        <f t="shared" ref="E62:E69" si="18">IFERROR(C62/B62,"")</f>
        <v>0.9743589744</v>
      </c>
      <c r="F62" s="169">
        <v>0.0026157407407407405</v>
      </c>
      <c r="G62" s="171">
        <f t="shared" ref="G62:G69" si="19">IFERROR((IF(E62="",(0),IF(E62&gt;=0.98,(5),IF(E62&gt;=0.95,(4.5),IF(E62&gt;=0.9,(4),IF(E62&gt;=0.8,(3),IF(E62&lt;=0.69,(1)))))))),"")</f>
        <v>4.5</v>
      </c>
      <c r="H62" s="171">
        <f>ROUND(
IF(F62="",
0,
MAX(1, 5 - MAX(0, (F62 - TIME(0,4,0)) / TIME(0,1,0) * 0.5))
),
2
)
</f>
        <v>5</v>
      </c>
    </row>
    <row r="63" hidden="1" outlineLevel="2">
      <c r="A63" s="127" t="s">
        <v>61</v>
      </c>
      <c r="B63" s="172">
        <v>138.0</v>
      </c>
      <c r="C63" s="172">
        <v>136.0</v>
      </c>
      <c r="D63" s="164">
        <f t="shared" si="17"/>
        <v>2</v>
      </c>
      <c r="E63" s="173">
        <f t="shared" si="18"/>
        <v>0.9855072464</v>
      </c>
      <c r="F63" s="174">
        <v>0.004548611111111111</v>
      </c>
      <c r="G63" s="171">
        <f t="shared" si="19"/>
        <v>5</v>
      </c>
      <c r="H63" s="171">
        <f>ROUND(
IF(F63="",
0,
MAX(1, 5 - MAX(0, (F63 - TIME(0,6,0)) / TIME(0,1,0) * 0.5))
),
2
)
</f>
        <v>4.73</v>
      </c>
    </row>
    <row r="64" hidden="1" outlineLevel="2">
      <c r="A64" s="95" t="s">
        <v>21</v>
      </c>
      <c r="B64" s="172">
        <v>151.0</v>
      </c>
      <c r="C64" s="172">
        <v>147.0</v>
      </c>
      <c r="D64" s="164">
        <f t="shared" si="17"/>
        <v>4</v>
      </c>
      <c r="E64" s="173">
        <f t="shared" si="18"/>
        <v>0.9735099338</v>
      </c>
      <c r="F64" s="174">
        <v>0.0033564814814814816</v>
      </c>
      <c r="G64" s="171">
        <f t="shared" si="19"/>
        <v>4.5</v>
      </c>
      <c r="H64" s="171">
        <f>ROUND(
IF(F64="",
0,
MAX(1, 5 - MAX(0, (F64 - TIME(0,4,0)) / TIME(0,1,0) * 0.5))
),
2
)
</f>
        <v>4.58</v>
      </c>
    </row>
    <row r="65" hidden="1" outlineLevel="2">
      <c r="A65" s="127" t="s">
        <v>74</v>
      </c>
      <c r="B65" s="163">
        <v>119.0</v>
      </c>
      <c r="C65" s="163">
        <v>118.0</v>
      </c>
      <c r="D65" s="164">
        <f t="shared" si="17"/>
        <v>1</v>
      </c>
      <c r="E65" s="167">
        <f t="shared" si="18"/>
        <v>0.9915966387</v>
      </c>
      <c r="F65" s="169">
        <v>0.003136574074074074</v>
      </c>
      <c r="G65" s="171">
        <f t="shared" si="19"/>
        <v>5</v>
      </c>
      <c r="H65" s="171">
        <f>ROUND(
IF(F65="",
0,
MAX(1, 5 - MAX(0, (F65 - TIME(0,6,0)) / TIME(0,1,0) * 0.5))
),
2
)
</f>
        <v>5</v>
      </c>
    </row>
    <row r="66" hidden="1" outlineLevel="2">
      <c r="A66" s="144" t="s">
        <v>53</v>
      </c>
      <c r="B66" s="163">
        <v>163.0</v>
      </c>
      <c r="C66" s="163">
        <v>161.0</v>
      </c>
      <c r="D66" s="164">
        <f t="shared" si="17"/>
        <v>2</v>
      </c>
      <c r="E66" s="167">
        <f t="shared" si="18"/>
        <v>0.9877300613</v>
      </c>
      <c r="F66" s="169">
        <v>0.002962962962962963</v>
      </c>
      <c r="G66" s="171">
        <f t="shared" si="19"/>
        <v>5</v>
      </c>
      <c r="H66" s="171">
        <f>ROUND(
IF(F66="",
0,
MAX(1, 5 - MAX(0, (F66 - TIME(0,4,0)) / TIME(0,1,0) * 0.5))
),
2
)
</f>
        <v>4.87</v>
      </c>
    </row>
    <row r="67" hidden="1" outlineLevel="2">
      <c r="A67" s="148" t="s">
        <v>85</v>
      </c>
      <c r="B67" s="172">
        <v>140.0</v>
      </c>
      <c r="C67" s="172">
        <v>139.0</v>
      </c>
      <c r="D67" s="164">
        <f t="shared" si="17"/>
        <v>1</v>
      </c>
      <c r="E67" s="173">
        <f t="shared" si="18"/>
        <v>0.9928571429</v>
      </c>
      <c r="F67" s="174">
        <v>0.0038425925925925928</v>
      </c>
      <c r="G67" s="171">
        <f t="shared" si="19"/>
        <v>5</v>
      </c>
      <c r="H67" s="171">
        <f t="shared" ref="H67:H68" si="20">ROUND(
IF(F67="",
0,
MAX(1, 5 - MAX(0, (F67 - TIME(0,6,0)) / TIME(0,1,0) * 0.5))
),
2
)
</f>
        <v>5</v>
      </c>
    </row>
    <row r="68" hidden="1" outlineLevel="2">
      <c r="A68" s="148" t="s">
        <v>154</v>
      </c>
      <c r="B68" s="163">
        <v>127.0</v>
      </c>
      <c r="C68" s="163">
        <v>126.0</v>
      </c>
      <c r="D68" s="164">
        <f t="shared" si="17"/>
        <v>1</v>
      </c>
      <c r="E68" s="167">
        <f t="shared" si="18"/>
        <v>0.9921259843</v>
      </c>
      <c r="F68" s="169">
        <v>0.0043518518518518515</v>
      </c>
      <c r="G68" s="171">
        <f t="shared" si="19"/>
        <v>5</v>
      </c>
      <c r="H68" s="171">
        <f t="shared" si="20"/>
        <v>4.87</v>
      </c>
    </row>
    <row r="69" hidden="1" outlineLevel="2">
      <c r="A69" s="148" t="s">
        <v>7</v>
      </c>
      <c r="B69" s="163">
        <v>30.0</v>
      </c>
      <c r="C69" s="163">
        <v>30.0</v>
      </c>
      <c r="D69" s="164">
        <f t="shared" si="17"/>
        <v>0</v>
      </c>
      <c r="E69" s="167">
        <f t="shared" si="18"/>
        <v>1</v>
      </c>
      <c r="F69" s="169">
        <v>0.005347222222222222</v>
      </c>
      <c r="G69" s="171">
        <f t="shared" si="19"/>
        <v>5</v>
      </c>
      <c r="H69" s="171">
        <f>ROUND(
IF(F69="",
0,
MAX(1, 5 - MAX(0, (F69 - TIME(0,8,0)) / TIME(0,1,0) * 0.5))
),
2
)
</f>
        <v>5</v>
      </c>
    </row>
    <row r="70" hidden="1" outlineLevel="2"/>
    <row r="71" hidden="1" outlineLevel="2">
      <c r="A71" s="55" t="s">
        <v>195</v>
      </c>
    </row>
    <row r="72" hidden="1" outlineLevel="2">
      <c r="A72" s="192" t="s">
        <v>196</v>
      </c>
      <c r="B72" s="193" t="s">
        <v>198</v>
      </c>
      <c r="C72" s="195" t="s">
        <v>199</v>
      </c>
      <c r="D72" s="195" t="s">
        <v>200</v>
      </c>
      <c r="E72" s="197" t="s">
        <v>201</v>
      </c>
      <c r="F72" s="199" t="s">
        <v>202</v>
      </c>
      <c r="G72" s="201"/>
    </row>
    <row r="73" hidden="1" outlineLevel="2">
      <c r="A73" s="202" t="s">
        <v>4</v>
      </c>
      <c r="B73" s="209">
        <f t="shared" ref="B73:B80" si="21">(C73*0.3)+(D73*0.1)</f>
        <v>0.38</v>
      </c>
      <c r="C73" s="210">
        <v>1.0</v>
      </c>
      <c r="D73" s="210">
        <f>Dan!D254</f>
        <v>0.8</v>
      </c>
      <c r="E73" s="214">
        <f t="shared" ref="E73:E80" si="22">(L50+G62+H62)/15*0.3</f>
        <v>0.23</v>
      </c>
      <c r="F73" s="218">
        <f t="shared" ref="F73:F80" si="23">(E73/30%)*10</f>
        <v>7.666666667</v>
      </c>
      <c r="G73" s="201"/>
      <c r="H73" s="201"/>
      <c r="I73" s="201"/>
      <c r="J73" s="201"/>
    </row>
    <row r="74" hidden="1" outlineLevel="2">
      <c r="A74" s="220" t="s">
        <v>57</v>
      </c>
      <c r="B74" s="223">
        <f t="shared" si="21"/>
        <v>0.4</v>
      </c>
      <c r="C74" s="210">
        <v>1.0</v>
      </c>
      <c r="D74" s="210">
        <f>Godwin!D254</f>
        <v>1</v>
      </c>
      <c r="E74" s="226">
        <f t="shared" si="22"/>
        <v>0.2746</v>
      </c>
      <c r="F74" s="218">
        <f t="shared" si="23"/>
        <v>9.153333333</v>
      </c>
      <c r="G74" s="201"/>
      <c r="H74" s="201"/>
      <c r="I74" s="201"/>
      <c r="J74" s="201"/>
    </row>
    <row r="75" hidden="1" outlineLevel="2">
      <c r="A75" s="227" t="s">
        <v>21</v>
      </c>
      <c r="B75" s="229">
        <f t="shared" si="21"/>
        <v>0.4</v>
      </c>
      <c r="C75" s="210">
        <v>1.0</v>
      </c>
      <c r="D75" s="231">
        <f>Candy!D126</f>
        <v>1</v>
      </c>
      <c r="E75" s="232">
        <f t="shared" si="22"/>
        <v>0.2816</v>
      </c>
      <c r="F75" s="218">
        <f t="shared" si="23"/>
        <v>9.386666667</v>
      </c>
      <c r="G75" s="201"/>
      <c r="H75" s="201"/>
      <c r="I75" s="201"/>
      <c r="J75" s="201"/>
    </row>
    <row r="76" hidden="1" outlineLevel="2">
      <c r="A76" s="220" t="s">
        <v>32</v>
      </c>
      <c r="B76" s="223">
        <f t="shared" si="21"/>
        <v>0.4</v>
      </c>
      <c r="C76" s="210">
        <v>1.0</v>
      </c>
      <c r="D76" s="231">
        <f>Claudette!D25</f>
        <v>1</v>
      </c>
      <c r="E76" s="226">
        <f t="shared" si="22"/>
        <v>0.3</v>
      </c>
      <c r="F76" s="218">
        <f t="shared" si="23"/>
        <v>10</v>
      </c>
      <c r="G76" s="201"/>
      <c r="H76" s="201"/>
      <c r="I76" s="201"/>
      <c r="J76" s="201"/>
    </row>
    <row r="77" hidden="1" outlineLevel="2">
      <c r="A77" s="236" t="s">
        <v>58</v>
      </c>
      <c r="B77" s="229">
        <f t="shared" si="21"/>
        <v>0.4</v>
      </c>
      <c r="C77" s="210">
        <v>1.0</v>
      </c>
      <c r="D77" s="231">
        <f>Sofhia!D254</f>
        <v>1</v>
      </c>
      <c r="E77" s="232">
        <f t="shared" si="22"/>
        <v>0.2974</v>
      </c>
      <c r="F77" s="218">
        <f t="shared" si="23"/>
        <v>9.913333333</v>
      </c>
      <c r="G77" s="201"/>
      <c r="H77" s="201"/>
      <c r="I77" s="201"/>
      <c r="J77" s="201"/>
    </row>
    <row r="78" hidden="1" outlineLevel="2">
      <c r="A78" s="241" t="s">
        <v>85</v>
      </c>
      <c r="B78" s="223">
        <f t="shared" si="21"/>
        <v>0.3983333333</v>
      </c>
      <c r="C78" s="210">
        <v>1.0</v>
      </c>
      <c r="D78" s="231">
        <f>Cherry!D72</f>
        <v>0.9833333333</v>
      </c>
      <c r="E78" s="226">
        <f t="shared" si="22"/>
        <v>0.28</v>
      </c>
      <c r="F78" s="218">
        <f t="shared" si="23"/>
        <v>9.333333333</v>
      </c>
      <c r="G78" s="201"/>
      <c r="H78" s="201"/>
      <c r="I78" s="201"/>
      <c r="J78" s="201"/>
    </row>
    <row r="79" hidden="1" outlineLevel="2">
      <c r="A79" s="245" t="s">
        <v>154</v>
      </c>
      <c r="B79" s="229" t="str">
        <f t="shared" si="21"/>
        <v>#REF!</v>
      </c>
      <c r="C79" s="210">
        <v>0.5</v>
      </c>
      <c r="D79" s="231" t="str">
        <f>Faith!D72</f>
        <v>#REF!</v>
      </c>
      <c r="E79" s="232">
        <f t="shared" si="22"/>
        <v>0.2974</v>
      </c>
      <c r="F79" s="218">
        <f t="shared" si="23"/>
        <v>9.913333333</v>
      </c>
      <c r="G79" s="201"/>
      <c r="H79" s="201"/>
      <c r="I79" s="201"/>
      <c r="J79" s="201"/>
    </row>
    <row r="80" hidden="1" outlineLevel="2">
      <c r="A80" s="241" t="s">
        <v>7</v>
      </c>
      <c r="B80" s="223">
        <f t="shared" si="21"/>
        <v>0.364</v>
      </c>
      <c r="C80" s="210">
        <v>0.88</v>
      </c>
      <c r="D80" s="231">
        <f>Lyra!D53</f>
        <v>1</v>
      </c>
      <c r="E80" s="226">
        <f t="shared" si="22"/>
        <v>0.3</v>
      </c>
      <c r="F80" s="218">
        <f t="shared" si="23"/>
        <v>10</v>
      </c>
      <c r="G80" s="201"/>
      <c r="H80" s="201"/>
      <c r="I80" s="201"/>
      <c r="J80" s="201"/>
    </row>
    <row r="81" hidden="1" outlineLevel="2">
      <c r="A81" s="307"/>
      <c r="B81" s="251"/>
      <c r="C81" s="252"/>
      <c r="D81" s="253"/>
      <c r="E81" s="254"/>
      <c r="F81" s="201"/>
      <c r="G81" s="201"/>
      <c r="H81" s="201"/>
      <c r="I81" s="201"/>
      <c r="J81" s="201"/>
    </row>
    <row r="82" hidden="1" outlineLevel="2">
      <c r="A82" s="55" t="s">
        <v>222</v>
      </c>
      <c r="B82" s="251"/>
      <c r="C82" s="252"/>
      <c r="D82" s="253"/>
      <c r="E82" s="254"/>
      <c r="F82" s="201"/>
      <c r="G82" s="201"/>
      <c r="H82" s="201"/>
      <c r="I82" s="201"/>
      <c r="J82" s="201"/>
    </row>
    <row r="83" hidden="1" outlineLevel="2">
      <c r="A83" s="256" t="s">
        <v>196</v>
      </c>
      <c r="B83" s="257" t="s">
        <v>223</v>
      </c>
      <c r="C83" s="62">
        <v>46062.0</v>
      </c>
      <c r="D83" s="62">
        <v>46063.0</v>
      </c>
      <c r="E83" s="62">
        <v>46064.0</v>
      </c>
      <c r="F83" s="62">
        <v>46065.0</v>
      </c>
      <c r="G83" s="62">
        <v>46066.0</v>
      </c>
      <c r="H83" s="62">
        <v>46067.0</v>
      </c>
      <c r="I83" s="62">
        <v>46068.0</v>
      </c>
      <c r="J83" s="201"/>
    </row>
    <row r="84" hidden="1" outlineLevel="2">
      <c r="A84" s="308"/>
      <c r="B84" s="308"/>
      <c r="C84" s="82" t="s">
        <v>80</v>
      </c>
      <c r="D84" s="82" t="s">
        <v>226</v>
      </c>
      <c r="E84" s="82" t="s">
        <v>227</v>
      </c>
      <c r="F84" s="82" t="s">
        <v>228</v>
      </c>
      <c r="G84" s="82" t="s">
        <v>230</v>
      </c>
      <c r="H84" s="82" t="s">
        <v>231</v>
      </c>
      <c r="I84" s="82" t="s">
        <v>232</v>
      </c>
    </row>
    <row r="85" hidden="1" outlineLevel="2">
      <c r="A85" s="227" t="s">
        <v>4</v>
      </c>
      <c r="B85" s="264">
        <f t="shared" ref="B85:B91" si="24">Sum(C85:I85)</f>
        <v>0</v>
      </c>
      <c r="C85" s="268"/>
      <c r="D85" s="268"/>
      <c r="E85" s="268"/>
      <c r="F85" s="268"/>
      <c r="G85" s="267"/>
      <c r="H85" s="268"/>
      <c r="I85" s="268"/>
    </row>
    <row r="86" hidden="1" outlineLevel="2">
      <c r="A86" s="220" t="s">
        <v>57</v>
      </c>
      <c r="B86" s="264">
        <f t="shared" si="24"/>
        <v>14</v>
      </c>
      <c r="C86" s="266">
        <v>2.0</v>
      </c>
      <c r="D86" s="265"/>
      <c r="E86" s="266">
        <v>2.0</v>
      </c>
      <c r="F86" s="265"/>
      <c r="G86" s="266">
        <v>2.0</v>
      </c>
      <c r="H86" s="265"/>
      <c r="I86" s="266">
        <v>8.0</v>
      </c>
    </row>
    <row r="87" hidden="1" outlineLevel="2">
      <c r="A87" s="227" t="s">
        <v>21</v>
      </c>
      <c r="B87" s="264">
        <f t="shared" si="24"/>
        <v>6</v>
      </c>
      <c r="C87" s="267">
        <v>2.0</v>
      </c>
      <c r="D87" s="268"/>
      <c r="E87" s="267">
        <v>2.0</v>
      </c>
      <c r="F87" s="267"/>
      <c r="G87" s="267">
        <v>2.0</v>
      </c>
      <c r="H87" s="267"/>
      <c r="I87" s="268"/>
    </row>
    <row r="88" hidden="1" outlineLevel="2">
      <c r="A88" s="220" t="s">
        <v>32</v>
      </c>
      <c r="B88" s="264">
        <f t="shared" si="24"/>
        <v>12</v>
      </c>
      <c r="C88" s="265"/>
      <c r="D88" s="266">
        <v>2.0</v>
      </c>
      <c r="E88" s="265"/>
      <c r="F88" s="266">
        <v>2.0</v>
      </c>
      <c r="G88" s="265"/>
      <c r="H88" s="266">
        <v>8.0</v>
      </c>
      <c r="I88" s="265"/>
    </row>
    <row r="89" hidden="1" outlineLevel="2">
      <c r="A89" s="236" t="s">
        <v>58</v>
      </c>
      <c r="B89" s="264">
        <f t="shared" si="24"/>
        <v>14</v>
      </c>
      <c r="C89" s="267"/>
      <c r="D89" s="267">
        <v>2.0</v>
      </c>
      <c r="E89" s="267">
        <v>8.0</v>
      </c>
      <c r="F89" s="268"/>
      <c r="G89" s="267">
        <v>2.0</v>
      </c>
      <c r="H89" s="267">
        <v>2.0</v>
      </c>
      <c r="I89" s="268"/>
    </row>
    <row r="90" ht="16.5" hidden="1" customHeight="1" outlineLevel="2">
      <c r="A90" s="241" t="s">
        <v>85</v>
      </c>
      <c r="B90" s="264">
        <f t="shared" si="24"/>
        <v>14</v>
      </c>
      <c r="C90" s="266">
        <v>2.0</v>
      </c>
      <c r="D90" s="266"/>
      <c r="E90" s="266">
        <v>2.0</v>
      </c>
      <c r="F90" s="266">
        <v>8.0</v>
      </c>
      <c r="G90" s="265"/>
      <c r="H90" s="266">
        <v>2.0</v>
      </c>
      <c r="I90" s="265"/>
    </row>
    <row r="91" hidden="1" outlineLevel="2">
      <c r="A91" s="245" t="s">
        <v>154</v>
      </c>
      <c r="B91" s="264">
        <f t="shared" si="24"/>
        <v>10</v>
      </c>
      <c r="C91" s="268"/>
      <c r="D91" s="268"/>
      <c r="E91" s="268"/>
      <c r="F91" s="268"/>
      <c r="G91" s="267">
        <v>8.0</v>
      </c>
      <c r="H91" s="267">
        <v>2.0</v>
      </c>
      <c r="I91" s="268"/>
    </row>
    <row r="92" hidden="1" outlineLevel="2">
      <c r="A92" s="250"/>
      <c r="B92" s="309"/>
      <c r="C92" s="310"/>
      <c r="D92" s="310"/>
      <c r="E92" s="310"/>
      <c r="F92" s="310"/>
      <c r="G92" s="311"/>
      <c r="H92" s="311"/>
      <c r="I92" s="310"/>
    </row>
    <row r="93" hidden="1" outlineLevel="2">
      <c r="A93" s="312" t="s">
        <v>337</v>
      </c>
      <c r="B93" s="313" t="s">
        <v>338</v>
      </c>
      <c r="C93" s="62">
        <v>46062.0</v>
      </c>
      <c r="D93" s="62">
        <v>46063.0</v>
      </c>
      <c r="E93" s="62">
        <v>46064.0</v>
      </c>
      <c r="F93" s="62">
        <v>46065.0</v>
      </c>
      <c r="G93" s="62">
        <v>46066.0</v>
      </c>
      <c r="H93" s="62">
        <v>46067.0</v>
      </c>
      <c r="I93" s="62">
        <v>46068.0</v>
      </c>
    </row>
    <row r="94" hidden="1" outlineLevel="2">
      <c r="A94" s="241" t="s">
        <v>7</v>
      </c>
      <c r="B94" s="264">
        <f>SUM(C94:I94)</f>
        <v>40</v>
      </c>
      <c r="C94" s="266">
        <v>8.0</v>
      </c>
      <c r="D94" s="266">
        <v>8.0</v>
      </c>
      <c r="E94" s="314" t="s">
        <v>51</v>
      </c>
      <c r="F94" s="314" t="s">
        <v>51</v>
      </c>
      <c r="G94" s="266">
        <v>8.0</v>
      </c>
      <c r="H94" s="266">
        <v>8.0</v>
      </c>
      <c r="I94" s="266">
        <v>8.0</v>
      </c>
    </row>
    <row r="95" hidden="1" outlineLevel="1" collapsed="1">
      <c r="A95" s="52" t="s">
        <v>341</v>
      </c>
    </row>
    <row r="96" hidden="1" outlineLevel="2">
      <c r="A96" s="55" t="s">
        <v>67</v>
      </c>
    </row>
    <row r="97" hidden="1" outlineLevel="2">
      <c r="A97" s="57" t="s">
        <v>68</v>
      </c>
      <c r="B97" s="59" t="s">
        <v>11</v>
      </c>
      <c r="C97" s="59" t="s">
        <v>71</v>
      </c>
      <c r="D97" s="62">
        <v>46069.0</v>
      </c>
      <c r="E97" s="62">
        <v>46070.0</v>
      </c>
      <c r="F97" s="62">
        <v>46071.0</v>
      </c>
      <c r="G97" s="62">
        <v>46072.0</v>
      </c>
      <c r="H97" s="62">
        <v>46073.0</v>
      </c>
      <c r="I97" s="62">
        <v>46074.0</v>
      </c>
      <c r="J97" s="62">
        <v>46075.0</v>
      </c>
      <c r="K97" s="76" t="s">
        <v>77</v>
      </c>
      <c r="L97" s="78" t="s">
        <v>78</v>
      </c>
    </row>
    <row r="98" hidden="1" outlineLevel="2">
      <c r="A98" s="80"/>
      <c r="B98" s="81"/>
      <c r="C98" s="81"/>
      <c r="D98" s="82" t="s">
        <v>80</v>
      </c>
      <c r="E98" s="82" t="str">
        <f t="shared" ref="E98:J98" si="25">text(E97,"ddd")</f>
        <v>Tue</v>
      </c>
      <c r="F98" s="82" t="str">
        <f t="shared" si="25"/>
        <v>Wed</v>
      </c>
      <c r="G98" s="82" t="str">
        <f t="shared" si="25"/>
        <v>Thu</v>
      </c>
      <c r="H98" s="82" t="str">
        <f t="shared" si="25"/>
        <v>Fri</v>
      </c>
      <c r="I98" s="82" t="str">
        <f t="shared" si="25"/>
        <v>Sat</v>
      </c>
      <c r="J98" s="82" t="str">
        <f t="shared" si="25"/>
        <v>Sun</v>
      </c>
      <c r="K98" s="92"/>
      <c r="L98" s="81"/>
    </row>
    <row r="99" hidden="1" outlineLevel="2">
      <c r="A99" s="95" t="s">
        <v>92</v>
      </c>
      <c r="B99" s="100">
        <f>25+30+15+15+5+15</f>
        <v>105</v>
      </c>
      <c r="C99" s="100">
        <f t="shared" ref="C99:C106" si="26">SUM(D99:J99)</f>
        <v>106</v>
      </c>
      <c r="D99" s="108">
        <v>26.0</v>
      </c>
      <c r="E99" s="108">
        <v>30.0</v>
      </c>
      <c r="F99" s="108">
        <v>16.0</v>
      </c>
      <c r="G99" s="108">
        <v>14.0</v>
      </c>
      <c r="H99" s="112">
        <v>4.0</v>
      </c>
      <c r="I99" s="151" t="s">
        <v>51</v>
      </c>
      <c r="J99" s="151">
        <v>16.0</v>
      </c>
      <c r="K99" s="118">
        <f t="shared" ref="K99:K106" si="27">iferror(C99/B99,"-")</f>
        <v>1.00952381</v>
      </c>
      <c r="L99" s="125">
        <f t="shared" ref="L99:L106" si="28">(IF(K99="",(0),IF(K99&gt;=1,(5),IF(K99&gt;=0.9,(4),IF(K99&gt;=0.8,(3),IF(K99&gt;=0.69,(2),IF(K99&lt;=0.69,(1))))))))</f>
        <v>5</v>
      </c>
    </row>
    <row r="100" hidden="1" outlineLevel="2">
      <c r="A100" s="127" t="s">
        <v>61</v>
      </c>
      <c r="B100" s="130">
        <f>30+30+35+30+25+25</f>
        <v>175</v>
      </c>
      <c r="C100" s="130">
        <f t="shared" si="26"/>
        <v>166</v>
      </c>
      <c r="D100" s="108">
        <v>28.0</v>
      </c>
      <c r="E100" s="108">
        <v>31.0</v>
      </c>
      <c r="F100" s="108">
        <v>29.0</v>
      </c>
      <c r="G100" s="108">
        <v>32.0</v>
      </c>
      <c r="H100" s="112">
        <v>23.0</v>
      </c>
      <c r="I100" s="151" t="s">
        <v>51</v>
      </c>
      <c r="J100" s="151">
        <v>23.0</v>
      </c>
      <c r="K100" s="118">
        <f t="shared" si="27"/>
        <v>0.9485714286</v>
      </c>
      <c r="L100" s="125">
        <f t="shared" si="28"/>
        <v>4</v>
      </c>
    </row>
    <row r="101" hidden="1" outlineLevel="2">
      <c r="A101" s="95" t="s">
        <v>21</v>
      </c>
      <c r="B101" s="100">
        <f>25+35+30+35+30</f>
        <v>155</v>
      </c>
      <c r="C101" s="100">
        <f t="shared" si="26"/>
        <v>156</v>
      </c>
      <c r="D101" s="108">
        <v>23.0</v>
      </c>
      <c r="E101" s="151" t="s">
        <v>51</v>
      </c>
      <c r="F101" s="108">
        <v>35.0</v>
      </c>
      <c r="G101" s="108">
        <v>33.0</v>
      </c>
      <c r="H101" s="112">
        <v>35.0</v>
      </c>
      <c r="I101" s="151">
        <v>30.0</v>
      </c>
      <c r="J101" s="151" t="s">
        <v>51</v>
      </c>
      <c r="K101" s="118">
        <f t="shared" si="27"/>
        <v>1.006451613</v>
      </c>
      <c r="L101" s="125">
        <f t="shared" si="28"/>
        <v>5</v>
      </c>
    </row>
    <row r="102" hidden="1" outlineLevel="2">
      <c r="A102" s="127" t="s">
        <v>74</v>
      </c>
      <c r="B102" s="130">
        <f>30+20+30+25+30+2</f>
        <v>137</v>
      </c>
      <c r="C102" s="130">
        <f t="shared" si="26"/>
        <v>137</v>
      </c>
      <c r="D102" s="108">
        <v>30.0</v>
      </c>
      <c r="E102" s="108">
        <v>18.0</v>
      </c>
      <c r="F102" s="108">
        <v>35.0</v>
      </c>
      <c r="G102" s="108">
        <v>24.0</v>
      </c>
      <c r="H102" s="112">
        <v>28.0</v>
      </c>
      <c r="I102" s="151">
        <v>2.0</v>
      </c>
      <c r="J102" s="151" t="s">
        <v>51</v>
      </c>
      <c r="K102" s="118">
        <f t="shared" si="27"/>
        <v>1</v>
      </c>
      <c r="L102" s="125">
        <f t="shared" si="28"/>
        <v>5</v>
      </c>
    </row>
    <row r="103" hidden="1" outlineLevel="2">
      <c r="A103" s="144" t="s">
        <v>53</v>
      </c>
      <c r="B103" s="100">
        <f>25+30+35+25+15</f>
        <v>130</v>
      </c>
      <c r="C103" s="130">
        <f t="shared" si="26"/>
        <v>118</v>
      </c>
      <c r="D103" s="108">
        <v>22.0</v>
      </c>
      <c r="E103" s="108">
        <v>27.0</v>
      </c>
      <c r="F103" s="151" t="s">
        <v>51</v>
      </c>
      <c r="G103" s="151" t="s">
        <v>51</v>
      </c>
      <c r="H103" s="112">
        <v>35.0</v>
      </c>
      <c r="I103" s="151">
        <v>21.0</v>
      </c>
      <c r="J103" s="151">
        <v>13.0</v>
      </c>
      <c r="K103" s="118">
        <f t="shared" si="27"/>
        <v>0.9076923077</v>
      </c>
      <c r="L103" s="125">
        <f t="shared" si="28"/>
        <v>4</v>
      </c>
    </row>
    <row r="104" hidden="1" outlineLevel="2">
      <c r="A104" s="148" t="s">
        <v>85</v>
      </c>
      <c r="B104" s="100">
        <f>30+30+30+30+15</f>
        <v>135</v>
      </c>
      <c r="C104" s="100">
        <f t="shared" si="26"/>
        <v>137</v>
      </c>
      <c r="D104" s="108">
        <v>29.0</v>
      </c>
      <c r="E104" s="108">
        <v>33.0</v>
      </c>
      <c r="F104" s="108">
        <v>25.0</v>
      </c>
      <c r="G104" s="151" t="s">
        <v>51</v>
      </c>
      <c r="H104" s="151" t="s">
        <v>51</v>
      </c>
      <c r="I104" s="151">
        <v>33.0</v>
      </c>
      <c r="J104" s="151">
        <v>17.0</v>
      </c>
      <c r="K104" s="118">
        <f t="shared" si="27"/>
        <v>1.014814815</v>
      </c>
      <c r="L104" s="125">
        <f t="shared" si="28"/>
        <v>5</v>
      </c>
    </row>
    <row r="105" hidden="1" outlineLevel="2">
      <c r="A105" s="148" t="s">
        <v>154</v>
      </c>
      <c r="B105" s="100">
        <f>25*6</f>
        <v>150</v>
      </c>
      <c r="C105" s="100">
        <f t="shared" si="26"/>
        <v>131</v>
      </c>
      <c r="D105" s="108">
        <v>23.0</v>
      </c>
      <c r="E105" s="108">
        <v>21.0</v>
      </c>
      <c r="F105" s="108">
        <v>26.0</v>
      </c>
      <c r="G105" s="108">
        <v>21.0</v>
      </c>
      <c r="H105" s="112">
        <v>23.0</v>
      </c>
      <c r="I105" s="151">
        <v>17.0</v>
      </c>
      <c r="J105" s="151" t="s">
        <v>51</v>
      </c>
      <c r="K105" s="118">
        <f t="shared" si="27"/>
        <v>0.8733333333</v>
      </c>
      <c r="L105" s="125">
        <f t="shared" si="28"/>
        <v>3</v>
      </c>
    </row>
    <row r="106" hidden="1" outlineLevel="2">
      <c r="A106" s="148" t="s">
        <v>7</v>
      </c>
      <c r="B106" s="100">
        <f>15*6</f>
        <v>90</v>
      </c>
      <c r="C106" s="100">
        <f t="shared" si="26"/>
        <v>98</v>
      </c>
      <c r="D106" s="108">
        <v>15.0</v>
      </c>
      <c r="E106" s="108">
        <v>16.0</v>
      </c>
      <c r="F106" s="151" t="s">
        <v>51</v>
      </c>
      <c r="G106" s="108">
        <v>19.0</v>
      </c>
      <c r="H106" s="112">
        <v>17.0</v>
      </c>
      <c r="I106" s="151">
        <v>13.0</v>
      </c>
      <c r="J106" s="151">
        <v>18.0</v>
      </c>
      <c r="K106" s="118">
        <f t="shared" si="27"/>
        <v>1.088888889</v>
      </c>
      <c r="L106" s="125">
        <f t="shared" si="28"/>
        <v>5</v>
      </c>
    </row>
    <row r="107" hidden="1" outlineLevel="2"/>
    <row r="108" hidden="1" outlineLevel="2">
      <c r="A108" s="55" t="s">
        <v>87</v>
      </c>
    </row>
    <row r="109" hidden="1" outlineLevel="2">
      <c r="A109" s="57" t="s">
        <v>68</v>
      </c>
      <c r="B109" s="158" t="s">
        <v>157</v>
      </c>
      <c r="C109" s="158" t="s">
        <v>158</v>
      </c>
      <c r="D109" s="158" t="s">
        <v>90</v>
      </c>
      <c r="E109" s="158" t="s">
        <v>91</v>
      </c>
      <c r="F109" s="158" t="s">
        <v>93</v>
      </c>
      <c r="G109" s="161" t="s">
        <v>94</v>
      </c>
      <c r="H109" s="161" t="s">
        <v>160</v>
      </c>
    </row>
    <row r="110" hidden="1" outlineLevel="2">
      <c r="A110" s="80"/>
      <c r="B110" s="81"/>
      <c r="C110" s="162"/>
      <c r="D110" s="162"/>
      <c r="E110" s="162"/>
      <c r="F110" s="162"/>
      <c r="G110" s="162"/>
      <c r="H110" s="162"/>
    </row>
    <row r="111" hidden="1" outlineLevel="2">
      <c r="A111" s="95" t="s">
        <v>92</v>
      </c>
      <c r="B111" s="323">
        <v>108.0</v>
      </c>
      <c r="C111" s="323">
        <v>106.0</v>
      </c>
      <c r="D111" s="164">
        <f t="shared" ref="D111:D118" si="29">B111-C111</f>
        <v>2</v>
      </c>
      <c r="E111" s="167">
        <f t="shared" ref="E111:E118" si="30">IFERROR(C111/B111,"")</f>
        <v>0.9814814815</v>
      </c>
      <c r="F111" s="324">
        <v>0.0022569444444444442</v>
      </c>
      <c r="G111" s="171">
        <f t="shared" ref="G111:G118" si="31">IFERROR((IF(E111="",(0),IF(E111&gt;=0.98,(5),IF(E111&gt;=0.95,(4.5),IF(E111&gt;=0.9,(4),IF(E111&gt;=0.8,(3),IF(E111&lt;=0.69,(1)))))))),"")</f>
        <v>5</v>
      </c>
      <c r="H111" s="171">
        <f>ROUND(
IF(F111="",
0,
MAX(1, 5 - MAX(0, (F111 - TIME(0,4,0)) / TIME(0,1,0) * 0.5))
),
2
)
</f>
        <v>5</v>
      </c>
    </row>
    <row r="112" hidden="1" outlineLevel="2">
      <c r="A112" s="127" t="s">
        <v>61</v>
      </c>
      <c r="B112" s="325">
        <v>166.0</v>
      </c>
      <c r="C112" s="325">
        <v>165.0</v>
      </c>
      <c r="D112" s="326">
        <f t="shared" si="29"/>
        <v>1</v>
      </c>
      <c r="E112" s="173">
        <f t="shared" si="30"/>
        <v>0.9939759036</v>
      </c>
      <c r="F112" s="327">
        <v>0.004050925925925926</v>
      </c>
      <c r="G112" s="171">
        <f t="shared" si="31"/>
        <v>5</v>
      </c>
      <c r="H112" s="171">
        <f>ROUND(
IF(F112="",
0,
MAX(1, 5 - MAX(0, (F112 - TIME(0,6,0)) / TIME(0,1,0) * 0.5))
),
2
)
</f>
        <v>5</v>
      </c>
    </row>
    <row r="113" hidden="1" outlineLevel="2">
      <c r="A113" s="95" t="s">
        <v>21</v>
      </c>
      <c r="B113" s="325">
        <v>153.0</v>
      </c>
      <c r="C113" s="325">
        <v>151.0</v>
      </c>
      <c r="D113" s="326">
        <f t="shared" si="29"/>
        <v>2</v>
      </c>
      <c r="E113" s="173">
        <f t="shared" si="30"/>
        <v>0.9869281046</v>
      </c>
      <c r="F113" s="327">
        <v>0.0035185185185185185</v>
      </c>
      <c r="G113" s="171">
        <f t="shared" si="31"/>
        <v>5</v>
      </c>
      <c r="H113" s="171">
        <f>ROUND(
IF(F113="",
0,
MAX(1, 5 - MAX(0, (F113 - TIME(0,4,0)) / TIME(0,1,0) * 0.5))
),
2
)
</f>
        <v>4.47</v>
      </c>
    </row>
    <row r="114" hidden="1" outlineLevel="2">
      <c r="A114" s="127" t="s">
        <v>74</v>
      </c>
      <c r="B114" s="323">
        <v>138.0</v>
      </c>
      <c r="C114" s="323">
        <v>137.0</v>
      </c>
      <c r="D114" s="164">
        <f t="shared" si="29"/>
        <v>1</v>
      </c>
      <c r="E114" s="167">
        <f t="shared" si="30"/>
        <v>0.9927536232</v>
      </c>
      <c r="F114" s="324">
        <v>0.0032291666666666666</v>
      </c>
      <c r="G114" s="171">
        <f t="shared" si="31"/>
        <v>5</v>
      </c>
      <c r="H114" s="171">
        <f>ROUND(
IF(F114="",
0,
MAX(1, 5 - MAX(0, (F114 - TIME(0,6,0)) / TIME(0,1,0) * 0.5))
),
2
)
</f>
        <v>5</v>
      </c>
    </row>
    <row r="115" hidden="1" outlineLevel="2">
      <c r="A115" s="144" t="s">
        <v>53</v>
      </c>
      <c r="B115" s="323">
        <v>120.0</v>
      </c>
      <c r="C115" s="323">
        <v>118.0</v>
      </c>
      <c r="D115" s="164">
        <f t="shared" si="29"/>
        <v>2</v>
      </c>
      <c r="E115" s="167">
        <f t="shared" si="30"/>
        <v>0.9833333333</v>
      </c>
      <c r="F115" s="324">
        <v>0.002916666666666667</v>
      </c>
      <c r="G115" s="171">
        <f t="shared" si="31"/>
        <v>5</v>
      </c>
      <c r="H115" s="171">
        <f>ROUND(
IF(F115="",
0,
MAX(1, 5 - MAX(0, (F115 - TIME(0,4,0)) / TIME(0,1,0) * 0.5))
),
2
)
</f>
        <v>4.9</v>
      </c>
    </row>
    <row r="116" hidden="1" outlineLevel="2">
      <c r="A116" s="148" t="s">
        <v>85</v>
      </c>
      <c r="B116" s="325">
        <v>138.0</v>
      </c>
      <c r="C116" s="325">
        <v>137.0</v>
      </c>
      <c r="D116" s="326">
        <f t="shared" si="29"/>
        <v>1</v>
      </c>
      <c r="E116" s="173">
        <f t="shared" si="30"/>
        <v>0.9927536232</v>
      </c>
      <c r="F116" s="327">
        <v>0.0036574074074074074</v>
      </c>
      <c r="G116" s="171">
        <f t="shared" si="31"/>
        <v>5</v>
      </c>
      <c r="H116" s="171">
        <f t="shared" ref="H116:H117" si="32">ROUND(
IF(F116="",
0,
MAX(1, 5 - MAX(0, (F116 - TIME(0,6,0)) / TIME(0,1,0) * 0.5))
),
2
)
</f>
        <v>5</v>
      </c>
    </row>
    <row r="117" hidden="1" outlineLevel="2">
      <c r="A117" s="148" t="s">
        <v>154</v>
      </c>
      <c r="B117" s="323">
        <v>131.0</v>
      </c>
      <c r="C117" s="323">
        <v>131.0</v>
      </c>
      <c r="D117" s="164">
        <f t="shared" si="29"/>
        <v>0</v>
      </c>
      <c r="E117" s="167">
        <f t="shared" si="30"/>
        <v>1</v>
      </c>
      <c r="F117" s="324">
        <v>0.0043287037037037035</v>
      </c>
      <c r="G117" s="171">
        <f t="shared" si="31"/>
        <v>5</v>
      </c>
      <c r="H117" s="171">
        <f t="shared" si="32"/>
        <v>4.88</v>
      </c>
    </row>
    <row r="118" hidden="1" outlineLevel="2">
      <c r="A118" s="148" t="s">
        <v>7</v>
      </c>
      <c r="B118" s="325">
        <v>99.0</v>
      </c>
      <c r="C118" s="325">
        <v>98.0</v>
      </c>
      <c r="D118" s="326">
        <f t="shared" si="29"/>
        <v>1</v>
      </c>
      <c r="E118" s="173">
        <f t="shared" si="30"/>
        <v>0.9898989899</v>
      </c>
      <c r="F118" s="327">
        <v>0.0044907407407407405</v>
      </c>
      <c r="G118" s="171">
        <f t="shared" si="31"/>
        <v>5</v>
      </c>
      <c r="H118" s="171">
        <f>ROUND(
IF(F118="",
0,
MAX(1, 5 - MAX(0, (F118 - TIME(0,8,0)) / TIME(0,1,0) * 0.5))
),
2
)
</f>
        <v>5</v>
      </c>
    </row>
    <row r="119" hidden="1" outlineLevel="2"/>
    <row r="120" hidden="1" outlineLevel="2">
      <c r="A120" s="55" t="s">
        <v>195</v>
      </c>
    </row>
    <row r="121" hidden="1" outlineLevel="2">
      <c r="A121" s="192" t="s">
        <v>196</v>
      </c>
      <c r="B121" s="193" t="s">
        <v>198</v>
      </c>
      <c r="C121" s="195" t="s">
        <v>199</v>
      </c>
      <c r="D121" s="195" t="s">
        <v>200</v>
      </c>
      <c r="E121" s="197" t="s">
        <v>201</v>
      </c>
      <c r="F121" s="199" t="s">
        <v>202</v>
      </c>
      <c r="G121" s="201"/>
    </row>
    <row r="122" hidden="1" outlineLevel="2">
      <c r="A122" s="202" t="s">
        <v>4</v>
      </c>
      <c r="B122" s="209">
        <f t="shared" ref="B122:B129" si="33">(C122*0.3)+(D122*0.1)</f>
        <v>0.4</v>
      </c>
      <c r="C122" s="210">
        <v>1.0</v>
      </c>
      <c r="D122" s="210">
        <f>Dan!D272</f>
        <v>1</v>
      </c>
      <c r="E122" s="214">
        <f t="shared" ref="E122:E129" si="34">(L99+G111+H111)/15*0.3</f>
        <v>0.3</v>
      </c>
      <c r="F122" s="218">
        <f t="shared" ref="F122:F129" si="35">(E122/30%)*10</f>
        <v>10</v>
      </c>
      <c r="G122" s="201"/>
      <c r="H122" s="201"/>
      <c r="I122" s="201"/>
      <c r="J122" s="201"/>
    </row>
    <row r="123" hidden="1" outlineLevel="2">
      <c r="A123" s="220" t="s">
        <v>57</v>
      </c>
      <c r="B123" s="223">
        <f t="shared" si="33"/>
        <v>0.4</v>
      </c>
      <c r="C123" s="210">
        <v>1.0</v>
      </c>
      <c r="D123" s="210">
        <f>Godwin!D272</f>
        <v>1</v>
      </c>
      <c r="E123" s="226">
        <f t="shared" si="34"/>
        <v>0.28</v>
      </c>
      <c r="F123" s="218">
        <f t="shared" si="35"/>
        <v>9.333333333</v>
      </c>
      <c r="G123" s="201"/>
      <c r="H123" s="201"/>
      <c r="I123" s="201"/>
      <c r="J123" s="201"/>
    </row>
    <row r="124" hidden="1" outlineLevel="2">
      <c r="A124" s="227" t="s">
        <v>21</v>
      </c>
      <c r="B124" s="229">
        <f t="shared" si="33"/>
        <v>0.27299</v>
      </c>
      <c r="C124" s="210">
        <v>0.5833</v>
      </c>
      <c r="D124" s="231">
        <f>Candy!D144</f>
        <v>0.98</v>
      </c>
      <c r="E124" s="232">
        <f t="shared" si="34"/>
        <v>0.2894</v>
      </c>
      <c r="F124" s="218">
        <f t="shared" si="35"/>
        <v>9.646666667</v>
      </c>
      <c r="G124" s="201"/>
      <c r="H124" s="201"/>
      <c r="I124" s="201"/>
      <c r="J124" s="201"/>
    </row>
    <row r="125" hidden="1" outlineLevel="2">
      <c r="A125" s="220" t="s">
        <v>32</v>
      </c>
      <c r="B125" s="223">
        <f t="shared" si="33"/>
        <v>0.28</v>
      </c>
      <c r="C125" s="210">
        <v>0.6</v>
      </c>
      <c r="D125" s="231">
        <f>Claudette!D272</f>
        <v>1</v>
      </c>
      <c r="E125" s="226">
        <f t="shared" si="34"/>
        <v>0.3</v>
      </c>
      <c r="F125" s="218">
        <f t="shared" si="35"/>
        <v>10</v>
      </c>
      <c r="G125" s="201"/>
      <c r="H125" s="201"/>
      <c r="I125" s="201"/>
      <c r="J125" s="201"/>
    </row>
    <row r="126" hidden="1" outlineLevel="2">
      <c r="A126" s="236" t="s">
        <v>58</v>
      </c>
      <c r="B126" s="229">
        <f t="shared" si="33"/>
        <v>0.4</v>
      </c>
      <c r="C126" s="210">
        <v>1.0</v>
      </c>
      <c r="D126" s="231">
        <f>Sofhia!D272</f>
        <v>1</v>
      </c>
      <c r="E126" s="232">
        <f t="shared" si="34"/>
        <v>0.278</v>
      </c>
      <c r="F126" s="218">
        <f t="shared" si="35"/>
        <v>9.266666667</v>
      </c>
      <c r="G126" s="201"/>
      <c r="H126" s="201"/>
      <c r="I126" s="201"/>
      <c r="J126" s="201"/>
    </row>
    <row r="127" hidden="1" outlineLevel="2">
      <c r="A127" s="241" t="s">
        <v>85</v>
      </c>
      <c r="B127" s="223">
        <f t="shared" si="33"/>
        <v>0.393</v>
      </c>
      <c r="C127" s="210">
        <v>1.0</v>
      </c>
      <c r="D127" s="231">
        <f>Cherry!D90</f>
        <v>0.93</v>
      </c>
      <c r="E127" s="226">
        <f t="shared" si="34"/>
        <v>0.3</v>
      </c>
      <c r="F127" s="218">
        <f t="shared" si="35"/>
        <v>10</v>
      </c>
      <c r="G127" s="201"/>
      <c r="H127" s="201"/>
      <c r="I127" s="201"/>
      <c r="J127" s="201"/>
    </row>
    <row r="128" hidden="1" outlineLevel="2">
      <c r="A128" s="245" t="s">
        <v>154</v>
      </c>
      <c r="B128" s="229" t="str">
        <f t="shared" si="33"/>
        <v>#REF!</v>
      </c>
      <c r="C128" s="210">
        <v>0.56</v>
      </c>
      <c r="D128" s="231" t="str">
        <f>Faith!D90</f>
        <v>#REF!</v>
      </c>
      <c r="E128" s="232">
        <f t="shared" si="34"/>
        <v>0.2576</v>
      </c>
      <c r="F128" s="218">
        <f t="shared" si="35"/>
        <v>8.586666667</v>
      </c>
      <c r="G128" s="201"/>
      <c r="H128" s="201"/>
      <c r="I128" s="201"/>
      <c r="J128" s="201"/>
    </row>
    <row r="129" hidden="1" outlineLevel="2">
      <c r="A129" s="241" t="s">
        <v>7</v>
      </c>
      <c r="B129" s="223">
        <f t="shared" si="33"/>
        <v>0.3973333333</v>
      </c>
      <c r="C129" s="210">
        <v>1.0</v>
      </c>
      <c r="D129" s="231">
        <f>Lyra!D71</f>
        <v>0.9733333333</v>
      </c>
      <c r="E129" s="226">
        <f t="shared" si="34"/>
        <v>0.3</v>
      </c>
      <c r="F129" s="218">
        <f t="shared" si="35"/>
        <v>10</v>
      </c>
      <c r="G129" s="201"/>
      <c r="H129" s="201"/>
      <c r="I129" s="201"/>
      <c r="J129" s="201"/>
    </row>
    <row r="130" hidden="1" outlineLevel="2">
      <c r="A130" s="251"/>
      <c r="B130" s="251"/>
      <c r="C130" s="252"/>
      <c r="D130" s="253"/>
      <c r="E130" s="254"/>
      <c r="F130" s="201"/>
      <c r="G130" s="201"/>
      <c r="H130" s="201"/>
      <c r="I130" s="201"/>
      <c r="J130" s="201"/>
    </row>
    <row r="131" hidden="1" outlineLevel="2">
      <c r="A131" s="55" t="s">
        <v>222</v>
      </c>
      <c r="B131" s="251"/>
      <c r="C131" s="252"/>
      <c r="D131" s="253"/>
      <c r="E131" s="254"/>
      <c r="F131" s="201"/>
      <c r="G131" s="201"/>
      <c r="H131" s="201"/>
      <c r="I131" s="201"/>
      <c r="J131" s="201"/>
    </row>
    <row r="132" hidden="1" outlineLevel="2">
      <c r="A132" s="256" t="s">
        <v>196</v>
      </c>
      <c r="B132" s="257" t="s">
        <v>223</v>
      </c>
      <c r="C132" s="62">
        <v>46069.0</v>
      </c>
      <c r="D132" s="62">
        <v>46070.0</v>
      </c>
      <c r="E132" s="62">
        <v>46071.0</v>
      </c>
      <c r="F132" s="62">
        <v>46072.0</v>
      </c>
      <c r="G132" s="62">
        <v>46073.0</v>
      </c>
      <c r="H132" s="62">
        <v>46074.0</v>
      </c>
      <c r="I132" s="62">
        <v>46075.0</v>
      </c>
      <c r="J132" s="201"/>
    </row>
    <row r="133" hidden="1" outlineLevel="2">
      <c r="A133" s="308"/>
      <c r="B133" s="308"/>
      <c r="C133" s="82" t="s">
        <v>80</v>
      </c>
      <c r="D133" s="82" t="s">
        <v>226</v>
      </c>
      <c r="E133" s="82" t="s">
        <v>227</v>
      </c>
      <c r="F133" s="82" t="s">
        <v>228</v>
      </c>
      <c r="G133" s="82" t="s">
        <v>230</v>
      </c>
      <c r="H133" s="82" t="s">
        <v>231</v>
      </c>
      <c r="I133" s="82" t="s">
        <v>232</v>
      </c>
    </row>
    <row r="134" hidden="1" outlineLevel="2">
      <c r="A134" s="227" t="s">
        <v>4</v>
      </c>
      <c r="B134" s="264">
        <f t="shared" ref="B134:B141" si="36">Sum(C134:I134)</f>
        <v>8</v>
      </c>
      <c r="C134" s="268"/>
      <c r="D134" s="268"/>
      <c r="E134" s="268"/>
      <c r="F134" s="268"/>
      <c r="G134" s="267"/>
      <c r="H134" s="268"/>
      <c r="I134" s="267">
        <v>8.0</v>
      </c>
    </row>
    <row r="135" hidden="1" outlineLevel="2">
      <c r="A135" s="220" t="s">
        <v>57</v>
      </c>
      <c r="B135" s="264">
        <f t="shared" si="36"/>
        <v>12</v>
      </c>
      <c r="C135" s="266"/>
      <c r="D135" s="266">
        <v>2.0</v>
      </c>
      <c r="E135" s="266"/>
      <c r="F135" s="266">
        <v>2.0</v>
      </c>
      <c r="G135" s="266">
        <v>8.0</v>
      </c>
      <c r="H135" s="265"/>
      <c r="I135" s="266"/>
    </row>
    <row r="136" hidden="1" outlineLevel="2">
      <c r="A136" s="227" t="s">
        <v>21</v>
      </c>
      <c r="B136" s="264">
        <f t="shared" si="36"/>
        <v>6</v>
      </c>
      <c r="C136" s="267"/>
      <c r="D136" s="268"/>
      <c r="E136" s="267"/>
      <c r="F136" s="267">
        <v>2.0</v>
      </c>
      <c r="G136" s="267">
        <v>2.0</v>
      </c>
      <c r="H136" s="267">
        <v>2.0</v>
      </c>
      <c r="I136" s="268"/>
    </row>
    <row r="137" hidden="1" outlineLevel="2">
      <c r="A137" s="220" t="s">
        <v>32</v>
      </c>
      <c r="B137" s="264">
        <f t="shared" si="36"/>
        <v>14</v>
      </c>
      <c r="C137" s="266">
        <v>2.0</v>
      </c>
      <c r="D137" s="266"/>
      <c r="E137" s="266">
        <v>2.0</v>
      </c>
      <c r="F137" s="266"/>
      <c r="G137" s="266">
        <v>2.0</v>
      </c>
      <c r="H137" s="266">
        <v>8.0</v>
      </c>
      <c r="I137" s="265"/>
    </row>
    <row r="138" hidden="1" outlineLevel="2">
      <c r="A138" s="236" t="s">
        <v>58</v>
      </c>
      <c r="B138" s="264">
        <f t="shared" si="36"/>
        <v>6</v>
      </c>
      <c r="C138" s="267">
        <v>2.0</v>
      </c>
      <c r="D138" s="267">
        <v>2.0</v>
      </c>
      <c r="E138" s="267"/>
      <c r="F138" s="268"/>
      <c r="G138" s="267"/>
      <c r="H138" s="267">
        <v>2.0</v>
      </c>
      <c r="I138" s="268"/>
    </row>
    <row r="139" ht="16.5" hidden="1" customHeight="1" outlineLevel="2">
      <c r="A139" s="241" t="s">
        <v>85</v>
      </c>
      <c r="B139" s="264">
        <f t="shared" si="36"/>
        <v>6</v>
      </c>
      <c r="C139" s="266">
        <v>2.0</v>
      </c>
      <c r="D139" s="266">
        <v>2.0</v>
      </c>
      <c r="E139" s="266"/>
      <c r="F139" s="266"/>
      <c r="G139" s="265"/>
      <c r="H139" s="266">
        <v>2.0</v>
      </c>
      <c r="I139" s="265"/>
    </row>
    <row r="140" hidden="1" outlineLevel="2">
      <c r="A140" s="245" t="s">
        <v>154</v>
      </c>
      <c r="B140" s="264">
        <f t="shared" si="36"/>
        <v>10</v>
      </c>
      <c r="C140" s="268"/>
      <c r="D140" s="268"/>
      <c r="E140" s="268"/>
      <c r="F140" s="268"/>
      <c r="G140" s="267">
        <v>2.0</v>
      </c>
      <c r="H140" s="267">
        <v>8.0</v>
      </c>
      <c r="I140" s="268"/>
    </row>
    <row r="141" hidden="1" outlineLevel="2">
      <c r="A141" s="241" t="s">
        <v>7</v>
      </c>
      <c r="B141" s="264">
        <f t="shared" si="36"/>
        <v>8</v>
      </c>
      <c r="C141" s="265"/>
      <c r="D141" s="265"/>
      <c r="E141" s="265"/>
      <c r="F141" s="266">
        <v>8.0</v>
      </c>
      <c r="G141" s="266"/>
      <c r="H141" s="266"/>
      <c r="I141" s="265"/>
    </row>
    <row r="142" hidden="1" outlineLevel="2">
      <c r="A142" s="251"/>
      <c r="B142" s="251"/>
      <c r="C142" s="251"/>
      <c r="D142" s="251"/>
      <c r="E142" s="251"/>
      <c r="F142" s="251"/>
      <c r="G142" s="251"/>
      <c r="H142" s="251"/>
      <c r="I142" s="251"/>
    </row>
    <row r="143" hidden="1" outlineLevel="1">
      <c r="A143" s="52" t="s">
        <v>428</v>
      </c>
    </row>
    <row r="144" hidden="1" outlineLevel="1">
      <c r="A144" s="55" t="s">
        <v>67</v>
      </c>
    </row>
    <row r="145" hidden="1" outlineLevel="1">
      <c r="A145" s="57" t="s">
        <v>68</v>
      </c>
      <c r="B145" s="59" t="s">
        <v>11</v>
      </c>
      <c r="C145" s="59" t="s">
        <v>71</v>
      </c>
      <c r="D145" s="62">
        <v>46076.0</v>
      </c>
      <c r="E145" s="62">
        <v>46077.0</v>
      </c>
      <c r="F145" s="62">
        <v>46078.0</v>
      </c>
      <c r="G145" s="62">
        <v>46079.0</v>
      </c>
      <c r="H145" s="62">
        <v>46080.0</v>
      </c>
      <c r="I145" s="62">
        <v>46081.0</v>
      </c>
      <c r="J145" s="62">
        <v>46082.0</v>
      </c>
      <c r="K145" s="76" t="s">
        <v>77</v>
      </c>
      <c r="L145" s="78" t="s">
        <v>78</v>
      </c>
    </row>
    <row r="146" hidden="1" outlineLevel="1">
      <c r="A146" s="80"/>
      <c r="B146" s="81"/>
      <c r="C146" s="81"/>
      <c r="D146" s="82" t="s">
        <v>80</v>
      </c>
      <c r="E146" s="82" t="str">
        <f t="shared" ref="E146:J146" si="37">text(E145,"ddd")</f>
        <v>Tue</v>
      </c>
      <c r="F146" s="82" t="str">
        <f t="shared" si="37"/>
        <v>Wed</v>
      </c>
      <c r="G146" s="82" t="str">
        <f t="shared" si="37"/>
        <v>Thu</v>
      </c>
      <c r="H146" s="82" t="str">
        <f t="shared" si="37"/>
        <v>Fri</v>
      </c>
      <c r="I146" s="82" t="str">
        <f t="shared" si="37"/>
        <v>Sat</v>
      </c>
      <c r="J146" s="82" t="str">
        <f t="shared" si="37"/>
        <v>Sun</v>
      </c>
      <c r="K146" s="92"/>
      <c r="L146" s="81"/>
    </row>
    <row r="147" hidden="1" outlineLevel="1">
      <c r="A147" s="95" t="s">
        <v>92</v>
      </c>
      <c r="B147" s="100">
        <f>15+30+20+25+10+20</f>
        <v>120</v>
      </c>
      <c r="C147" s="100">
        <f t="shared" ref="C147:C153" si="38">SUM(D147:J147)</f>
        <v>118</v>
      </c>
      <c r="D147" s="108">
        <v>14.0</v>
      </c>
      <c r="E147" s="108">
        <v>29.0</v>
      </c>
      <c r="F147" s="108">
        <v>18.0</v>
      </c>
      <c r="G147" s="108">
        <v>25.0</v>
      </c>
      <c r="H147" s="112">
        <v>10.0</v>
      </c>
      <c r="I147" s="108" t="s">
        <v>51</v>
      </c>
      <c r="J147" s="151">
        <v>22.0</v>
      </c>
      <c r="K147" s="118">
        <f t="shared" ref="K147:K153" si="39">iferror(C147/B147,"-")</f>
        <v>0.9833333333</v>
      </c>
      <c r="L147" s="125">
        <f t="shared" ref="L147:L153" si="40">(IF(K147="",(0),IF(K147&gt;=1,(5),IF(K147&gt;=0.9,(4),IF(K147&gt;=0.8,(3),IF(K147&gt;=0.69,(2),IF(K147&lt;=0.69,(1))))))))</f>
        <v>4</v>
      </c>
    </row>
    <row r="148" hidden="1" outlineLevel="1">
      <c r="A148" s="127" t="s">
        <v>61</v>
      </c>
      <c r="B148" s="130">
        <f>30+30+25+25+10</f>
        <v>120</v>
      </c>
      <c r="C148" s="130">
        <f t="shared" si="38"/>
        <v>116</v>
      </c>
      <c r="D148" s="108">
        <v>23.0</v>
      </c>
      <c r="E148" s="108">
        <v>29.0</v>
      </c>
      <c r="F148" s="108">
        <v>27.0</v>
      </c>
      <c r="G148" s="108" t="s">
        <v>51</v>
      </c>
      <c r="H148" s="112">
        <v>26.0</v>
      </c>
      <c r="I148" s="108" t="s">
        <v>51</v>
      </c>
      <c r="J148" s="151">
        <v>11.0</v>
      </c>
      <c r="K148" s="118">
        <f t="shared" si="39"/>
        <v>0.9666666667</v>
      </c>
      <c r="L148" s="125">
        <f t="shared" si="40"/>
        <v>4</v>
      </c>
    </row>
    <row r="149" hidden="1" outlineLevel="1">
      <c r="A149" s="95" t="s">
        <v>21</v>
      </c>
      <c r="B149" s="100">
        <f>25+25+30+35+40</f>
        <v>155</v>
      </c>
      <c r="C149" s="100">
        <f t="shared" si="38"/>
        <v>143</v>
      </c>
      <c r="D149" s="108">
        <v>20.0</v>
      </c>
      <c r="E149" s="108" t="s">
        <v>51</v>
      </c>
      <c r="F149" s="108">
        <v>25.0</v>
      </c>
      <c r="G149" s="108">
        <v>26.0</v>
      </c>
      <c r="H149" s="112">
        <v>33.0</v>
      </c>
      <c r="I149" s="151">
        <v>39.0</v>
      </c>
      <c r="J149" s="108" t="s">
        <v>51</v>
      </c>
      <c r="K149" s="118">
        <f t="shared" si="39"/>
        <v>0.9225806452</v>
      </c>
      <c r="L149" s="125">
        <f t="shared" si="40"/>
        <v>4</v>
      </c>
    </row>
    <row r="150" hidden="1" outlineLevel="1">
      <c r="A150" s="127" t="s">
        <v>74</v>
      </c>
      <c r="B150" s="130">
        <f>30+15+25+20+30+3</f>
        <v>123</v>
      </c>
      <c r="C150" s="130">
        <f t="shared" si="38"/>
        <v>123</v>
      </c>
      <c r="D150" s="108">
        <v>33.0</v>
      </c>
      <c r="E150" s="108">
        <v>14.0</v>
      </c>
      <c r="F150" s="108">
        <v>22.0</v>
      </c>
      <c r="G150" s="108">
        <v>19.0</v>
      </c>
      <c r="H150" s="112">
        <v>32.0</v>
      </c>
      <c r="I150" s="151">
        <v>3.0</v>
      </c>
      <c r="J150" s="108" t="s">
        <v>51</v>
      </c>
      <c r="K150" s="118">
        <f t="shared" si="39"/>
        <v>1</v>
      </c>
      <c r="L150" s="125">
        <f t="shared" si="40"/>
        <v>5</v>
      </c>
    </row>
    <row r="151" hidden="1" outlineLevel="1">
      <c r="A151" s="144" t="s">
        <v>53</v>
      </c>
      <c r="B151" s="100">
        <f>30+25+25+20+25+15</f>
        <v>140</v>
      </c>
      <c r="C151" s="130">
        <f t="shared" si="38"/>
        <v>141</v>
      </c>
      <c r="D151" s="108">
        <v>32.0</v>
      </c>
      <c r="E151" s="108">
        <v>22.0</v>
      </c>
      <c r="F151" s="151">
        <v>25.0</v>
      </c>
      <c r="G151" s="108" t="s">
        <v>51</v>
      </c>
      <c r="H151" s="112">
        <v>20.0</v>
      </c>
      <c r="I151" s="151">
        <v>27.0</v>
      </c>
      <c r="J151" s="151">
        <v>15.0</v>
      </c>
      <c r="K151" s="118">
        <f t="shared" si="39"/>
        <v>1.007142857</v>
      </c>
      <c r="L151" s="125">
        <f t="shared" si="40"/>
        <v>5</v>
      </c>
    </row>
    <row r="152" hidden="1" outlineLevel="1">
      <c r="A152" s="148" t="s">
        <v>85</v>
      </c>
      <c r="B152" s="100">
        <f>30+25+25+25+30+10</f>
        <v>145</v>
      </c>
      <c r="C152" s="100">
        <f t="shared" si="38"/>
        <v>142</v>
      </c>
      <c r="D152" s="108">
        <v>30.0</v>
      </c>
      <c r="E152" s="108">
        <v>20.0</v>
      </c>
      <c r="F152" s="108">
        <v>24.0</v>
      </c>
      <c r="G152" s="151">
        <v>27.0</v>
      </c>
      <c r="H152" s="108" t="s">
        <v>51</v>
      </c>
      <c r="I152" s="151">
        <v>30.0</v>
      </c>
      <c r="J152" s="151">
        <v>11.0</v>
      </c>
      <c r="K152" s="118">
        <f t="shared" si="39"/>
        <v>0.9793103448</v>
      </c>
      <c r="L152" s="125">
        <f t="shared" si="40"/>
        <v>4</v>
      </c>
    </row>
    <row r="153" hidden="1" outlineLevel="1">
      <c r="A153" s="148" t="s">
        <v>7</v>
      </c>
      <c r="B153" s="100">
        <f>15*6</f>
        <v>90</v>
      </c>
      <c r="C153" s="100">
        <f t="shared" si="38"/>
        <v>100</v>
      </c>
      <c r="D153" s="108">
        <v>20.0</v>
      </c>
      <c r="E153" s="108">
        <v>15.0</v>
      </c>
      <c r="F153" s="108" t="s">
        <v>51</v>
      </c>
      <c r="G153" s="108">
        <v>14.0</v>
      </c>
      <c r="H153" s="112">
        <v>18.0</v>
      </c>
      <c r="I153" s="151">
        <v>16.0</v>
      </c>
      <c r="J153" s="151">
        <v>17.0</v>
      </c>
      <c r="K153" s="118">
        <f t="shared" si="39"/>
        <v>1.111111111</v>
      </c>
      <c r="L153" s="125">
        <f t="shared" si="40"/>
        <v>5</v>
      </c>
    </row>
    <row r="154" hidden="1" outlineLevel="1"/>
    <row r="155" hidden="1" outlineLevel="1">
      <c r="A155" s="55" t="s">
        <v>87</v>
      </c>
      <c r="I155" s="55"/>
    </row>
    <row r="156" hidden="1" outlineLevel="1">
      <c r="A156" s="57" t="s">
        <v>68</v>
      </c>
      <c r="B156" s="158" t="s">
        <v>157</v>
      </c>
      <c r="C156" s="158" t="s">
        <v>158</v>
      </c>
      <c r="D156" s="158" t="s">
        <v>90</v>
      </c>
      <c r="E156" s="158" t="s">
        <v>91</v>
      </c>
      <c r="F156" s="158" t="s">
        <v>93</v>
      </c>
      <c r="G156" s="161" t="s">
        <v>94</v>
      </c>
      <c r="H156" s="161" t="s">
        <v>160</v>
      </c>
    </row>
    <row r="157" hidden="1" outlineLevel="1">
      <c r="A157" s="80"/>
      <c r="B157" s="81"/>
      <c r="C157" s="162"/>
      <c r="D157" s="162"/>
      <c r="E157" s="162"/>
      <c r="F157" s="162"/>
      <c r="G157" s="162"/>
      <c r="H157" s="162"/>
    </row>
    <row r="158" hidden="1" outlineLevel="1">
      <c r="A158" s="95" t="s">
        <v>92</v>
      </c>
      <c r="B158" s="323">
        <v>121.0</v>
      </c>
      <c r="C158" s="323">
        <v>118.0</v>
      </c>
      <c r="D158" s="164">
        <f t="shared" ref="D158:D164" si="41">B158-C158</f>
        <v>3</v>
      </c>
      <c r="E158" s="167">
        <f t="shared" ref="E158:E164" si="42">IFERROR(C158/B158,"")</f>
        <v>0.9752066116</v>
      </c>
      <c r="F158" s="324">
        <v>0.0021875</v>
      </c>
      <c r="G158" s="171">
        <f t="shared" ref="G158:G164" si="43">IFERROR((IF(E158="",(0),IF(E158&gt;=0.98,(5),IF(E158&gt;=0.95,(4.5),IF(E158&gt;=0.9,(4),IF(E158&gt;=0.8,(3),IF(E158&lt;=0.69,(1)))))))),"")</f>
        <v>4.5</v>
      </c>
      <c r="H158" s="171">
        <f>ROUND(
IF(F158="",
0,
MAX(1, 5 - MAX(0, (F158 - TIME(0,4,0)) / TIME(0,1,0) * 0.5))
),
2
)
</f>
        <v>5</v>
      </c>
    </row>
    <row r="159" hidden="1" outlineLevel="1">
      <c r="A159" s="127" t="s">
        <v>61</v>
      </c>
      <c r="B159" s="325">
        <v>116.0</v>
      </c>
      <c r="C159" s="325">
        <v>116.0</v>
      </c>
      <c r="D159" s="326">
        <f t="shared" si="41"/>
        <v>0</v>
      </c>
      <c r="E159" s="173">
        <f t="shared" si="42"/>
        <v>1</v>
      </c>
      <c r="F159" s="327">
        <v>0.004375</v>
      </c>
      <c r="G159" s="171">
        <f t="shared" si="43"/>
        <v>5</v>
      </c>
      <c r="H159" s="171">
        <f>ROUND(
IF(F159="",
0,
MAX(1, 5 - MAX(0, (F159 - TIME(0,7,0)) / TIME(0,1,0) * 0.5))
),
2
)
</f>
        <v>5</v>
      </c>
    </row>
    <row r="160" hidden="1" outlineLevel="1">
      <c r="A160" s="95" t="s">
        <v>21</v>
      </c>
      <c r="B160" s="325">
        <v>145.0</v>
      </c>
      <c r="C160" s="325">
        <v>140.0</v>
      </c>
      <c r="D160" s="326">
        <f t="shared" si="41"/>
        <v>5</v>
      </c>
      <c r="E160" s="173">
        <f t="shared" si="42"/>
        <v>0.9655172414</v>
      </c>
      <c r="F160" s="327">
        <v>0.0038773148148148148</v>
      </c>
      <c r="G160" s="171">
        <f t="shared" si="43"/>
        <v>4.5</v>
      </c>
      <c r="H160" s="171">
        <f>ROUND(
IF(F160="",
0,
MAX(1, 5 - MAX(0, (F160 - TIME(0,4,0)) / TIME(0,1,0) * 0.5))
),
2
)
</f>
        <v>4.21</v>
      </c>
    </row>
    <row r="161" hidden="1" outlineLevel="1">
      <c r="A161" s="127" t="s">
        <v>74</v>
      </c>
      <c r="B161" s="323">
        <v>127.0</v>
      </c>
      <c r="C161" s="323">
        <v>123.0</v>
      </c>
      <c r="D161" s="164">
        <f t="shared" si="41"/>
        <v>4</v>
      </c>
      <c r="E161" s="167">
        <f t="shared" si="42"/>
        <v>0.968503937</v>
      </c>
      <c r="F161" s="324">
        <v>0.003472222222222222</v>
      </c>
      <c r="G161" s="171">
        <f t="shared" si="43"/>
        <v>4.5</v>
      </c>
      <c r="H161" s="171">
        <f>ROUND(
IF(F161="",
0,
MAX(1, 5 - MAX(0, (F161 - TIME(0,7,0)) / TIME(0,1,0) * 0.5))
),
2
)
</f>
        <v>5</v>
      </c>
    </row>
    <row r="162" hidden="1" outlineLevel="1">
      <c r="A162" s="144" t="s">
        <v>53</v>
      </c>
      <c r="B162" s="323">
        <v>147.0</v>
      </c>
      <c r="C162" s="323">
        <v>141.0</v>
      </c>
      <c r="D162" s="164">
        <f t="shared" si="41"/>
        <v>6</v>
      </c>
      <c r="E162" s="167">
        <f t="shared" si="42"/>
        <v>0.9591836735</v>
      </c>
      <c r="F162" s="324">
        <v>0.002685185185185185</v>
      </c>
      <c r="G162" s="171">
        <f t="shared" si="43"/>
        <v>4.5</v>
      </c>
      <c r="H162" s="171">
        <f>ROUND(
IF(F162="",
0,
MAX(1, 5 - MAX(0, (F162 - TIME(0,4,0)) / TIME(0,1,0) * 0.5))
),
2
)
</f>
        <v>5</v>
      </c>
    </row>
    <row r="163" hidden="1" outlineLevel="1">
      <c r="A163" s="148" t="s">
        <v>85</v>
      </c>
      <c r="B163" s="325">
        <v>150.0</v>
      </c>
      <c r="C163" s="325">
        <v>149.0</v>
      </c>
      <c r="D163" s="326">
        <f t="shared" si="41"/>
        <v>1</v>
      </c>
      <c r="E163" s="173">
        <f t="shared" si="42"/>
        <v>0.9933333333</v>
      </c>
      <c r="F163" s="327">
        <v>0.003703703703703704</v>
      </c>
      <c r="G163" s="171">
        <f t="shared" si="43"/>
        <v>5</v>
      </c>
      <c r="H163" s="171">
        <f>ROUND(
IF(F163="",
0,
MAX(1, 5 - MAX(0, (F163 - TIME(0,7,0)) / TIME(0,1,0) * 0.5))
),
2
)
</f>
        <v>5</v>
      </c>
    </row>
    <row r="164" hidden="1" outlineLevel="1">
      <c r="A164" s="148" t="s">
        <v>7</v>
      </c>
      <c r="B164" s="323">
        <v>102.0</v>
      </c>
      <c r="C164" s="323">
        <v>100.0</v>
      </c>
      <c r="D164" s="164">
        <f t="shared" si="41"/>
        <v>2</v>
      </c>
      <c r="E164" s="167">
        <f t="shared" si="42"/>
        <v>0.9803921569</v>
      </c>
      <c r="F164" s="324">
        <v>0.005011574074074074</v>
      </c>
      <c r="G164" s="171">
        <f t="shared" si="43"/>
        <v>5</v>
      </c>
      <c r="H164" s="171">
        <f>ROUND(
IF(F164="",
0,
MAX(1, 5 - MAX(0, (F164 - TIME(0,8,0)) / TIME(0,1,0) * 0.5))
),
2
)
</f>
        <v>5</v>
      </c>
    </row>
    <row r="165" hidden="1" outlineLevel="1"/>
    <row r="166" hidden="1" outlineLevel="1">
      <c r="A166" s="55" t="s">
        <v>195</v>
      </c>
    </row>
    <row r="167" hidden="1" outlineLevel="1">
      <c r="A167" s="192" t="s">
        <v>196</v>
      </c>
      <c r="B167" s="193" t="s">
        <v>198</v>
      </c>
      <c r="C167" s="195" t="s">
        <v>199</v>
      </c>
      <c r="D167" s="195" t="s">
        <v>200</v>
      </c>
      <c r="E167" s="197" t="s">
        <v>201</v>
      </c>
      <c r="F167" s="199" t="s">
        <v>202</v>
      </c>
      <c r="G167" s="201"/>
    </row>
    <row r="168" hidden="1" outlineLevel="1">
      <c r="A168" s="202" t="s">
        <v>4</v>
      </c>
      <c r="B168" s="209">
        <f t="shared" ref="B168:B174" si="44">(C168*0.3)+(D168*0.1)</f>
        <v>0.4</v>
      </c>
      <c r="C168" s="210">
        <v>1.0</v>
      </c>
      <c r="D168" s="210">
        <f>Dan!D290</f>
        <v>1</v>
      </c>
      <c r="E168" s="214">
        <f t="shared" ref="E168:E174" si="45">(L147+G158+H158)/15*0.3</f>
        <v>0.27</v>
      </c>
      <c r="F168" s="218">
        <f t="shared" ref="F168:F174" si="46">(E168/30%)*10</f>
        <v>9</v>
      </c>
      <c r="G168" s="201"/>
      <c r="H168" s="201"/>
      <c r="I168" s="201"/>
      <c r="J168" s="201"/>
    </row>
    <row r="169" hidden="1" outlineLevel="1">
      <c r="A169" s="220" t="s">
        <v>57</v>
      </c>
      <c r="B169" s="223">
        <f t="shared" si="44"/>
        <v>0.4</v>
      </c>
      <c r="C169" s="210">
        <v>1.0</v>
      </c>
      <c r="D169" s="210">
        <f>Godwin!D290</f>
        <v>1</v>
      </c>
      <c r="E169" s="226">
        <f t="shared" si="45"/>
        <v>0.28</v>
      </c>
      <c r="F169" s="218">
        <f t="shared" si="46"/>
        <v>9.333333333</v>
      </c>
      <c r="G169" s="201"/>
      <c r="H169" s="201"/>
      <c r="I169" s="201"/>
      <c r="J169" s="201"/>
    </row>
    <row r="170" hidden="1" outlineLevel="1">
      <c r="A170" s="227" t="s">
        <v>21</v>
      </c>
      <c r="B170" s="229">
        <f t="shared" si="44"/>
        <v>0.3046566667</v>
      </c>
      <c r="C170" s="210">
        <v>0.6833</v>
      </c>
      <c r="D170" s="231">
        <f>Candy!D162</f>
        <v>0.9966666667</v>
      </c>
      <c r="E170" s="232">
        <f t="shared" si="45"/>
        <v>0.2542</v>
      </c>
      <c r="F170" s="218">
        <f t="shared" si="46"/>
        <v>8.473333333</v>
      </c>
      <c r="G170" s="201"/>
      <c r="H170" s="201"/>
      <c r="I170" s="201"/>
      <c r="J170" s="201"/>
    </row>
    <row r="171" hidden="1" outlineLevel="1">
      <c r="A171" s="220" t="s">
        <v>32</v>
      </c>
      <c r="B171" s="223">
        <f t="shared" si="44"/>
        <v>0.399</v>
      </c>
      <c r="C171" s="210">
        <v>1.0</v>
      </c>
      <c r="D171" s="231">
        <f>Claudette!D290</f>
        <v>0.99</v>
      </c>
      <c r="E171" s="226">
        <f t="shared" si="45"/>
        <v>0.29</v>
      </c>
      <c r="F171" s="218">
        <f t="shared" si="46"/>
        <v>9.666666667</v>
      </c>
      <c r="G171" s="201"/>
      <c r="H171" s="201"/>
      <c r="I171" s="201"/>
      <c r="J171" s="201"/>
    </row>
    <row r="172" hidden="1" outlineLevel="1">
      <c r="A172" s="236" t="s">
        <v>58</v>
      </c>
      <c r="B172" s="229">
        <f t="shared" si="44"/>
        <v>0.4</v>
      </c>
      <c r="C172" s="210">
        <v>1.0</v>
      </c>
      <c r="D172" s="231">
        <f>Sofhia!D290</f>
        <v>1</v>
      </c>
      <c r="E172" s="232">
        <f t="shared" si="45"/>
        <v>0.29</v>
      </c>
      <c r="F172" s="218">
        <f t="shared" si="46"/>
        <v>9.666666667</v>
      </c>
      <c r="G172" s="201"/>
      <c r="H172" s="201"/>
      <c r="I172" s="201"/>
      <c r="J172" s="201"/>
    </row>
    <row r="173" hidden="1" outlineLevel="1">
      <c r="A173" s="241" t="s">
        <v>85</v>
      </c>
      <c r="B173" s="223">
        <f t="shared" si="44"/>
        <v>0.3953333333</v>
      </c>
      <c r="C173" s="210">
        <v>1.0</v>
      </c>
      <c r="D173" s="231">
        <f>Cherry!D108</f>
        <v>0.9533333333</v>
      </c>
      <c r="E173" s="226">
        <f t="shared" si="45"/>
        <v>0.28</v>
      </c>
      <c r="F173" s="218">
        <f t="shared" si="46"/>
        <v>9.333333333</v>
      </c>
      <c r="G173" s="201"/>
      <c r="H173" s="201"/>
      <c r="I173" s="201"/>
      <c r="J173" s="201"/>
    </row>
    <row r="174" hidden="1" outlineLevel="1">
      <c r="A174" s="245" t="s">
        <v>7</v>
      </c>
      <c r="B174" s="229">
        <f t="shared" si="44"/>
        <v>0.3446666667</v>
      </c>
      <c r="C174" s="210">
        <v>0.85</v>
      </c>
      <c r="D174" s="231">
        <f>Lyra!D89</f>
        <v>0.8966666667</v>
      </c>
      <c r="E174" s="232">
        <f t="shared" si="45"/>
        <v>0.3</v>
      </c>
      <c r="F174" s="218">
        <f t="shared" si="46"/>
        <v>10</v>
      </c>
      <c r="G174" s="201"/>
      <c r="H174" s="201"/>
      <c r="I174" s="201"/>
      <c r="J174" s="201"/>
    </row>
    <row r="175" hidden="1" outlineLevel="1">
      <c r="A175" s="241"/>
      <c r="B175" s="223"/>
      <c r="C175" s="210"/>
      <c r="D175" s="231"/>
      <c r="E175" s="226"/>
      <c r="F175" s="218"/>
      <c r="G175" s="201"/>
      <c r="H175" s="201"/>
      <c r="I175" s="201"/>
      <c r="J175" s="201"/>
    </row>
    <row r="176" hidden="1" outlineLevel="1">
      <c r="A176" s="251"/>
      <c r="B176" s="251"/>
      <c r="C176" s="252"/>
      <c r="D176" s="253"/>
      <c r="E176" s="254"/>
      <c r="F176" s="201"/>
      <c r="G176" s="201"/>
      <c r="H176" s="201"/>
      <c r="I176" s="201"/>
      <c r="J176" s="201"/>
    </row>
    <row r="177" hidden="1" outlineLevel="1">
      <c r="A177" s="55" t="s">
        <v>222</v>
      </c>
      <c r="B177" s="251"/>
      <c r="C177" s="252"/>
      <c r="D177" s="253"/>
      <c r="E177" s="254"/>
      <c r="F177" s="201"/>
      <c r="G177" s="201"/>
      <c r="H177" s="201"/>
      <c r="I177" s="201"/>
      <c r="J177" s="201"/>
    </row>
    <row r="178" hidden="1" outlineLevel="1">
      <c r="A178" s="256" t="s">
        <v>196</v>
      </c>
      <c r="B178" s="257" t="s">
        <v>223</v>
      </c>
      <c r="C178" s="62">
        <v>46076.0</v>
      </c>
      <c r="D178" s="62">
        <v>46077.0</v>
      </c>
      <c r="E178" s="62">
        <v>46078.0</v>
      </c>
      <c r="F178" s="62">
        <v>46079.0</v>
      </c>
      <c r="G178" s="62">
        <v>46080.0</v>
      </c>
      <c r="H178" s="62">
        <v>46081.0</v>
      </c>
      <c r="I178" s="62">
        <v>46082.0</v>
      </c>
      <c r="J178" s="201"/>
    </row>
    <row r="179" hidden="1" outlineLevel="1">
      <c r="A179" s="308"/>
      <c r="B179" s="308"/>
      <c r="C179" s="82" t="s">
        <v>80</v>
      </c>
      <c r="D179" s="82" t="s">
        <v>226</v>
      </c>
      <c r="E179" s="82" t="s">
        <v>227</v>
      </c>
      <c r="F179" s="82" t="s">
        <v>228</v>
      </c>
      <c r="G179" s="82" t="s">
        <v>230</v>
      </c>
      <c r="H179" s="82" t="s">
        <v>231</v>
      </c>
      <c r="I179" s="82" t="s">
        <v>232</v>
      </c>
    </row>
    <row r="180" hidden="1" outlineLevel="1">
      <c r="A180" s="227" t="s">
        <v>4</v>
      </c>
      <c r="B180" s="264">
        <f t="shared" ref="B180:B186" si="47">Sum(C180:I180)</f>
        <v>8</v>
      </c>
      <c r="C180" s="268"/>
      <c r="D180" s="268"/>
      <c r="E180" s="268"/>
      <c r="F180" s="268"/>
      <c r="G180" s="267">
        <v>8.0</v>
      </c>
      <c r="H180" s="268"/>
      <c r="I180" s="267"/>
    </row>
    <row r="181" hidden="1" outlineLevel="1">
      <c r="A181" s="220" t="s">
        <v>57</v>
      </c>
      <c r="B181" s="264">
        <f t="shared" si="47"/>
        <v>4</v>
      </c>
      <c r="C181" s="266"/>
      <c r="D181" s="266">
        <v>2.0</v>
      </c>
      <c r="E181" s="266"/>
      <c r="F181" s="266"/>
      <c r="G181" s="266">
        <v>2.0</v>
      </c>
      <c r="H181" s="265"/>
      <c r="I181" s="266"/>
    </row>
    <row r="182" hidden="1" outlineLevel="1">
      <c r="A182" s="227" t="s">
        <v>21</v>
      </c>
      <c r="B182" s="264">
        <f t="shared" si="47"/>
        <v>6</v>
      </c>
      <c r="C182" s="267"/>
      <c r="D182" s="268"/>
      <c r="E182" s="267"/>
      <c r="F182" s="267">
        <v>2.0</v>
      </c>
      <c r="G182" s="267">
        <v>2.0</v>
      </c>
      <c r="H182" s="267">
        <v>2.0</v>
      </c>
      <c r="I182" s="268"/>
    </row>
    <row r="183" hidden="1" outlineLevel="1">
      <c r="A183" s="220" t="s">
        <v>32</v>
      </c>
      <c r="B183" s="264">
        <f t="shared" si="47"/>
        <v>12</v>
      </c>
      <c r="C183" s="266">
        <v>2.0</v>
      </c>
      <c r="D183" s="266"/>
      <c r="E183" s="266"/>
      <c r="F183" s="266"/>
      <c r="G183" s="266">
        <v>2.0</v>
      </c>
      <c r="H183" s="266">
        <v>8.0</v>
      </c>
      <c r="I183" s="265"/>
    </row>
    <row r="184" hidden="1" outlineLevel="1">
      <c r="A184" s="236" t="s">
        <v>58</v>
      </c>
      <c r="B184" s="264">
        <f t="shared" si="47"/>
        <v>14</v>
      </c>
      <c r="C184" s="267">
        <v>2.0</v>
      </c>
      <c r="D184" s="267"/>
      <c r="E184" s="267">
        <v>2.0</v>
      </c>
      <c r="F184" s="268"/>
      <c r="G184" s="267">
        <v>2.0</v>
      </c>
      <c r="H184" s="267">
        <v>8.0</v>
      </c>
      <c r="I184" s="268"/>
    </row>
    <row r="185" ht="16.5" hidden="1" customHeight="1" outlineLevel="1">
      <c r="A185" s="241" t="s">
        <v>85</v>
      </c>
      <c r="B185" s="264">
        <f t="shared" si="47"/>
        <v>6</v>
      </c>
      <c r="C185" s="266">
        <v>2.0</v>
      </c>
      <c r="D185" s="266"/>
      <c r="E185" s="266"/>
      <c r="F185" s="266">
        <v>2.0</v>
      </c>
      <c r="G185" s="265"/>
      <c r="H185" s="266">
        <v>2.0</v>
      </c>
      <c r="I185" s="265"/>
    </row>
    <row r="186" hidden="1" outlineLevel="1">
      <c r="A186" s="245" t="s">
        <v>7</v>
      </c>
      <c r="B186" s="264">
        <f t="shared" si="47"/>
        <v>8</v>
      </c>
      <c r="C186" s="268"/>
      <c r="D186" s="268"/>
      <c r="E186" s="268"/>
      <c r="F186" s="267">
        <v>8.0</v>
      </c>
      <c r="G186" s="267"/>
      <c r="H186" s="267"/>
      <c r="I186" s="268"/>
    </row>
    <row r="187" hidden="1" outlineLevel="1">
      <c r="A187" s="241"/>
      <c r="B187" s="264"/>
      <c r="C187" s="265"/>
      <c r="D187" s="265"/>
      <c r="E187" s="265"/>
      <c r="F187" s="265"/>
      <c r="G187" s="266"/>
      <c r="H187" s="266"/>
      <c r="I187" s="265"/>
    </row>
    <row r="188" hidden="1" outlineLevel="1">
      <c r="A188" s="251"/>
      <c r="B188" s="251"/>
      <c r="C188" s="251"/>
      <c r="D188" s="251"/>
      <c r="E188" s="251"/>
      <c r="F188" s="251"/>
      <c r="G188" s="251"/>
      <c r="H188" s="251"/>
      <c r="I188" s="251"/>
    </row>
    <row r="189" collapsed="1">
      <c r="A189" s="49">
        <v>46082.0</v>
      </c>
    </row>
    <row r="190" hidden="1" outlineLevel="1" collapsed="1">
      <c r="A190" s="52" t="s">
        <v>489</v>
      </c>
    </row>
    <row r="191" hidden="1" outlineLevel="2">
      <c r="A191" s="55" t="s">
        <v>67</v>
      </c>
    </row>
    <row r="192" hidden="1" outlineLevel="2">
      <c r="A192" s="57" t="s">
        <v>68</v>
      </c>
      <c r="B192" s="59" t="s">
        <v>11</v>
      </c>
      <c r="C192" s="59" t="s">
        <v>71</v>
      </c>
      <c r="D192" s="62">
        <v>46083.0</v>
      </c>
      <c r="E192" s="62">
        <v>46084.0</v>
      </c>
      <c r="F192" s="62">
        <v>46085.0</v>
      </c>
      <c r="G192" s="62">
        <v>46086.0</v>
      </c>
      <c r="H192" s="62">
        <v>46087.0</v>
      </c>
      <c r="I192" s="62">
        <v>46088.0</v>
      </c>
      <c r="J192" s="62">
        <v>46089.0</v>
      </c>
      <c r="K192" s="76" t="s">
        <v>77</v>
      </c>
      <c r="L192" s="78" t="s">
        <v>78</v>
      </c>
    </row>
    <row r="193" hidden="1" outlineLevel="2">
      <c r="A193" s="80"/>
      <c r="B193" s="81"/>
      <c r="C193" s="81"/>
      <c r="D193" s="82" t="s">
        <v>80</v>
      </c>
      <c r="E193" s="82" t="str">
        <f t="shared" ref="E193:J193" si="48">text(E192,"ddd")</f>
        <v>Tue</v>
      </c>
      <c r="F193" s="82" t="str">
        <f t="shared" si="48"/>
        <v>Wed</v>
      </c>
      <c r="G193" s="82" t="str">
        <f t="shared" si="48"/>
        <v>Thu</v>
      </c>
      <c r="H193" s="82" t="str">
        <f t="shared" si="48"/>
        <v>Fri</v>
      </c>
      <c r="I193" s="82" t="str">
        <f t="shared" si="48"/>
        <v>Sat</v>
      </c>
      <c r="J193" s="82" t="str">
        <f t="shared" si="48"/>
        <v>Sun</v>
      </c>
      <c r="K193" s="92"/>
      <c r="L193" s="81"/>
    </row>
    <row r="194" hidden="1" outlineLevel="2">
      <c r="A194" s="95" t="s">
        <v>92</v>
      </c>
      <c r="B194" s="100">
        <f>20+35+35+7</f>
        <v>97</v>
      </c>
      <c r="C194" s="100">
        <f t="shared" ref="C194:C201" si="49">SUM(D194:J194)</f>
        <v>113</v>
      </c>
      <c r="D194" s="108">
        <v>18.0</v>
      </c>
      <c r="E194" s="108">
        <v>35.0</v>
      </c>
      <c r="F194" s="108">
        <v>37.0</v>
      </c>
      <c r="G194" s="108">
        <v>7.0</v>
      </c>
      <c r="H194" s="108" t="s">
        <v>51</v>
      </c>
      <c r="I194" s="108" t="s">
        <v>51</v>
      </c>
      <c r="J194" s="151">
        <v>16.0</v>
      </c>
      <c r="K194" s="118">
        <f t="shared" ref="K194:K201" si="50">iferror(C194/B194,"-")</f>
        <v>1.164948454</v>
      </c>
      <c r="L194" s="125">
        <f t="shared" ref="L194:L201" si="51">(IF(K194="",(0),IF(K194&gt;=1,(5),IF(K194&gt;=0.9,(4),IF(K194&gt;=0.8,(3),IF(K194&gt;=0.69,(2),IF(K194&lt;=0.69,(1))))))))</f>
        <v>5</v>
      </c>
    </row>
    <row r="195" hidden="1" outlineLevel="2">
      <c r="A195" s="127" t="s">
        <v>61</v>
      </c>
      <c r="B195" s="130">
        <f>30+30+25+30+25</f>
        <v>140</v>
      </c>
      <c r="C195" s="130">
        <f t="shared" si="49"/>
        <v>152</v>
      </c>
      <c r="D195" s="108">
        <v>28.0</v>
      </c>
      <c r="E195" s="108">
        <v>30.0</v>
      </c>
      <c r="F195" s="108">
        <v>21.0</v>
      </c>
      <c r="G195" s="108">
        <v>28.0</v>
      </c>
      <c r="H195" s="112">
        <v>27.0</v>
      </c>
      <c r="I195" s="108" t="s">
        <v>51</v>
      </c>
      <c r="J195" s="151">
        <v>18.0</v>
      </c>
      <c r="K195" s="118">
        <f t="shared" si="50"/>
        <v>1.085714286</v>
      </c>
      <c r="L195" s="125">
        <f t="shared" si="51"/>
        <v>5</v>
      </c>
    </row>
    <row r="196" hidden="1" outlineLevel="2">
      <c r="A196" s="95" t="s">
        <v>21</v>
      </c>
      <c r="B196" s="100">
        <f>45+40+30+35+20</f>
        <v>170</v>
      </c>
      <c r="C196" s="100">
        <f t="shared" si="49"/>
        <v>168</v>
      </c>
      <c r="D196" s="108">
        <v>46.0</v>
      </c>
      <c r="E196" s="108" t="s">
        <v>51</v>
      </c>
      <c r="F196" s="108">
        <v>41.0</v>
      </c>
      <c r="G196" s="108">
        <v>30.0</v>
      </c>
      <c r="H196" s="112">
        <v>38.0</v>
      </c>
      <c r="I196" s="151">
        <v>13.0</v>
      </c>
      <c r="J196" s="108" t="s">
        <v>51</v>
      </c>
      <c r="K196" s="118">
        <f t="shared" si="50"/>
        <v>0.9882352941</v>
      </c>
      <c r="L196" s="125">
        <f t="shared" si="51"/>
        <v>4</v>
      </c>
    </row>
    <row r="197" hidden="1" outlineLevel="2">
      <c r="A197" s="127" t="s">
        <v>74</v>
      </c>
      <c r="B197" s="130">
        <f>30+20+30+15+15+5</f>
        <v>115</v>
      </c>
      <c r="C197" s="130">
        <f t="shared" si="49"/>
        <v>111</v>
      </c>
      <c r="D197" s="108">
        <v>30.0</v>
      </c>
      <c r="E197" s="108">
        <v>16.0</v>
      </c>
      <c r="F197" s="108">
        <v>30.0</v>
      </c>
      <c r="G197" s="108">
        <v>14.0</v>
      </c>
      <c r="H197" s="112">
        <v>18.0</v>
      </c>
      <c r="I197" s="151">
        <v>3.0</v>
      </c>
      <c r="J197" s="108" t="s">
        <v>51</v>
      </c>
      <c r="K197" s="118">
        <f t="shared" si="50"/>
        <v>0.9652173913</v>
      </c>
      <c r="L197" s="125">
        <f t="shared" si="51"/>
        <v>4</v>
      </c>
    </row>
    <row r="198" hidden="1" outlineLevel="2">
      <c r="A198" s="144" t="s">
        <v>53</v>
      </c>
      <c r="B198" s="100">
        <f>30+30+25+25+20</f>
        <v>130</v>
      </c>
      <c r="C198" s="130">
        <f t="shared" si="49"/>
        <v>154</v>
      </c>
      <c r="D198" s="108">
        <v>34.0</v>
      </c>
      <c r="E198" s="108">
        <v>26.0</v>
      </c>
      <c r="F198" s="108" t="s">
        <v>51</v>
      </c>
      <c r="G198" s="108">
        <v>23.0</v>
      </c>
      <c r="H198" s="112">
        <v>27.0</v>
      </c>
      <c r="I198" s="151">
        <v>22.0</v>
      </c>
      <c r="J198" s="151">
        <v>22.0</v>
      </c>
      <c r="K198" s="118">
        <f t="shared" si="50"/>
        <v>1.184615385</v>
      </c>
      <c r="L198" s="125">
        <f t="shared" si="51"/>
        <v>5</v>
      </c>
    </row>
    <row r="199" hidden="1" outlineLevel="2">
      <c r="A199" s="148" t="s">
        <v>85</v>
      </c>
      <c r="B199" s="100">
        <f>30+30+35+30+25</f>
        <v>150</v>
      </c>
      <c r="C199" s="100">
        <f t="shared" si="49"/>
        <v>180</v>
      </c>
      <c r="D199" s="108">
        <v>35.0</v>
      </c>
      <c r="E199" s="108">
        <v>30.0</v>
      </c>
      <c r="F199" s="108">
        <v>42.0</v>
      </c>
      <c r="G199" s="151">
        <v>31.0</v>
      </c>
      <c r="H199" s="108" t="s">
        <v>51</v>
      </c>
      <c r="I199" s="151">
        <v>25.0</v>
      </c>
      <c r="J199" s="151">
        <v>17.0</v>
      </c>
      <c r="K199" s="118">
        <f t="shared" si="50"/>
        <v>1.2</v>
      </c>
      <c r="L199" s="125">
        <f t="shared" si="51"/>
        <v>5</v>
      </c>
    </row>
    <row r="200" hidden="1" outlineLevel="2">
      <c r="A200" s="148" t="s">
        <v>7</v>
      </c>
      <c r="B200" s="100">
        <f>20*6</f>
        <v>120</v>
      </c>
      <c r="C200" s="100">
        <f t="shared" si="49"/>
        <v>100</v>
      </c>
      <c r="D200" s="108">
        <v>18.0</v>
      </c>
      <c r="E200" s="108">
        <v>13.0</v>
      </c>
      <c r="F200" s="108" t="s">
        <v>51</v>
      </c>
      <c r="G200" s="108">
        <v>23.0</v>
      </c>
      <c r="H200" s="112">
        <v>20.0</v>
      </c>
      <c r="I200" s="151">
        <v>17.0</v>
      </c>
      <c r="J200" s="151">
        <v>9.0</v>
      </c>
      <c r="K200" s="118">
        <f t="shared" si="50"/>
        <v>0.8333333333</v>
      </c>
      <c r="L200" s="125">
        <f t="shared" si="51"/>
        <v>3</v>
      </c>
    </row>
    <row r="201" hidden="1" outlineLevel="2">
      <c r="A201" s="148" t="s">
        <v>514</v>
      </c>
      <c r="B201" s="358">
        <v>55.0</v>
      </c>
      <c r="C201" s="100">
        <f t="shared" si="49"/>
        <v>58</v>
      </c>
      <c r="D201" s="359" t="s">
        <v>278</v>
      </c>
      <c r="E201" s="108">
        <v>18.0</v>
      </c>
      <c r="F201" s="108">
        <v>24.0</v>
      </c>
      <c r="G201" s="108" t="s">
        <v>51</v>
      </c>
      <c r="H201" s="108" t="s">
        <v>51</v>
      </c>
      <c r="I201" s="151">
        <v>9.0</v>
      </c>
      <c r="J201" s="151">
        <v>7.0</v>
      </c>
      <c r="K201" s="118">
        <f t="shared" si="50"/>
        <v>1.054545455</v>
      </c>
      <c r="L201" s="125">
        <f t="shared" si="51"/>
        <v>5</v>
      </c>
    </row>
    <row r="202" hidden="1" outlineLevel="2"/>
    <row r="203" hidden="1" outlineLevel="2">
      <c r="A203" s="55" t="s">
        <v>87</v>
      </c>
      <c r="I203" s="55"/>
    </row>
    <row r="204" hidden="1" outlineLevel="2">
      <c r="A204" s="57" t="s">
        <v>68</v>
      </c>
      <c r="B204" s="158" t="s">
        <v>157</v>
      </c>
      <c r="C204" s="158" t="s">
        <v>158</v>
      </c>
      <c r="D204" s="158" t="s">
        <v>90</v>
      </c>
      <c r="E204" s="158" t="s">
        <v>91</v>
      </c>
      <c r="F204" s="158" t="s">
        <v>93</v>
      </c>
      <c r="G204" s="161" t="s">
        <v>94</v>
      </c>
      <c r="H204" s="161" t="s">
        <v>160</v>
      </c>
    </row>
    <row r="205" hidden="1" outlineLevel="2">
      <c r="A205" s="80"/>
      <c r="B205" s="81"/>
      <c r="C205" s="162"/>
      <c r="D205" s="162"/>
      <c r="E205" s="162"/>
      <c r="F205" s="162"/>
      <c r="G205" s="162"/>
      <c r="H205" s="162"/>
    </row>
    <row r="206" hidden="1" outlineLevel="2">
      <c r="A206" s="95" t="s">
        <v>92</v>
      </c>
      <c r="B206" s="163">
        <v>116.0</v>
      </c>
      <c r="C206" s="163">
        <v>111.0</v>
      </c>
      <c r="D206" s="164">
        <f t="shared" ref="D206:D213" si="52">B206-C206</f>
        <v>5</v>
      </c>
      <c r="E206" s="167">
        <f t="shared" ref="E206:E213" si="53">IFERROR(C206/B206,"")</f>
        <v>0.9568965517</v>
      </c>
      <c r="F206" s="169">
        <v>0.0019675925925925924</v>
      </c>
      <c r="G206" s="171">
        <f t="shared" ref="G206:G213" si="54">IFERROR((IF(E206="",(0),IF(E206&gt;=0.98,(5),IF(E206&gt;=0.95,(4.5),IF(E206&gt;=0.9,(4),IF(E206&gt;=0.8,(3),IF(E206&lt;=0.69,(1)))))))),"")</f>
        <v>4.5</v>
      </c>
      <c r="H206" s="171">
        <f>ROUND(
IF(F206="",
0,
MAX(1, 5 - MAX(0, (F206 - TIME(0,4,0)) / TIME(0,1,0) * 0.5))
),
2
)
</f>
        <v>5</v>
      </c>
    </row>
    <row r="207" hidden="1" outlineLevel="2">
      <c r="A207" s="127" t="s">
        <v>61</v>
      </c>
      <c r="B207" s="172">
        <v>154.0</v>
      </c>
      <c r="C207" s="172">
        <v>152.0</v>
      </c>
      <c r="D207" s="326">
        <f t="shared" si="52"/>
        <v>2</v>
      </c>
      <c r="E207" s="173">
        <f t="shared" si="53"/>
        <v>0.987012987</v>
      </c>
      <c r="F207" s="174">
        <v>0.004409722222222222</v>
      </c>
      <c r="G207" s="171">
        <f t="shared" si="54"/>
        <v>5</v>
      </c>
      <c r="H207" s="171">
        <f>ROUND(
IF(F207="",
0,
MAX(1, 5 - MAX(0, (F207 - TIME(0,7,0)) / TIME(0,1,0) * 0.5))
),
2
)
</f>
        <v>5</v>
      </c>
    </row>
    <row r="208" hidden="1" outlineLevel="2">
      <c r="A208" s="95" t="s">
        <v>21</v>
      </c>
      <c r="B208" s="172">
        <v>168.0</v>
      </c>
      <c r="C208" s="172">
        <v>159.0</v>
      </c>
      <c r="D208" s="326">
        <f t="shared" si="52"/>
        <v>9</v>
      </c>
      <c r="E208" s="173">
        <f t="shared" si="53"/>
        <v>0.9464285714</v>
      </c>
      <c r="F208" s="174">
        <v>0.004074074074074074</v>
      </c>
      <c r="G208" s="171">
        <f t="shared" si="54"/>
        <v>4</v>
      </c>
      <c r="H208" s="171">
        <f>ROUND(
IF(F208="",
0,
MAX(1, 5 - MAX(0, (F208 - TIME(0,4,0)) / TIME(0,1,0) * 0.5))
),
2
)
</f>
        <v>4.07</v>
      </c>
    </row>
    <row r="209" hidden="1" outlineLevel="2">
      <c r="A209" s="127" t="s">
        <v>74</v>
      </c>
      <c r="B209" s="163">
        <v>118.0</v>
      </c>
      <c r="C209" s="163">
        <v>112.0</v>
      </c>
      <c r="D209" s="164">
        <f t="shared" si="52"/>
        <v>6</v>
      </c>
      <c r="E209" s="167">
        <f t="shared" si="53"/>
        <v>0.9491525424</v>
      </c>
      <c r="F209" s="169">
        <v>0.0037731481481481483</v>
      </c>
      <c r="G209" s="171">
        <f t="shared" si="54"/>
        <v>4</v>
      </c>
      <c r="H209" s="171">
        <f>ROUND(
IF(F209="",
0,
MAX(1, 5 - MAX(0, (F209 - TIME(0,7,0)) / TIME(0,1,0) * 0.5))
),
2
)
</f>
        <v>5</v>
      </c>
    </row>
    <row r="210" hidden="1" outlineLevel="2">
      <c r="A210" s="144" t="s">
        <v>53</v>
      </c>
      <c r="B210" s="163">
        <v>161.0</v>
      </c>
      <c r="C210" s="163">
        <v>155.0</v>
      </c>
      <c r="D210" s="164">
        <f t="shared" si="52"/>
        <v>6</v>
      </c>
      <c r="E210" s="167">
        <f t="shared" si="53"/>
        <v>0.9627329193</v>
      </c>
      <c r="F210" s="169">
        <v>0.0025462962962962965</v>
      </c>
      <c r="G210" s="171">
        <f t="shared" si="54"/>
        <v>4.5</v>
      </c>
      <c r="H210" s="171">
        <f>ROUND(
IF(F210="",
0,
MAX(1, 5 - MAX(0, (F210 - TIME(0,4,0)) / TIME(0,1,0) * 0.5))
),
2
)
</f>
        <v>5</v>
      </c>
    </row>
    <row r="211" hidden="1" outlineLevel="2">
      <c r="A211" s="148" t="s">
        <v>85</v>
      </c>
      <c r="B211" s="172">
        <v>180.0</v>
      </c>
      <c r="C211" s="172">
        <v>179.0</v>
      </c>
      <c r="D211" s="326">
        <f t="shared" si="52"/>
        <v>1</v>
      </c>
      <c r="E211" s="173">
        <f t="shared" si="53"/>
        <v>0.9944444444</v>
      </c>
      <c r="F211" s="174">
        <v>0.0038541666666666668</v>
      </c>
      <c r="G211" s="171">
        <f t="shared" si="54"/>
        <v>5</v>
      </c>
      <c r="H211" s="171">
        <f>ROUND(
IF(F211="",
0,
MAX(1, 5 - MAX(0, (F211 - TIME(0,7,0)) / TIME(0,1,0) * 0.5))
),
2
)
</f>
        <v>5</v>
      </c>
    </row>
    <row r="212" hidden="1" outlineLevel="2">
      <c r="A212" s="148" t="s">
        <v>7</v>
      </c>
      <c r="B212" s="163">
        <v>102.0</v>
      </c>
      <c r="C212" s="163">
        <v>101.0</v>
      </c>
      <c r="D212" s="164">
        <f t="shared" si="52"/>
        <v>1</v>
      </c>
      <c r="E212" s="167">
        <f t="shared" si="53"/>
        <v>0.9901960784</v>
      </c>
      <c r="F212" s="169">
        <v>0.005543981481481481</v>
      </c>
      <c r="G212" s="171">
        <f t="shared" si="54"/>
        <v>5</v>
      </c>
      <c r="H212" s="171">
        <f>ROUND(
IF(F212="",
0,
MAX(1, 5 - MAX(0, (F212 - TIME(0,8,0)) / TIME(0,1,0) * 0.5))
),
2
)
</f>
        <v>5</v>
      </c>
    </row>
    <row r="213" hidden="1" outlineLevel="2">
      <c r="A213" s="148" t="s">
        <v>514</v>
      </c>
      <c r="B213" s="163">
        <v>15.0</v>
      </c>
      <c r="C213" s="163">
        <v>15.0</v>
      </c>
      <c r="D213" s="164">
        <f t="shared" si="52"/>
        <v>0</v>
      </c>
      <c r="E213" s="167">
        <f t="shared" si="53"/>
        <v>1</v>
      </c>
      <c r="F213" s="169">
        <v>0.007326388888888889</v>
      </c>
      <c r="G213" s="171">
        <f t="shared" si="54"/>
        <v>5</v>
      </c>
      <c r="H213" s="171">
        <f>ROUND(
IF(F213="",
0,
MAX(1, 5 - MAX(0, (F213 - TIME(0,10,0)) / TIME(0,1,0) * 0.5))
),
2
)
</f>
        <v>4.73</v>
      </c>
    </row>
    <row r="214" hidden="1" outlineLevel="2"/>
    <row r="215" hidden="1" outlineLevel="2">
      <c r="A215" s="55" t="s">
        <v>195</v>
      </c>
    </row>
    <row r="216" hidden="1" outlineLevel="2">
      <c r="A216" s="192" t="s">
        <v>196</v>
      </c>
      <c r="B216" s="193" t="s">
        <v>198</v>
      </c>
      <c r="C216" s="195" t="s">
        <v>199</v>
      </c>
      <c r="D216" s="195" t="s">
        <v>200</v>
      </c>
      <c r="E216" s="197" t="s">
        <v>201</v>
      </c>
      <c r="F216" s="199" t="s">
        <v>202</v>
      </c>
      <c r="G216" s="201"/>
    </row>
    <row r="217" hidden="1" outlineLevel="2">
      <c r="A217" s="202" t="s">
        <v>4</v>
      </c>
      <c r="B217" s="209">
        <f t="shared" ref="B217:B224" si="55">(C217*0.3)+(D217*0.1)</f>
        <v>0.4</v>
      </c>
      <c r="C217" s="210">
        <v>1.0</v>
      </c>
      <c r="D217" s="210">
        <f>Dan!D308</f>
        <v>1</v>
      </c>
      <c r="E217" s="214">
        <f t="shared" ref="E217:E224" si="56">(L194+G206+H206)/15*0.3</f>
        <v>0.29</v>
      </c>
      <c r="F217" s="218">
        <f t="shared" ref="F217:F224" si="57">(E217/30%)*10</f>
        <v>9.666666667</v>
      </c>
      <c r="G217" s="201"/>
      <c r="H217" s="201"/>
      <c r="I217" s="201"/>
      <c r="J217" s="201"/>
    </row>
    <row r="218" hidden="1" outlineLevel="2">
      <c r="A218" s="220" t="s">
        <v>57</v>
      </c>
      <c r="B218" s="223">
        <f t="shared" si="55"/>
        <v>0.22</v>
      </c>
      <c r="C218" s="210">
        <v>0.4</v>
      </c>
      <c r="D218" s="210">
        <f>Godwin!D308</f>
        <v>1</v>
      </c>
      <c r="E218" s="226">
        <f t="shared" si="56"/>
        <v>0.3</v>
      </c>
      <c r="F218" s="218">
        <f t="shared" si="57"/>
        <v>10</v>
      </c>
      <c r="G218" s="201"/>
      <c r="H218" s="201"/>
      <c r="I218" s="201"/>
      <c r="J218" s="201"/>
    </row>
    <row r="219" hidden="1" outlineLevel="2">
      <c r="A219" s="227" t="s">
        <v>21</v>
      </c>
      <c r="B219" s="229">
        <f t="shared" si="55"/>
        <v>0.1853333333</v>
      </c>
      <c r="C219" s="210">
        <v>0.3</v>
      </c>
      <c r="D219" s="231">
        <f>Candy!D180</f>
        <v>0.9533333333</v>
      </c>
      <c r="E219" s="232">
        <f t="shared" si="56"/>
        <v>0.2414</v>
      </c>
      <c r="F219" s="218">
        <f t="shared" si="57"/>
        <v>8.046666667</v>
      </c>
      <c r="G219" s="201"/>
      <c r="H219" s="201"/>
      <c r="I219" s="201"/>
      <c r="J219" s="201"/>
    </row>
    <row r="220" hidden="1" outlineLevel="2">
      <c r="A220" s="220" t="s">
        <v>32</v>
      </c>
      <c r="B220" s="223">
        <f t="shared" si="55"/>
        <v>0.398</v>
      </c>
      <c r="C220" s="210">
        <v>1.0</v>
      </c>
      <c r="D220" s="231">
        <f>Claudette!D308</f>
        <v>0.98</v>
      </c>
      <c r="E220" s="226">
        <f t="shared" si="56"/>
        <v>0.26</v>
      </c>
      <c r="F220" s="218">
        <f t="shared" si="57"/>
        <v>8.666666667</v>
      </c>
      <c r="G220" s="201"/>
      <c r="H220" s="201"/>
      <c r="I220" s="201"/>
      <c r="J220" s="201"/>
    </row>
    <row r="221" hidden="1" outlineLevel="2">
      <c r="A221" s="236" t="s">
        <v>58</v>
      </c>
      <c r="B221" s="229">
        <f t="shared" si="55"/>
        <v>0.398</v>
      </c>
      <c r="C221" s="210">
        <v>1.0</v>
      </c>
      <c r="D221" s="231">
        <f>Sofhia!D308</f>
        <v>0.98</v>
      </c>
      <c r="E221" s="232">
        <f t="shared" si="56"/>
        <v>0.29</v>
      </c>
      <c r="F221" s="218">
        <f t="shared" si="57"/>
        <v>9.666666667</v>
      </c>
      <c r="G221" s="201"/>
      <c r="H221" s="201"/>
      <c r="I221" s="201"/>
      <c r="J221" s="201"/>
    </row>
    <row r="222" hidden="1" outlineLevel="2">
      <c r="A222" s="241" t="s">
        <v>85</v>
      </c>
      <c r="B222" s="223">
        <f t="shared" si="55"/>
        <v>0.3956666667</v>
      </c>
      <c r="C222" s="210">
        <v>1.0</v>
      </c>
      <c r="D222" s="231">
        <f>Cherry!D126</f>
        <v>0.9566666667</v>
      </c>
      <c r="E222" s="226">
        <f t="shared" si="56"/>
        <v>0.3</v>
      </c>
      <c r="F222" s="218">
        <f t="shared" si="57"/>
        <v>10</v>
      </c>
      <c r="G222" s="201"/>
      <c r="H222" s="201"/>
      <c r="I222" s="201"/>
      <c r="J222" s="201"/>
    </row>
    <row r="223" hidden="1" outlineLevel="2">
      <c r="A223" s="245" t="s">
        <v>7</v>
      </c>
      <c r="B223" s="229">
        <f t="shared" si="55"/>
        <v>0.3285</v>
      </c>
      <c r="C223" s="210">
        <v>0.775</v>
      </c>
      <c r="D223" s="231">
        <f>Lyra!D107</f>
        <v>0.96</v>
      </c>
      <c r="E223" s="232">
        <f t="shared" si="56"/>
        <v>0.26</v>
      </c>
      <c r="F223" s="218">
        <f t="shared" si="57"/>
        <v>8.666666667</v>
      </c>
      <c r="G223" s="201"/>
      <c r="H223" s="201"/>
      <c r="I223" s="201"/>
      <c r="J223" s="201"/>
    </row>
    <row r="224" hidden="1" outlineLevel="2">
      <c r="A224" s="241" t="s">
        <v>514</v>
      </c>
      <c r="B224" s="223">
        <f t="shared" si="55"/>
        <v>0.096</v>
      </c>
      <c r="C224" s="360"/>
      <c r="D224" s="231">
        <f>Mikka!D52</f>
        <v>0.96</v>
      </c>
      <c r="E224" s="226">
        <f t="shared" si="56"/>
        <v>0.2946</v>
      </c>
      <c r="F224" s="218">
        <f t="shared" si="57"/>
        <v>9.82</v>
      </c>
      <c r="G224" s="201"/>
      <c r="H224" s="201"/>
      <c r="I224" s="201"/>
      <c r="J224" s="201"/>
    </row>
    <row r="225" hidden="1" outlineLevel="2">
      <c r="A225" s="251"/>
      <c r="B225" s="251"/>
      <c r="C225" s="252"/>
      <c r="D225" s="253"/>
      <c r="E225" s="254"/>
      <c r="F225" s="201"/>
      <c r="G225" s="201"/>
      <c r="H225" s="201"/>
      <c r="I225" s="201"/>
      <c r="J225" s="201"/>
    </row>
    <row r="226" hidden="1" outlineLevel="2">
      <c r="A226" s="55" t="s">
        <v>222</v>
      </c>
      <c r="B226" s="251"/>
      <c r="C226" s="252"/>
      <c r="D226" s="253"/>
      <c r="E226" s="254"/>
      <c r="F226" s="201"/>
      <c r="G226" s="201"/>
      <c r="H226" s="201"/>
      <c r="I226" s="201"/>
      <c r="J226" s="201"/>
    </row>
    <row r="227" hidden="1" outlineLevel="2">
      <c r="A227" s="256" t="s">
        <v>196</v>
      </c>
      <c r="B227" s="257" t="s">
        <v>223</v>
      </c>
      <c r="C227" s="62">
        <v>46083.0</v>
      </c>
      <c r="D227" s="62">
        <v>46084.0</v>
      </c>
      <c r="E227" s="62">
        <v>46085.0</v>
      </c>
      <c r="F227" s="62">
        <v>46086.0</v>
      </c>
      <c r="G227" s="62">
        <v>46087.0</v>
      </c>
      <c r="H227" s="62">
        <v>46088.0</v>
      </c>
      <c r="I227" s="62">
        <v>46089.0</v>
      </c>
      <c r="J227" s="201"/>
    </row>
    <row r="228" hidden="1" outlineLevel="2">
      <c r="A228" s="308"/>
      <c r="B228" s="308"/>
      <c r="C228" s="82" t="s">
        <v>80</v>
      </c>
      <c r="D228" s="82" t="s">
        <v>226</v>
      </c>
      <c r="E228" s="82" t="s">
        <v>227</v>
      </c>
      <c r="F228" s="82" t="s">
        <v>228</v>
      </c>
      <c r="G228" s="82" t="s">
        <v>230</v>
      </c>
      <c r="H228" s="82" t="s">
        <v>231</v>
      </c>
      <c r="I228" s="82" t="s">
        <v>232</v>
      </c>
    </row>
    <row r="229" hidden="1" outlineLevel="2">
      <c r="A229" s="227" t="s">
        <v>4</v>
      </c>
      <c r="B229" s="264">
        <f t="shared" ref="B229:B235" si="58">Sum(C229:I229)</f>
        <v>0</v>
      </c>
      <c r="C229" s="268"/>
      <c r="D229" s="268"/>
      <c r="E229" s="268"/>
      <c r="F229" s="268"/>
      <c r="G229" s="267"/>
      <c r="H229" s="268"/>
      <c r="I229" s="267"/>
    </row>
    <row r="230" hidden="1" outlineLevel="2">
      <c r="A230" s="220" t="s">
        <v>57</v>
      </c>
      <c r="B230" s="264">
        <f t="shared" si="58"/>
        <v>14</v>
      </c>
      <c r="C230" s="266"/>
      <c r="D230" s="266">
        <v>2.0</v>
      </c>
      <c r="E230" s="266"/>
      <c r="F230" s="266">
        <v>2.0</v>
      </c>
      <c r="G230" s="266">
        <v>8.0</v>
      </c>
      <c r="H230" s="265"/>
      <c r="I230" s="266">
        <v>2.0</v>
      </c>
    </row>
    <row r="231" hidden="1" outlineLevel="2">
      <c r="A231" s="227" t="s">
        <v>21</v>
      </c>
      <c r="B231" s="264">
        <f t="shared" si="58"/>
        <v>6</v>
      </c>
      <c r="C231" s="267">
        <v>2.0</v>
      </c>
      <c r="D231" s="268"/>
      <c r="E231" s="267">
        <v>2.0</v>
      </c>
      <c r="F231" s="267"/>
      <c r="G231" s="267">
        <v>2.0</v>
      </c>
      <c r="H231" s="267"/>
      <c r="I231" s="268"/>
    </row>
    <row r="232" hidden="1" outlineLevel="2">
      <c r="A232" s="220" t="s">
        <v>32</v>
      </c>
      <c r="B232" s="264">
        <f t="shared" si="58"/>
        <v>14</v>
      </c>
      <c r="C232" s="266">
        <v>2.0</v>
      </c>
      <c r="D232" s="266"/>
      <c r="E232" s="266">
        <v>2.0</v>
      </c>
      <c r="F232" s="266"/>
      <c r="G232" s="266">
        <v>2.0</v>
      </c>
      <c r="H232" s="266">
        <v>8.0</v>
      </c>
      <c r="I232" s="265"/>
    </row>
    <row r="233" hidden="1" outlineLevel="2">
      <c r="A233" s="236" t="s">
        <v>58</v>
      </c>
      <c r="B233" s="264">
        <f t="shared" si="58"/>
        <v>12</v>
      </c>
      <c r="C233" s="267">
        <v>2.0</v>
      </c>
      <c r="D233" s="267">
        <v>8.0</v>
      </c>
      <c r="E233" s="267"/>
      <c r="F233" s="267">
        <v>2.0</v>
      </c>
      <c r="G233" s="267"/>
      <c r="H233" s="267"/>
      <c r="I233" s="268"/>
    </row>
    <row r="234" ht="16.5" hidden="1" customHeight="1" outlineLevel="2">
      <c r="A234" s="241" t="s">
        <v>85</v>
      </c>
      <c r="B234" s="264">
        <f t="shared" si="58"/>
        <v>14</v>
      </c>
      <c r="C234" s="266">
        <v>2.0</v>
      </c>
      <c r="D234" s="266"/>
      <c r="E234" s="266">
        <v>2.0</v>
      </c>
      <c r="F234" s="266">
        <v>8.0</v>
      </c>
      <c r="G234" s="265"/>
      <c r="H234" s="266">
        <v>2.0</v>
      </c>
      <c r="I234" s="265"/>
    </row>
    <row r="235" hidden="1" outlineLevel="2">
      <c r="A235" s="245" t="s">
        <v>7</v>
      </c>
      <c r="B235" s="264">
        <f t="shared" si="58"/>
        <v>8</v>
      </c>
      <c r="C235" s="268"/>
      <c r="D235" s="268"/>
      <c r="E235" s="268"/>
      <c r="F235" s="267">
        <v>8.0</v>
      </c>
      <c r="G235" s="267"/>
      <c r="H235" s="267"/>
      <c r="I235" s="268"/>
    </row>
    <row r="236" hidden="1" outlineLevel="2">
      <c r="A236" s="241"/>
      <c r="B236" s="264"/>
      <c r="C236" s="265"/>
      <c r="D236" s="265"/>
      <c r="E236" s="265"/>
      <c r="F236" s="265"/>
      <c r="G236" s="266"/>
      <c r="H236" s="266"/>
      <c r="I236" s="265"/>
    </row>
    <row r="237" hidden="1" outlineLevel="2">
      <c r="A237" s="251"/>
      <c r="B237" s="251"/>
      <c r="C237" s="251"/>
      <c r="D237" s="251"/>
      <c r="E237" s="251"/>
      <c r="F237" s="251"/>
      <c r="G237" s="251"/>
      <c r="H237" s="251"/>
      <c r="I237" s="251"/>
    </row>
    <row r="238" hidden="1" outlineLevel="1" collapsed="1">
      <c r="A238" s="52" t="s">
        <v>577</v>
      </c>
    </row>
    <row r="239" hidden="1" outlineLevel="2">
      <c r="A239" s="55" t="s">
        <v>67</v>
      </c>
    </row>
    <row r="240" hidden="1" outlineLevel="2">
      <c r="A240" s="57" t="s">
        <v>68</v>
      </c>
      <c r="B240" s="59" t="s">
        <v>11</v>
      </c>
      <c r="C240" s="59" t="s">
        <v>71</v>
      </c>
      <c r="D240" s="62">
        <v>46090.0</v>
      </c>
      <c r="E240" s="62">
        <v>46091.0</v>
      </c>
      <c r="F240" s="62">
        <v>46092.0</v>
      </c>
      <c r="G240" s="62">
        <v>46093.0</v>
      </c>
      <c r="H240" s="62">
        <v>46094.0</v>
      </c>
      <c r="I240" s="62">
        <v>46095.0</v>
      </c>
      <c r="J240" s="62">
        <v>46096.0</v>
      </c>
      <c r="K240" s="76" t="s">
        <v>77</v>
      </c>
      <c r="L240" s="78" t="s">
        <v>78</v>
      </c>
    </row>
    <row r="241" hidden="1" outlineLevel="2">
      <c r="A241" s="80"/>
      <c r="B241" s="81"/>
      <c r="C241" s="81"/>
      <c r="D241" s="82" t="s">
        <v>80</v>
      </c>
      <c r="E241" s="82" t="str">
        <f t="shared" ref="E241:J241" si="59">text(E240,"ddd")</f>
        <v>Tue</v>
      </c>
      <c r="F241" s="82" t="str">
        <f t="shared" si="59"/>
        <v>Wed</v>
      </c>
      <c r="G241" s="82" t="str">
        <f t="shared" si="59"/>
        <v>Thu</v>
      </c>
      <c r="H241" s="82" t="str">
        <f t="shared" si="59"/>
        <v>Fri</v>
      </c>
      <c r="I241" s="82" t="str">
        <f t="shared" si="59"/>
        <v>Sat</v>
      </c>
      <c r="J241" s="82" t="str">
        <f t="shared" si="59"/>
        <v>Sun</v>
      </c>
      <c r="K241" s="92"/>
      <c r="L241" s="81"/>
    </row>
    <row r="242" hidden="1" outlineLevel="2">
      <c r="A242" s="95" t="s">
        <v>92</v>
      </c>
      <c r="B242" s="100">
        <f>30+30+20+20+7+15</f>
        <v>122</v>
      </c>
      <c r="C242" s="100">
        <f t="shared" ref="C242:C249" si="60">SUM(D242:J242)</f>
        <v>124</v>
      </c>
      <c r="D242" s="108">
        <v>29.0</v>
      </c>
      <c r="E242" s="108">
        <v>31.0</v>
      </c>
      <c r="F242" s="108">
        <v>20.0</v>
      </c>
      <c r="G242" s="108">
        <v>20.0</v>
      </c>
      <c r="H242" s="108">
        <v>9.0</v>
      </c>
      <c r="I242" s="108" t="s">
        <v>51</v>
      </c>
      <c r="J242" s="151">
        <v>15.0</v>
      </c>
      <c r="K242" s="118">
        <f t="shared" ref="K242:K249" si="61">iferror(C242/B242,"-")</f>
        <v>1.016393443</v>
      </c>
      <c r="L242" s="125">
        <f t="shared" ref="L242:L249" si="62">(IF(K242="",(0),IF(K242&gt;=1,(5),IF(K242&gt;=0.9,(4),IF(K242&gt;=0.8,(3),IF(K242&gt;=0.69,(2),IF(K242&lt;=0.69,(1))))))))</f>
        <v>5</v>
      </c>
    </row>
    <row r="243" hidden="1" outlineLevel="2">
      <c r="A243" s="127" t="s">
        <v>61</v>
      </c>
      <c r="B243" s="130">
        <f>25+25+25+25+25+15</f>
        <v>140</v>
      </c>
      <c r="C243" s="130">
        <f t="shared" si="60"/>
        <v>134</v>
      </c>
      <c r="D243" s="108">
        <v>27.0</v>
      </c>
      <c r="E243" s="108">
        <v>17.0</v>
      </c>
      <c r="F243" s="108">
        <v>24.0</v>
      </c>
      <c r="G243" s="108">
        <v>25.0</v>
      </c>
      <c r="H243" s="108">
        <v>23.0</v>
      </c>
      <c r="I243" s="108" t="s">
        <v>51</v>
      </c>
      <c r="J243" s="151">
        <v>18.0</v>
      </c>
      <c r="K243" s="118">
        <f t="shared" si="61"/>
        <v>0.9571428571</v>
      </c>
      <c r="L243" s="125">
        <f t="shared" si="62"/>
        <v>4</v>
      </c>
    </row>
    <row r="244" hidden="1" outlineLevel="2">
      <c r="A244" s="95" t="s">
        <v>21</v>
      </c>
      <c r="B244" s="100">
        <f>30+30+30+30+35</f>
        <v>155</v>
      </c>
      <c r="C244" s="100">
        <f t="shared" si="60"/>
        <v>157</v>
      </c>
      <c r="D244" s="108">
        <v>30.0</v>
      </c>
      <c r="E244" s="108" t="s">
        <v>51</v>
      </c>
      <c r="F244" s="108">
        <v>28.0</v>
      </c>
      <c r="G244" s="108">
        <v>27.0</v>
      </c>
      <c r="H244" s="108">
        <v>34.0</v>
      </c>
      <c r="I244" s="108">
        <v>38.0</v>
      </c>
      <c r="J244" s="108" t="s">
        <v>51</v>
      </c>
      <c r="K244" s="118">
        <f t="shared" si="61"/>
        <v>1.012903226</v>
      </c>
      <c r="L244" s="125">
        <f t="shared" si="62"/>
        <v>5</v>
      </c>
    </row>
    <row r="245" hidden="1" outlineLevel="2">
      <c r="A245" s="127" t="s">
        <v>74</v>
      </c>
      <c r="B245" s="130">
        <f>20+25+20+20+5</f>
        <v>90</v>
      </c>
      <c r="C245" s="130">
        <f t="shared" si="60"/>
        <v>92</v>
      </c>
      <c r="D245" s="108">
        <v>24.0</v>
      </c>
      <c r="E245" s="108">
        <v>25.0</v>
      </c>
      <c r="F245" s="108">
        <v>22.0</v>
      </c>
      <c r="G245" s="108">
        <v>17.0</v>
      </c>
      <c r="H245" s="108" t="s">
        <v>51</v>
      </c>
      <c r="I245" s="108">
        <v>4.0</v>
      </c>
      <c r="J245" s="108" t="s">
        <v>51</v>
      </c>
      <c r="K245" s="118">
        <f t="shared" si="61"/>
        <v>1.022222222</v>
      </c>
      <c r="L245" s="125">
        <f t="shared" si="62"/>
        <v>5</v>
      </c>
    </row>
    <row r="246" hidden="1" outlineLevel="2">
      <c r="A246" s="144" t="s">
        <v>53</v>
      </c>
      <c r="B246" s="100">
        <f>30+25+30+25+20</f>
        <v>130</v>
      </c>
      <c r="C246" s="130">
        <f t="shared" si="60"/>
        <v>158</v>
      </c>
      <c r="D246" s="108">
        <v>33.0</v>
      </c>
      <c r="E246" s="108">
        <v>24.0</v>
      </c>
      <c r="F246" s="108" t="s">
        <v>51</v>
      </c>
      <c r="G246" s="108">
        <v>35.0</v>
      </c>
      <c r="H246" s="108">
        <v>22.0</v>
      </c>
      <c r="I246" s="108">
        <v>22.0</v>
      </c>
      <c r="J246" s="151">
        <v>22.0</v>
      </c>
      <c r="K246" s="118">
        <f t="shared" si="61"/>
        <v>1.215384615</v>
      </c>
      <c r="L246" s="125">
        <f t="shared" si="62"/>
        <v>5</v>
      </c>
    </row>
    <row r="247" hidden="1" outlineLevel="2">
      <c r="A247" s="148" t="s">
        <v>85</v>
      </c>
      <c r="B247" s="130">
        <f>25+25+25+25+25+15</f>
        <v>140</v>
      </c>
      <c r="C247" s="100">
        <f t="shared" si="60"/>
        <v>132</v>
      </c>
      <c r="D247" s="108">
        <v>24.0</v>
      </c>
      <c r="E247" s="108">
        <v>21.0</v>
      </c>
      <c r="F247" s="108">
        <v>25.0</v>
      </c>
      <c r="G247" s="108">
        <v>20.0</v>
      </c>
      <c r="H247" s="108" t="s">
        <v>51</v>
      </c>
      <c r="I247" s="108">
        <v>25.0</v>
      </c>
      <c r="J247" s="151">
        <v>17.0</v>
      </c>
      <c r="K247" s="118">
        <f t="shared" si="61"/>
        <v>0.9428571429</v>
      </c>
      <c r="L247" s="125">
        <f t="shared" si="62"/>
        <v>4</v>
      </c>
    </row>
    <row r="248" hidden="1" outlineLevel="2">
      <c r="A248" s="148" t="s">
        <v>7</v>
      </c>
      <c r="B248" s="100">
        <f>20*6</f>
        <v>120</v>
      </c>
      <c r="C248" s="100">
        <f t="shared" si="60"/>
        <v>109</v>
      </c>
      <c r="D248" s="108">
        <v>20.0</v>
      </c>
      <c r="E248" s="108">
        <v>18.0</v>
      </c>
      <c r="F248" s="108" t="s">
        <v>51</v>
      </c>
      <c r="G248" s="108">
        <v>20.0</v>
      </c>
      <c r="H248" s="108">
        <v>16.0</v>
      </c>
      <c r="I248" s="108">
        <v>20.0</v>
      </c>
      <c r="J248" s="151">
        <v>15.0</v>
      </c>
      <c r="K248" s="118">
        <f t="shared" si="61"/>
        <v>0.9083333333</v>
      </c>
      <c r="L248" s="125">
        <f t="shared" si="62"/>
        <v>4</v>
      </c>
    </row>
    <row r="249" hidden="1" outlineLevel="2">
      <c r="A249" s="148" t="s">
        <v>514</v>
      </c>
      <c r="B249" s="358">
        <f>13*5+7</f>
        <v>72</v>
      </c>
      <c r="C249" s="100">
        <f t="shared" si="60"/>
        <v>70</v>
      </c>
      <c r="D249" s="108">
        <v>12.0</v>
      </c>
      <c r="E249" s="108">
        <v>11.0</v>
      </c>
      <c r="F249" s="108">
        <v>13.0</v>
      </c>
      <c r="G249" s="108" t="s">
        <v>51</v>
      </c>
      <c r="H249" s="108">
        <v>13.0</v>
      </c>
      <c r="I249" s="108">
        <v>14.0</v>
      </c>
      <c r="J249" s="151">
        <v>7.0</v>
      </c>
      <c r="K249" s="118">
        <f t="shared" si="61"/>
        <v>0.9722222222</v>
      </c>
      <c r="L249" s="125">
        <f t="shared" si="62"/>
        <v>4</v>
      </c>
    </row>
    <row r="250" hidden="1" outlineLevel="2"/>
    <row r="251" hidden="1" outlineLevel="2">
      <c r="A251" s="55" t="s">
        <v>87</v>
      </c>
      <c r="I251" s="55"/>
    </row>
    <row r="252" hidden="1" outlineLevel="2">
      <c r="A252" s="57" t="s">
        <v>68</v>
      </c>
      <c r="B252" s="158" t="s">
        <v>157</v>
      </c>
      <c r="C252" s="158" t="s">
        <v>158</v>
      </c>
      <c r="D252" s="158" t="s">
        <v>90</v>
      </c>
      <c r="E252" s="158" t="s">
        <v>91</v>
      </c>
      <c r="F252" s="158" t="s">
        <v>93</v>
      </c>
      <c r="G252" s="161" t="s">
        <v>94</v>
      </c>
      <c r="H252" s="161" t="s">
        <v>160</v>
      </c>
    </row>
    <row r="253" hidden="1" outlineLevel="2">
      <c r="A253" s="80"/>
      <c r="B253" s="81"/>
      <c r="C253" s="162"/>
      <c r="D253" s="162"/>
      <c r="E253" s="162"/>
      <c r="F253" s="162"/>
      <c r="G253" s="162"/>
      <c r="H253" s="162"/>
    </row>
    <row r="254" hidden="1" outlineLevel="2">
      <c r="A254" s="95" t="s">
        <v>92</v>
      </c>
      <c r="B254" s="163">
        <v>137.0</v>
      </c>
      <c r="C254" s="163">
        <v>126.0</v>
      </c>
      <c r="D254" s="164">
        <f t="shared" ref="D254:D261" si="63">B254-C254</f>
        <v>11</v>
      </c>
      <c r="E254" s="167">
        <f t="shared" ref="E254:E261" si="64">IFERROR(C254/B254,"")</f>
        <v>0.9197080292</v>
      </c>
      <c r="F254" s="169">
        <v>0.0022685185185185187</v>
      </c>
      <c r="G254" s="171">
        <f t="shared" ref="G254:G261" si="65">IFERROR((IF(E254="",(0),IF(E254&gt;=0.98,(5),IF(E254&gt;=0.95,(4.5),IF(E254&gt;=0.9,(4),IF(E254&gt;=0.8,(3),IF(E254&lt;=0.69,(1)))))))),"")</f>
        <v>4</v>
      </c>
      <c r="H254" s="171">
        <f>ROUND(
IF(F254="",
0,
MAX(1, 5 - MAX(0, (F254 - TIME(0,4,0)) / TIME(0,1,0) * 0.5))
),
2
)
</f>
        <v>5</v>
      </c>
    </row>
    <row r="255" hidden="1" outlineLevel="2">
      <c r="A255" s="127" t="s">
        <v>61</v>
      </c>
      <c r="B255" s="172">
        <v>131.0</v>
      </c>
      <c r="C255" s="172">
        <v>129.0</v>
      </c>
      <c r="D255" s="326">
        <f t="shared" si="63"/>
        <v>2</v>
      </c>
      <c r="E255" s="173">
        <f t="shared" si="64"/>
        <v>0.9847328244</v>
      </c>
      <c r="F255" s="174">
        <v>0.0044444444444444444</v>
      </c>
      <c r="G255" s="171">
        <f t="shared" si="65"/>
        <v>5</v>
      </c>
      <c r="H255" s="171">
        <f>ROUND(
IF(F255="",
0,
MAX(1, 5 - MAX(0, (F255 - TIME(0,7,0)) / TIME(0,1,0) * 0.5))
),
2
)
</f>
        <v>5</v>
      </c>
    </row>
    <row r="256" hidden="1" outlineLevel="2">
      <c r="A256" s="95" t="s">
        <v>21</v>
      </c>
      <c r="B256" s="172">
        <v>156.0</v>
      </c>
      <c r="C256" s="172">
        <v>154.0</v>
      </c>
      <c r="D256" s="326">
        <f t="shared" si="63"/>
        <v>2</v>
      </c>
      <c r="E256" s="173">
        <f t="shared" si="64"/>
        <v>0.9871794872</v>
      </c>
      <c r="F256" s="174">
        <v>0.0035185185185185185</v>
      </c>
      <c r="G256" s="171">
        <f t="shared" si="65"/>
        <v>5</v>
      </c>
      <c r="H256" s="171">
        <f>ROUND(
IF(F256="",
0,
MAX(1, 5 - MAX(0, (F256 - TIME(0,4,0)) / TIME(0,1,0) * 0.5))
),
2
)
</f>
        <v>4.47</v>
      </c>
    </row>
    <row r="257" hidden="1" outlineLevel="2">
      <c r="A257" s="127" t="s">
        <v>74</v>
      </c>
      <c r="B257" s="163">
        <v>94.0</v>
      </c>
      <c r="C257" s="163">
        <v>93.0</v>
      </c>
      <c r="D257" s="164">
        <f t="shared" si="63"/>
        <v>1</v>
      </c>
      <c r="E257" s="167">
        <f t="shared" si="64"/>
        <v>0.9893617021</v>
      </c>
      <c r="F257" s="169">
        <v>0.004155092592592592</v>
      </c>
      <c r="G257" s="171">
        <f t="shared" si="65"/>
        <v>5</v>
      </c>
      <c r="H257" s="171">
        <f>ROUND(
IF(F257="",
0,
MAX(1, 5 - MAX(0, (F257 - TIME(0,7,0)) / TIME(0,1,0) * 0.5))
),
2
)
</f>
        <v>5</v>
      </c>
    </row>
    <row r="258" hidden="1" outlineLevel="2">
      <c r="A258" s="144" t="s">
        <v>53</v>
      </c>
      <c r="B258" s="163">
        <v>152.0</v>
      </c>
      <c r="C258" s="163">
        <v>149.0</v>
      </c>
      <c r="D258" s="164">
        <f t="shared" si="63"/>
        <v>3</v>
      </c>
      <c r="E258" s="167">
        <f t="shared" si="64"/>
        <v>0.9802631579</v>
      </c>
      <c r="F258" s="169">
        <v>0.0026157407407407405</v>
      </c>
      <c r="G258" s="171">
        <f t="shared" si="65"/>
        <v>5</v>
      </c>
      <c r="H258" s="171">
        <f>ROUND(
IF(F258="",
0,
MAX(1, 5 - MAX(0, (F258 - TIME(0,4,0)) / TIME(0,1,0) * 0.5))
),
2
)
</f>
        <v>5</v>
      </c>
    </row>
    <row r="259" hidden="1" outlineLevel="2">
      <c r="A259" s="148" t="s">
        <v>85</v>
      </c>
      <c r="B259" s="172">
        <v>129.0</v>
      </c>
      <c r="C259" s="172">
        <v>129.0</v>
      </c>
      <c r="D259" s="326">
        <f t="shared" si="63"/>
        <v>0</v>
      </c>
      <c r="E259" s="173">
        <f t="shared" si="64"/>
        <v>1</v>
      </c>
      <c r="F259" s="174">
        <v>0.004120370370370371</v>
      </c>
      <c r="G259" s="171">
        <f t="shared" si="65"/>
        <v>5</v>
      </c>
      <c r="H259" s="171">
        <f>ROUND(
IF(F259="",
0,
MAX(1, 5 - MAX(0, (F259 - TIME(0,7,0)) / TIME(0,1,0) * 0.5))
),
2
)
</f>
        <v>5</v>
      </c>
    </row>
    <row r="260" hidden="1" outlineLevel="2">
      <c r="A260" s="148" t="s">
        <v>7</v>
      </c>
      <c r="B260" s="163">
        <v>106.0</v>
      </c>
      <c r="C260" s="163">
        <v>106.0</v>
      </c>
      <c r="D260" s="164">
        <f t="shared" si="63"/>
        <v>0</v>
      </c>
      <c r="E260" s="167">
        <f t="shared" si="64"/>
        <v>1</v>
      </c>
      <c r="F260" s="169">
        <v>0.004375</v>
      </c>
      <c r="G260" s="171">
        <f t="shared" si="65"/>
        <v>5</v>
      </c>
      <c r="H260" s="171">
        <f>ROUND(
IF(F260="",
0,
MAX(1, 5 - MAX(0, (F260 - TIME(0,8,0)) / TIME(0,1,0) * 0.5))
),
2
)
</f>
        <v>5</v>
      </c>
    </row>
    <row r="261" hidden="1" outlineLevel="2">
      <c r="A261" s="148" t="s">
        <v>514</v>
      </c>
      <c r="B261" s="163">
        <v>72.0</v>
      </c>
      <c r="C261" s="163">
        <v>70.0</v>
      </c>
      <c r="D261" s="164">
        <f t="shared" si="63"/>
        <v>2</v>
      </c>
      <c r="E261" s="167">
        <f t="shared" si="64"/>
        <v>0.9722222222</v>
      </c>
      <c r="F261" s="169">
        <v>0.005405092592592592</v>
      </c>
      <c r="G261" s="171">
        <f t="shared" si="65"/>
        <v>4.5</v>
      </c>
      <c r="H261" s="171">
        <f>ROUND(
IF(F261="",
0,
MAX(1, 5 - MAX(0, (F261 - TIME(0,10,0)) / TIME(0,1,0) * 0.5))
),
2
)
</f>
        <v>5</v>
      </c>
    </row>
    <row r="262" hidden="1" outlineLevel="2"/>
    <row r="263" hidden="1" outlineLevel="2">
      <c r="A263" s="55" t="s">
        <v>195</v>
      </c>
    </row>
    <row r="264" hidden="1" outlineLevel="2">
      <c r="A264" s="192" t="s">
        <v>196</v>
      </c>
      <c r="B264" s="193" t="s">
        <v>198</v>
      </c>
      <c r="C264" s="195" t="s">
        <v>199</v>
      </c>
      <c r="D264" s="195" t="s">
        <v>200</v>
      </c>
      <c r="E264" s="197" t="s">
        <v>201</v>
      </c>
      <c r="F264" s="199" t="s">
        <v>202</v>
      </c>
      <c r="G264" s="201"/>
    </row>
    <row r="265" hidden="1" outlineLevel="2">
      <c r="A265" s="202" t="s">
        <v>4</v>
      </c>
      <c r="B265" s="209">
        <f t="shared" ref="B265:B272" si="66">(C265*0.3)+(D265*0.1)</f>
        <v>0.4</v>
      </c>
      <c r="C265" s="210">
        <v>1.0</v>
      </c>
      <c r="D265" s="210">
        <f>Dan!D326</f>
        <v>1</v>
      </c>
      <c r="E265" s="214">
        <f t="shared" ref="E265:E272" si="67">(L242+G254+H254)/15*0.3</f>
        <v>0.28</v>
      </c>
      <c r="F265" s="218">
        <f t="shared" ref="F265:F272" si="68">(E265/30%)*10</f>
        <v>9.333333333</v>
      </c>
      <c r="G265" s="201"/>
      <c r="H265" s="201"/>
      <c r="I265" s="201"/>
      <c r="J265" s="201"/>
    </row>
    <row r="266" hidden="1" outlineLevel="2">
      <c r="A266" s="220" t="s">
        <v>57</v>
      </c>
      <c r="B266" s="223">
        <f t="shared" si="66"/>
        <v>0.4</v>
      </c>
      <c r="C266" s="210">
        <v>1.0</v>
      </c>
      <c r="D266" s="210">
        <f>Godwin!D326</f>
        <v>1</v>
      </c>
      <c r="E266" s="226">
        <f t="shared" si="67"/>
        <v>0.28</v>
      </c>
      <c r="F266" s="218">
        <f t="shared" si="68"/>
        <v>9.333333333</v>
      </c>
      <c r="G266" s="201"/>
      <c r="H266" s="201"/>
      <c r="I266" s="201"/>
      <c r="J266" s="201"/>
    </row>
    <row r="267" hidden="1" outlineLevel="2">
      <c r="A267" s="227" t="s">
        <v>21</v>
      </c>
      <c r="B267" s="229">
        <f t="shared" si="66"/>
        <v>0.3913333333</v>
      </c>
      <c r="C267" s="210">
        <v>1.0</v>
      </c>
      <c r="D267" s="231">
        <f>Candy!D198</f>
        <v>0.9133333333</v>
      </c>
      <c r="E267" s="232">
        <f t="shared" si="67"/>
        <v>0.2894</v>
      </c>
      <c r="F267" s="218">
        <f t="shared" si="68"/>
        <v>9.646666667</v>
      </c>
      <c r="G267" s="201"/>
      <c r="H267" s="201"/>
      <c r="I267" s="201"/>
      <c r="J267" s="201"/>
    </row>
    <row r="268" hidden="1" outlineLevel="2">
      <c r="A268" s="220" t="s">
        <v>32</v>
      </c>
      <c r="B268" s="223">
        <f t="shared" si="66"/>
        <v>0.4</v>
      </c>
      <c r="C268" s="210">
        <v>1.0</v>
      </c>
      <c r="D268" s="231">
        <f>Claudette!D326</f>
        <v>1</v>
      </c>
      <c r="E268" s="226">
        <f t="shared" si="67"/>
        <v>0.3</v>
      </c>
      <c r="F268" s="218">
        <f t="shared" si="68"/>
        <v>10</v>
      </c>
      <c r="G268" s="201"/>
      <c r="H268" s="201"/>
      <c r="I268" s="201"/>
      <c r="J268" s="201"/>
    </row>
    <row r="269" hidden="1" outlineLevel="2">
      <c r="A269" s="236" t="s">
        <v>58</v>
      </c>
      <c r="B269" s="229">
        <f t="shared" si="66"/>
        <v>0.4</v>
      </c>
      <c r="C269" s="210">
        <v>1.0</v>
      </c>
      <c r="D269" s="231">
        <f>Sofhia!D326</f>
        <v>1</v>
      </c>
      <c r="E269" s="232">
        <f t="shared" si="67"/>
        <v>0.3</v>
      </c>
      <c r="F269" s="218">
        <f t="shared" si="68"/>
        <v>10</v>
      </c>
      <c r="G269" s="201"/>
      <c r="H269" s="201"/>
      <c r="I269" s="201"/>
      <c r="J269" s="201"/>
    </row>
    <row r="270" hidden="1" outlineLevel="2">
      <c r="A270" s="241" t="s">
        <v>85</v>
      </c>
      <c r="B270" s="223">
        <f t="shared" si="66"/>
        <v>0.3976666667</v>
      </c>
      <c r="C270" s="210">
        <v>1.0</v>
      </c>
      <c r="D270" s="231">
        <f>Cherry!D144</f>
        <v>0.9766666667</v>
      </c>
      <c r="E270" s="226">
        <f t="shared" si="67"/>
        <v>0.28</v>
      </c>
      <c r="F270" s="218">
        <f t="shared" si="68"/>
        <v>9.333333333</v>
      </c>
      <c r="G270" s="201"/>
      <c r="H270" s="201"/>
      <c r="I270" s="201"/>
      <c r="J270" s="201"/>
    </row>
    <row r="271" hidden="1" outlineLevel="2">
      <c r="A271" s="245" t="s">
        <v>7</v>
      </c>
      <c r="B271" s="229">
        <f t="shared" si="66"/>
        <v>0.4</v>
      </c>
      <c r="C271" s="210">
        <v>1.0</v>
      </c>
      <c r="D271" s="231">
        <f>Lyra!D125</f>
        <v>1</v>
      </c>
      <c r="E271" s="232">
        <f t="shared" si="67"/>
        <v>0.28</v>
      </c>
      <c r="F271" s="218">
        <f t="shared" si="68"/>
        <v>9.333333333</v>
      </c>
      <c r="G271" s="201"/>
      <c r="H271" s="201"/>
      <c r="I271" s="201"/>
      <c r="J271" s="201"/>
    </row>
    <row r="272" hidden="1" outlineLevel="2">
      <c r="A272" s="241" t="s">
        <v>514</v>
      </c>
      <c r="B272" s="223">
        <f t="shared" si="66"/>
        <v>0.334</v>
      </c>
      <c r="C272" s="210">
        <v>0.79</v>
      </c>
      <c r="D272" s="231">
        <f>Mikka!D70</f>
        <v>0.97</v>
      </c>
      <c r="E272" s="226">
        <f t="shared" si="67"/>
        <v>0.27</v>
      </c>
      <c r="F272" s="218">
        <f t="shared" si="68"/>
        <v>9</v>
      </c>
      <c r="G272" s="201"/>
      <c r="H272" s="201"/>
      <c r="I272" s="201"/>
      <c r="J272" s="201"/>
    </row>
    <row r="273" hidden="1" outlineLevel="2">
      <c r="A273" s="251"/>
      <c r="B273" s="251"/>
      <c r="C273" s="252"/>
      <c r="D273" s="253"/>
      <c r="E273" s="254"/>
      <c r="F273" s="201"/>
      <c r="G273" s="201"/>
      <c r="H273" s="201"/>
      <c r="I273" s="201"/>
      <c r="J273" s="201"/>
    </row>
    <row r="274" hidden="1" outlineLevel="2">
      <c r="A274" s="55" t="s">
        <v>222</v>
      </c>
      <c r="B274" s="251"/>
      <c r="C274" s="252"/>
      <c r="D274" s="253"/>
      <c r="E274" s="254"/>
      <c r="F274" s="201"/>
      <c r="G274" s="201"/>
      <c r="H274" s="201"/>
      <c r="I274" s="201"/>
      <c r="J274" s="201"/>
    </row>
    <row r="275" hidden="1" outlineLevel="2">
      <c r="A275" s="256" t="s">
        <v>196</v>
      </c>
      <c r="B275" s="257" t="s">
        <v>223</v>
      </c>
      <c r="C275" s="62">
        <v>46090.0</v>
      </c>
      <c r="D275" s="62">
        <v>46091.0</v>
      </c>
      <c r="E275" s="62">
        <v>46092.0</v>
      </c>
      <c r="F275" s="62">
        <v>46093.0</v>
      </c>
      <c r="G275" s="62">
        <v>46094.0</v>
      </c>
      <c r="H275" s="62">
        <v>46095.0</v>
      </c>
      <c r="I275" s="62">
        <v>46096.0</v>
      </c>
      <c r="J275" s="201"/>
    </row>
    <row r="276" hidden="1" outlineLevel="2">
      <c r="A276" s="308"/>
      <c r="B276" s="308"/>
      <c r="C276" s="82" t="s">
        <v>80</v>
      </c>
      <c r="D276" s="82" t="s">
        <v>226</v>
      </c>
      <c r="E276" s="82" t="s">
        <v>227</v>
      </c>
      <c r="F276" s="82" t="s">
        <v>228</v>
      </c>
      <c r="G276" s="82" t="s">
        <v>230</v>
      </c>
      <c r="H276" s="82" t="s">
        <v>231</v>
      </c>
      <c r="I276" s="82" t="s">
        <v>232</v>
      </c>
    </row>
    <row r="277" hidden="1" outlineLevel="2">
      <c r="A277" s="227" t="s">
        <v>4</v>
      </c>
      <c r="B277" s="264">
        <f t="shared" ref="B277:B284" si="69">Sum(C277:I277)</f>
        <v>8</v>
      </c>
      <c r="C277" s="268"/>
      <c r="D277" s="268"/>
      <c r="E277" s="268"/>
      <c r="F277" s="268"/>
      <c r="G277" s="267">
        <v>8.0</v>
      </c>
      <c r="H277" s="268"/>
      <c r="I277" s="267"/>
    </row>
    <row r="278" hidden="1" outlineLevel="2">
      <c r="A278" s="220" t="s">
        <v>57</v>
      </c>
      <c r="B278" s="264">
        <f t="shared" si="69"/>
        <v>10</v>
      </c>
      <c r="C278" s="266"/>
      <c r="D278" s="266"/>
      <c r="E278" s="266"/>
      <c r="F278" s="266"/>
      <c r="G278" s="266">
        <v>2.0</v>
      </c>
      <c r="H278" s="265"/>
      <c r="I278" s="266">
        <v>8.0</v>
      </c>
    </row>
    <row r="279" hidden="1" outlineLevel="2">
      <c r="A279" s="227" t="s">
        <v>21</v>
      </c>
      <c r="B279" s="264">
        <f t="shared" si="69"/>
        <v>6</v>
      </c>
      <c r="C279" s="267"/>
      <c r="D279" s="268"/>
      <c r="E279" s="267">
        <v>2.0</v>
      </c>
      <c r="F279" s="267"/>
      <c r="G279" s="267">
        <v>2.0</v>
      </c>
      <c r="H279" s="267">
        <v>2.0</v>
      </c>
      <c r="I279" s="268"/>
    </row>
    <row r="280" hidden="1" outlineLevel="2">
      <c r="A280" s="220" t="s">
        <v>32</v>
      </c>
      <c r="B280" s="264">
        <f t="shared" si="69"/>
        <v>5</v>
      </c>
      <c r="C280" s="266">
        <v>1.0</v>
      </c>
      <c r="D280" s="266">
        <v>2.0</v>
      </c>
      <c r="E280" s="266">
        <v>2.0</v>
      </c>
      <c r="F280" s="266"/>
      <c r="G280" s="266"/>
      <c r="H280" s="266"/>
      <c r="I280" s="265"/>
    </row>
    <row r="281" hidden="1" outlineLevel="2">
      <c r="A281" s="236" t="s">
        <v>58</v>
      </c>
      <c r="B281" s="264">
        <f t="shared" si="69"/>
        <v>11</v>
      </c>
      <c r="C281" s="267">
        <v>1.0</v>
      </c>
      <c r="D281" s="267">
        <v>8.0</v>
      </c>
      <c r="E281" s="267"/>
      <c r="F281" s="267">
        <v>2.0</v>
      </c>
      <c r="G281" s="267"/>
      <c r="H281" s="267"/>
      <c r="I281" s="268"/>
    </row>
    <row r="282" ht="16.5" hidden="1" customHeight="1" outlineLevel="2">
      <c r="A282" s="241" t="s">
        <v>85</v>
      </c>
      <c r="B282" s="264">
        <f t="shared" si="69"/>
        <v>10</v>
      </c>
      <c r="C282" s="266"/>
      <c r="D282" s="266"/>
      <c r="E282" s="266"/>
      <c r="F282" s="266"/>
      <c r="G282" s="265"/>
      <c r="H282" s="266">
        <v>2.0</v>
      </c>
      <c r="I282" s="266">
        <v>8.0</v>
      </c>
    </row>
    <row r="283" hidden="1" outlineLevel="2">
      <c r="A283" s="245" t="s">
        <v>7</v>
      </c>
      <c r="B283" s="264">
        <f t="shared" si="69"/>
        <v>8</v>
      </c>
      <c r="C283" s="268"/>
      <c r="D283" s="268"/>
      <c r="E283" s="267"/>
      <c r="F283" s="267">
        <v>8.0</v>
      </c>
      <c r="G283" s="267"/>
      <c r="H283" s="267"/>
      <c r="I283" s="268"/>
    </row>
    <row r="284" hidden="1" outlineLevel="2">
      <c r="A284" s="241" t="s">
        <v>72</v>
      </c>
      <c r="B284" s="264">
        <f t="shared" si="69"/>
        <v>8</v>
      </c>
      <c r="C284" s="265"/>
      <c r="D284" s="265"/>
      <c r="E284" s="266">
        <v>8.0</v>
      </c>
      <c r="F284" s="265"/>
      <c r="G284" s="266"/>
      <c r="H284" s="266"/>
      <c r="I284" s="265"/>
    </row>
    <row r="285" hidden="1" outlineLevel="2">
      <c r="A285" s="251"/>
      <c r="B285" s="251"/>
      <c r="C285" s="251"/>
      <c r="D285" s="251"/>
      <c r="E285" s="251"/>
      <c r="F285" s="251"/>
      <c r="G285" s="251"/>
      <c r="H285" s="251"/>
      <c r="I285" s="251"/>
    </row>
    <row r="286" hidden="1" outlineLevel="1" collapsed="1">
      <c r="A286" s="52" t="s">
        <v>655</v>
      </c>
    </row>
    <row r="287" hidden="1" outlineLevel="2">
      <c r="A287" s="55" t="s">
        <v>67</v>
      </c>
    </row>
    <row r="288" hidden="1" outlineLevel="2">
      <c r="A288" s="57" t="s">
        <v>68</v>
      </c>
      <c r="B288" s="59" t="s">
        <v>11</v>
      </c>
      <c r="C288" s="59" t="s">
        <v>71</v>
      </c>
      <c r="D288" s="62">
        <v>46097.0</v>
      </c>
      <c r="E288" s="62">
        <v>46098.0</v>
      </c>
      <c r="F288" s="62">
        <v>46099.0</v>
      </c>
      <c r="G288" s="62">
        <v>46100.0</v>
      </c>
      <c r="H288" s="62">
        <v>46101.0</v>
      </c>
      <c r="I288" s="62">
        <v>46102.0</v>
      </c>
      <c r="J288" s="62">
        <v>46103.0</v>
      </c>
      <c r="K288" s="76" t="s">
        <v>77</v>
      </c>
      <c r="L288" s="78" t="s">
        <v>78</v>
      </c>
    </row>
    <row r="289" hidden="1" outlineLevel="2">
      <c r="A289" s="80"/>
      <c r="B289" s="81"/>
      <c r="C289" s="81"/>
      <c r="D289" s="82" t="s">
        <v>80</v>
      </c>
      <c r="E289" s="82" t="str">
        <f t="shared" ref="E289:J289" si="70">text(E288,"ddd")</f>
        <v>Tue</v>
      </c>
      <c r="F289" s="82" t="str">
        <f t="shared" si="70"/>
        <v>Wed</v>
      </c>
      <c r="G289" s="82" t="str">
        <f t="shared" si="70"/>
        <v>Thu</v>
      </c>
      <c r="H289" s="82" t="str">
        <f t="shared" si="70"/>
        <v>Fri</v>
      </c>
      <c r="I289" s="82" t="str">
        <f t="shared" si="70"/>
        <v>Sat</v>
      </c>
      <c r="J289" s="82" t="str">
        <f t="shared" si="70"/>
        <v>Sun</v>
      </c>
      <c r="K289" s="92"/>
      <c r="L289" s="81"/>
    </row>
    <row r="290" hidden="1" outlineLevel="2">
      <c r="A290" s="95" t="s">
        <v>92</v>
      </c>
      <c r="B290" s="100">
        <f>25+30+15+20+25+25</f>
        <v>140</v>
      </c>
      <c r="C290" s="100">
        <f t="shared" ref="C290:C297" si="71">SUM(D290:J290)</f>
        <v>141</v>
      </c>
      <c r="D290" s="108">
        <v>26.0</v>
      </c>
      <c r="E290" s="108">
        <v>28.0</v>
      </c>
      <c r="F290" s="108">
        <v>15.0</v>
      </c>
      <c r="G290" s="108">
        <v>21.0</v>
      </c>
      <c r="H290" s="108">
        <v>28.0</v>
      </c>
      <c r="I290" s="108">
        <v>23.0</v>
      </c>
      <c r="J290" s="108" t="s">
        <v>51</v>
      </c>
      <c r="K290" s="118">
        <f t="shared" ref="K290:K297" si="72">iferror(C290/B290,"-")</f>
        <v>1.007142857</v>
      </c>
      <c r="L290" s="125">
        <f t="shared" ref="L290:L297" si="73">(IF(K290="",(0),IF(K290&gt;=1,(5),IF(K290&gt;=0.9,(4),IF(K290&gt;=0.8,(3),IF(K290&gt;=0.69,(2),IF(K290&lt;=0.69,(1))))))))</f>
        <v>5</v>
      </c>
    </row>
    <row r="291" hidden="1" outlineLevel="2">
      <c r="A291" s="127" t="s">
        <v>61</v>
      </c>
      <c r="B291" s="130">
        <f>25+15+15+20+25</f>
        <v>100</v>
      </c>
      <c r="C291" s="130">
        <f t="shared" si="71"/>
        <v>103</v>
      </c>
      <c r="D291" s="108">
        <v>22.0</v>
      </c>
      <c r="E291" s="108">
        <v>19.0</v>
      </c>
      <c r="F291" s="108">
        <v>17.0</v>
      </c>
      <c r="G291" s="277">
        <v>20.0</v>
      </c>
      <c r="H291" s="108">
        <v>25.0</v>
      </c>
      <c r="I291" s="108" t="s">
        <v>51</v>
      </c>
      <c r="J291" s="108" t="s">
        <v>51</v>
      </c>
      <c r="K291" s="118">
        <f t="shared" si="72"/>
        <v>1.03</v>
      </c>
      <c r="L291" s="125">
        <f t="shared" si="73"/>
        <v>5</v>
      </c>
    </row>
    <row r="292" hidden="1" outlineLevel="2">
      <c r="A292" s="95" t="s">
        <v>21</v>
      </c>
      <c r="B292" s="100">
        <f>30+30+30+25+25</f>
        <v>140</v>
      </c>
      <c r="C292" s="100">
        <f t="shared" si="71"/>
        <v>140</v>
      </c>
      <c r="D292" s="108">
        <v>28.0</v>
      </c>
      <c r="E292" s="108" t="s">
        <v>51</v>
      </c>
      <c r="F292" s="108">
        <v>35.0</v>
      </c>
      <c r="G292" s="108">
        <v>31.0</v>
      </c>
      <c r="H292" s="108">
        <v>23.0</v>
      </c>
      <c r="I292" s="108">
        <v>23.0</v>
      </c>
      <c r="J292" s="108" t="s">
        <v>51</v>
      </c>
      <c r="K292" s="118">
        <f t="shared" si="72"/>
        <v>1</v>
      </c>
      <c r="L292" s="125">
        <f t="shared" si="73"/>
        <v>5</v>
      </c>
    </row>
    <row r="293" hidden="1" outlineLevel="2">
      <c r="A293" s="127" t="s">
        <v>74</v>
      </c>
      <c r="B293" s="130">
        <f>15+15+20+15</f>
        <v>65</v>
      </c>
      <c r="C293" s="130">
        <f t="shared" si="71"/>
        <v>67</v>
      </c>
      <c r="D293" s="108" t="s">
        <v>145</v>
      </c>
      <c r="E293" s="108">
        <v>12.0</v>
      </c>
      <c r="F293" s="108">
        <v>19.0</v>
      </c>
      <c r="G293" s="108">
        <v>19.0</v>
      </c>
      <c r="H293" s="108">
        <v>17.0</v>
      </c>
      <c r="I293" s="108">
        <v>0.0</v>
      </c>
      <c r="J293" s="108" t="s">
        <v>51</v>
      </c>
      <c r="K293" s="118">
        <f t="shared" si="72"/>
        <v>1.030769231</v>
      </c>
      <c r="L293" s="125">
        <f t="shared" si="73"/>
        <v>5</v>
      </c>
    </row>
    <row r="294" hidden="1" outlineLevel="2">
      <c r="A294" s="144" t="s">
        <v>53</v>
      </c>
      <c r="B294" s="100">
        <f>20+30+20+25+25</f>
        <v>120</v>
      </c>
      <c r="C294" s="130">
        <f t="shared" si="71"/>
        <v>120</v>
      </c>
      <c r="D294" s="108">
        <v>18.0</v>
      </c>
      <c r="E294" s="108">
        <v>30.0</v>
      </c>
      <c r="F294" s="108">
        <v>24.0</v>
      </c>
      <c r="G294" s="108">
        <v>24.0</v>
      </c>
      <c r="H294" s="108" t="s">
        <v>51</v>
      </c>
      <c r="I294" s="108" t="s">
        <v>51</v>
      </c>
      <c r="J294" s="151">
        <v>24.0</v>
      </c>
      <c r="K294" s="118">
        <f t="shared" si="72"/>
        <v>1</v>
      </c>
      <c r="L294" s="125">
        <f t="shared" si="73"/>
        <v>5</v>
      </c>
    </row>
    <row r="295" hidden="1" outlineLevel="2">
      <c r="A295" s="148" t="s">
        <v>85</v>
      </c>
      <c r="B295" s="130">
        <f>25+20+20+25+25+25</f>
        <v>140</v>
      </c>
      <c r="C295" s="100">
        <f t="shared" si="71"/>
        <v>137</v>
      </c>
      <c r="D295" s="108">
        <v>25.0</v>
      </c>
      <c r="E295" s="108">
        <v>15.0</v>
      </c>
      <c r="F295" s="108">
        <v>22.0</v>
      </c>
      <c r="G295" s="108">
        <v>24.0</v>
      </c>
      <c r="H295" s="108" t="s">
        <v>51</v>
      </c>
      <c r="I295" s="108">
        <v>28.0</v>
      </c>
      <c r="J295" s="151">
        <v>23.0</v>
      </c>
      <c r="K295" s="118">
        <f t="shared" si="72"/>
        <v>0.9785714286</v>
      </c>
      <c r="L295" s="125">
        <f t="shared" si="73"/>
        <v>4</v>
      </c>
    </row>
    <row r="296" hidden="1" outlineLevel="2">
      <c r="A296" s="148" t="s">
        <v>7</v>
      </c>
      <c r="B296" s="100">
        <f>20+15+25+20+20+10</f>
        <v>110</v>
      </c>
      <c r="C296" s="100">
        <f t="shared" si="71"/>
        <v>104</v>
      </c>
      <c r="D296" s="108">
        <v>22.0</v>
      </c>
      <c r="E296" s="108">
        <v>14.0</v>
      </c>
      <c r="F296" s="108" t="s">
        <v>51</v>
      </c>
      <c r="G296" s="108">
        <v>26.0</v>
      </c>
      <c r="H296" s="108">
        <v>12.0</v>
      </c>
      <c r="I296" s="108">
        <v>18.0</v>
      </c>
      <c r="J296" s="151">
        <v>12.0</v>
      </c>
      <c r="K296" s="118">
        <f t="shared" si="72"/>
        <v>0.9454545455</v>
      </c>
      <c r="L296" s="125">
        <f t="shared" si="73"/>
        <v>4</v>
      </c>
    </row>
    <row r="297" hidden="1" outlineLevel="2">
      <c r="A297" s="148" t="s">
        <v>514</v>
      </c>
      <c r="B297" s="358">
        <f>13*5+7</f>
        <v>72</v>
      </c>
      <c r="C297" s="100">
        <f t="shared" si="71"/>
        <v>85</v>
      </c>
      <c r="D297" s="108">
        <v>18.0</v>
      </c>
      <c r="E297" s="108">
        <v>12.0</v>
      </c>
      <c r="F297" s="108">
        <v>17.0</v>
      </c>
      <c r="G297" s="108" t="s">
        <v>51</v>
      </c>
      <c r="H297" s="108">
        <v>14.0</v>
      </c>
      <c r="I297" s="108">
        <v>13.0</v>
      </c>
      <c r="J297" s="151">
        <v>11.0</v>
      </c>
      <c r="K297" s="118">
        <f t="shared" si="72"/>
        <v>1.180555556</v>
      </c>
      <c r="L297" s="125">
        <f t="shared" si="73"/>
        <v>5</v>
      </c>
    </row>
    <row r="298" hidden="1" outlineLevel="2"/>
    <row r="299" hidden="1" outlineLevel="2">
      <c r="A299" s="55" t="s">
        <v>87</v>
      </c>
      <c r="I299" s="55"/>
    </row>
    <row r="300" hidden="1" outlineLevel="2">
      <c r="A300" s="57" t="s">
        <v>68</v>
      </c>
      <c r="B300" s="158" t="s">
        <v>157</v>
      </c>
      <c r="C300" s="158" t="s">
        <v>158</v>
      </c>
      <c r="D300" s="158" t="s">
        <v>90</v>
      </c>
      <c r="E300" s="158" t="s">
        <v>91</v>
      </c>
      <c r="F300" s="158" t="s">
        <v>93</v>
      </c>
      <c r="G300" s="161" t="s">
        <v>94</v>
      </c>
      <c r="H300" s="161" t="s">
        <v>160</v>
      </c>
    </row>
    <row r="301" hidden="1" outlineLevel="2">
      <c r="A301" s="80"/>
      <c r="B301" s="81"/>
      <c r="C301" s="162"/>
      <c r="D301" s="162"/>
      <c r="E301" s="162"/>
      <c r="F301" s="162"/>
      <c r="G301" s="162"/>
      <c r="H301" s="162"/>
    </row>
    <row r="302" hidden="1" outlineLevel="2">
      <c r="A302" s="95" t="s">
        <v>92</v>
      </c>
      <c r="B302" s="323">
        <v>162.0</v>
      </c>
      <c r="C302" s="323">
        <v>159.0</v>
      </c>
      <c r="D302" s="164">
        <f t="shared" ref="D302:D303" si="74">B302-C302</f>
        <v>3</v>
      </c>
      <c r="E302" s="167">
        <f t="shared" ref="E302:E309" si="75">IFERROR(C302/B302,"")</f>
        <v>0.9814814815</v>
      </c>
      <c r="F302" s="324">
        <v>0.0019212962962962964</v>
      </c>
      <c r="G302" s="171">
        <f t="shared" ref="G302:G309" si="76">IFERROR((IF(E302="",(0),IF(E302&gt;=0.98,(5),IF(E302&gt;=0.95,(4.5),IF(E302&gt;=0.9,(4),IF(E302&gt;=0.8,(3),IF(E302&lt;=0.69,(1)))))))),"")</f>
        <v>5</v>
      </c>
      <c r="H302" s="171">
        <f>ROUND(
IF(F302="",
0,
MAX(1, 5 - MAX(0, (F302 - TIME(0,4,0)) / TIME(0,1,0) * 0.5))
),
2
)
</f>
        <v>5</v>
      </c>
    </row>
    <row r="303" hidden="1" outlineLevel="2">
      <c r="A303" s="127" t="s">
        <v>61</v>
      </c>
      <c r="B303" s="325">
        <v>110.0</v>
      </c>
      <c r="C303" s="325">
        <v>110.0</v>
      </c>
      <c r="D303" s="326">
        <f t="shared" si="74"/>
        <v>0</v>
      </c>
      <c r="E303" s="173">
        <f t="shared" si="75"/>
        <v>1</v>
      </c>
      <c r="F303" s="327">
        <v>0.004884259259259259</v>
      </c>
      <c r="G303" s="171">
        <f t="shared" si="76"/>
        <v>5</v>
      </c>
      <c r="H303" s="171">
        <f>ROUND(
IF(F303="",
0,
MAX(1, 5 - MAX(0, (F303 - TIME(0,7,0)) / TIME(0,1,0) * 0.5))
),
2
)
</f>
        <v>4.98</v>
      </c>
    </row>
    <row r="304" hidden="1" outlineLevel="2">
      <c r="A304" s="95" t="s">
        <v>21</v>
      </c>
      <c r="B304" s="325">
        <v>147.0</v>
      </c>
      <c r="C304" s="325">
        <v>144.0</v>
      </c>
      <c r="D304" s="326">
        <v>1.0</v>
      </c>
      <c r="E304" s="173">
        <f t="shared" si="75"/>
        <v>0.9795918367</v>
      </c>
      <c r="F304" s="327">
        <v>0.0037731481481481483</v>
      </c>
      <c r="G304" s="171">
        <f t="shared" si="76"/>
        <v>4.5</v>
      </c>
      <c r="H304" s="171">
        <f>ROUND(
IF(F304="",
0,
MAX(1, 5 - MAX(0, (F304 - TIME(0,4,0)) / TIME(0,1,0) * 0.5))
),
2
)
</f>
        <v>4.28</v>
      </c>
    </row>
    <row r="305" hidden="1" outlineLevel="2">
      <c r="A305" s="127" t="s">
        <v>74</v>
      </c>
      <c r="B305" s="323">
        <v>74.0</v>
      </c>
      <c r="C305" s="323">
        <v>72.0</v>
      </c>
      <c r="D305" s="164">
        <f t="shared" ref="D305:D309" si="77">B305-C305</f>
        <v>2</v>
      </c>
      <c r="E305" s="167">
        <f t="shared" si="75"/>
        <v>0.972972973</v>
      </c>
      <c r="F305" s="324">
        <v>0.0042592592592592595</v>
      </c>
      <c r="G305" s="171">
        <f t="shared" si="76"/>
        <v>4.5</v>
      </c>
      <c r="H305" s="171">
        <f>ROUND(
IF(F305="",
0,
MAX(1, 5 - MAX(0, (F305 - TIME(0,7,0)) / TIME(0,1,0) * 0.5))
),
2
)
</f>
        <v>5</v>
      </c>
    </row>
    <row r="306" hidden="1" outlineLevel="2">
      <c r="A306" s="144" t="s">
        <v>53</v>
      </c>
      <c r="B306" s="323">
        <v>133.0</v>
      </c>
      <c r="C306" s="323">
        <v>131.0</v>
      </c>
      <c r="D306" s="164">
        <f t="shared" si="77"/>
        <v>2</v>
      </c>
      <c r="E306" s="167">
        <f t="shared" si="75"/>
        <v>0.984962406</v>
      </c>
      <c r="F306" s="324">
        <v>0.002824074074074074</v>
      </c>
      <c r="G306" s="171">
        <f t="shared" si="76"/>
        <v>5</v>
      </c>
      <c r="H306" s="171">
        <f>ROUND(
IF(F306="",
0,
MAX(1, 5 - MAX(0, (F306 - TIME(0,4,0)) / TIME(0,1,0) * 0.5))
),
2
)
</f>
        <v>4.97</v>
      </c>
    </row>
    <row r="307" hidden="1" outlineLevel="2">
      <c r="A307" s="148" t="s">
        <v>85</v>
      </c>
      <c r="B307" s="325">
        <v>136.0</v>
      </c>
      <c r="C307" s="325">
        <v>136.0</v>
      </c>
      <c r="D307" s="326">
        <f t="shared" si="77"/>
        <v>0</v>
      </c>
      <c r="E307" s="173">
        <f t="shared" si="75"/>
        <v>1</v>
      </c>
      <c r="F307" s="327">
        <v>0.004618055555555556</v>
      </c>
      <c r="G307" s="171">
        <f t="shared" si="76"/>
        <v>5</v>
      </c>
      <c r="H307" s="171">
        <f>ROUND(
IF(F307="",
0,
MAX(1, 5 - MAX(0, (F307 - TIME(0,7,0)) / TIME(0,1,0) * 0.5))
),
2
)
</f>
        <v>5</v>
      </c>
    </row>
    <row r="308" hidden="1" outlineLevel="2">
      <c r="A308" s="148" t="s">
        <v>7</v>
      </c>
      <c r="B308" s="323">
        <v>109.0</v>
      </c>
      <c r="C308" s="323">
        <v>108.0</v>
      </c>
      <c r="D308" s="164">
        <f t="shared" si="77"/>
        <v>1</v>
      </c>
      <c r="E308" s="167">
        <f t="shared" si="75"/>
        <v>0.9908256881</v>
      </c>
      <c r="F308" s="324">
        <v>0.004756944444444445</v>
      </c>
      <c r="G308" s="171">
        <f t="shared" si="76"/>
        <v>5</v>
      </c>
      <c r="H308" s="171">
        <f>ROUND(
IF(F308="",
0,
MAX(1, 5 - MAX(0, (F308 - TIME(0,8,0)) / TIME(0,1,0) * 0.5))
),
2
)
</f>
        <v>5</v>
      </c>
    </row>
    <row r="309" hidden="1" outlineLevel="2">
      <c r="A309" s="148" t="s">
        <v>514</v>
      </c>
      <c r="B309" s="325">
        <v>87.0</v>
      </c>
      <c r="C309" s="325">
        <v>86.0</v>
      </c>
      <c r="D309" s="326">
        <f t="shared" si="77"/>
        <v>1</v>
      </c>
      <c r="E309" s="173">
        <f t="shared" si="75"/>
        <v>0.9885057471</v>
      </c>
      <c r="F309" s="327">
        <v>0.005092592592592593</v>
      </c>
      <c r="G309" s="171">
        <f t="shared" si="76"/>
        <v>5</v>
      </c>
      <c r="H309" s="171">
        <f>ROUND(
IF(F309="",
0,
MAX(1, 5 - MAX(0, (F309 - TIME(0,10,0)) / TIME(0,1,0) * 0.5))
),
2
)
</f>
        <v>5</v>
      </c>
    </row>
    <row r="310" hidden="1" outlineLevel="2"/>
    <row r="311" hidden="1" outlineLevel="2">
      <c r="A311" s="55" t="s">
        <v>195</v>
      </c>
    </row>
    <row r="312" hidden="1" outlineLevel="2">
      <c r="A312" s="192" t="s">
        <v>196</v>
      </c>
      <c r="B312" s="193" t="s">
        <v>198</v>
      </c>
      <c r="C312" s="195" t="s">
        <v>199</v>
      </c>
      <c r="D312" s="195" t="s">
        <v>200</v>
      </c>
      <c r="E312" s="197" t="s">
        <v>201</v>
      </c>
      <c r="F312" s="199" t="s">
        <v>202</v>
      </c>
      <c r="G312" s="201"/>
    </row>
    <row r="313" hidden="1" outlineLevel="2">
      <c r="A313" s="202" t="s">
        <v>4</v>
      </c>
      <c r="B313" s="209">
        <f t="shared" ref="B313:B320" si="78">(C313*0.3)+(D313*0.1)</f>
        <v>0.4</v>
      </c>
      <c r="C313" s="210">
        <v>1.0</v>
      </c>
      <c r="D313" s="210">
        <f>Dan!D344</f>
        <v>1</v>
      </c>
      <c r="E313" s="214">
        <f t="shared" ref="E313:E320" si="79">(L290+G302+H302)/15*0.3</f>
        <v>0.3</v>
      </c>
      <c r="F313" s="218">
        <f t="shared" ref="F313:F320" si="80">(E313/30%)*10</f>
        <v>10</v>
      </c>
      <c r="G313" s="201"/>
      <c r="H313" s="201"/>
      <c r="I313" s="201"/>
      <c r="J313" s="201"/>
    </row>
    <row r="314" hidden="1" outlineLevel="2">
      <c r="A314" s="220" t="s">
        <v>57</v>
      </c>
      <c r="B314" s="223">
        <f t="shared" si="78"/>
        <v>0.4</v>
      </c>
      <c r="C314" s="210">
        <v>1.0</v>
      </c>
      <c r="D314" s="210">
        <f>Godwin!D344</f>
        <v>1</v>
      </c>
      <c r="E314" s="226">
        <f t="shared" si="79"/>
        <v>0.2996</v>
      </c>
      <c r="F314" s="218">
        <f t="shared" si="80"/>
        <v>9.986666667</v>
      </c>
      <c r="G314" s="201"/>
      <c r="H314" s="201"/>
      <c r="I314" s="201"/>
      <c r="J314" s="201"/>
    </row>
    <row r="315" hidden="1" outlineLevel="2">
      <c r="A315" s="227" t="s">
        <v>21</v>
      </c>
      <c r="B315" s="229">
        <f t="shared" si="78"/>
        <v>0.338</v>
      </c>
      <c r="C315" s="210">
        <v>0.8</v>
      </c>
      <c r="D315" s="231">
        <f>Candy!D216</f>
        <v>0.98</v>
      </c>
      <c r="E315" s="232">
        <f t="shared" si="79"/>
        <v>0.2756</v>
      </c>
      <c r="F315" s="218">
        <f t="shared" si="80"/>
        <v>9.186666667</v>
      </c>
      <c r="G315" s="201"/>
      <c r="H315" s="201"/>
      <c r="I315" s="201"/>
      <c r="J315" s="201"/>
    </row>
    <row r="316" hidden="1" outlineLevel="2">
      <c r="A316" s="220" t="s">
        <v>32</v>
      </c>
      <c r="B316" s="223">
        <f t="shared" si="78"/>
        <v>0.4</v>
      </c>
      <c r="C316" s="210">
        <v>1.0</v>
      </c>
      <c r="D316" s="231">
        <f>Claudette!D344</f>
        <v>1</v>
      </c>
      <c r="E316" s="226">
        <f t="shared" si="79"/>
        <v>0.29</v>
      </c>
      <c r="F316" s="218">
        <f t="shared" si="80"/>
        <v>9.666666667</v>
      </c>
      <c r="G316" s="201"/>
      <c r="H316" s="201"/>
      <c r="I316" s="201"/>
      <c r="J316" s="201"/>
    </row>
    <row r="317" hidden="1" outlineLevel="2">
      <c r="A317" s="236" t="s">
        <v>58</v>
      </c>
      <c r="B317" s="229">
        <f t="shared" si="78"/>
        <v>0.4</v>
      </c>
      <c r="C317" s="210">
        <v>1.0</v>
      </c>
      <c r="D317" s="231">
        <f>Sofhia!D344</f>
        <v>1</v>
      </c>
      <c r="E317" s="232">
        <f t="shared" si="79"/>
        <v>0.2994</v>
      </c>
      <c r="F317" s="218">
        <f t="shared" si="80"/>
        <v>9.98</v>
      </c>
      <c r="G317" s="201"/>
      <c r="H317" s="201"/>
      <c r="I317" s="201"/>
      <c r="J317" s="201"/>
    </row>
    <row r="318" hidden="1" outlineLevel="2">
      <c r="A318" s="241" t="s">
        <v>85</v>
      </c>
      <c r="B318" s="223">
        <f t="shared" si="78"/>
        <v>0.4</v>
      </c>
      <c r="C318" s="210">
        <v>1.0</v>
      </c>
      <c r="D318" s="231">
        <f>Cherry!D162</f>
        <v>1</v>
      </c>
      <c r="E318" s="226">
        <f t="shared" si="79"/>
        <v>0.28</v>
      </c>
      <c r="F318" s="218">
        <f t="shared" si="80"/>
        <v>9.333333333</v>
      </c>
      <c r="G318" s="201"/>
      <c r="H318" s="201"/>
      <c r="I318" s="201"/>
      <c r="J318" s="201"/>
    </row>
    <row r="319" hidden="1" outlineLevel="2">
      <c r="A319" s="245" t="s">
        <v>7</v>
      </c>
      <c r="B319" s="229">
        <f t="shared" si="78"/>
        <v>0.4</v>
      </c>
      <c r="C319" s="210">
        <v>1.0</v>
      </c>
      <c r="D319" s="231">
        <f>Lyra!D143</f>
        <v>1</v>
      </c>
      <c r="E319" s="232">
        <f t="shared" si="79"/>
        <v>0.28</v>
      </c>
      <c r="F319" s="218">
        <f t="shared" si="80"/>
        <v>9.333333333</v>
      </c>
      <c r="G319" s="201"/>
      <c r="H319" s="201"/>
      <c r="I319" s="201"/>
      <c r="J319" s="201"/>
      <c r="K319" s="135">
        <v>0.0</v>
      </c>
    </row>
    <row r="320" hidden="1" outlineLevel="2">
      <c r="A320" s="241" t="s">
        <v>514</v>
      </c>
      <c r="B320" s="223">
        <f t="shared" si="78"/>
        <v>0.4</v>
      </c>
      <c r="C320" s="210">
        <v>1.0</v>
      </c>
      <c r="D320" s="231">
        <f>Mikka!D88</f>
        <v>1</v>
      </c>
      <c r="E320" s="226">
        <f t="shared" si="79"/>
        <v>0.3</v>
      </c>
      <c r="F320" s="218">
        <f t="shared" si="80"/>
        <v>10</v>
      </c>
      <c r="G320" s="201"/>
      <c r="H320" s="201"/>
      <c r="I320" s="201"/>
      <c r="J320" s="201"/>
    </row>
    <row r="321" hidden="1" outlineLevel="2">
      <c r="A321" s="251"/>
      <c r="B321" s="251"/>
      <c r="C321" s="252"/>
      <c r="D321" s="253"/>
      <c r="E321" s="254"/>
      <c r="F321" s="201"/>
      <c r="G321" s="201"/>
      <c r="H321" s="201"/>
      <c r="I321" s="201"/>
      <c r="J321" s="201"/>
    </row>
    <row r="322" hidden="1" outlineLevel="2">
      <c r="A322" s="55" t="s">
        <v>222</v>
      </c>
      <c r="B322" s="251"/>
      <c r="C322" s="252"/>
      <c r="D322" s="253"/>
      <c r="E322" s="254"/>
      <c r="F322" s="201"/>
      <c r="G322" s="201"/>
      <c r="H322" s="201"/>
      <c r="I322" s="201"/>
      <c r="J322" s="201"/>
    </row>
    <row r="323" hidden="1" outlineLevel="2">
      <c r="A323" s="256" t="s">
        <v>196</v>
      </c>
      <c r="B323" s="257" t="s">
        <v>223</v>
      </c>
      <c r="C323" s="62">
        <v>46097.0</v>
      </c>
      <c r="D323" s="62">
        <v>46098.0</v>
      </c>
      <c r="E323" s="62">
        <v>46099.0</v>
      </c>
      <c r="F323" s="62">
        <v>46100.0</v>
      </c>
      <c r="G323" s="62">
        <v>46101.0</v>
      </c>
      <c r="H323" s="62">
        <v>46102.0</v>
      </c>
      <c r="I323" s="62">
        <v>46103.0</v>
      </c>
      <c r="J323" s="201"/>
    </row>
    <row r="324" hidden="1" outlineLevel="2">
      <c r="A324" s="308"/>
      <c r="B324" s="308"/>
      <c r="C324" s="82" t="s">
        <v>80</v>
      </c>
      <c r="D324" s="82" t="s">
        <v>226</v>
      </c>
      <c r="E324" s="82" t="s">
        <v>227</v>
      </c>
      <c r="F324" s="82" t="s">
        <v>228</v>
      </c>
      <c r="G324" s="82" t="s">
        <v>230</v>
      </c>
      <c r="H324" s="82" t="s">
        <v>231</v>
      </c>
      <c r="I324" s="82" t="s">
        <v>232</v>
      </c>
    </row>
    <row r="325" hidden="1" outlineLevel="2">
      <c r="A325" s="227" t="s">
        <v>4</v>
      </c>
      <c r="B325" s="264">
        <f t="shared" ref="B325:B332" si="81">Sum(C325:I325)</f>
        <v>10</v>
      </c>
      <c r="C325" s="267">
        <v>2.0</v>
      </c>
      <c r="D325" s="268"/>
      <c r="E325" s="268"/>
      <c r="F325" s="268"/>
      <c r="G325" s="267"/>
      <c r="H325" s="267">
        <v>8.0</v>
      </c>
      <c r="I325" s="267"/>
    </row>
    <row r="326" hidden="1" outlineLevel="2">
      <c r="A326" s="220" t="s">
        <v>57</v>
      </c>
      <c r="B326" s="264">
        <f t="shared" si="81"/>
        <v>0</v>
      </c>
      <c r="C326" s="266"/>
      <c r="D326" s="266"/>
      <c r="E326" s="266"/>
      <c r="F326" s="266"/>
      <c r="G326" s="266"/>
      <c r="H326" s="265"/>
      <c r="I326" s="266"/>
    </row>
    <row r="327" hidden="1" outlineLevel="2">
      <c r="A327" s="227" t="s">
        <v>21</v>
      </c>
      <c r="B327" s="264">
        <f t="shared" si="81"/>
        <v>2</v>
      </c>
      <c r="C327" s="267"/>
      <c r="D327" s="268"/>
      <c r="E327" s="267">
        <v>2.0</v>
      </c>
      <c r="F327" s="267"/>
      <c r="G327" s="267"/>
      <c r="H327" s="267"/>
      <c r="I327" s="268"/>
    </row>
    <row r="328" hidden="1" outlineLevel="2">
      <c r="A328" s="220" t="s">
        <v>32</v>
      </c>
      <c r="B328" s="264">
        <f t="shared" si="81"/>
        <v>2</v>
      </c>
      <c r="C328" s="266"/>
      <c r="D328" s="266"/>
      <c r="E328" s="266"/>
      <c r="F328" s="266"/>
      <c r="G328" s="266">
        <v>2.0</v>
      </c>
      <c r="H328" s="266"/>
      <c r="I328" s="265"/>
    </row>
    <row r="329" hidden="1" outlineLevel="2">
      <c r="A329" s="236" t="s">
        <v>58</v>
      </c>
      <c r="B329" s="264">
        <f t="shared" si="81"/>
        <v>2</v>
      </c>
      <c r="C329" s="267">
        <v>2.0</v>
      </c>
      <c r="D329" s="267"/>
      <c r="E329" s="267"/>
      <c r="F329" s="267"/>
      <c r="G329" s="267"/>
      <c r="H329" s="267"/>
      <c r="I329" s="268"/>
    </row>
    <row r="330" ht="16.5" hidden="1" customHeight="1" outlineLevel="2">
      <c r="A330" s="241" t="s">
        <v>85</v>
      </c>
      <c r="B330" s="264">
        <f t="shared" si="81"/>
        <v>10</v>
      </c>
      <c r="C330" s="266"/>
      <c r="D330" s="266"/>
      <c r="E330" s="266"/>
      <c r="F330" s="266">
        <v>8.0</v>
      </c>
      <c r="G330" s="265"/>
      <c r="H330" s="266">
        <v>2.0</v>
      </c>
      <c r="I330" s="266"/>
    </row>
    <row r="331" hidden="1" outlineLevel="2">
      <c r="A331" s="245" t="s">
        <v>7</v>
      </c>
      <c r="B331" s="264">
        <f t="shared" si="81"/>
        <v>8</v>
      </c>
      <c r="C331" s="268"/>
      <c r="D331" s="268"/>
      <c r="E331" s="267"/>
      <c r="F331" s="267">
        <v>8.0</v>
      </c>
      <c r="G331" s="267"/>
      <c r="H331" s="267"/>
      <c r="I331" s="268"/>
    </row>
    <row r="332" hidden="1" outlineLevel="2">
      <c r="A332" s="241" t="s">
        <v>72</v>
      </c>
      <c r="B332" s="264">
        <f t="shared" si="81"/>
        <v>8</v>
      </c>
      <c r="C332" s="265"/>
      <c r="D332" s="265"/>
      <c r="E332" s="266">
        <v>8.0</v>
      </c>
      <c r="F332" s="265"/>
      <c r="G332" s="266"/>
      <c r="H332" s="266"/>
      <c r="I332" s="265"/>
    </row>
    <row r="333" hidden="1" outlineLevel="2">
      <c r="A333" s="251"/>
      <c r="B333" s="251"/>
      <c r="C333" s="251"/>
      <c r="D333" s="251"/>
      <c r="E333" s="251"/>
      <c r="F333" s="251"/>
      <c r="G333" s="251"/>
      <c r="H333" s="251"/>
      <c r="I333" s="251"/>
    </row>
    <row r="334" hidden="1" outlineLevel="1" collapsed="1">
      <c r="A334" s="52" t="s">
        <v>729</v>
      </c>
    </row>
    <row r="335" hidden="1" outlineLevel="2">
      <c r="A335" s="55" t="s">
        <v>67</v>
      </c>
    </row>
    <row r="336" hidden="1" outlineLevel="2">
      <c r="A336" s="57" t="s">
        <v>68</v>
      </c>
      <c r="B336" s="59" t="s">
        <v>11</v>
      </c>
      <c r="C336" s="59" t="s">
        <v>71</v>
      </c>
      <c r="D336" s="62">
        <v>46104.0</v>
      </c>
      <c r="E336" s="62">
        <v>46105.0</v>
      </c>
      <c r="F336" s="62">
        <v>46106.0</v>
      </c>
      <c r="G336" s="62">
        <v>46107.0</v>
      </c>
      <c r="H336" s="62">
        <v>46108.0</v>
      </c>
      <c r="I336" s="62">
        <v>46109.0</v>
      </c>
      <c r="J336" s="62">
        <v>46110.0</v>
      </c>
      <c r="K336" s="76" t="s">
        <v>77</v>
      </c>
      <c r="L336" s="78" t="s">
        <v>78</v>
      </c>
    </row>
    <row r="337" hidden="1" outlineLevel="2">
      <c r="A337" s="80"/>
      <c r="B337" s="81"/>
      <c r="C337" s="81"/>
      <c r="D337" s="82" t="s">
        <v>80</v>
      </c>
      <c r="E337" s="82" t="str">
        <f t="shared" ref="E337:J337" si="82">text(E336,"ddd")</f>
        <v>Tue</v>
      </c>
      <c r="F337" s="82" t="str">
        <f t="shared" si="82"/>
        <v>Wed</v>
      </c>
      <c r="G337" s="82" t="str">
        <f t="shared" si="82"/>
        <v>Thu</v>
      </c>
      <c r="H337" s="82" t="str">
        <f t="shared" si="82"/>
        <v>Fri</v>
      </c>
      <c r="I337" s="82" t="str">
        <f t="shared" si="82"/>
        <v>Sat</v>
      </c>
      <c r="J337" s="82" t="str">
        <f t="shared" si="82"/>
        <v>Sun</v>
      </c>
      <c r="K337" s="92"/>
      <c r="L337" s="81"/>
    </row>
    <row r="338" hidden="1" outlineLevel="2">
      <c r="A338" s="95" t="s">
        <v>92</v>
      </c>
      <c r="B338" s="100">
        <f>30+20+20+25+35</f>
        <v>130</v>
      </c>
      <c r="C338" s="100">
        <f t="shared" ref="C338:C345" si="83">SUM(D338:J338)</f>
        <v>132</v>
      </c>
      <c r="D338" s="108">
        <v>28.0</v>
      </c>
      <c r="E338" s="108">
        <v>21.0</v>
      </c>
      <c r="F338" s="108">
        <v>18.0</v>
      </c>
      <c r="G338" s="108">
        <v>25.0</v>
      </c>
      <c r="H338" s="108">
        <v>40.0</v>
      </c>
      <c r="I338" s="108" t="s">
        <v>51</v>
      </c>
      <c r="J338" s="108" t="s">
        <v>51</v>
      </c>
      <c r="K338" s="118">
        <f t="shared" ref="K338:K345" si="84">iferror(C338/B338,"-")</f>
        <v>1.015384615</v>
      </c>
      <c r="L338" s="125">
        <f t="shared" ref="L338:L345" si="85">(IF(K338="",(0),IF(K338&gt;=1,(5),IF(K338&gt;=0.9,(4),IF(K338&gt;=0.8,(3),IF(K338&gt;=0.69,(2),IF(K338&lt;=0.69,(1))))))))</f>
        <v>5</v>
      </c>
    </row>
    <row r="339" hidden="1" outlineLevel="2">
      <c r="A339" s="127" t="s">
        <v>61</v>
      </c>
      <c r="B339" s="130">
        <f>30+20+30+25+30</f>
        <v>135</v>
      </c>
      <c r="C339" s="130">
        <f t="shared" si="83"/>
        <v>122</v>
      </c>
      <c r="D339" s="108">
        <v>31.0</v>
      </c>
      <c r="E339" s="108">
        <v>19.0</v>
      </c>
      <c r="F339" s="108">
        <v>30.0</v>
      </c>
      <c r="G339" s="277">
        <v>24.0</v>
      </c>
      <c r="H339" s="108">
        <v>18.0</v>
      </c>
      <c r="I339" s="108" t="s">
        <v>51</v>
      </c>
      <c r="J339" s="108" t="s">
        <v>51</v>
      </c>
      <c r="K339" s="118">
        <f t="shared" si="84"/>
        <v>0.9037037037</v>
      </c>
      <c r="L339" s="125">
        <f t="shared" si="85"/>
        <v>4</v>
      </c>
    </row>
    <row r="340" hidden="1" outlineLevel="2">
      <c r="A340" s="95" t="s">
        <v>21</v>
      </c>
      <c r="B340" s="100">
        <f>30+30+35+40+25</f>
        <v>160</v>
      </c>
      <c r="C340" s="100">
        <f t="shared" si="83"/>
        <v>145</v>
      </c>
      <c r="D340" s="108">
        <v>32.0</v>
      </c>
      <c r="E340" s="108" t="s">
        <v>51</v>
      </c>
      <c r="F340" s="108">
        <v>26.0</v>
      </c>
      <c r="G340" s="108">
        <v>33.0</v>
      </c>
      <c r="H340" s="108">
        <v>30.0</v>
      </c>
      <c r="I340" s="108">
        <v>24.0</v>
      </c>
      <c r="J340" s="108" t="s">
        <v>51</v>
      </c>
      <c r="K340" s="118">
        <f t="shared" si="84"/>
        <v>0.90625</v>
      </c>
      <c r="L340" s="125">
        <f t="shared" si="85"/>
        <v>4</v>
      </c>
    </row>
    <row r="341" hidden="1" outlineLevel="2">
      <c r="A341" s="127" t="s">
        <v>74</v>
      </c>
      <c r="B341" s="130">
        <f>20+25+20+25+15</f>
        <v>105</v>
      </c>
      <c r="C341" s="130">
        <f t="shared" si="83"/>
        <v>107</v>
      </c>
      <c r="D341" s="108" t="s">
        <v>51</v>
      </c>
      <c r="E341" s="108">
        <v>16.0</v>
      </c>
      <c r="F341" s="108">
        <v>27.0</v>
      </c>
      <c r="G341" s="108">
        <v>23.0</v>
      </c>
      <c r="H341" s="108">
        <v>26.0</v>
      </c>
      <c r="I341" s="108">
        <v>15.0</v>
      </c>
      <c r="J341" s="108" t="s">
        <v>51</v>
      </c>
      <c r="K341" s="118">
        <f t="shared" si="84"/>
        <v>1.019047619</v>
      </c>
      <c r="L341" s="125">
        <f t="shared" si="85"/>
        <v>5</v>
      </c>
    </row>
    <row r="342" hidden="1" outlineLevel="2">
      <c r="A342" s="144" t="s">
        <v>53</v>
      </c>
      <c r="B342" s="100">
        <f>20+20+20+15+20</f>
        <v>95</v>
      </c>
      <c r="C342" s="130">
        <f t="shared" si="83"/>
        <v>98</v>
      </c>
      <c r="D342" s="108">
        <v>23.0</v>
      </c>
      <c r="E342" s="108">
        <v>19.0</v>
      </c>
      <c r="F342" s="108">
        <v>20.0</v>
      </c>
      <c r="G342" s="108" t="s">
        <v>51</v>
      </c>
      <c r="H342" s="108" t="s">
        <v>51</v>
      </c>
      <c r="I342" s="108">
        <v>17.0</v>
      </c>
      <c r="J342" s="151">
        <v>19.0</v>
      </c>
      <c r="K342" s="118">
        <f t="shared" si="84"/>
        <v>1.031578947</v>
      </c>
      <c r="L342" s="125">
        <f t="shared" si="85"/>
        <v>5</v>
      </c>
    </row>
    <row r="343" hidden="1" outlineLevel="2">
      <c r="A343" s="148" t="s">
        <v>85</v>
      </c>
      <c r="B343" s="130">
        <f>30+30+35+25+20</f>
        <v>140</v>
      </c>
      <c r="C343" s="100">
        <f t="shared" si="83"/>
        <v>145</v>
      </c>
      <c r="D343" s="108">
        <v>31.0</v>
      </c>
      <c r="E343" s="108">
        <v>30.0</v>
      </c>
      <c r="F343" s="108" t="s">
        <v>51</v>
      </c>
      <c r="G343" s="108" t="s">
        <v>51</v>
      </c>
      <c r="H343" s="108">
        <v>36.0</v>
      </c>
      <c r="I343" s="108">
        <v>27.0</v>
      </c>
      <c r="J343" s="151">
        <v>21.0</v>
      </c>
      <c r="K343" s="118">
        <f t="shared" si="84"/>
        <v>1.035714286</v>
      </c>
      <c r="L343" s="125">
        <f t="shared" si="85"/>
        <v>5</v>
      </c>
    </row>
    <row r="344" hidden="1" outlineLevel="2">
      <c r="A344" s="148" t="s">
        <v>7</v>
      </c>
      <c r="B344" s="100">
        <f>25*4+15</f>
        <v>115</v>
      </c>
      <c r="C344" s="100">
        <f t="shared" si="83"/>
        <v>69</v>
      </c>
      <c r="D344" s="108">
        <v>25.0</v>
      </c>
      <c r="E344" s="108">
        <v>21.0</v>
      </c>
      <c r="F344" s="108" t="s">
        <v>51</v>
      </c>
      <c r="G344" s="108">
        <v>9.0</v>
      </c>
      <c r="H344" s="108" t="s">
        <v>261</v>
      </c>
      <c r="I344" s="108" t="s">
        <v>51</v>
      </c>
      <c r="J344" s="151">
        <v>14.0</v>
      </c>
      <c r="K344" s="118">
        <f t="shared" si="84"/>
        <v>0.6</v>
      </c>
      <c r="L344" s="125">
        <f t="shared" si="85"/>
        <v>1</v>
      </c>
    </row>
    <row r="345" hidden="1" outlineLevel="2">
      <c r="A345" s="148" t="s">
        <v>514</v>
      </c>
      <c r="B345" s="358">
        <f>15*5</f>
        <v>75</v>
      </c>
      <c r="C345" s="100">
        <f t="shared" si="83"/>
        <v>69</v>
      </c>
      <c r="D345" s="108">
        <v>15.0</v>
      </c>
      <c r="E345" s="108" t="s">
        <v>51</v>
      </c>
      <c r="F345" s="108">
        <v>14.0</v>
      </c>
      <c r="G345" s="108">
        <v>14.0</v>
      </c>
      <c r="H345" s="108" t="s">
        <v>51</v>
      </c>
      <c r="I345" s="108">
        <v>16.0</v>
      </c>
      <c r="J345" s="151">
        <v>10.0</v>
      </c>
      <c r="K345" s="118">
        <f t="shared" si="84"/>
        <v>0.92</v>
      </c>
      <c r="L345" s="125">
        <f t="shared" si="85"/>
        <v>4</v>
      </c>
    </row>
    <row r="346" hidden="1" outlineLevel="2"/>
    <row r="347" hidden="1" outlineLevel="2">
      <c r="A347" s="55" t="s">
        <v>87</v>
      </c>
      <c r="I347" s="55"/>
    </row>
    <row r="348" hidden="1" outlineLevel="2">
      <c r="A348" s="57" t="s">
        <v>68</v>
      </c>
      <c r="B348" s="158" t="s">
        <v>157</v>
      </c>
      <c r="C348" s="158" t="s">
        <v>158</v>
      </c>
      <c r="D348" s="158" t="s">
        <v>90</v>
      </c>
      <c r="E348" s="158" t="s">
        <v>91</v>
      </c>
      <c r="F348" s="158" t="s">
        <v>93</v>
      </c>
      <c r="G348" s="161" t="s">
        <v>94</v>
      </c>
      <c r="H348" s="161" t="s">
        <v>160</v>
      </c>
    </row>
    <row r="349" hidden="1" outlineLevel="2">
      <c r="A349" s="80"/>
      <c r="B349" s="81"/>
      <c r="C349" s="162"/>
      <c r="D349" s="162"/>
      <c r="E349" s="162"/>
      <c r="F349" s="162"/>
      <c r="G349" s="162"/>
      <c r="H349" s="162"/>
    </row>
    <row r="350" hidden="1" outlineLevel="2">
      <c r="A350" s="95" t="s">
        <v>92</v>
      </c>
      <c r="B350" s="323">
        <v>135.0</v>
      </c>
      <c r="C350" s="323">
        <v>131.0</v>
      </c>
      <c r="D350" s="164">
        <f t="shared" ref="D350:D357" si="86">B350-C350</f>
        <v>4</v>
      </c>
      <c r="E350" s="167">
        <f t="shared" ref="E350:E357" si="87">IFERROR(C350/B350,"")</f>
        <v>0.9703703704</v>
      </c>
      <c r="F350" s="324">
        <v>0.0020717592592592593</v>
      </c>
      <c r="G350" s="171">
        <f t="shared" ref="G350:G357" si="88">IFERROR((IF(E350="",(0),IF(E350&gt;=0.98,(5),IF(E350&gt;=0.95,(4.5),IF(E350&gt;=0.9,(4),IF(E350&gt;=0.8,(3),IF(E350&lt;=0.69,(1)))))))),"")</f>
        <v>4.5</v>
      </c>
      <c r="H350" s="171">
        <f>ROUND(
IF(F350="",
0,
MAX(1, 5 - MAX(0, (F350 - TIME(0,4,0)) / TIME(0,1,0) * 0.5))
),
2
)
</f>
        <v>5</v>
      </c>
    </row>
    <row r="351" hidden="1" outlineLevel="2">
      <c r="A351" s="127" t="s">
        <v>61</v>
      </c>
      <c r="B351" s="325">
        <v>122.0</v>
      </c>
      <c r="C351" s="325">
        <v>122.0</v>
      </c>
      <c r="D351" s="326">
        <f t="shared" si="86"/>
        <v>0</v>
      </c>
      <c r="E351" s="173">
        <f t="shared" si="87"/>
        <v>1</v>
      </c>
      <c r="F351" s="327">
        <v>0.005069444444444444</v>
      </c>
      <c r="G351" s="171">
        <f t="shared" si="88"/>
        <v>5</v>
      </c>
      <c r="H351" s="171">
        <f>ROUND(
IF(F351="",
0,
MAX(1, 5 - MAX(0, (F351 - TIME(0,7,0)) / TIME(0,1,0) * 0.5))
),
2
)
</f>
        <v>4.85</v>
      </c>
    </row>
    <row r="352" hidden="1" outlineLevel="2">
      <c r="A352" s="95" t="s">
        <v>21</v>
      </c>
      <c r="B352" s="325">
        <v>161.0</v>
      </c>
      <c r="C352" s="325">
        <v>160.0</v>
      </c>
      <c r="D352" s="326">
        <f t="shared" si="86"/>
        <v>1</v>
      </c>
      <c r="E352" s="173">
        <f t="shared" si="87"/>
        <v>0.9937888199</v>
      </c>
      <c r="F352" s="327">
        <v>0.003576388888888889</v>
      </c>
      <c r="G352" s="171">
        <f t="shared" si="88"/>
        <v>5</v>
      </c>
      <c r="H352" s="171">
        <f>ROUND(
IF(F352="",
0,
MAX(1, 5 - MAX(0, (F352 - TIME(0,4,0)) / TIME(0,1,0) * 0.5))
),
2
)
</f>
        <v>4.43</v>
      </c>
    </row>
    <row r="353" hidden="1" outlineLevel="2">
      <c r="A353" s="127" t="s">
        <v>74</v>
      </c>
      <c r="B353" s="323">
        <v>108.0</v>
      </c>
      <c r="C353" s="323">
        <v>106.0</v>
      </c>
      <c r="D353" s="164">
        <f t="shared" si="86"/>
        <v>2</v>
      </c>
      <c r="E353" s="167">
        <f t="shared" si="87"/>
        <v>0.9814814815</v>
      </c>
      <c r="F353" s="324">
        <v>0.003460648148148148</v>
      </c>
      <c r="G353" s="171">
        <f t="shared" si="88"/>
        <v>5</v>
      </c>
      <c r="H353" s="171">
        <f>ROUND(
IF(F353="",
0,
MAX(1, 5 - MAX(0, (F353 - TIME(0,7,0)) / TIME(0,1,0) * 0.5))
),
2
)
</f>
        <v>5</v>
      </c>
    </row>
    <row r="354" hidden="1" outlineLevel="2">
      <c r="A354" s="144" t="s">
        <v>53</v>
      </c>
      <c r="B354" s="323">
        <v>103.0</v>
      </c>
      <c r="C354" s="323">
        <v>98.0</v>
      </c>
      <c r="D354" s="164">
        <f t="shared" si="86"/>
        <v>5</v>
      </c>
      <c r="E354" s="167">
        <f t="shared" si="87"/>
        <v>0.9514563107</v>
      </c>
      <c r="F354" s="324">
        <v>0.002511574074074074</v>
      </c>
      <c r="G354" s="171">
        <f t="shared" si="88"/>
        <v>4.5</v>
      </c>
      <c r="H354" s="171">
        <f>ROUND(
IF(F354="",
0,
MAX(1, 5 - MAX(0, (F354 - TIME(0,4,0)) / TIME(0,1,0) * 0.5))
),
2
)
</f>
        <v>5</v>
      </c>
    </row>
    <row r="355" hidden="1" outlineLevel="2">
      <c r="A355" s="148" t="s">
        <v>85</v>
      </c>
      <c r="B355" s="325">
        <v>143.0</v>
      </c>
      <c r="C355" s="325">
        <v>143.0</v>
      </c>
      <c r="D355" s="326">
        <f t="shared" si="86"/>
        <v>0</v>
      </c>
      <c r="E355" s="173">
        <f t="shared" si="87"/>
        <v>1</v>
      </c>
      <c r="F355" s="327">
        <v>0.0038078703703703703</v>
      </c>
      <c r="G355" s="171">
        <f t="shared" si="88"/>
        <v>5</v>
      </c>
      <c r="H355" s="171">
        <f>ROUND(
IF(F355="",
0,
MAX(1, 5 - MAX(0, (F355 - TIME(0,7,0)) / TIME(0,1,0) * 0.5))
),
2
)
</f>
        <v>5</v>
      </c>
    </row>
    <row r="356" hidden="1" outlineLevel="2">
      <c r="A356" s="148" t="s">
        <v>7</v>
      </c>
      <c r="B356" s="323">
        <v>70.0</v>
      </c>
      <c r="C356" s="323">
        <v>69.0</v>
      </c>
      <c r="D356" s="164">
        <f t="shared" si="86"/>
        <v>1</v>
      </c>
      <c r="E356" s="167">
        <f t="shared" si="87"/>
        <v>0.9857142857</v>
      </c>
      <c r="F356" s="324">
        <v>0.00525462962962963</v>
      </c>
      <c r="G356" s="171">
        <f t="shared" si="88"/>
        <v>5</v>
      </c>
      <c r="H356" s="171">
        <f>ROUND(
IF(F356="",
0,
MAX(1, 5 - MAX(0, (F356 - TIME(0,8,0)) / TIME(0,1,0) * 0.5))
),
2
)
</f>
        <v>5</v>
      </c>
    </row>
    <row r="357" hidden="1" outlineLevel="2">
      <c r="A357" s="148" t="s">
        <v>514</v>
      </c>
      <c r="B357" s="325">
        <v>70.0</v>
      </c>
      <c r="C357" s="325">
        <v>70.0</v>
      </c>
      <c r="D357" s="326">
        <f t="shared" si="86"/>
        <v>0</v>
      </c>
      <c r="E357" s="173">
        <f t="shared" si="87"/>
        <v>1</v>
      </c>
      <c r="F357" s="327">
        <v>0.006701388888888889</v>
      </c>
      <c r="G357" s="171">
        <f t="shared" si="88"/>
        <v>5</v>
      </c>
      <c r="H357" s="171">
        <f>ROUND(
IF(F357="",
0,
MAX(1, 5 - MAX(0, (F357 - TIME(0,10,0)) / TIME(0,1,0) * 0.5))
),
2
)
</f>
        <v>5</v>
      </c>
    </row>
    <row r="358" hidden="1" outlineLevel="2"/>
    <row r="359" hidden="1" outlineLevel="2">
      <c r="A359" s="55" t="s">
        <v>195</v>
      </c>
    </row>
    <row r="360" hidden="1" outlineLevel="2">
      <c r="A360" s="192" t="s">
        <v>196</v>
      </c>
      <c r="B360" s="193" t="s">
        <v>198</v>
      </c>
      <c r="C360" s="195" t="s">
        <v>199</v>
      </c>
      <c r="D360" s="195" t="s">
        <v>200</v>
      </c>
      <c r="E360" s="197" t="s">
        <v>201</v>
      </c>
      <c r="F360" s="199" t="s">
        <v>202</v>
      </c>
      <c r="G360" s="201"/>
    </row>
    <row r="361" hidden="1" outlineLevel="2">
      <c r="A361" s="202" t="s">
        <v>4</v>
      </c>
      <c r="B361" s="209">
        <f t="shared" ref="B361:B368" si="89">(C361*0.3)+(D361*0.1)</f>
        <v>0.4</v>
      </c>
      <c r="C361" s="210">
        <v>1.0</v>
      </c>
      <c r="D361" s="210">
        <f>Dan!D362</f>
        <v>1</v>
      </c>
      <c r="E361" s="214">
        <f t="shared" ref="E361:E368" si="90">(L338+G350+H350)/15*0.3</f>
        <v>0.29</v>
      </c>
      <c r="F361" s="218">
        <f t="shared" ref="F361:F368" si="91">(E361/30%)*10</f>
        <v>9.666666667</v>
      </c>
      <c r="G361" s="201"/>
      <c r="H361" s="201"/>
      <c r="I361" s="201"/>
      <c r="J361" s="201"/>
    </row>
    <row r="362" hidden="1" outlineLevel="2">
      <c r="A362" s="220" t="s">
        <v>57</v>
      </c>
      <c r="B362" s="223">
        <f t="shared" si="89"/>
        <v>0.4</v>
      </c>
      <c r="C362" s="210">
        <v>1.0</v>
      </c>
      <c r="D362" s="210">
        <f>Godwin!D362</f>
        <v>1</v>
      </c>
      <c r="E362" s="226">
        <f t="shared" si="90"/>
        <v>0.277</v>
      </c>
      <c r="F362" s="218">
        <f t="shared" si="91"/>
        <v>9.233333333</v>
      </c>
      <c r="G362" s="201"/>
      <c r="H362" s="201"/>
      <c r="I362" s="201"/>
      <c r="J362" s="201"/>
    </row>
    <row r="363" hidden="1" outlineLevel="2">
      <c r="A363" s="227" t="s">
        <v>21</v>
      </c>
      <c r="B363" s="229">
        <f t="shared" si="89"/>
        <v>0.31999</v>
      </c>
      <c r="C363" s="210">
        <v>0.7333</v>
      </c>
      <c r="D363" s="231">
        <f>Candy!D234</f>
        <v>1</v>
      </c>
      <c r="E363" s="232">
        <f t="shared" si="90"/>
        <v>0.2686</v>
      </c>
      <c r="F363" s="218">
        <f t="shared" si="91"/>
        <v>8.953333333</v>
      </c>
      <c r="G363" s="201"/>
      <c r="H363" s="201"/>
      <c r="I363" s="201"/>
      <c r="J363" s="201"/>
    </row>
    <row r="364" hidden="1" outlineLevel="2">
      <c r="A364" s="220" t="s">
        <v>32</v>
      </c>
      <c r="B364" s="223">
        <f t="shared" si="89"/>
        <v>0.4</v>
      </c>
      <c r="C364" s="210">
        <v>1.0</v>
      </c>
      <c r="D364" s="231">
        <f>Claudette!D362</f>
        <v>1</v>
      </c>
      <c r="E364" s="226">
        <f t="shared" si="90"/>
        <v>0.3</v>
      </c>
      <c r="F364" s="218">
        <f t="shared" si="91"/>
        <v>10</v>
      </c>
      <c r="G364" s="201"/>
      <c r="H364" s="201"/>
      <c r="I364" s="201"/>
      <c r="J364" s="201"/>
    </row>
    <row r="365" hidden="1" outlineLevel="2">
      <c r="A365" s="236" t="s">
        <v>58</v>
      </c>
      <c r="B365" s="229">
        <f t="shared" si="89"/>
        <v>0.4</v>
      </c>
      <c r="C365" s="210">
        <v>1.0</v>
      </c>
      <c r="D365" s="231">
        <f>Sofhia!D362</f>
        <v>1</v>
      </c>
      <c r="E365" s="232">
        <f t="shared" si="90"/>
        <v>0.29</v>
      </c>
      <c r="F365" s="218">
        <f t="shared" si="91"/>
        <v>9.666666667</v>
      </c>
      <c r="G365" s="201"/>
      <c r="H365" s="201"/>
      <c r="I365" s="201"/>
      <c r="J365" s="201"/>
    </row>
    <row r="366" hidden="1" outlineLevel="2">
      <c r="A366" s="241" t="s">
        <v>85</v>
      </c>
      <c r="B366" s="223">
        <f t="shared" si="89"/>
        <v>0.4</v>
      </c>
      <c r="C366" s="210">
        <v>1.0</v>
      </c>
      <c r="D366" s="231">
        <f>Cherry!D170</f>
        <v>1</v>
      </c>
      <c r="E366" s="226">
        <f t="shared" si="90"/>
        <v>0.3</v>
      </c>
      <c r="F366" s="218">
        <f t="shared" si="91"/>
        <v>10</v>
      </c>
      <c r="G366" s="201"/>
      <c r="H366" s="201"/>
      <c r="I366" s="201"/>
      <c r="J366" s="201"/>
    </row>
    <row r="367" hidden="1" outlineLevel="2">
      <c r="A367" s="245" t="s">
        <v>7</v>
      </c>
      <c r="B367" s="229">
        <f t="shared" si="89"/>
        <v>0.4</v>
      </c>
      <c r="C367" s="210">
        <v>1.0</v>
      </c>
      <c r="D367" s="231">
        <f>Lyra!D161</f>
        <v>1</v>
      </c>
      <c r="E367" s="232">
        <f t="shared" si="90"/>
        <v>0.22</v>
      </c>
      <c r="F367" s="218">
        <f t="shared" si="91"/>
        <v>7.333333333</v>
      </c>
      <c r="G367" s="201"/>
      <c r="H367" s="201"/>
      <c r="I367" s="201"/>
      <c r="J367" s="201"/>
    </row>
    <row r="368" hidden="1" outlineLevel="2">
      <c r="A368" s="241" t="s">
        <v>514</v>
      </c>
      <c r="B368" s="223">
        <f t="shared" si="89"/>
        <v>0.397</v>
      </c>
      <c r="C368" s="210">
        <v>1.0</v>
      </c>
      <c r="D368" s="231">
        <f>Mikka!D106</f>
        <v>0.97</v>
      </c>
      <c r="E368" s="226">
        <f t="shared" si="90"/>
        <v>0.28</v>
      </c>
      <c r="F368" s="218">
        <f t="shared" si="91"/>
        <v>9.333333333</v>
      </c>
      <c r="G368" s="201"/>
      <c r="H368" s="201"/>
      <c r="I368" s="201"/>
      <c r="J368" s="201"/>
    </row>
    <row r="369" hidden="1" outlineLevel="2">
      <c r="A369" s="251"/>
      <c r="B369" s="251"/>
      <c r="C369" s="252"/>
      <c r="D369" s="253"/>
      <c r="E369" s="254"/>
      <c r="F369" s="201"/>
      <c r="G369" s="201"/>
      <c r="H369" s="201"/>
      <c r="I369" s="201"/>
      <c r="J369" s="201"/>
    </row>
    <row r="370" hidden="1" outlineLevel="2">
      <c r="A370" s="55" t="s">
        <v>222</v>
      </c>
      <c r="B370" s="251"/>
      <c r="C370" s="252"/>
      <c r="D370" s="253"/>
      <c r="E370" s="254"/>
      <c r="F370" s="201"/>
      <c r="G370" s="201"/>
      <c r="H370" s="201"/>
      <c r="I370" s="201"/>
      <c r="J370" s="201"/>
    </row>
    <row r="371" hidden="1" outlineLevel="2">
      <c r="A371" s="256" t="s">
        <v>196</v>
      </c>
      <c r="B371" s="257" t="s">
        <v>223</v>
      </c>
      <c r="C371" s="62">
        <v>46104.0</v>
      </c>
      <c r="D371" s="62">
        <v>46105.0</v>
      </c>
      <c r="E371" s="62">
        <v>46106.0</v>
      </c>
      <c r="F371" s="62">
        <v>46107.0</v>
      </c>
      <c r="G371" s="62">
        <v>46108.0</v>
      </c>
      <c r="H371" s="62">
        <v>46109.0</v>
      </c>
      <c r="I371" s="62">
        <v>46110.0</v>
      </c>
      <c r="J371" s="201"/>
    </row>
    <row r="372" hidden="1" outlineLevel="2">
      <c r="A372" s="308"/>
      <c r="B372" s="308"/>
      <c r="C372" s="82" t="s">
        <v>80</v>
      </c>
      <c r="D372" s="82" t="s">
        <v>226</v>
      </c>
      <c r="E372" s="82" t="s">
        <v>227</v>
      </c>
      <c r="F372" s="82" t="s">
        <v>228</v>
      </c>
      <c r="G372" s="82" t="s">
        <v>230</v>
      </c>
      <c r="H372" s="82" t="s">
        <v>231</v>
      </c>
      <c r="I372" s="82" t="s">
        <v>232</v>
      </c>
    </row>
    <row r="373" hidden="1" outlineLevel="2">
      <c r="A373" s="227" t="s">
        <v>4</v>
      </c>
      <c r="B373" s="264">
        <f t="shared" ref="B373:B380" si="92">Sum(C373:I373)</f>
        <v>0</v>
      </c>
      <c r="C373" s="267"/>
      <c r="D373" s="268"/>
      <c r="E373" s="268"/>
      <c r="F373" s="268"/>
      <c r="G373" s="267"/>
      <c r="H373" s="267"/>
      <c r="I373" s="267"/>
    </row>
    <row r="374" hidden="1" outlineLevel="2">
      <c r="A374" s="220" t="s">
        <v>57</v>
      </c>
      <c r="B374" s="264">
        <f t="shared" si="92"/>
        <v>0</v>
      </c>
      <c r="C374" s="266"/>
      <c r="D374" s="266"/>
      <c r="E374" s="266"/>
      <c r="F374" s="266"/>
      <c r="G374" s="266"/>
      <c r="H374" s="265"/>
      <c r="I374" s="266"/>
    </row>
    <row r="375" hidden="1" outlineLevel="2">
      <c r="A375" s="227" t="s">
        <v>21</v>
      </c>
      <c r="B375" s="264">
        <f t="shared" si="92"/>
        <v>0</v>
      </c>
      <c r="C375" s="267"/>
      <c r="D375" s="268"/>
      <c r="E375" s="267"/>
      <c r="F375" s="267"/>
      <c r="G375" s="267"/>
      <c r="H375" s="267"/>
      <c r="I375" s="268"/>
    </row>
    <row r="376" hidden="1" outlineLevel="2">
      <c r="A376" s="220" t="s">
        <v>32</v>
      </c>
      <c r="B376" s="264">
        <f t="shared" si="92"/>
        <v>0</v>
      </c>
      <c r="C376" s="266"/>
      <c r="D376" s="266"/>
      <c r="E376" s="266"/>
      <c r="F376" s="266"/>
      <c r="G376" s="266"/>
      <c r="H376" s="266"/>
      <c r="I376" s="265"/>
    </row>
    <row r="377" hidden="1" outlineLevel="2">
      <c r="A377" s="236" t="s">
        <v>58</v>
      </c>
      <c r="B377" s="264">
        <f t="shared" si="92"/>
        <v>0</v>
      </c>
      <c r="C377" s="267"/>
      <c r="D377" s="267"/>
      <c r="E377" s="267"/>
      <c r="F377" s="267"/>
      <c r="G377" s="267"/>
      <c r="H377" s="267"/>
      <c r="I377" s="268"/>
    </row>
    <row r="378" ht="16.5" hidden="1" customHeight="1" outlineLevel="2">
      <c r="A378" s="241" t="s">
        <v>85</v>
      </c>
      <c r="B378" s="264">
        <f t="shared" si="92"/>
        <v>2</v>
      </c>
      <c r="C378" s="266"/>
      <c r="D378" s="266"/>
      <c r="E378" s="266"/>
      <c r="F378" s="266"/>
      <c r="G378" s="266">
        <v>2.0</v>
      </c>
      <c r="H378" s="266"/>
      <c r="I378" s="266"/>
    </row>
    <row r="379" hidden="1" outlineLevel="2">
      <c r="A379" s="245" t="s">
        <v>7</v>
      </c>
      <c r="B379" s="264">
        <f t="shared" si="92"/>
        <v>0</v>
      </c>
      <c r="C379" s="268"/>
      <c r="D379" s="268"/>
      <c r="E379" s="267"/>
      <c r="F379" s="267"/>
      <c r="G379" s="267"/>
      <c r="H379" s="267"/>
      <c r="I379" s="268"/>
    </row>
    <row r="380" hidden="1" outlineLevel="2">
      <c r="A380" s="241" t="s">
        <v>72</v>
      </c>
      <c r="B380" s="264">
        <f t="shared" si="92"/>
        <v>0</v>
      </c>
      <c r="C380" s="265"/>
      <c r="D380" s="265"/>
      <c r="E380" s="266"/>
      <c r="F380" s="265"/>
      <c r="G380" s="266"/>
      <c r="H380" s="266"/>
      <c r="I380" s="265"/>
    </row>
    <row r="381" hidden="1" outlineLevel="2">
      <c r="A381" s="251"/>
      <c r="B381" s="251"/>
      <c r="C381" s="251"/>
      <c r="D381" s="251"/>
      <c r="E381" s="251"/>
      <c r="F381" s="251"/>
      <c r="G381" s="251"/>
      <c r="H381" s="251"/>
      <c r="I381" s="251"/>
    </row>
    <row r="382" hidden="1" outlineLevel="1">
      <c r="A382" s="52" t="s">
        <v>806</v>
      </c>
    </row>
    <row r="383" hidden="1" outlineLevel="1">
      <c r="A383" s="55" t="s">
        <v>67</v>
      </c>
    </row>
    <row r="384" hidden="1" outlineLevel="1">
      <c r="A384" s="57" t="s">
        <v>68</v>
      </c>
      <c r="B384" s="59" t="s">
        <v>11</v>
      </c>
      <c r="C384" s="59" t="s">
        <v>71</v>
      </c>
      <c r="D384" s="62">
        <v>46111.0</v>
      </c>
      <c r="E384" s="62">
        <v>46112.0</v>
      </c>
      <c r="F384" s="62">
        <v>46113.0</v>
      </c>
      <c r="G384" s="62">
        <v>46114.0</v>
      </c>
      <c r="H384" s="62">
        <v>46115.0</v>
      </c>
      <c r="I384" s="62">
        <v>46116.0</v>
      </c>
      <c r="J384" s="62">
        <v>46117.0</v>
      </c>
      <c r="K384" s="76" t="s">
        <v>77</v>
      </c>
      <c r="L384" s="78" t="s">
        <v>78</v>
      </c>
    </row>
    <row r="385" hidden="1" outlineLevel="1">
      <c r="A385" s="80"/>
      <c r="B385" s="81"/>
      <c r="C385" s="81"/>
      <c r="D385" s="82" t="s">
        <v>80</v>
      </c>
      <c r="E385" s="82" t="str">
        <f t="shared" ref="E385:J385" si="93">text(E384,"ddd")</f>
        <v>Tue</v>
      </c>
      <c r="F385" s="82" t="str">
        <f t="shared" si="93"/>
        <v>Wed</v>
      </c>
      <c r="G385" s="82" t="str">
        <f t="shared" si="93"/>
        <v>Thu</v>
      </c>
      <c r="H385" s="82" t="str">
        <f t="shared" si="93"/>
        <v>Fri</v>
      </c>
      <c r="I385" s="82" t="str">
        <f t="shared" si="93"/>
        <v>Sat</v>
      </c>
      <c r="J385" s="82" t="str">
        <f t="shared" si="93"/>
        <v>Sun</v>
      </c>
      <c r="K385" s="92"/>
      <c r="L385" s="81"/>
    </row>
    <row r="386" hidden="1" outlineLevel="1">
      <c r="A386" s="95" t="s">
        <v>92</v>
      </c>
      <c r="B386" s="100">
        <f>30+20+25+25</f>
        <v>100</v>
      </c>
      <c r="C386" s="100">
        <f t="shared" ref="C386:C393" si="94">SUM(D386:J386)</f>
        <v>105</v>
      </c>
      <c r="D386" s="108" t="s">
        <v>145</v>
      </c>
      <c r="E386" s="108">
        <v>33.0</v>
      </c>
      <c r="F386" s="108">
        <v>18.0</v>
      </c>
      <c r="G386" s="108">
        <v>27.0</v>
      </c>
      <c r="H386" s="108">
        <v>27.0</v>
      </c>
      <c r="I386" s="108" t="s">
        <v>51</v>
      </c>
      <c r="J386" s="108" t="s">
        <v>51</v>
      </c>
      <c r="K386" s="118">
        <f t="shared" ref="K386:K393" si="95">iferror(C386/B386,"-")</f>
        <v>1.05</v>
      </c>
      <c r="L386" s="125">
        <f t="shared" ref="L386:L393" si="96">(IF(K386="",(0),IF(K386&gt;=1,(5),IF(K386&gt;=0.9,(4),IF(K386&gt;=0.8,(3),IF(K386&gt;=0.69,(2),IF(K386&lt;=0.69,(1))))))))</f>
        <v>5</v>
      </c>
    </row>
    <row r="387" hidden="1" outlineLevel="1">
      <c r="A387" s="127" t="s">
        <v>61</v>
      </c>
      <c r="B387" s="130">
        <f>30+30+25+25+25</f>
        <v>135</v>
      </c>
      <c r="C387" s="130">
        <f t="shared" si="94"/>
        <v>104</v>
      </c>
      <c r="D387" s="108">
        <v>6.0</v>
      </c>
      <c r="E387" s="108">
        <v>23.0</v>
      </c>
      <c r="F387" s="108">
        <v>21.0</v>
      </c>
      <c r="G387" s="108">
        <v>27.0</v>
      </c>
      <c r="H387" s="108">
        <v>27.0</v>
      </c>
      <c r="I387" s="108" t="s">
        <v>51</v>
      </c>
      <c r="J387" s="108" t="s">
        <v>51</v>
      </c>
      <c r="K387" s="118">
        <f t="shared" si="95"/>
        <v>0.7703703704</v>
      </c>
      <c r="L387" s="125">
        <f t="shared" si="96"/>
        <v>2</v>
      </c>
    </row>
    <row r="388" hidden="1" outlineLevel="1">
      <c r="A388" s="95" t="s">
        <v>21</v>
      </c>
      <c r="B388" s="100">
        <f>30+25+25+20+15</f>
        <v>115</v>
      </c>
      <c r="C388" s="100">
        <f t="shared" si="94"/>
        <v>118</v>
      </c>
      <c r="D388" s="108" t="s">
        <v>51</v>
      </c>
      <c r="E388" s="108" t="s">
        <v>51</v>
      </c>
      <c r="F388" s="108">
        <v>31.0</v>
      </c>
      <c r="G388" s="108">
        <v>26.0</v>
      </c>
      <c r="H388" s="108">
        <v>25.0</v>
      </c>
      <c r="I388" s="108">
        <v>20.0</v>
      </c>
      <c r="J388" s="108">
        <v>16.0</v>
      </c>
      <c r="K388" s="118">
        <f t="shared" si="95"/>
        <v>1.026086957</v>
      </c>
      <c r="L388" s="125">
        <f t="shared" si="96"/>
        <v>5</v>
      </c>
    </row>
    <row r="389" hidden="1" outlineLevel="1">
      <c r="A389" s="127" t="s">
        <v>74</v>
      </c>
      <c r="B389" s="130">
        <f>15+20+15+15</f>
        <v>65</v>
      </c>
      <c r="C389" s="130">
        <f t="shared" si="94"/>
        <v>65</v>
      </c>
      <c r="D389" s="108" t="s">
        <v>51</v>
      </c>
      <c r="E389" s="108" t="s">
        <v>145</v>
      </c>
      <c r="F389" s="108">
        <v>13.0</v>
      </c>
      <c r="G389" s="108">
        <v>19.0</v>
      </c>
      <c r="H389" s="108">
        <v>17.0</v>
      </c>
      <c r="I389" s="108">
        <v>16.0</v>
      </c>
      <c r="J389" s="108" t="s">
        <v>51</v>
      </c>
      <c r="K389" s="118">
        <f t="shared" si="95"/>
        <v>1</v>
      </c>
      <c r="L389" s="125">
        <f t="shared" si="96"/>
        <v>5</v>
      </c>
    </row>
    <row r="390" hidden="1" outlineLevel="1">
      <c r="A390" s="144" t="s">
        <v>53</v>
      </c>
      <c r="B390" s="100">
        <f>20+20+25+20+15</f>
        <v>100</v>
      </c>
      <c r="C390" s="130">
        <f t="shared" si="94"/>
        <v>101</v>
      </c>
      <c r="D390" s="108">
        <v>18.0</v>
      </c>
      <c r="E390" s="108">
        <v>22.0</v>
      </c>
      <c r="F390" s="108">
        <v>25.0</v>
      </c>
      <c r="G390" s="108" t="s">
        <v>51</v>
      </c>
      <c r="H390" s="108" t="s">
        <v>51</v>
      </c>
      <c r="I390" s="108">
        <v>22.0</v>
      </c>
      <c r="J390" s="151">
        <v>14.0</v>
      </c>
      <c r="K390" s="118">
        <f t="shared" si="95"/>
        <v>1.01</v>
      </c>
      <c r="L390" s="125">
        <f t="shared" si="96"/>
        <v>5</v>
      </c>
    </row>
    <row r="391" hidden="1" outlineLevel="1">
      <c r="A391" s="148" t="s">
        <v>85</v>
      </c>
      <c r="B391" s="130">
        <f>35+30+30+25+15</f>
        <v>135</v>
      </c>
      <c r="C391" s="100">
        <f t="shared" si="94"/>
        <v>140</v>
      </c>
      <c r="D391" s="108">
        <v>36.0</v>
      </c>
      <c r="E391" s="108">
        <v>34.0</v>
      </c>
      <c r="F391" s="108">
        <v>33.0</v>
      </c>
      <c r="G391" s="108" t="s">
        <v>51</v>
      </c>
      <c r="H391" s="108" t="s">
        <v>51</v>
      </c>
      <c r="I391" s="108">
        <v>23.0</v>
      </c>
      <c r="J391" s="151">
        <v>14.0</v>
      </c>
      <c r="K391" s="118">
        <f t="shared" si="95"/>
        <v>1.037037037</v>
      </c>
      <c r="L391" s="125">
        <f t="shared" si="96"/>
        <v>5</v>
      </c>
    </row>
    <row r="392" hidden="1" outlineLevel="1">
      <c r="A392" s="148" t="s">
        <v>7</v>
      </c>
      <c r="B392" s="100">
        <f>20+20+20+15+10</f>
        <v>85</v>
      </c>
      <c r="C392" s="100">
        <f t="shared" si="94"/>
        <v>85</v>
      </c>
      <c r="D392" s="108">
        <v>16.0</v>
      </c>
      <c r="E392" s="108">
        <v>21.0</v>
      </c>
      <c r="F392" s="108" t="s">
        <v>51</v>
      </c>
      <c r="G392" s="108" t="s">
        <v>51</v>
      </c>
      <c r="H392" s="108">
        <v>23.0</v>
      </c>
      <c r="I392" s="108">
        <v>17.0</v>
      </c>
      <c r="J392" s="151">
        <v>8.0</v>
      </c>
      <c r="K392" s="118">
        <f t="shared" si="95"/>
        <v>1</v>
      </c>
      <c r="L392" s="125">
        <f t="shared" si="96"/>
        <v>5</v>
      </c>
    </row>
    <row r="393" hidden="1" outlineLevel="1">
      <c r="A393" s="148" t="s">
        <v>514</v>
      </c>
      <c r="B393" s="358">
        <f>15*5</f>
        <v>75</v>
      </c>
      <c r="C393" s="100">
        <f t="shared" si="94"/>
        <v>78</v>
      </c>
      <c r="D393" s="108">
        <v>15.0</v>
      </c>
      <c r="E393" s="108">
        <v>15.0</v>
      </c>
      <c r="F393" s="108">
        <v>18.0</v>
      </c>
      <c r="G393" s="108">
        <v>24.0</v>
      </c>
      <c r="H393" s="108" t="s">
        <v>51</v>
      </c>
      <c r="I393" s="108" t="s">
        <v>51</v>
      </c>
      <c r="J393" s="151">
        <v>6.0</v>
      </c>
      <c r="K393" s="118">
        <f t="shared" si="95"/>
        <v>1.04</v>
      </c>
      <c r="L393" s="125">
        <f t="shared" si="96"/>
        <v>5</v>
      </c>
    </row>
    <row r="394" hidden="1" outlineLevel="1"/>
    <row r="395" hidden="1" outlineLevel="1">
      <c r="A395" s="55" t="s">
        <v>87</v>
      </c>
      <c r="I395" s="55"/>
    </row>
    <row r="396" hidden="1" outlineLevel="1">
      <c r="A396" s="57" t="s">
        <v>68</v>
      </c>
      <c r="B396" s="158" t="s">
        <v>157</v>
      </c>
      <c r="C396" s="158" t="s">
        <v>158</v>
      </c>
      <c r="D396" s="158" t="s">
        <v>90</v>
      </c>
      <c r="E396" s="158" t="s">
        <v>91</v>
      </c>
      <c r="F396" s="158" t="s">
        <v>93</v>
      </c>
      <c r="G396" s="161" t="s">
        <v>94</v>
      </c>
      <c r="H396" s="161" t="s">
        <v>160</v>
      </c>
    </row>
    <row r="397" hidden="1" outlineLevel="1">
      <c r="A397" s="80"/>
      <c r="B397" s="81"/>
      <c r="C397" s="162"/>
      <c r="D397" s="162"/>
      <c r="E397" s="162"/>
      <c r="F397" s="162"/>
      <c r="G397" s="162"/>
      <c r="H397" s="162"/>
    </row>
    <row r="398" hidden="1" outlineLevel="1">
      <c r="A398" s="95" t="s">
        <v>92</v>
      </c>
      <c r="B398" s="323">
        <v>106.0</v>
      </c>
      <c r="C398" s="323">
        <v>105.0</v>
      </c>
      <c r="D398" s="164">
        <f t="shared" ref="D398:D405" si="97">B398-C398</f>
        <v>1</v>
      </c>
      <c r="E398" s="167">
        <f t="shared" ref="E398:E405" si="98">IFERROR(C398/B398,"")</f>
        <v>0.9905660377</v>
      </c>
      <c r="F398" s="324">
        <v>0.0019675925925925924</v>
      </c>
      <c r="G398" s="171">
        <f t="shared" ref="G398:G405" si="99">IFERROR((IF(E398="",(0),IF(E398&gt;=0.98,(5),IF(E398&gt;=0.95,(4.5),IF(E398&gt;=0.9,(4),IF(E398&gt;=0.8,(3),IF(E398&lt;=0.69,(1)))))))),"")</f>
        <v>5</v>
      </c>
      <c r="H398" s="171">
        <f>ROUND(
IF(F398="",
0,
MAX(1, 5 - MAX(0, (F398 - TIME(0,4,0)) / TIME(0,1,0) * 0.5))
),
2
)
</f>
        <v>5</v>
      </c>
    </row>
    <row r="399" hidden="1" outlineLevel="1">
      <c r="A399" s="127" t="s">
        <v>61</v>
      </c>
      <c r="B399" s="325">
        <v>105.0</v>
      </c>
      <c r="C399" s="325">
        <v>105.0</v>
      </c>
      <c r="D399" s="326">
        <f t="shared" si="97"/>
        <v>0</v>
      </c>
      <c r="E399" s="173">
        <f t="shared" si="98"/>
        <v>1</v>
      </c>
      <c r="F399" s="327">
        <v>0.0037731481481481483</v>
      </c>
      <c r="G399" s="171">
        <f t="shared" si="99"/>
        <v>5</v>
      </c>
      <c r="H399" s="171">
        <f>ROUND(
IF(F399="",
0,
MAX(1, 5 - MAX(0, (F399 - TIME(0,7,0)) / TIME(0,1,0) * 0.5))
),
2
)
</f>
        <v>5</v>
      </c>
    </row>
    <row r="400" hidden="1" outlineLevel="1">
      <c r="A400" s="95" t="s">
        <v>21</v>
      </c>
      <c r="B400" s="325">
        <v>114.0</v>
      </c>
      <c r="C400" s="325">
        <v>111.0</v>
      </c>
      <c r="D400" s="326">
        <f t="shared" si="97"/>
        <v>3</v>
      </c>
      <c r="E400" s="173">
        <f t="shared" si="98"/>
        <v>0.9736842105</v>
      </c>
      <c r="F400" s="327">
        <v>0.0037731481481481483</v>
      </c>
      <c r="G400" s="171">
        <f t="shared" si="99"/>
        <v>4.5</v>
      </c>
      <c r="H400" s="171">
        <f>ROUND(
IF(F400="",
0,
MAX(1, 5 - MAX(0, (F400 - TIME(0,4,0)) / TIME(0,1,0) * 0.5))
),
2
)
</f>
        <v>4.28</v>
      </c>
    </row>
    <row r="401" hidden="1" outlineLevel="1">
      <c r="A401" s="127" t="s">
        <v>74</v>
      </c>
      <c r="B401" s="323">
        <v>67.0</v>
      </c>
      <c r="C401" s="323">
        <v>66.0</v>
      </c>
      <c r="D401" s="164">
        <f t="shared" si="97"/>
        <v>1</v>
      </c>
      <c r="E401" s="167">
        <f t="shared" si="98"/>
        <v>0.9850746269</v>
      </c>
      <c r="F401" s="324">
        <v>0.003159722222222222</v>
      </c>
      <c r="G401" s="171">
        <f t="shared" si="99"/>
        <v>5</v>
      </c>
      <c r="H401" s="171">
        <f>ROUND(
IF(F401="",
0,
MAX(1, 5 - MAX(0, (F401 - TIME(0,7,0)) / TIME(0,1,0) * 0.5))
),
2
)
</f>
        <v>5</v>
      </c>
    </row>
    <row r="402" hidden="1" outlineLevel="1">
      <c r="A402" s="144" t="s">
        <v>53</v>
      </c>
      <c r="B402" s="323">
        <v>107.0</v>
      </c>
      <c r="C402" s="323">
        <v>102.0</v>
      </c>
      <c r="D402" s="164">
        <f t="shared" si="97"/>
        <v>5</v>
      </c>
      <c r="E402" s="167">
        <f t="shared" si="98"/>
        <v>0.953271028</v>
      </c>
      <c r="F402" s="324">
        <v>0.003287037037037037</v>
      </c>
      <c r="G402" s="171">
        <f t="shared" si="99"/>
        <v>4.5</v>
      </c>
      <c r="H402" s="171">
        <f>ROUND(
IF(F402="",
0,
MAX(1, 5 - MAX(0, (F402 - TIME(0,4,0)) / TIME(0,1,0) * 0.5))
),
2
)
</f>
        <v>4.63</v>
      </c>
    </row>
    <row r="403" hidden="1" outlineLevel="1">
      <c r="A403" s="148" t="s">
        <v>85</v>
      </c>
      <c r="B403" s="325">
        <v>139.0</v>
      </c>
      <c r="C403" s="325">
        <v>138.0</v>
      </c>
      <c r="D403" s="326">
        <f t="shared" si="97"/>
        <v>1</v>
      </c>
      <c r="E403" s="173">
        <f t="shared" si="98"/>
        <v>0.9928057554</v>
      </c>
      <c r="F403" s="327">
        <v>0.0034953703703703705</v>
      </c>
      <c r="G403" s="171">
        <f t="shared" si="99"/>
        <v>5</v>
      </c>
      <c r="H403" s="171">
        <f>ROUND(
IF(F403="",
0,
MAX(1, 5 - MAX(0, (F403 - TIME(0,7,0)) / TIME(0,1,0) * 0.5))
),
2
)
</f>
        <v>5</v>
      </c>
    </row>
    <row r="404" hidden="1" outlineLevel="1">
      <c r="A404" s="148" t="s">
        <v>7</v>
      </c>
      <c r="B404" s="323">
        <v>85.0</v>
      </c>
      <c r="C404" s="323">
        <v>85.0</v>
      </c>
      <c r="D404" s="164">
        <f t="shared" si="97"/>
        <v>0</v>
      </c>
      <c r="E404" s="167">
        <f t="shared" si="98"/>
        <v>1</v>
      </c>
      <c r="F404" s="324">
        <v>0.0035185185185185185</v>
      </c>
      <c r="G404" s="171">
        <f t="shared" si="99"/>
        <v>5</v>
      </c>
      <c r="H404" s="171">
        <f>ROUND(
IF(F404="",
0,
MAX(1, 5 - MAX(0, (F404 - TIME(0,8,0)) / TIME(0,1,0) * 0.5))
),
2
)
</f>
        <v>5</v>
      </c>
    </row>
    <row r="405" hidden="1" outlineLevel="1">
      <c r="A405" s="148" t="s">
        <v>514</v>
      </c>
      <c r="B405" s="325">
        <v>79.0</v>
      </c>
      <c r="C405" s="325">
        <v>79.0</v>
      </c>
      <c r="D405" s="326">
        <f t="shared" si="97"/>
        <v>0</v>
      </c>
      <c r="E405" s="173">
        <f t="shared" si="98"/>
        <v>1</v>
      </c>
      <c r="F405" s="327">
        <v>0.004108796296296296</v>
      </c>
      <c r="G405" s="171">
        <f t="shared" si="99"/>
        <v>5</v>
      </c>
      <c r="H405" s="171">
        <f>ROUND(
IF(F405="",
0,
MAX(1, 5 - MAX(0, (F405 - TIME(0,10,0)) / TIME(0,1,0) * 0.5))
),
2
)
</f>
        <v>5</v>
      </c>
    </row>
    <row r="406" hidden="1" outlineLevel="1"/>
    <row r="407" hidden="1" outlineLevel="1">
      <c r="A407" s="55" t="s">
        <v>195</v>
      </c>
    </row>
    <row r="408" hidden="1" outlineLevel="1">
      <c r="A408" s="192" t="s">
        <v>196</v>
      </c>
      <c r="B408" s="193" t="s">
        <v>198</v>
      </c>
      <c r="C408" s="195" t="s">
        <v>199</v>
      </c>
      <c r="D408" s="195" t="s">
        <v>200</v>
      </c>
      <c r="E408" s="197" t="s">
        <v>201</v>
      </c>
      <c r="F408" s="199" t="s">
        <v>202</v>
      </c>
      <c r="G408" s="201"/>
    </row>
    <row r="409" hidden="1" outlineLevel="1">
      <c r="A409" s="202" t="s">
        <v>4</v>
      </c>
      <c r="B409" s="209">
        <f t="shared" ref="B409:B416" si="100">(C409*0.3)+(D409*0.1)</f>
        <v>0.4</v>
      </c>
      <c r="C409" s="210">
        <v>1.0</v>
      </c>
      <c r="D409" s="210">
        <f>Dan!D380</f>
        <v>1</v>
      </c>
      <c r="E409" s="214">
        <f t="shared" ref="E409:E416" si="101">(L386+G398+H398)/15*0.3</f>
        <v>0.3</v>
      </c>
      <c r="F409" s="218">
        <f t="shared" ref="F409:F416" si="102">(E409/30%)*10</f>
        <v>10</v>
      </c>
      <c r="G409" s="201"/>
      <c r="H409" s="201"/>
      <c r="I409" s="201"/>
      <c r="J409" s="201"/>
    </row>
    <row r="410" hidden="1" outlineLevel="1">
      <c r="A410" s="220" t="s">
        <v>57</v>
      </c>
      <c r="B410" s="223">
        <f t="shared" si="100"/>
        <v>0.4</v>
      </c>
      <c r="C410" s="210">
        <v>1.0</v>
      </c>
      <c r="D410" s="210">
        <f>Godwin!D380</f>
        <v>1</v>
      </c>
      <c r="E410" s="226">
        <f t="shared" si="101"/>
        <v>0.24</v>
      </c>
      <c r="F410" s="218">
        <f t="shared" si="102"/>
        <v>8</v>
      </c>
      <c r="G410" s="201"/>
      <c r="H410" s="201"/>
      <c r="I410" s="201"/>
      <c r="J410" s="201"/>
    </row>
    <row r="411" hidden="1" outlineLevel="1">
      <c r="A411" s="227" t="s">
        <v>21</v>
      </c>
      <c r="B411" s="229">
        <f t="shared" si="100"/>
        <v>0.352</v>
      </c>
      <c r="C411" s="210">
        <v>0.85</v>
      </c>
      <c r="D411" s="231">
        <f>Candy!D252</f>
        <v>0.97</v>
      </c>
      <c r="E411" s="232">
        <f t="shared" si="101"/>
        <v>0.2756</v>
      </c>
      <c r="F411" s="218">
        <f t="shared" si="102"/>
        <v>9.186666667</v>
      </c>
      <c r="G411" s="201"/>
      <c r="H411" s="201"/>
      <c r="I411" s="201"/>
      <c r="J411" s="201"/>
    </row>
    <row r="412" hidden="1" outlineLevel="1">
      <c r="A412" s="220" t="s">
        <v>32</v>
      </c>
      <c r="B412" s="223">
        <f t="shared" si="100"/>
        <v>0.4</v>
      </c>
      <c r="C412" s="210">
        <v>1.0</v>
      </c>
      <c r="D412" s="231">
        <f>Claudette!D380</f>
        <v>1</v>
      </c>
      <c r="E412" s="226">
        <f t="shared" si="101"/>
        <v>0.3</v>
      </c>
      <c r="F412" s="218">
        <f t="shared" si="102"/>
        <v>10</v>
      </c>
      <c r="G412" s="201"/>
      <c r="H412" s="201"/>
      <c r="I412" s="201"/>
      <c r="J412" s="201"/>
    </row>
    <row r="413" hidden="1" outlineLevel="1">
      <c r="A413" s="236" t="s">
        <v>58</v>
      </c>
      <c r="B413" s="229">
        <f t="shared" si="100"/>
        <v>0.4</v>
      </c>
      <c r="C413" s="210">
        <v>1.0</v>
      </c>
      <c r="D413" s="231">
        <f>Sofhia!D380</f>
        <v>1</v>
      </c>
      <c r="E413" s="232">
        <f t="shared" si="101"/>
        <v>0.2826</v>
      </c>
      <c r="F413" s="218">
        <f t="shared" si="102"/>
        <v>9.42</v>
      </c>
      <c r="G413" s="201"/>
      <c r="H413" s="201"/>
      <c r="I413" s="201"/>
      <c r="J413" s="201"/>
    </row>
    <row r="414" hidden="1" outlineLevel="1">
      <c r="A414" s="241" t="s">
        <v>85</v>
      </c>
      <c r="B414" s="223">
        <f t="shared" si="100"/>
        <v>0.28</v>
      </c>
      <c r="C414" s="210">
        <v>0.6</v>
      </c>
      <c r="D414" s="231">
        <f>Cherry!D198</f>
        <v>1</v>
      </c>
      <c r="E414" s="226">
        <f t="shared" si="101"/>
        <v>0.3</v>
      </c>
      <c r="F414" s="218">
        <f t="shared" si="102"/>
        <v>10</v>
      </c>
      <c r="G414" s="201"/>
      <c r="H414" s="201"/>
      <c r="I414" s="201"/>
      <c r="J414" s="201"/>
    </row>
    <row r="415" hidden="1" outlineLevel="1">
      <c r="A415" s="245" t="s">
        <v>7</v>
      </c>
      <c r="B415" s="229">
        <f t="shared" si="100"/>
        <v>0.4</v>
      </c>
      <c r="C415" s="210">
        <v>1.0</v>
      </c>
      <c r="D415" s="231">
        <f>Lyra!D179</f>
        <v>1</v>
      </c>
      <c r="E415" s="232">
        <f t="shared" si="101"/>
        <v>0.3</v>
      </c>
      <c r="F415" s="218">
        <f t="shared" si="102"/>
        <v>10</v>
      </c>
      <c r="G415" s="201"/>
      <c r="H415" s="201"/>
      <c r="I415" s="201"/>
      <c r="J415" s="201"/>
    </row>
    <row r="416" hidden="1" outlineLevel="1">
      <c r="A416" s="241" t="s">
        <v>514</v>
      </c>
      <c r="B416" s="223">
        <f t="shared" si="100"/>
        <v>0.3986666667</v>
      </c>
      <c r="C416" s="210">
        <v>1.0</v>
      </c>
      <c r="D416" s="231">
        <f>Mikka!D124</f>
        <v>0.9866666667</v>
      </c>
      <c r="E416" s="226">
        <f t="shared" si="101"/>
        <v>0.3</v>
      </c>
      <c r="F416" s="218">
        <f t="shared" si="102"/>
        <v>10</v>
      </c>
      <c r="G416" s="201"/>
      <c r="H416" s="201"/>
      <c r="I416" s="201"/>
      <c r="J416" s="201"/>
    </row>
    <row r="417" hidden="1" outlineLevel="1">
      <c r="A417" s="251"/>
      <c r="B417" s="251"/>
      <c r="C417" s="252"/>
      <c r="D417" s="253"/>
      <c r="E417" s="254"/>
      <c r="F417" s="201"/>
      <c r="G417" s="201"/>
      <c r="H417" s="201"/>
      <c r="I417" s="201"/>
      <c r="J417" s="201"/>
    </row>
    <row r="418" hidden="1" outlineLevel="1">
      <c r="A418" s="55" t="s">
        <v>222</v>
      </c>
      <c r="B418" s="251"/>
      <c r="C418" s="252"/>
      <c r="D418" s="253"/>
      <c r="E418" s="254"/>
      <c r="F418" s="201"/>
      <c r="G418" s="201"/>
      <c r="H418" s="201"/>
      <c r="I418" s="201"/>
      <c r="J418" s="201"/>
    </row>
    <row r="419" hidden="1" outlineLevel="1">
      <c r="A419" s="256" t="s">
        <v>196</v>
      </c>
      <c r="B419" s="257" t="s">
        <v>223</v>
      </c>
      <c r="C419" s="62">
        <v>46111.0</v>
      </c>
      <c r="D419" s="62">
        <v>46112.0</v>
      </c>
      <c r="E419" s="62">
        <v>46113.0</v>
      </c>
      <c r="F419" s="62">
        <v>46114.0</v>
      </c>
      <c r="G419" s="62">
        <v>46115.0</v>
      </c>
      <c r="H419" s="62">
        <v>46116.0</v>
      </c>
      <c r="I419" s="62">
        <v>46117.0</v>
      </c>
      <c r="J419" s="201"/>
    </row>
    <row r="420" hidden="1" outlineLevel="1">
      <c r="A420" s="308"/>
      <c r="B420" s="308"/>
      <c r="C420" s="82" t="s">
        <v>80</v>
      </c>
      <c r="D420" s="82" t="s">
        <v>226</v>
      </c>
      <c r="E420" s="82" t="s">
        <v>227</v>
      </c>
      <c r="F420" s="82" t="s">
        <v>228</v>
      </c>
      <c r="G420" s="82" t="s">
        <v>230</v>
      </c>
      <c r="H420" s="82" t="s">
        <v>231</v>
      </c>
      <c r="I420" s="82" t="s">
        <v>232</v>
      </c>
    </row>
    <row r="421" hidden="1" outlineLevel="1">
      <c r="A421" s="227" t="s">
        <v>4</v>
      </c>
      <c r="B421" s="264">
        <f t="shared" ref="B421:B428" si="103">Sum(C421:I421)</f>
        <v>0</v>
      </c>
      <c r="C421" s="267"/>
      <c r="D421" s="268"/>
      <c r="E421" s="268"/>
      <c r="F421" s="268"/>
      <c r="G421" s="267"/>
      <c r="H421" s="267"/>
      <c r="I421" s="267"/>
    </row>
    <row r="422" hidden="1" outlineLevel="1">
      <c r="A422" s="220" t="s">
        <v>57</v>
      </c>
      <c r="B422" s="264">
        <f t="shared" si="103"/>
        <v>0</v>
      </c>
      <c r="C422" s="266"/>
      <c r="D422" s="266"/>
      <c r="E422" s="266"/>
      <c r="F422" s="266"/>
      <c r="G422" s="266"/>
      <c r="H422" s="265"/>
      <c r="I422" s="266"/>
    </row>
    <row r="423" hidden="1" outlineLevel="1">
      <c r="A423" s="227" t="s">
        <v>21</v>
      </c>
      <c r="B423" s="264">
        <f t="shared" si="103"/>
        <v>0</v>
      </c>
      <c r="C423" s="267"/>
      <c r="D423" s="268"/>
      <c r="E423" s="267"/>
      <c r="F423" s="267"/>
      <c r="G423" s="267"/>
      <c r="H423" s="267"/>
      <c r="I423" s="268"/>
    </row>
    <row r="424" hidden="1" outlineLevel="1">
      <c r="A424" s="220" t="s">
        <v>32</v>
      </c>
      <c r="B424" s="264">
        <f t="shared" si="103"/>
        <v>0</v>
      </c>
      <c r="C424" s="266"/>
      <c r="D424" s="266"/>
      <c r="E424" s="266"/>
      <c r="F424" s="266"/>
      <c r="G424" s="266"/>
      <c r="H424" s="266"/>
      <c r="I424" s="265"/>
    </row>
    <row r="425" hidden="1" outlineLevel="1">
      <c r="A425" s="236" t="s">
        <v>58</v>
      </c>
      <c r="B425" s="264">
        <f t="shared" si="103"/>
        <v>0</v>
      </c>
      <c r="C425" s="267"/>
      <c r="D425" s="267"/>
      <c r="E425" s="267"/>
      <c r="F425" s="267"/>
      <c r="G425" s="267"/>
      <c r="H425" s="267"/>
      <c r="I425" s="268"/>
    </row>
    <row r="426" ht="16.5" hidden="1" customHeight="1" outlineLevel="1">
      <c r="A426" s="241" t="s">
        <v>85</v>
      </c>
      <c r="B426" s="264">
        <f t="shared" si="103"/>
        <v>0</v>
      </c>
      <c r="C426" s="266"/>
      <c r="D426" s="266"/>
      <c r="E426" s="266"/>
      <c r="F426" s="266"/>
      <c r="G426" s="266"/>
      <c r="H426" s="266"/>
      <c r="I426" s="266"/>
    </row>
    <row r="427" hidden="1" outlineLevel="1">
      <c r="A427" s="245" t="s">
        <v>7</v>
      </c>
      <c r="B427" s="264">
        <f t="shared" si="103"/>
        <v>0</v>
      </c>
      <c r="C427" s="268"/>
      <c r="D427" s="268"/>
      <c r="E427" s="267"/>
      <c r="F427" s="267"/>
      <c r="G427" s="267"/>
      <c r="H427" s="267"/>
      <c r="I427" s="268"/>
    </row>
    <row r="428" hidden="1" outlineLevel="1">
      <c r="A428" s="241" t="s">
        <v>72</v>
      </c>
      <c r="B428" s="264">
        <f t="shared" si="103"/>
        <v>0</v>
      </c>
      <c r="C428" s="265"/>
      <c r="D428" s="265"/>
      <c r="E428" s="266"/>
      <c r="F428" s="265"/>
      <c r="G428" s="266"/>
      <c r="H428" s="266"/>
      <c r="I428" s="265"/>
    </row>
    <row r="429" hidden="1" outlineLevel="1">
      <c r="A429" s="251"/>
      <c r="B429" s="251"/>
      <c r="C429" s="251"/>
      <c r="D429" s="251"/>
      <c r="E429" s="251"/>
      <c r="F429" s="251"/>
      <c r="G429" s="251"/>
      <c r="H429" s="251"/>
      <c r="I429" s="251"/>
    </row>
    <row r="430" collapsed="1">
      <c r="A430" s="49">
        <v>46113.0</v>
      </c>
    </row>
    <row r="431" hidden="1" outlineLevel="1" collapsed="1">
      <c r="A431" s="52" t="s">
        <v>889</v>
      </c>
    </row>
    <row r="432" hidden="1" outlineLevel="2">
      <c r="A432" s="55" t="s">
        <v>67</v>
      </c>
    </row>
    <row r="433" hidden="1" outlineLevel="2">
      <c r="A433" s="57" t="s">
        <v>68</v>
      </c>
      <c r="B433" s="59" t="s">
        <v>11</v>
      </c>
      <c r="C433" s="59" t="s">
        <v>71</v>
      </c>
      <c r="D433" s="62">
        <v>46118.0</v>
      </c>
      <c r="E433" s="62">
        <v>46119.0</v>
      </c>
      <c r="F433" s="62">
        <v>46120.0</v>
      </c>
      <c r="G433" s="62">
        <v>46121.0</v>
      </c>
      <c r="H433" s="62">
        <v>46122.0</v>
      </c>
      <c r="I433" s="62">
        <v>46123.0</v>
      </c>
      <c r="J433" s="62">
        <v>46124.0</v>
      </c>
      <c r="K433" s="76" t="s">
        <v>77</v>
      </c>
      <c r="L433" s="78" t="s">
        <v>78</v>
      </c>
    </row>
    <row r="434" hidden="1" outlineLevel="2">
      <c r="A434" s="80"/>
      <c r="B434" s="81"/>
      <c r="C434" s="81"/>
      <c r="D434" s="82" t="s">
        <v>80</v>
      </c>
      <c r="E434" s="82" t="str">
        <f t="shared" ref="E434:J434" si="104">text(E433,"ddd")</f>
        <v>Tue</v>
      </c>
      <c r="F434" s="82" t="str">
        <f t="shared" si="104"/>
        <v>Wed</v>
      </c>
      <c r="G434" s="82" t="str">
        <f t="shared" si="104"/>
        <v>Thu</v>
      </c>
      <c r="H434" s="82" t="str">
        <f t="shared" si="104"/>
        <v>Fri</v>
      </c>
      <c r="I434" s="82" t="str">
        <f t="shared" si="104"/>
        <v>Sat</v>
      </c>
      <c r="J434" s="82" t="str">
        <f t="shared" si="104"/>
        <v>Sun</v>
      </c>
      <c r="K434" s="92"/>
      <c r="L434" s="81"/>
    </row>
    <row r="435" hidden="1" outlineLevel="2">
      <c r="A435" s="95" t="s">
        <v>92</v>
      </c>
      <c r="B435" s="100">
        <f>35+35+15+15+15</f>
        <v>115</v>
      </c>
      <c r="C435" s="100">
        <f t="shared" ref="C435:C442" si="105">SUM(D435:J435)</f>
        <v>114</v>
      </c>
      <c r="D435" s="108">
        <v>35.0</v>
      </c>
      <c r="E435" s="108">
        <v>37.0</v>
      </c>
      <c r="F435" s="108" t="s">
        <v>51</v>
      </c>
      <c r="G435" s="108" t="s">
        <v>51</v>
      </c>
      <c r="H435" s="108">
        <v>15.0</v>
      </c>
      <c r="I435" s="108">
        <v>14.0</v>
      </c>
      <c r="J435" s="108">
        <v>13.0</v>
      </c>
      <c r="K435" s="118">
        <f t="shared" ref="K435:K442" si="106">iferror(C435/B435,"-")</f>
        <v>0.9913043478</v>
      </c>
      <c r="L435" s="125">
        <f t="shared" ref="L435:L442" si="107">(IF(K435="",(0),IF(K435&gt;=1,(5),IF(K435&gt;=0.9,(4),IF(K435&gt;=0.8,(3),IF(K435&gt;=0.69,(2),IF(K435&lt;=0.69,(1))))))))</f>
        <v>4</v>
      </c>
    </row>
    <row r="436" hidden="1" outlineLevel="2">
      <c r="A436" s="127" t="s">
        <v>61</v>
      </c>
      <c r="B436" s="130">
        <f>25+25+25+30+25</f>
        <v>130</v>
      </c>
      <c r="C436" s="130">
        <f t="shared" si="105"/>
        <v>122</v>
      </c>
      <c r="D436" s="108">
        <v>25.0</v>
      </c>
      <c r="E436" s="108">
        <v>24.0</v>
      </c>
      <c r="F436" s="108">
        <v>21.0</v>
      </c>
      <c r="G436" s="108">
        <v>29.0</v>
      </c>
      <c r="H436" s="108">
        <v>23.0</v>
      </c>
      <c r="I436" s="108" t="s">
        <v>51</v>
      </c>
      <c r="J436" s="108" t="s">
        <v>51</v>
      </c>
      <c r="K436" s="118">
        <f t="shared" si="106"/>
        <v>0.9384615385</v>
      </c>
      <c r="L436" s="125">
        <f t="shared" si="107"/>
        <v>4</v>
      </c>
    </row>
    <row r="437" hidden="1" outlineLevel="2">
      <c r="A437" s="95" t="s">
        <v>21</v>
      </c>
      <c r="B437" s="100">
        <f>30+40+40+35+20</f>
        <v>165</v>
      </c>
      <c r="C437" s="100">
        <f t="shared" si="105"/>
        <v>159</v>
      </c>
      <c r="D437" s="108">
        <v>33.0</v>
      </c>
      <c r="E437" s="108" t="s">
        <v>51</v>
      </c>
      <c r="F437" s="108">
        <v>40.0</v>
      </c>
      <c r="G437" s="108">
        <v>31.0</v>
      </c>
      <c r="H437" s="108" t="s">
        <v>51</v>
      </c>
      <c r="I437" s="108">
        <v>37.0</v>
      </c>
      <c r="J437" s="108">
        <v>18.0</v>
      </c>
      <c r="K437" s="118">
        <f t="shared" si="106"/>
        <v>0.9636363636</v>
      </c>
      <c r="L437" s="125">
        <f t="shared" si="107"/>
        <v>4</v>
      </c>
    </row>
    <row r="438" hidden="1" outlineLevel="2">
      <c r="A438" s="127" t="s">
        <v>74</v>
      </c>
      <c r="B438" s="130">
        <f>15+15+5+10+10</f>
        <v>55</v>
      </c>
      <c r="C438" s="130">
        <f t="shared" si="105"/>
        <v>58</v>
      </c>
      <c r="D438" s="108">
        <v>16.0</v>
      </c>
      <c r="E438" s="108">
        <v>17.0</v>
      </c>
      <c r="F438" s="108">
        <v>3.0</v>
      </c>
      <c r="G438" s="108">
        <v>11.0</v>
      </c>
      <c r="H438" s="108">
        <v>11.0</v>
      </c>
      <c r="I438" s="108" t="s">
        <v>51</v>
      </c>
      <c r="J438" s="108" t="s">
        <v>51</v>
      </c>
      <c r="K438" s="118">
        <f t="shared" si="106"/>
        <v>1.054545455</v>
      </c>
      <c r="L438" s="125">
        <f t="shared" si="107"/>
        <v>5</v>
      </c>
    </row>
    <row r="439" hidden="1" outlineLevel="2">
      <c r="A439" s="144" t="s">
        <v>53</v>
      </c>
      <c r="B439" s="100">
        <f>20+30+35+25+20</f>
        <v>130</v>
      </c>
      <c r="C439" s="130">
        <f t="shared" si="105"/>
        <v>130</v>
      </c>
      <c r="D439" s="108">
        <v>21.0</v>
      </c>
      <c r="E439" s="108">
        <v>30.0</v>
      </c>
      <c r="F439" s="108">
        <v>35.0</v>
      </c>
      <c r="G439" s="108">
        <v>25.0</v>
      </c>
      <c r="H439" s="108">
        <v>19.0</v>
      </c>
      <c r="I439" s="108" t="s">
        <v>51</v>
      </c>
      <c r="J439" s="108" t="s">
        <v>51</v>
      </c>
      <c r="K439" s="118">
        <f t="shared" si="106"/>
        <v>1</v>
      </c>
      <c r="L439" s="125">
        <f t="shared" si="107"/>
        <v>5</v>
      </c>
    </row>
    <row r="440" hidden="1" outlineLevel="2">
      <c r="A440" s="148" t="s">
        <v>85</v>
      </c>
      <c r="B440" s="130">
        <f>30+30+25+20+20</f>
        <v>125</v>
      </c>
      <c r="C440" s="100">
        <f t="shared" si="105"/>
        <v>123</v>
      </c>
      <c r="D440" s="108">
        <v>30.0</v>
      </c>
      <c r="E440" s="108">
        <v>29.0</v>
      </c>
      <c r="F440" s="108">
        <v>28.0</v>
      </c>
      <c r="G440" s="108" t="s">
        <v>51</v>
      </c>
      <c r="H440" s="108" t="s">
        <v>51</v>
      </c>
      <c r="I440" s="108">
        <v>21.0</v>
      </c>
      <c r="J440" s="151">
        <v>15.0</v>
      </c>
      <c r="K440" s="118">
        <f t="shared" si="106"/>
        <v>0.984</v>
      </c>
      <c r="L440" s="125">
        <f t="shared" si="107"/>
        <v>4</v>
      </c>
    </row>
    <row r="441" hidden="1" outlineLevel="2">
      <c r="A441" s="148" t="s">
        <v>7</v>
      </c>
      <c r="B441" s="358">
        <f>20*5</f>
        <v>100</v>
      </c>
      <c r="C441" s="100">
        <f t="shared" si="105"/>
        <v>96</v>
      </c>
      <c r="D441" s="108">
        <v>21.0</v>
      </c>
      <c r="E441" s="108" t="s">
        <v>51</v>
      </c>
      <c r="F441" s="108" t="s">
        <v>51</v>
      </c>
      <c r="G441" s="108">
        <v>27.0</v>
      </c>
      <c r="H441" s="108">
        <v>20.0</v>
      </c>
      <c r="I441" s="108">
        <v>11.0</v>
      </c>
      <c r="J441" s="151">
        <v>17.0</v>
      </c>
      <c r="K441" s="118">
        <f t="shared" si="106"/>
        <v>0.96</v>
      </c>
      <c r="L441" s="125">
        <f t="shared" si="107"/>
        <v>4</v>
      </c>
    </row>
    <row r="442" hidden="1" outlineLevel="2">
      <c r="A442" s="148" t="s">
        <v>514</v>
      </c>
      <c r="B442" s="358">
        <f>15*5</f>
        <v>75</v>
      </c>
      <c r="C442" s="100">
        <f t="shared" si="105"/>
        <v>68</v>
      </c>
      <c r="D442" s="108">
        <v>16.0</v>
      </c>
      <c r="E442" s="108">
        <v>17.0</v>
      </c>
      <c r="F442" s="108">
        <v>14.0</v>
      </c>
      <c r="G442" s="108" t="s">
        <v>51</v>
      </c>
      <c r="H442" s="108" t="s">
        <v>51</v>
      </c>
      <c r="I442" s="108">
        <v>9.0</v>
      </c>
      <c r="J442" s="151">
        <v>12.0</v>
      </c>
      <c r="K442" s="118">
        <f t="shared" si="106"/>
        <v>0.9066666667</v>
      </c>
      <c r="L442" s="125">
        <f t="shared" si="107"/>
        <v>4</v>
      </c>
    </row>
    <row r="443" hidden="1" outlineLevel="2"/>
    <row r="444" hidden="1" outlineLevel="2">
      <c r="A444" s="55" t="s">
        <v>87</v>
      </c>
      <c r="I444" s="55"/>
    </row>
    <row r="445" hidden="1" outlineLevel="2">
      <c r="A445" s="57" t="s">
        <v>68</v>
      </c>
      <c r="B445" s="158" t="s">
        <v>157</v>
      </c>
      <c r="C445" s="158" t="s">
        <v>158</v>
      </c>
      <c r="D445" s="158" t="s">
        <v>90</v>
      </c>
      <c r="E445" s="158" t="s">
        <v>91</v>
      </c>
      <c r="F445" s="158" t="s">
        <v>93</v>
      </c>
      <c r="G445" s="161" t="s">
        <v>94</v>
      </c>
      <c r="H445" s="161" t="s">
        <v>160</v>
      </c>
    </row>
    <row r="446" hidden="1" outlineLevel="2">
      <c r="A446" s="80"/>
      <c r="B446" s="81"/>
      <c r="C446" s="162"/>
      <c r="D446" s="162"/>
      <c r="E446" s="162"/>
      <c r="F446" s="162"/>
      <c r="G446" s="162"/>
      <c r="H446" s="162"/>
    </row>
    <row r="447" hidden="1" outlineLevel="2">
      <c r="A447" s="95" t="s">
        <v>92</v>
      </c>
      <c r="B447" s="163">
        <v>118.0</v>
      </c>
      <c r="C447" s="163">
        <v>114.0</v>
      </c>
      <c r="D447" s="164">
        <f t="shared" ref="D447:D454" si="108">B447-C447</f>
        <v>4</v>
      </c>
      <c r="E447" s="167">
        <f t="shared" ref="E447:E454" si="109">IFERROR(C447/B447,"")</f>
        <v>0.9661016949</v>
      </c>
      <c r="F447" s="169">
        <v>0.0020717592592592593</v>
      </c>
      <c r="G447" s="171">
        <f t="shared" ref="G447:G454" si="110">IFERROR((IF(E447="",(0),IF(E447&gt;=0.98,(5),IF(E447&gt;=0.95,(4.5),IF(E447&gt;=0.9,(4),IF(E447&gt;=0.8,(3),IF(E447&lt;=0.69,(1)))))))),"")</f>
        <v>4.5</v>
      </c>
      <c r="H447" s="171">
        <f>ROUND(
IF(F447="",
0,
MAX(1, 5 - MAX(0, (F447 - TIME(0,4,0)) / TIME(0,1,0) * 0.5))
),
2
)
</f>
        <v>5</v>
      </c>
    </row>
    <row r="448" hidden="1" outlineLevel="2">
      <c r="A448" s="127" t="s">
        <v>61</v>
      </c>
      <c r="B448" s="172">
        <v>123.0</v>
      </c>
      <c r="C448" s="172">
        <v>120.0</v>
      </c>
      <c r="D448" s="326">
        <f t="shared" si="108"/>
        <v>3</v>
      </c>
      <c r="E448" s="173">
        <f t="shared" si="109"/>
        <v>0.9756097561</v>
      </c>
      <c r="F448" s="174">
        <v>0.004398148148148148</v>
      </c>
      <c r="G448" s="171">
        <f t="shared" si="110"/>
        <v>4.5</v>
      </c>
      <c r="H448" s="171">
        <f>ROUND(
IF(F448="",
0,
MAX(1, 5 - MAX(0, (F448 - TIME(0,5,0)) / TIME(0,1,0) * 0.5))
),
2
)
</f>
        <v>4.33</v>
      </c>
    </row>
    <row r="449" hidden="1" outlineLevel="2">
      <c r="A449" s="95" t="s">
        <v>21</v>
      </c>
      <c r="B449" s="172">
        <v>153.0</v>
      </c>
      <c r="C449" s="172">
        <v>148.0</v>
      </c>
      <c r="D449" s="326">
        <f t="shared" si="108"/>
        <v>5</v>
      </c>
      <c r="E449" s="173">
        <f t="shared" si="109"/>
        <v>0.9673202614</v>
      </c>
      <c r="F449" s="174">
        <v>0.0036458333333333334</v>
      </c>
      <c r="G449" s="171">
        <f t="shared" si="110"/>
        <v>4.5</v>
      </c>
      <c r="H449" s="171">
        <f>ROUND(
IF(F449="",
0,
MAX(1, 5 - MAX(0, (F449 - TIME(0,4,0)) / TIME(0,1,0) * 0.5))
),
2
)
</f>
        <v>4.38</v>
      </c>
    </row>
    <row r="450" hidden="1" outlineLevel="2">
      <c r="A450" s="127" t="s">
        <v>74</v>
      </c>
      <c r="B450" s="163">
        <v>60.0</v>
      </c>
      <c r="C450" s="163">
        <v>59.0</v>
      </c>
      <c r="D450" s="164">
        <f t="shared" si="108"/>
        <v>1</v>
      </c>
      <c r="E450" s="167">
        <f t="shared" si="109"/>
        <v>0.9833333333</v>
      </c>
      <c r="F450" s="169">
        <v>0.003460648148148148</v>
      </c>
      <c r="G450" s="171">
        <f t="shared" si="110"/>
        <v>5</v>
      </c>
      <c r="H450" s="171">
        <f>ROUND(
IF(F450="",
0,
MAX(1, 5 - MAX(0, (F450 - TIME(0,5,0)) / TIME(0,1,0) * 0.5))
),
2
)
</f>
        <v>5</v>
      </c>
    </row>
    <row r="451" hidden="1" outlineLevel="2">
      <c r="A451" s="144" t="s">
        <v>53</v>
      </c>
      <c r="B451" s="163">
        <v>140.0</v>
      </c>
      <c r="C451" s="163">
        <v>134.0</v>
      </c>
      <c r="D451" s="164">
        <f t="shared" si="108"/>
        <v>6</v>
      </c>
      <c r="E451" s="167">
        <f t="shared" si="109"/>
        <v>0.9571428571</v>
      </c>
      <c r="F451" s="169">
        <v>0.0022800925925925927</v>
      </c>
      <c r="G451" s="171">
        <f t="shared" si="110"/>
        <v>4.5</v>
      </c>
      <c r="H451" s="171">
        <f>ROUND(
IF(F451="",
0,
MAX(1, 5 - MAX(0, (F451 - TIME(0,4,0)) / TIME(0,1,0) * 0.5))
),
2
)
</f>
        <v>5</v>
      </c>
    </row>
    <row r="452" hidden="1" outlineLevel="2">
      <c r="A452" s="148" t="s">
        <v>85</v>
      </c>
      <c r="B452" s="172">
        <v>121.0</v>
      </c>
      <c r="C452" s="172">
        <v>121.0</v>
      </c>
      <c r="D452" s="326">
        <f t="shared" si="108"/>
        <v>0</v>
      </c>
      <c r="E452" s="173">
        <f t="shared" si="109"/>
        <v>1</v>
      </c>
      <c r="F452" s="174">
        <v>0.0038888888888888888</v>
      </c>
      <c r="G452" s="171">
        <f t="shared" si="110"/>
        <v>5</v>
      </c>
      <c r="H452" s="171">
        <f t="shared" ref="H452:H454" si="111">ROUND(
IF(F452="",
0,
MAX(1, 5 - MAX(0, (F452 - TIME(0,5,0)) / TIME(0,1,0) * 0.5))
),
2
)
</f>
        <v>4.7</v>
      </c>
    </row>
    <row r="453" hidden="1" outlineLevel="2">
      <c r="A453" s="148" t="s">
        <v>7</v>
      </c>
      <c r="B453" s="163">
        <v>101.0</v>
      </c>
      <c r="C453" s="163">
        <v>96.0</v>
      </c>
      <c r="D453" s="164">
        <f t="shared" si="108"/>
        <v>5</v>
      </c>
      <c r="E453" s="167">
        <f t="shared" si="109"/>
        <v>0.9504950495</v>
      </c>
      <c r="F453" s="169">
        <v>0.0031134259259259257</v>
      </c>
      <c r="G453" s="171">
        <f t="shared" si="110"/>
        <v>4.5</v>
      </c>
      <c r="H453" s="171">
        <f t="shared" si="111"/>
        <v>5</v>
      </c>
    </row>
    <row r="454" hidden="1" outlineLevel="2">
      <c r="A454" s="148" t="s">
        <v>514</v>
      </c>
      <c r="B454" s="172">
        <v>68.0</v>
      </c>
      <c r="C454" s="172">
        <v>68.0</v>
      </c>
      <c r="D454" s="326">
        <f t="shared" si="108"/>
        <v>0</v>
      </c>
      <c r="E454" s="173">
        <f t="shared" si="109"/>
        <v>1</v>
      </c>
      <c r="F454" s="174">
        <v>0.0044444444444444444</v>
      </c>
      <c r="G454" s="171">
        <f t="shared" si="110"/>
        <v>5</v>
      </c>
      <c r="H454" s="171">
        <f t="shared" si="111"/>
        <v>4.3</v>
      </c>
    </row>
    <row r="455" hidden="1" outlineLevel="2"/>
    <row r="456" hidden="1" outlineLevel="2">
      <c r="A456" s="55" t="s">
        <v>195</v>
      </c>
    </row>
    <row r="457" hidden="1" outlineLevel="2">
      <c r="A457" s="192" t="s">
        <v>196</v>
      </c>
      <c r="B457" s="193" t="s">
        <v>198</v>
      </c>
      <c r="C457" s="195" t="s">
        <v>199</v>
      </c>
      <c r="D457" s="195" t="s">
        <v>200</v>
      </c>
      <c r="E457" s="197" t="s">
        <v>201</v>
      </c>
      <c r="F457" s="199" t="s">
        <v>202</v>
      </c>
      <c r="G457" s="201"/>
    </row>
    <row r="458" hidden="1" outlineLevel="2">
      <c r="A458" s="202" t="s">
        <v>4</v>
      </c>
      <c r="B458" s="209">
        <f t="shared" ref="B458:B465" si="112">(C458*0.3)+(D458*0.1)</f>
        <v>0.4</v>
      </c>
      <c r="C458" s="210">
        <v>1.0</v>
      </c>
      <c r="D458" s="210">
        <f>Dan!D398</f>
        <v>1</v>
      </c>
      <c r="E458" s="214">
        <f t="shared" ref="E458:E465" si="113">(L435+G447+H447)/15*0.3</f>
        <v>0.27</v>
      </c>
      <c r="F458" s="218">
        <f t="shared" ref="F458:F465" si="114">(E458/30%)*10</f>
        <v>9</v>
      </c>
      <c r="G458" s="201"/>
      <c r="H458" s="201"/>
      <c r="I458" s="201"/>
      <c r="J458" s="201"/>
    </row>
    <row r="459" hidden="1" outlineLevel="2">
      <c r="A459" s="220" t="s">
        <v>57</v>
      </c>
      <c r="B459" s="223">
        <f t="shared" si="112"/>
        <v>0.4</v>
      </c>
      <c r="C459" s="210">
        <v>1.0</v>
      </c>
      <c r="D459" s="210">
        <f>Godwin!D398</f>
        <v>1</v>
      </c>
      <c r="E459" s="226">
        <f t="shared" si="113"/>
        <v>0.2566</v>
      </c>
      <c r="F459" s="218">
        <f t="shared" si="114"/>
        <v>8.553333333</v>
      </c>
      <c r="G459" s="201"/>
      <c r="H459" s="201"/>
      <c r="I459" s="201"/>
      <c r="J459" s="201"/>
    </row>
    <row r="460" hidden="1" outlineLevel="2">
      <c r="A460" s="227" t="s">
        <v>21</v>
      </c>
      <c r="B460" s="229">
        <f t="shared" si="112"/>
        <v>0.30001</v>
      </c>
      <c r="C460" s="210">
        <v>0.6667</v>
      </c>
      <c r="D460" s="231">
        <f>Candy!D270</f>
        <v>1</v>
      </c>
      <c r="E460" s="232">
        <f t="shared" si="113"/>
        <v>0.2576</v>
      </c>
      <c r="F460" s="218">
        <f t="shared" si="114"/>
        <v>8.586666667</v>
      </c>
      <c r="G460" s="201"/>
      <c r="H460" s="201"/>
      <c r="I460" s="201"/>
      <c r="J460" s="201"/>
    </row>
    <row r="461" hidden="1" outlineLevel="2">
      <c r="A461" s="220" t="s">
        <v>32</v>
      </c>
      <c r="B461" s="223">
        <f t="shared" si="112"/>
        <v>0.3093333333</v>
      </c>
      <c r="C461" s="210">
        <v>0.7</v>
      </c>
      <c r="D461" s="231">
        <f>Claudette!D398</f>
        <v>0.9933333333</v>
      </c>
      <c r="E461" s="226">
        <f t="shared" si="113"/>
        <v>0.3</v>
      </c>
      <c r="F461" s="218">
        <f t="shared" si="114"/>
        <v>10</v>
      </c>
      <c r="G461" s="201"/>
      <c r="H461" s="201"/>
      <c r="I461" s="201"/>
      <c r="J461" s="201"/>
    </row>
    <row r="462" hidden="1" outlineLevel="2">
      <c r="A462" s="236" t="s">
        <v>58</v>
      </c>
      <c r="B462" s="229">
        <f t="shared" si="112"/>
        <v>0.4</v>
      </c>
      <c r="C462" s="210">
        <v>1.0</v>
      </c>
      <c r="D462" s="231">
        <f>Sofhia!D398</f>
        <v>1</v>
      </c>
      <c r="E462" s="232">
        <f t="shared" si="113"/>
        <v>0.29</v>
      </c>
      <c r="F462" s="218">
        <f t="shared" si="114"/>
        <v>9.666666667</v>
      </c>
      <c r="G462" s="201"/>
      <c r="H462" s="201"/>
      <c r="I462" s="201"/>
      <c r="J462" s="201"/>
    </row>
    <row r="463" hidden="1" outlineLevel="2">
      <c r="A463" s="241" t="s">
        <v>85</v>
      </c>
      <c r="B463" s="223">
        <f t="shared" si="112"/>
        <v>0.4</v>
      </c>
      <c r="C463" s="210">
        <v>1.0</v>
      </c>
      <c r="D463" s="231">
        <f>Cherry!D216</f>
        <v>1</v>
      </c>
      <c r="E463" s="226">
        <f t="shared" si="113"/>
        <v>0.274</v>
      </c>
      <c r="F463" s="218">
        <f t="shared" si="114"/>
        <v>9.133333333</v>
      </c>
      <c r="G463" s="201"/>
      <c r="H463" s="201"/>
      <c r="I463" s="201"/>
      <c r="J463" s="201"/>
    </row>
    <row r="464" hidden="1" outlineLevel="2">
      <c r="A464" s="245" t="s">
        <v>7</v>
      </c>
      <c r="B464" s="229">
        <f t="shared" si="112"/>
        <v>0.4</v>
      </c>
      <c r="C464" s="210">
        <v>1.0</v>
      </c>
      <c r="D464" s="231">
        <f>Lyra!D197</f>
        <v>1</v>
      </c>
      <c r="E464" s="232">
        <f t="shared" si="113"/>
        <v>0.27</v>
      </c>
      <c r="F464" s="218">
        <f t="shared" si="114"/>
        <v>9</v>
      </c>
      <c r="G464" s="201"/>
      <c r="H464" s="201"/>
      <c r="I464" s="201"/>
      <c r="J464" s="201"/>
    </row>
    <row r="465" hidden="1" outlineLevel="2">
      <c r="A465" s="241" t="s">
        <v>514</v>
      </c>
      <c r="B465" s="223">
        <f t="shared" si="112"/>
        <v>0.1</v>
      </c>
      <c r="C465" s="210"/>
      <c r="D465" s="231">
        <f>Mikka!D142</f>
        <v>1</v>
      </c>
      <c r="E465" s="226">
        <f t="shared" si="113"/>
        <v>0.266</v>
      </c>
      <c r="F465" s="218">
        <f t="shared" si="114"/>
        <v>8.866666667</v>
      </c>
      <c r="G465" s="201"/>
      <c r="H465" s="201"/>
      <c r="I465" s="201"/>
      <c r="J465" s="201"/>
    </row>
    <row r="466" hidden="1" outlineLevel="2">
      <c r="A466" s="251"/>
      <c r="B466" s="251"/>
      <c r="C466" s="252"/>
      <c r="D466" s="253"/>
      <c r="E466" s="254"/>
      <c r="F466" s="201"/>
      <c r="G466" s="201"/>
      <c r="H466" s="201"/>
      <c r="I466" s="201"/>
      <c r="J466" s="201"/>
    </row>
    <row r="467" hidden="1" outlineLevel="2">
      <c r="A467" s="55" t="s">
        <v>222</v>
      </c>
      <c r="B467" s="251"/>
      <c r="C467" s="252"/>
      <c r="D467" s="253"/>
      <c r="E467" s="254"/>
      <c r="F467" s="201"/>
      <c r="G467" s="201"/>
      <c r="H467" s="201"/>
      <c r="I467" s="201"/>
      <c r="J467" s="201"/>
    </row>
    <row r="468" hidden="1" outlineLevel="2">
      <c r="A468" s="256" t="s">
        <v>196</v>
      </c>
      <c r="B468" s="257" t="s">
        <v>223</v>
      </c>
      <c r="C468" s="62">
        <v>46118.0</v>
      </c>
      <c r="D468" s="62">
        <v>46119.0</v>
      </c>
      <c r="E468" s="62">
        <v>46120.0</v>
      </c>
      <c r="F468" s="62">
        <v>46121.0</v>
      </c>
      <c r="G468" s="62">
        <v>46122.0</v>
      </c>
      <c r="H468" s="62">
        <v>46123.0</v>
      </c>
      <c r="I468" s="62">
        <v>46124.0</v>
      </c>
      <c r="J468" s="201"/>
    </row>
    <row r="469" hidden="1" outlineLevel="2">
      <c r="A469" s="308"/>
      <c r="B469" s="308"/>
      <c r="C469" s="82" t="s">
        <v>80</v>
      </c>
      <c r="D469" s="82" t="s">
        <v>226</v>
      </c>
      <c r="E469" s="82" t="s">
        <v>227</v>
      </c>
      <c r="F469" s="82" t="s">
        <v>228</v>
      </c>
      <c r="G469" s="82" t="s">
        <v>230</v>
      </c>
      <c r="H469" s="82" t="s">
        <v>231</v>
      </c>
      <c r="I469" s="82" t="s">
        <v>232</v>
      </c>
    </row>
    <row r="470" hidden="1" outlineLevel="2">
      <c r="A470" s="227" t="s">
        <v>4</v>
      </c>
      <c r="B470" s="264">
        <f t="shared" ref="B470:B477" si="115">Sum(C470:I470)</f>
        <v>0</v>
      </c>
      <c r="C470" s="267"/>
      <c r="D470" s="268"/>
      <c r="E470" s="268"/>
      <c r="F470" s="268"/>
      <c r="G470" s="267"/>
      <c r="H470" s="267"/>
      <c r="I470" s="267"/>
    </row>
    <row r="471" hidden="1" outlineLevel="2">
      <c r="A471" s="220" t="s">
        <v>57</v>
      </c>
      <c r="B471" s="264">
        <f t="shared" si="115"/>
        <v>0</v>
      </c>
      <c r="C471" s="266"/>
      <c r="D471" s="266"/>
      <c r="E471" s="266"/>
      <c r="F471" s="266"/>
      <c r="G471" s="266"/>
      <c r="H471" s="265"/>
      <c r="I471" s="266"/>
    </row>
    <row r="472" hidden="1" outlineLevel="2">
      <c r="A472" s="227" t="s">
        <v>21</v>
      </c>
      <c r="B472" s="264">
        <f t="shared" si="115"/>
        <v>0</v>
      </c>
      <c r="C472" s="267"/>
      <c r="D472" s="268"/>
      <c r="E472" s="267"/>
      <c r="F472" s="267"/>
      <c r="G472" s="267"/>
      <c r="H472" s="267"/>
      <c r="I472" s="268"/>
    </row>
    <row r="473" hidden="1" outlineLevel="2">
      <c r="A473" s="220" t="s">
        <v>32</v>
      </c>
      <c r="B473" s="264">
        <f t="shared" si="115"/>
        <v>0</v>
      </c>
      <c r="C473" s="266"/>
      <c r="D473" s="266"/>
      <c r="E473" s="266"/>
      <c r="F473" s="266"/>
      <c r="G473" s="266"/>
      <c r="H473" s="266"/>
      <c r="I473" s="265"/>
    </row>
    <row r="474" hidden="1" outlineLevel="2">
      <c r="A474" s="236" t="s">
        <v>58</v>
      </c>
      <c r="B474" s="264">
        <f t="shared" si="115"/>
        <v>0</v>
      </c>
      <c r="C474" s="267"/>
      <c r="D474" s="267"/>
      <c r="E474" s="267"/>
      <c r="F474" s="267"/>
      <c r="G474" s="267"/>
      <c r="H474" s="267"/>
      <c r="I474" s="268"/>
    </row>
    <row r="475" ht="16.5" hidden="1" customHeight="1" outlineLevel="2">
      <c r="A475" s="241" t="s">
        <v>85</v>
      </c>
      <c r="B475" s="264">
        <f t="shared" si="115"/>
        <v>0</v>
      </c>
      <c r="C475" s="266"/>
      <c r="D475" s="266"/>
      <c r="E475" s="266"/>
      <c r="F475" s="266"/>
      <c r="G475" s="266"/>
      <c r="H475" s="266"/>
      <c r="I475" s="266"/>
    </row>
    <row r="476" hidden="1" outlineLevel="2">
      <c r="A476" s="245" t="s">
        <v>7</v>
      </c>
      <c r="B476" s="264">
        <f t="shared" si="115"/>
        <v>0</v>
      </c>
      <c r="C476" s="268"/>
      <c r="D476" s="268"/>
      <c r="E476" s="267"/>
      <c r="F476" s="267"/>
      <c r="G476" s="267"/>
      <c r="H476" s="267"/>
      <c r="I476" s="268"/>
    </row>
    <row r="477" hidden="1" outlineLevel="2">
      <c r="A477" s="241" t="s">
        <v>72</v>
      </c>
      <c r="B477" s="264">
        <f t="shared" si="115"/>
        <v>0</v>
      </c>
      <c r="C477" s="265"/>
      <c r="D477" s="265"/>
      <c r="E477" s="266"/>
      <c r="F477" s="265"/>
      <c r="G477" s="266"/>
      <c r="H477" s="266"/>
      <c r="I477" s="265"/>
    </row>
    <row r="478" hidden="1" outlineLevel="2">
      <c r="A478" s="251"/>
      <c r="B478" s="251"/>
      <c r="C478" s="251"/>
      <c r="D478" s="251"/>
      <c r="E478" s="251"/>
      <c r="F478" s="251"/>
      <c r="G478" s="251"/>
      <c r="H478" s="251"/>
      <c r="I478" s="251"/>
    </row>
    <row r="479" hidden="1" outlineLevel="1" collapsed="1">
      <c r="A479" s="52" t="s">
        <v>975</v>
      </c>
    </row>
    <row r="480" hidden="1" outlineLevel="2">
      <c r="A480" s="55" t="s">
        <v>67</v>
      </c>
    </row>
    <row r="481" hidden="1" outlineLevel="2">
      <c r="A481" s="57" t="s">
        <v>68</v>
      </c>
      <c r="B481" s="59" t="s">
        <v>11</v>
      </c>
      <c r="C481" s="59" t="s">
        <v>71</v>
      </c>
      <c r="D481" s="62">
        <v>46125.0</v>
      </c>
      <c r="E481" s="62">
        <v>46126.0</v>
      </c>
      <c r="F481" s="62">
        <v>46127.0</v>
      </c>
      <c r="G481" s="62">
        <v>46128.0</v>
      </c>
      <c r="H481" s="62">
        <v>46129.0</v>
      </c>
      <c r="I481" s="62">
        <v>46130.0</v>
      </c>
      <c r="J481" s="62">
        <v>46124.0</v>
      </c>
      <c r="K481" s="76" t="s">
        <v>77</v>
      </c>
      <c r="L481" s="78" t="s">
        <v>78</v>
      </c>
    </row>
    <row r="482" hidden="1" outlineLevel="2">
      <c r="A482" s="80"/>
      <c r="B482" s="81"/>
      <c r="C482" s="81"/>
      <c r="D482" s="82" t="s">
        <v>80</v>
      </c>
      <c r="E482" s="82" t="str">
        <f t="shared" ref="E482:J482" si="116">text(E481,"ddd")</f>
        <v>Tue</v>
      </c>
      <c r="F482" s="82" t="str">
        <f t="shared" si="116"/>
        <v>Wed</v>
      </c>
      <c r="G482" s="82" t="str">
        <f t="shared" si="116"/>
        <v>Thu</v>
      </c>
      <c r="H482" s="82" t="str">
        <f t="shared" si="116"/>
        <v>Fri</v>
      </c>
      <c r="I482" s="82" t="str">
        <f t="shared" si="116"/>
        <v>Sat</v>
      </c>
      <c r="J482" s="82" t="str">
        <f t="shared" si="116"/>
        <v>Sun</v>
      </c>
      <c r="K482" s="92"/>
      <c r="L482" s="81"/>
    </row>
    <row r="483" hidden="1" outlineLevel="2">
      <c r="A483" s="95" t="s">
        <v>92</v>
      </c>
      <c r="B483" s="100">
        <f>25+15+15+20+25</f>
        <v>100</v>
      </c>
      <c r="C483" s="100">
        <f t="shared" ref="C483:C490" si="117">SUM(D483:J483)</f>
        <v>93</v>
      </c>
      <c r="D483" s="108">
        <v>26.0</v>
      </c>
      <c r="E483" s="108">
        <v>12.0</v>
      </c>
      <c r="F483" s="108">
        <v>10.0</v>
      </c>
      <c r="G483" s="108">
        <v>18.0</v>
      </c>
      <c r="H483" s="108">
        <v>27.0</v>
      </c>
      <c r="I483" s="108" t="s">
        <v>51</v>
      </c>
      <c r="J483" s="108" t="s">
        <v>51</v>
      </c>
      <c r="K483" s="118">
        <f t="shared" ref="K483:K490" si="118">iferror(C483/B483,"-")</f>
        <v>0.93</v>
      </c>
      <c r="L483" s="125">
        <f t="shared" ref="L483:L490" si="119">(IF(K483="",(0),IF(K483&gt;=1,(5),IF(K483&gt;=0.9,(4),IF(K483&gt;=0.8,(3),IF(K483&gt;=0.69,(2),IF(K483&lt;=0.69,(1))))))))</f>
        <v>4</v>
      </c>
    </row>
    <row r="484" hidden="1" outlineLevel="2">
      <c r="A484" s="127" t="s">
        <v>61</v>
      </c>
      <c r="B484" s="130">
        <f>25+25+15+25+25</f>
        <v>115</v>
      </c>
      <c r="C484" s="130">
        <f t="shared" si="117"/>
        <v>104</v>
      </c>
      <c r="D484" s="108">
        <v>24.0</v>
      </c>
      <c r="E484" s="108">
        <v>22.0</v>
      </c>
      <c r="F484" s="108">
        <v>14.0</v>
      </c>
      <c r="G484" s="108">
        <v>21.0</v>
      </c>
      <c r="H484" s="108">
        <v>23.0</v>
      </c>
      <c r="I484" s="108" t="s">
        <v>51</v>
      </c>
      <c r="J484" s="108" t="s">
        <v>51</v>
      </c>
      <c r="K484" s="118">
        <f t="shared" si="118"/>
        <v>0.9043478261</v>
      </c>
      <c r="L484" s="125">
        <f t="shared" si="119"/>
        <v>4</v>
      </c>
    </row>
    <row r="485" hidden="1" outlineLevel="2">
      <c r="A485" s="95" t="s">
        <v>21</v>
      </c>
      <c r="B485" s="100">
        <f>30+30+30+30+30</f>
        <v>150</v>
      </c>
      <c r="C485" s="100">
        <f t="shared" si="117"/>
        <v>147</v>
      </c>
      <c r="D485" s="108">
        <v>34.0</v>
      </c>
      <c r="E485" s="108">
        <v>25.0</v>
      </c>
      <c r="F485" s="108" t="s">
        <v>51</v>
      </c>
      <c r="G485" s="108">
        <v>27.0</v>
      </c>
      <c r="H485" s="108">
        <v>32.0</v>
      </c>
      <c r="I485" s="108">
        <v>29.0</v>
      </c>
      <c r="J485" s="108" t="s">
        <v>51</v>
      </c>
      <c r="K485" s="118">
        <f t="shared" si="118"/>
        <v>0.98</v>
      </c>
      <c r="L485" s="125">
        <f t="shared" si="119"/>
        <v>4</v>
      </c>
    </row>
    <row r="486" hidden="1" outlineLevel="2">
      <c r="A486" s="127" t="s">
        <v>74</v>
      </c>
      <c r="B486" s="130">
        <f>25+20+10+20</f>
        <v>75</v>
      </c>
      <c r="C486" s="130">
        <f t="shared" si="117"/>
        <v>72</v>
      </c>
      <c r="D486" s="108">
        <v>26.0</v>
      </c>
      <c r="E486" s="108">
        <v>18.0</v>
      </c>
      <c r="F486" s="108" t="s">
        <v>145</v>
      </c>
      <c r="G486" s="108">
        <v>8.0</v>
      </c>
      <c r="H486" s="108">
        <v>20.0</v>
      </c>
      <c r="I486" s="108" t="s">
        <v>51</v>
      </c>
      <c r="J486" s="108" t="s">
        <v>51</v>
      </c>
      <c r="K486" s="118">
        <f t="shared" si="118"/>
        <v>0.96</v>
      </c>
      <c r="L486" s="125">
        <f t="shared" si="119"/>
        <v>4</v>
      </c>
    </row>
    <row r="487" hidden="1" outlineLevel="2">
      <c r="A487" s="144" t="s">
        <v>53</v>
      </c>
      <c r="B487" s="100">
        <f>20+20+30+15+20</f>
        <v>105</v>
      </c>
      <c r="C487" s="130">
        <f t="shared" si="117"/>
        <v>105</v>
      </c>
      <c r="D487" s="108">
        <v>22.0</v>
      </c>
      <c r="E487" s="108">
        <v>20.0</v>
      </c>
      <c r="F487" s="108">
        <v>31.0</v>
      </c>
      <c r="G487" s="108" t="s">
        <v>51</v>
      </c>
      <c r="H487" s="108" t="s">
        <v>51</v>
      </c>
      <c r="I487" s="108">
        <v>12.0</v>
      </c>
      <c r="J487" s="108">
        <v>20.0</v>
      </c>
      <c r="K487" s="118">
        <f t="shared" si="118"/>
        <v>1</v>
      </c>
      <c r="L487" s="125">
        <f t="shared" si="119"/>
        <v>5</v>
      </c>
    </row>
    <row r="488" hidden="1" outlineLevel="2">
      <c r="A488" s="148" t="s">
        <v>85</v>
      </c>
      <c r="B488" s="130">
        <f>30+35+25+20</f>
        <v>110</v>
      </c>
      <c r="C488" s="100">
        <f t="shared" si="117"/>
        <v>109</v>
      </c>
      <c r="D488" s="108" t="s">
        <v>145</v>
      </c>
      <c r="E488" s="108">
        <v>31.0</v>
      </c>
      <c r="F488" s="108">
        <v>34.0</v>
      </c>
      <c r="G488" s="108" t="s">
        <v>51</v>
      </c>
      <c r="H488" s="108" t="s">
        <v>51</v>
      </c>
      <c r="I488" s="108">
        <v>26.0</v>
      </c>
      <c r="J488" s="151">
        <v>18.0</v>
      </c>
      <c r="K488" s="118">
        <f t="shared" si="118"/>
        <v>0.9909090909</v>
      </c>
      <c r="L488" s="125">
        <f t="shared" si="119"/>
        <v>4</v>
      </c>
    </row>
    <row r="489" hidden="1" outlineLevel="2">
      <c r="A489" s="148" t="s">
        <v>7</v>
      </c>
      <c r="B489" s="358">
        <f>20+15+15+20+10</f>
        <v>80</v>
      </c>
      <c r="C489" s="100">
        <f t="shared" si="117"/>
        <v>74</v>
      </c>
      <c r="D489" s="108">
        <v>18.0</v>
      </c>
      <c r="E489" s="108" t="s">
        <v>51</v>
      </c>
      <c r="F489" s="108" t="s">
        <v>51</v>
      </c>
      <c r="G489" s="108">
        <v>13.0</v>
      </c>
      <c r="H489" s="108">
        <v>12.0</v>
      </c>
      <c r="I489" s="108">
        <v>19.0</v>
      </c>
      <c r="J489" s="151">
        <v>12.0</v>
      </c>
      <c r="K489" s="118">
        <f t="shared" si="118"/>
        <v>0.925</v>
      </c>
      <c r="L489" s="125">
        <f t="shared" si="119"/>
        <v>4</v>
      </c>
    </row>
    <row r="490" hidden="1" outlineLevel="2">
      <c r="A490" s="148" t="s">
        <v>514</v>
      </c>
      <c r="B490" s="358">
        <f>20+20+20+20+12</f>
        <v>92</v>
      </c>
      <c r="C490" s="100">
        <f t="shared" si="117"/>
        <v>88</v>
      </c>
      <c r="D490" s="108">
        <v>19.0</v>
      </c>
      <c r="E490" s="108">
        <v>19.0</v>
      </c>
      <c r="F490" s="108">
        <v>18.0</v>
      </c>
      <c r="G490" s="108" t="s">
        <v>51</v>
      </c>
      <c r="H490" s="108" t="s">
        <v>51</v>
      </c>
      <c r="I490" s="108">
        <v>20.0</v>
      </c>
      <c r="J490" s="151">
        <v>12.0</v>
      </c>
      <c r="K490" s="118">
        <f t="shared" si="118"/>
        <v>0.9565217391</v>
      </c>
      <c r="L490" s="125">
        <f t="shared" si="119"/>
        <v>4</v>
      </c>
    </row>
    <row r="491" hidden="1" outlineLevel="2"/>
    <row r="492" hidden="1" outlineLevel="2">
      <c r="A492" s="55" t="s">
        <v>87</v>
      </c>
      <c r="I492" s="55"/>
    </row>
    <row r="493" hidden="1" outlineLevel="2">
      <c r="A493" s="57" t="s">
        <v>68</v>
      </c>
      <c r="B493" s="158" t="s">
        <v>157</v>
      </c>
      <c r="C493" s="158" t="s">
        <v>158</v>
      </c>
      <c r="D493" s="158" t="s">
        <v>90</v>
      </c>
      <c r="E493" s="158" t="s">
        <v>91</v>
      </c>
      <c r="F493" s="158" t="s">
        <v>93</v>
      </c>
      <c r="G493" s="161" t="s">
        <v>94</v>
      </c>
      <c r="H493" s="161" t="s">
        <v>160</v>
      </c>
    </row>
    <row r="494" hidden="1" outlineLevel="2">
      <c r="A494" s="80"/>
      <c r="B494" s="81"/>
      <c r="C494" s="162"/>
      <c r="D494" s="162"/>
      <c r="E494" s="162"/>
      <c r="F494" s="162"/>
      <c r="G494" s="162"/>
      <c r="H494" s="162"/>
    </row>
    <row r="495" hidden="1" outlineLevel="2">
      <c r="A495" s="95" t="s">
        <v>92</v>
      </c>
      <c r="B495" s="163">
        <v>93.0</v>
      </c>
      <c r="C495" s="163">
        <v>93.0</v>
      </c>
      <c r="D495" s="164">
        <f t="shared" ref="D495:D502" si="120">B495-C495</f>
        <v>0</v>
      </c>
      <c r="E495" s="167">
        <f t="shared" ref="E495:E502" si="121">IFERROR(C495/B495,"")</f>
        <v>1</v>
      </c>
      <c r="F495" s="169">
        <v>0.002685185185185185</v>
      </c>
      <c r="G495" s="171">
        <f t="shared" ref="G495:G502" si="122">IFERROR((IF(E495="",(0),IF(E495&gt;=0.98,(5),IF(E495&gt;=0.95,(4.5),IF(E495&gt;=0.9,(4),IF(E495&gt;=0.8,(3),IF(E495&lt;=0.69,(1)))))))),"")</f>
        <v>5</v>
      </c>
      <c r="H495" s="171">
        <f>ROUND(
IF(F495="",
0,
MAX(1, 5 - MAX(0, (F495 - TIME(0,4,0)) / TIME(0,1,0) * 0.5))
),
2
)
</f>
        <v>5</v>
      </c>
    </row>
    <row r="496" hidden="1" outlineLevel="2">
      <c r="A496" s="127" t="s">
        <v>61</v>
      </c>
      <c r="B496" s="172">
        <v>104.0</v>
      </c>
      <c r="C496" s="172">
        <v>104.0</v>
      </c>
      <c r="D496" s="326">
        <f t="shared" si="120"/>
        <v>0</v>
      </c>
      <c r="E496" s="173">
        <f t="shared" si="121"/>
        <v>1</v>
      </c>
      <c r="F496" s="174">
        <v>0.004525462962962963</v>
      </c>
      <c r="G496" s="171">
        <f t="shared" si="122"/>
        <v>5</v>
      </c>
      <c r="H496" s="171">
        <f>ROUND(
IF(F496="",
0,
MAX(1, 5 - MAX(0, (F496 - TIME(0,5,0)) / TIME(0,1,0) * 0.5))
),
2
)
</f>
        <v>4.24</v>
      </c>
    </row>
    <row r="497" hidden="1" outlineLevel="2">
      <c r="A497" s="95" t="s">
        <v>21</v>
      </c>
      <c r="B497" s="172">
        <v>144.0</v>
      </c>
      <c r="C497" s="172">
        <v>140.0</v>
      </c>
      <c r="D497" s="326">
        <f t="shared" si="120"/>
        <v>4</v>
      </c>
      <c r="E497" s="173">
        <f t="shared" si="121"/>
        <v>0.9722222222</v>
      </c>
      <c r="F497" s="174">
        <v>0.003935185185185185</v>
      </c>
      <c r="G497" s="171">
        <f t="shared" si="122"/>
        <v>4.5</v>
      </c>
      <c r="H497" s="171">
        <f>ROUND(
IF(F497="",
0,
MAX(1, 5 - MAX(0, (F497 - TIME(0,4,0)) / TIME(0,1,0) * 0.5))
),
2
)
</f>
        <v>4.17</v>
      </c>
    </row>
    <row r="498" hidden="1" outlineLevel="2">
      <c r="A498" s="127" t="s">
        <v>74</v>
      </c>
      <c r="B498" s="163">
        <v>75.0</v>
      </c>
      <c r="C498" s="163">
        <v>72.0</v>
      </c>
      <c r="D498" s="164">
        <f t="shared" si="120"/>
        <v>3</v>
      </c>
      <c r="E498" s="167">
        <f t="shared" si="121"/>
        <v>0.96</v>
      </c>
      <c r="F498" s="169">
        <v>0.003287037037037037</v>
      </c>
      <c r="G498" s="171">
        <f t="shared" si="122"/>
        <v>4.5</v>
      </c>
      <c r="H498" s="171">
        <f>ROUND(
IF(F498="",
0,
MAX(1, 5 - MAX(0, (F498 - TIME(0,5,0)) / TIME(0,1,0) * 0.5))
),
2
)
</f>
        <v>5</v>
      </c>
    </row>
    <row r="499" hidden="1" outlineLevel="2">
      <c r="A499" s="144" t="s">
        <v>53</v>
      </c>
      <c r="B499" s="163">
        <v>111.0</v>
      </c>
      <c r="C499" s="163">
        <v>109.0</v>
      </c>
      <c r="D499" s="164">
        <f t="shared" si="120"/>
        <v>2</v>
      </c>
      <c r="E499" s="167">
        <f t="shared" si="121"/>
        <v>0.981981982</v>
      </c>
      <c r="F499" s="169">
        <v>0.002025462962962963</v>
      </c>
      <c r="G499" s="171">
        <f t="shared" si="122"/>
        <v>5</v>
      </c>
      <c r="H499" s="171">
        <f>ROUND(
IF(F499="",
0,
MAX(1, 5 - MAX(0, (F499 - TIME(0,4,0)) / TIME(0,1,0) * 0.5))
),
2
)
</f>
        <v>5</v>
      </c>
    </row>
    <row r="500" hidden="1" outlineLevel="2">
      <c r="A500" s="148" t="s">
        <v>85</v>
      </c>
      <c r="B500" s="172">
        <v>107.0</v>
      </c>
      <c r="C500" s="172">
        <v>107.0</v>
      </c>
      <c r="D500" s="326">
        <f t="shared" si="120"/>
        <v>0</v>
      </c>
      <c r="E500" s="173">
        <f t="shared" si="121"/>
        <v>1</v>
      </c>
      <c r="F500" s="174">
        <v>0.0035185185185185185</v>
      </c>
      <c r="G500" s="171">
        <f t="shared" si="122"/>
        <v>5</v>
      </c>
      <c r="H500" s="171">
        <f t="shared" ref="H500:H502" si="123">ROUND(
IF(F500="",
0,
MAX(1, 5 - MAX(0, (F500 - TIME(0,5,0)) / TIME(0,1,0) * 0.5))
),
2
)
</f>
        <v>4.97</v>
      </c>
    </row>
    <row r="501" hidden="1" outlineLevel="2">
      <c r="A501" s="148" t="s">
        <v>7</v>
      </c>
      <c r="B501" s="163">
        <v>74.0</v>
      </c>
      <c r="C501" s="163">
        <v>74.0</v>
      </c>
      <c r="D501" s="164">
        <f t="shared" si="120"/>
        <v>0</v>
      </c>
      <c r="E501" s="167">
        <f t="shared" si="121"/>
        <v>1</v>
      </c>
      <c r="F501" s="169">
        <v>0.0037962962962962963</v>
      </c>
      <c r="G501" s="171">
        <f t="shared" si="122"/>
        <v>5</v>
      </c>
      <c r="H501" s="171">
        <f t="shared" si="123"/>
        <v>4.77</v>
      </c>
    </row>
    <row r="502" hidden="1" outlineLevel="2">
      <c r="A502" s="148" t="s">
        <v>514</v>
      </c>
      <c r="B502" s="172">
        <v>88.0</v>
      </c>
      <c r="C502" s="172">
        <v>88.0</v>
      </c>
      <c r="D502" s="326">
        <f t="shared" si="120"/>
        <v>0</v>
      </c>
      <c r="E502" s="173">
        <f t="shared" si="121"/>
        <v>1</v>
      </c>
      <c r="F502" s="174">
        <v>0.003703703703703704</v>
      </c>
      <c r="G502" s="171">
        <f t="shared" si="122"/>
        <v>5</v>
      </c>
      <c r="H502" s="171">
        <f t="shared" si="123"/>
        <v>4.83</v>
      </c>
    </row>
    <row r="503" hidden="1" outlineLevel="2"/>
    <row r="504" hidden="1" outlineLevel="2">
      <c r="A504" s="55" t="s">
        <v>195</v>
      </c>
    </row>
    <row r="505" hidden="1" outlineLevel="2">
      <c r="A505" s="192" t="s">
        <v>196</v>
      </c>
      <c r="B505" s="193" t="s">
        <v>198</v>
      </c>
      <c r="C505" s="195" t="s">
        <v>199</v>
      </c>
      <c r="D505" s="195" t="s">
        <v>200</v>
      </c>
      <c r="E505" s="197" t="s">
        <v>201</v>
      </c>
      <c r="F505" s="199" t="s">
        <v>202</v>
      </c>
      <c r="G505" s="201"/>
    </row>
    <row r="506" hidden="1" outlineLevel="2">
      <c r="A506" s="202" t="s">
        <v>4</v>
      </c>
      <c r="B506" s="209">
        <f t="shared" ref="B506:B513" si="124">(C506*0.3)+(D506*0.1)</f>
        <v>0.4</v>
      </c>
      <c r="C506" s="210">
        <v>1.0</v>
      </c>
      <c r="D506" s="210">
        <f>Dan!D416</f>
        <v>1</v>
      </c>
      <c r="E506" s="214">
        <f t="shared" ref="E506:E513" si="125">(L483+G495+H495)/15*0.3</f>
        <v>0.28</v>
      </c>
      <c r="F506" s="218">
        <f t="shared" ref="F506:F513" si="126">(E506/30%)*10</f>
        <v>9.333333333</v>
      </c>
      <c r="G506" s="201"/>
      <c r="H506" s="201"/>
      <c r="I506" s="201"/>
      <c r="J506" s="201"/>
    </row>
    <row r="507" hidden="1" outlineLevel="2">
      <c r="A507" s="220" t="s">
        <v>57</v>
      </c>
      <c r="B507" s="223">
        <f t="shared" si="124"/>
        <v>0.4</v>
      </c>
      <c r="C507" s="210">
        <v>1.0</v>
      </c>
      <c r="D507" s="210">
        <f>Godwin!D416</f>
        <v>1</v>
      </c>
      <c r="E507" s="226">
        <f t="shared" si="125"/>
        <v>0.2648</v>
      </c>
      <c r="F507" s="218">
        <f t="shared" si="126"/>
        <v>8.826666667</v>
      </c>
      <c r="G507" s="201"/>
      <c r="H507" s="201"/>
      <c r="I507" s="201"/>
      <c r="J507" s="201"/>
    </row>
    <row r="508" hidden="1" outlineLevel="2">
      <c r="A508" s="227" t="s">
        <v>21</v>
      </c>
      <c r="B508" s="229">
        <f t="shared" si="124"/>
        <v>0.36001</v>
      </c>
      <c r="C508" s="210">
        <v>0.8667</v>
      </c>
      <c r="D508" s="231">
        <f>Candy!D288</f>
        <v>1</v>
      </c>
      <c r="E508" s="232">
        <f t="shared" si="125"/>
        <v>0.2534</v>
      </c>
      <c r="F508" s="218">
        <f t="shared" si="126"/>
        <v>8.446666667</v>
      </c>
      <c r="G508" s="201"/>
      <c r="H508" s="201"/>
      <c r="I508" s="201"/>
      <c r="J508" s="201"/>
    </row>
    <row r="509" hidden="1" outlineLevel="2">
      <c r="A509" s="220" t="s">
        <v>32</v>
      </c>
      <c r="B509" s="223">
        <f t="shared" si="124"/>
        <v>0.4</v>
      </c>
      <c r="C509" s="210">
        <v>1.0</v>
      </c>
      <c r="D509" s="231">
        <f>Claudette!D416</f>
        <v>1</v>
      </c>
      <c r="E509" s="226">
        <f t="shared" si="125"/>
        <v>0.27</v>
      </c>
      <c r="F509" s="218">
        <f t="shared" si="126"/>
        <v>9</v>
      </c>
      <c r="G509" s="201"/>
      <c r="H509" s="201"/>
      <c r="I509" s="201"/>
      <c r="J509" s="201"/>
    </row>
    <row r="510" hidden="1" outlineLevel="2">
      <c r="A510" s="236" t="s">
        <v>58</v>
      </c>
      <c r="B510" s="229">
        <f t="shared" si="124"/>
        <v>0.28</v>
      </c>
      <c r="C510" s="210">
        <v>0.6</v>
      </c>
      <c r="D510" s="231">
        <f>Sofhia!D416</f>
        <v>1</v>
      </c>
      <c r="E510" s="232">
        <f t="shared" si="125"/>
        <v>0.3</v>
      </c>
      <c r="F510" s="218">
        <f t="shared" si="126"/>
        <v>10</v>
      </c>
      <c r="G510" s="201"/>
      <c r="H510" s="201"/>
      <c r="I510" s="201"/>
      <c r="J510" s="201"/>
    </row>
    <row r="511" hidden="1" outlineLevel="2">
      <c r="A511" s="241" t="s">
        <v>85</v>
      </c>
      <c r="B511" s="223">
        <f t="shared" si="124"/>
        <v>0.31</v>
      </c>
      <c r="C511" s="210">
        <v>0.7</v>
      </c>
      <c r="D511" s="231">
        <f>Cherry!D234</f>
        <v>1</v>
      </c>
      <c r="E511" s="226">
        <f t="shared" si="125"/>
        <v>0.2794</v>
      </c>
      <c r="F511" s="218">
        <f t="shared" si="126"/>
        <v>9.313333333</v>
      </c>
      <c r="G511" s="201"/>
      <c r="H511" s="201"/>
      <c r="I511" s="201"/>
      <c r="J511" s="201"/>
    </row>
    <row r="512" hidden="1" outlineLevel="2">
      <c r="A512" s="245" t="s">
        <v>7</v>
      </c>
      <c r="B512" s="229">
        <f t="shared" si="124"/>
        <v>0.4</v>
      </c>
      <c r="C512" s="210">
        <v>1.0</v>
      </c>
      <c r="D512" s="231">
        <f>Lyra!D215</f>
        <v>1</v>
      </c>
      <c r="E512" s="232">
        <f t="shared" si="125"/>
        <v>0.2754</v>
      </c>
      <c r="F512" s="218">
        <f t="shared" si="126"/>
        <v>9.18</v>
      </c>
      <c r="G512" s="201"/>
      <c r="H512" s="201"/>
      <c r="I512" s="201"/>
      <c r="J512" s="201"/>
    </row>
    <row r="513" hidden="1" outlineLevel="2">
      <c r="A513" s="241" t="s">
        <v>514</v>
      </c>
      <c r="B513" s="223">
        <f t="shared" si="124"/>
        <v>0.4</v>
      </c>
      <c r="C513" s="210">
        <v>1.0</v>
      </c>
      <c r="D513" s="231">
        <f>Mikka!D160</f>
        <v>1</v>
      </c>
      <c r="E513" s="226">
        <f t="shared" si="125"/>
        <v>0.2766</v>
      </c>
      <c r="F513" s="218">
        <f t="shared" si="126"/>
        <v>9.22</v>
      </c>
      <c r="G513" s="201"/>
      <c r="H513" s="201"/>
      <c r="I513" s="201"/>
      <c r="J513" s="201"/>
    </row>
    <row r="514" hidden="1" outlineLevel="2">
      <c r="A514" s="251"/>
      <c r="B514" s="251"/>
      <c r="C514" s="252"/>
      <c r="D514" s="253"/>
      <c r="E514" s="254"/>
      <c r="F514" s="201"/>
      <c r="G514" s="201"/>
      <c r="H514" s="201"/>
      <c r="I514" s="201"/>
      <c r="J514" s="201"/>
    </row>
    <row r="515" hidden="1" outlineLevel="2">
      <c r="A515" s="55" t="s">
        <v>222</v>
      </c>
      <c r="B515" s="251"/>
      <c r="C515" s="252"/>
      <c r="D515" s="253"/>
      <c r="E515" s="254"/>
      <c r="F515" s="201"/>
      <c r="G515" s="201"/>
      <c r="H515" s="201"/>
      <c r="I515" s="201"/>
      <c r="J515" s="201"/>
    </row>
    <row r="516" hidden="1" outlineLevel="2">
      <c r="A516" s="256" t="s">
        <v>196</v>
      </c>
      <c r="B516" s="257" t="s">
        <v>223</v>
      </c>
      <c r="C516" s="62">
        <v>46118.0</v>
      </c>
      <c r="D516" s="62">
        <v>46119.0</v>
      </c>
      <c r="E516" s="62">
        <v>46120.0</v>
      </c>
      <c r="F516" s="62">
        <v>46121.0</v>
      </c>
      <c r="G516" s="62">
        <v>46122.0</v>
      </c>
      <c r="H516" s="62">
        <v>46123.0</v>
      </c>
      <c r="I516" s="62">
        <v>46124.0</v>
      </c>
      <c r="J516" s="201"/>
    </row>
    <row r="517" hidden="1" outlineLevel="2">
      <c r="A517" s="308"/>
      <c r="B517" s="308"/>
      <c r="C517" s="82" t="s">
        <v>80</v>
      </c>
      <c r="D517" s="82" t="s">
        <v>226</v>
      </c>
      <c r="E517" s="82" t="s">
        <v>227</v>
      </c>
      <c r="F517" s="82" t="s">
        <v>228</v>
      </c>
      <c r="G517" s="82" t="s">
        <v>230</v>
      </c>
      <c r="H517" s="82" t="s">
        <v>231</v>
      </c>
      <c r="I517" s="82" t="s">
        <v>232</v>
      </c>
    </row>
    <row r="518" hidden="1" outlineLevel="2">
      <c r="A518" s="227" t="s">
        <v>4</v>
      </c>
      <c r="B518" s="264">
        <f t="shared" ref="B518:B525" si="127">Sum(C518:I518)</f>
        <v>0</v>
      </c>
      <c r="C518" s="267"/>
      <c r="D518" s="268"/>
      <c r="E518" s="268"/>
      <c r="F518" s="268"/>
      <c r="G518" s="267"/>
      <c r="H518" s="267"/>
      <c r="I518" s="267"/>
    </row>
    <row r="519" hidden="1" outlineLevel="2">
      <c r="A519" s="220" t="s">
        <v>57</v>
      </c>
      <c r="B519" s="264">
        <f t="shared" si="127"/>
        <v>0</v>
      </c>
      <c r="C519" s="266"/>
      <c r="D519" s="266"/>
      <c r="E519" s="266"/>
      <c r="F519" s="266"/>
      <c r="G519" s="266"/>
      <c r="H519" s="265"/>
      <c r="I519" s="266"/>
    </row>
    <row r="520" hidden="1" outlineLevel="2">
      <c r="A520" s="227" t="s">
        <v>21</v>
      </c>
      <c r="B520" s="264">
        <f t="shared" si="127"/>
        <v>0</v>
      </c>
      <c r="C520" s="267"/>
      <c r="D520" s="268"/>
      <c r="E520" s="267"/>
      <c r="F520" s="267"/>
      <c r="G520" s="267"/>
      <c r="H520" s="267"/>
      <c r="I520" s="268"/>
    </row>
    <row r="521" hidden="1" outlineLevel="2">
      <c r="A521" s="220" t="s">
        <v>32</v>
      </c>
      <c r="B521" s="264">
        <f t="shared" si="127"/>
        <v>0</v>
      </c>
      <c r="C521" s="266"/>
      <c r="D521" s="266"/>
      <c r="E521" s="266"/>
      <c r="F521" s="266"/>
      <c r="G521" s="266"/>
      <c r="H521" s="266"/>
      <c r="I521" s="265"/>
    </row>
    <row r="522" hidden="1" outlineLevel="2">
      <c r="A522" s="236" t="s">
        <v>58</v>
      </c>
      <c r="B522" s="264">
        <f t="shared" si="127"/>
        <v>0</v>
      </c>
      <c r="C522" s="267"/>
      <c r="D522" s="267"/>
      <c r="E522" s="267"/>
      <c r="F522" s="267"/>
      <c r="G522" s="267"/>
      <c r="H522" s="267"/>
      <c r="I522" s="268"/>
    </row>
    <row r="523" ht="16.5" hidden="1" customHeight="1" outlineLevel="2">
      <c r="A523" s="241" t="s">
        <v>85</v>
      </c>
      <c r="B523" s="264">
        <f t="shared" si="127"/>
        <v>0</v>
      </c>
      <c r="C523" s="266"/>
      <c r="D523" s="266"/>
      <c r="E523" s="266"/>
      <c r="F523" s="266"/>
      <c r="G523" s="266"/>
      <c r="H523" s="266"/>
      <c r="I523" s="266"/>
    </row>
    <row r="524" hidden="1" outlineLevel="2">
      <c r="A524" s="245" t="s">
        <v>7</v>
      </c>
      <c r="B524" s="264">
        <f t="shared" si="127"/>
        <v>0</v>
      </c>
      <c r="C524" s="268"/>
      <c r="D524" s="268"/>
      <c r="E524" s="267"/>
      <c r="F524" s="267"/>
      <c r="G524" s="267"/>
      <c r="H524" s="267"/>
      <c r="I524" s="268"/>
    </row>
    <row r="525" hidden="1" outlineLevel="2">
      <c r="A525" s="241" t="s">
        <v>72</v>
      </c>
      <c r="B525" s="264">
        <f t="shared" si="127"/>
        <v>0</v>
      </c>
      <c r="C525" s="265"/>
      <c r="D525" s="265"/>
      <c r="E525" s="266"/>
      <c r="F525" s="265"/>
      <c r="G525" s="266"/>
      <c r="H525" s="266"/>
      <c r="I525" s="265"/>
    </row>
    <row r="526" hidden="1" outlineLevel="2">
      <c r="A526" s="251"/>
      <c r="B526" s="251"/>
      <c r="C526" s="251"/>
      <c r="D526" s="251"/>
      <c r="E526" s="251"/>
      <c r="F526" s="251"/>
      <c r="G526" s="251"/>
      <c r="H526" s="251"/>
      <c r="I526" s="251"/>
    </row>
    <row r="527" hidden="1" outlineLevel="1" collapsed="1">
      <c r="A527" s="52" t="s">
        <v>1055</v>
      </c>
    </row>
    <row r="528" hidden="1" outlineLevel="2">
      <c r="A528" s="55" t="s">
        <v>67</v>
      </c>
    </row>
    <row r="529" hidden="1" outlineLevel="2">
      <c r="A529" s="57" t="s">
        <v>68</v>
      </c>
      <c r="B529" s="59" t="s">
        <v>11</v>
      </c>
      <c r="C529" s="59" t="s">
        <v>71</v>
      </c>
      <c r="D529" s="62">
        <v>46132.0</v>
      </c>
      <c r="E529" s="62">
        <v>46133.0</v>
      </c>
      <c r="F529" s="62">
        <v>46134.0</v>
      </c>
      <c r="G529" s="62">
        <v>46135.0</v>
      </c>
      <c r="H529" s="62">
        <v>46136.0</v>
      </c>
      <c r="I529" s="62">
        <v>46137.0</v>
      </c>
      <c r="J529" s="62">
        <v>46138.0</v>
      </c>
      <c r="K529" s="76" t="s">
        <v>77</v>
      </c>
      <c r="L529" s="78" t="s">
        <v>78</v>
      </c>
    </row>
    <row r="530" hidden="1" outlineLevel="2">
      <c r="A530" s="395"/>
      <c r="B530" s="258"/>
      <c r="C530" s="258"/>
      <c r="D530" s="82" t="s">
        <v>80</v>
      </c>
      <c r="E530" s="82" t="str">
        <f t="shared" ref="E530:J530" si="128">text(E529,"ddd")</f>
        <v>Tue</v>
      </c>
      <c r="F530" s="82" t="str">
        <f t="shared" si="128"/>
        <v>Wed</v>
      </c>
      <c r="G530" s="82" t="str">
        <f t="shared" si="128"/>
        <v>Thu</v>
      </c>
      <c r="H530" s="82" t="str">
        <f t="shared" si="128"/>
        <v>Fri</v>
      </c>
      <c r="I530" s="82" t="str">
        <f t="shared" si="128"/>
        <v>Sat</v>
      </c>
      <c r="J530" s="82" t="str">
        <f t="shared" si="128"/>
        <v>Sun</v>
      </c>
      <c r="K530" s="92"/>
      <c r="L530" s="81"/>
    </row>
    <row r="531" hidden="1" outlineLevel="2">
      <c r="A531" s="396" t="s">
        <v>92</v>
      </c>
      <c r="B531" s="397">
        <f>30+15+20+20+20</f>
        <v>105</v>
      </c>
      <c r="C531" s="397">
        <f t="shared" ref="C531:C538" si="129">SUM(D531:J531)</f>
        <v>108</v>
      </c>
      <c r="D531" s="398" t="s">
        <v>51</v>
      </c>
      <c r="E531" s="398">
        <v>32.0</v>
      </c>
      <c r="F531" s="398">
        <v>14.0</v>
      </c>
      <c r="G531" s="398">
        <v>18.0</v>
      </c>
      <c r="H531" s="398">
        <v>23.0</v>
      </c>
      <c r="I531" s="398">
        <v>21.0</v>
      </c>
      <c r="J531" s="108" t="s">
        <v>51</v>
      </c>
      <c r="K531" s="118">
        <f t="shared" ref="K531:K538" si="130">iferror(C531/B531,"-")</f>
        <v>1.028571429</v>
      </c>
      <c r="L531" s="125">
        <f t="shared" ref="L531:L538" si="131">(IF(K531="",(0),IF(K531&gt;=1,(5),IF(K531&gt;=0.9,(4),IF(K531&gt;=0.8,(3),IF(K531&gt;=0.69,(2),IF(K531&lt;=0.69,(1))))))))</f>
        <v>5</v>
      </c>
    </row>
    <row r="532" hidden="1" outlineLevel="2">
      <c r="A532" s="399" t="s">
        <v>61</v>
      </c>
      <c r="B532" s="400">
        <f>15+20+20+25+20</f>
        <v>100</v>
      </c>
      <c r="C532" s="400">
        <f t="shared" si="129"/>
        <v>99</v>
      </c>
      <c r="D532" s="401">
        <v>17.0</v>
      </c>
      <c r="E532" s="401">
        <v>19.0</v>
      </c>
      <c r="F532" s="401">
        <v>19.0</v>
      </c>
      <c r="G532" s="401">
        <v>23.0</v>
      </c>
      <c r="H532" s="401">
        <v>21.0</v>
      </c>
      <c r="I532" s="401" t="s">
        <v>51</v>
      </c>
      <c r="J532" s="108" t="s">
        <v>51</v>
      </c>
      <c r="K532" s="118">
        <f t="shared" si="130"/>
        <v>0.99</v>
      </c>
      <c r="L532" s="125">
        <f t="shared" si="131"/>
        <v>4</v>
      </c>
    </row>
    <row r="533" hidden="1" outlineLevel="2">
      <c r="A533" s="396" t="s">
        <v>21</v>
      </c>
      <c r="B533" s="397">
        <f>35+30+30+30+20</f>
        <v>145</v>
      </c>
      <c r="C533" s="397">
        <f t="shared" si="129"/>
        <v>140</v>
      </c>
      <c r="D533" s="398">
        <v>36.0</v>
      </c>
      <c r="E533" s="398">
        <v>31.0</v>
      </c>
      <c r="F533" s="398" t="s">
        <v>51</v>
      </c>
      <c r="G533" s="398">
        <v>27.0</v>
      </c>
      <c r="H533" s="398">
        <v>29.0</v>
      </c>
      <c r="I533" s="398">
        <v>17.0</v>
      </c>
      <c r="J533" s="108" t="s">
        <v>51</v>
      </c>
      <c r="K533" s="118">
        <f t="shared" si="130"/>
        <v>0.9655172414</v>
      </c>
      <c r="L533" s="125">
        <f t="shared" si="131"/>
        <v>4</v>
      </c>
    </row>
    <row r="534" hidden="1" outlineLevel="2">
      <c r="A534" s="399" t="s">
        <v>74</v>
      </c>
      <c r="B534" s="400">
        <f>25+20+20+20+5</f>
        <v>90</v>
      </c>
      <c r="C534" s="400">
        <f t="shared" si="129"/>
        <v>89</v>
      </c>
      <c r="D534" s="401" t="s">
        <v>51</v>
      </c>
      <c r="E534" s="401">
        <v>22.0</v>
      </c>
      <c r="F534" s="401">
        <v>20.0</v>
      </c>
      <c r="G534" s="401">
        <v>22.0</v>
      </c>
      <c r="H534" s="401">
        <v>19.0</v>
      </c>
      <c r="I534" s="401" t="s">
        <v>51</v>
      </c>
      <c r="J534" s="108">
        <v>6.0</v>
      </c>
      <c r="K534" s="118">
        <f t="shared" si="130"/>
        <v>0.9888888889</v>
      </c>
      <c r="L534" s="125">
        <f t="shared" si="131"/>
        <v>4</v>
      </c>
    </row>
    <row r="535" hidden="1" outlineLevel="2">
      <c r="A535" s="272" t="s">
        <v>53</v>
      </c>
      <c r="B535" s="397">
        <f>20+25+20+15+15</f>
        <v>95</v>
      </c>
      <c r="C535" s="397">
        <f t="shared" si="129"/>
        <v>92</v>
      </c>
      <c r="D535" s="398">
        <v>22.0</v>
      </c>
      <c r="E535" s="398">
        <v>24.0</v>
      </c>
      <c r="F535" s="398">
        <v>18.0</v>
      </c>
      <c r="G535" s="398">
        <v>14.0</v>
      </c>
      <c r="H535" s="398" t="s">
        <v>51</v>
      </c>
      <c r="I535" s="398" t="s">
        <v>51</v>
      </c>
      <c r="J535" s="108">
        <v>14.0</v>
      </c>
      <c r="K535" s="118">
        <f t="shared" si="130"/>
        <v>0.9684210526</v>
      </c>
      <c r="L535" s="125">
        <f t="shared" si="131"/>
        <v>4</v>
      </c>
    </row>
    <row r="536" hidden="1" outlineLevel="2">
      <c r="A536" s="245" t="s">
        <v>85</v>
      </c>
      <c r="B536" s="400">
        <f>30+25+25+25+15</f>
        <v>120</v>
      </c>
      <c r="C536" s="400">
        <f t="shared" si="129"/>
        <v>123</v>
      </c>
      <c r="D536" s="401">
        <v>30.0</v>
      </c>
      <c r="E536" s="401">
        <v>26.0</v>
      </c>
      <c r="F536" s="401">
        <v>25.0</v>
      </c>
      <c r="G536" s="401" t="s">
        <v>51</v>
      </c>
      <c r="H536" s="401" t="s">
        <v>51</v>
      </c>
      <c r="I536" s="401">
        <v>25.0</v>
      </c>
      <c r="J536" s="151">
        <v>17.0</v>
      </c>
      <c r="K536" s="118">
        <f t="shared" si="130"/>
        <v>1.025</v>
      </c>
      <c r="L536" s="125">
        <f t="shared" si="131"/>
        <v>5</v>
      </c>
    </row>
    <row r="537" hidden="1" outlineLevel="2">
      <c r="A537" s="241" t="s">
        <v>7</v>
      </c>
      <c r="B537" s="404">
        <f>15*4</f>
        <v>60</v>
      </c>
      <c r="C537" s="397">
        <f t="shared" si="129"/>
        <v>62</v>
      </c>
      <c r="D537" s="398">
        <v>14.0</v>
      </c>
      <c r="E537" s="398" t="s">
        <v>51</v>
      </c>
      <c r="F537" s="398" t="s">
        <v>51</v>
      </c>
      <c r="G537" s="398" t="s">
        <v>145</v>
      </c>
      <c r="H537" s="398">
        <v>17.0</v>
      </c>
      <c r="I537" s="398">
        <v>17.0</v>
      </c>
      <c r="J537" s="151">
        <v>14.0</v>
      </c>
      <c r="K537" s="118">
        <f t="shared" si="130"/>
        <v>1.033333333</v>
      </c>
      <c r="L537" s="125">
        <f t="shared" si="131"/>
        <v>5</v>
      </c>
    </row>
    <row r="538" hidden="1" outlineLevel="2">
      <c r="A538" s="245" t="s">
        <v>514</v>
      </c>
      <c r="B538" s="405">
        <f>15+20+15+20+15</f>
        <v>85</v>
      </c>
      <c r="C538" s="400">
        <f t="shared" si="129"/>
        <v>83</v>
      </c>
      <c r="D538" s="401">
        <v>14.0</v>
      </c>
      <c r="E538" s="401">
        <v>21.0</v>
      </c>
      <c r="F538" s="401">
        <v>15.0</v>
      </c>
      <c r="G538" s="401">
        <v>17.0</v>
      </c>
      <c r="H538" s="401" t="s">
        <v>51</v>
      </c>
      <c r="I538" s="401">
        <v>16.0</v>
      </c>
      <c r="J538" s="108" t="s">
        <v>51</v>
      </c>
      <c r="K538" s="118">
        <f t="shared" si="130"/>
        <v>0.9764705882</v>
      </c>
      <c r="L538" s="125">
        <f t="shared" si="131"/>
        <v>4</v>
      </c>
    </row>
    <row r="539" hidden="1" outlineLevel="2"/>
    <row r="540" hidden="1" outlineLevel="2">
      <c r="A540" s="55" t="s">
        <v>87</v>
      </c>
      <c r="I540" s="55"/>
    </row>
    <row r="541" hidden="1" outlineLevel="2">
      <c r="A541" s="57" t="s">
        <v>68</v>
      </c>
      <c r="B541" s="158" t="s">
        <v>157</v>
      </c>
      <c r="C541" s="158" t="s">
        <v>158</v>
      </c>
      <c r="D541" s="158" t="s">
        <v>90</v>
      </c>
      <c r="E541" s="158" t="s">
        <v>91</v>
      </c>
      <c r="F541" s="158" t="s">
        <v>93</v>
      </c>
      <c r="G541" s="161" t="s">
        <v>94</v>
      </c>
      <c r="H541" s="161" t="s">
        <v>160</v>
      </c>
    </row>
    <row r="542" hidden="1" outlineLevel="2">
      <c r="A542" s="395"/>
      <c r="B542" s="258"/>
      <c r="C542" s="258"/>
      <c r="D542" s="258"/>
      <c r="E542" s="258"/>
      <c r="F542" s="258"/>
      <c r="G542" s="258"/>
      <c r="H542" s="258"/>
    </row>
    <row r="543" hidden="1" outlineLevel="2">
      <c r="A543" s="396" t="s">
        <v>92</v>
      </c>
      <c r="B543" s="398">
        <v>110.0</v>
      </c>
      <c r="C543" s="398">
        <v>108.0</v>
      </c>
      <c r="D543" s="141">
        <f t="shared" ref="D543:D550" si="132">B543-C543</f>
        <v>2</v>
      </c>
      <c r="E543" s="406">
        <f t="shared" ref="E543:E550" si="133">IFERROR(C543/B543,"")</f>
        <v>0.9818181818</v>
      </c>
      <c r="F543" s="407">
        <v>0.0022800925925925927</v>
      </c>
      <c r="G543" s="171">
        <f t="shared" ref="G543:G550" si="134">IFERROR((IF(E543="",(0),IF(E543&gt;=0.98,(5),IF(E543&gt;=0.95,(4.5),IF(E543&gt;=0.9,(4),IF(E543&gt;=0.8,(3),IF(E543&lt;=0.69,(1)))))))),"")</f>
        <v>5</v>
      </c>
      <c r="H543" s="171">
        <f>ROUND(
IF(F543="",
0,
MAX(1, 5 - MAX(0, (F543 - TIME(0,4,0)) / TIME(0,1,0) * 0.5))
),
2
)
</f>
        <v>5</v>
      </c>
    </row>
    <row r="544" hidden="1" outlineLevel="2">
      <c r="A544" s="399" t="s">
        <v>61</v>
      </c>
      <c r="B544" s="401">
        <v>99.0</v>
      </c>
      <c r="C544" s="401">
        <v>98.0</v>
      </c>
      <c r="D544" s="408">
        <f t="shared" si="132"/>
        <v>1</v>
      </c>
      <c r="E544" s="409">
        <f t="shared" si="133"/>
        <v>0.9898989899</v>
      </c>
      <c r="F544" s="410">
        <v>0.005046296296296296</v>
      </c>
      <c r="G544" s="171">
        <f t="shared" si="134"/>
        <v>5</v>
      </c>
      <c r="H544" s="171">
        <f>ROUND(
IF(F544="",
0,
MAX(1, 5 - MAX(0, (F544 - TIME(0,5,0)) / TIME(0,1,0) * 0.5))
),
2
)
</f>
        <v>3.87</v>
      </c>
    </row>
    <row r="545" hidden="1" outlineLevel="2">
      <c r="A545" s="396" t="s">
        <v>21</v>
      </c>
      <c r="B545" s="398">
        <v>149.0</v>
      </c>
      <c r="C545" s="398">
        <v>144.0</v>
      </c>
      <c r="D545" s="141">
        <f t="shared" si="132"/>
        <v>5</v>
      </c>
      <c r="E545" s="406">
        <f t="shared" si="133"/>
        <v>0.966442953</v>
      </c>
      <c r="F545" s="407">
        <v>0.003587962962962963</v>
      </c>
      <c r="G545" s="171">
        <f t="shared" si="134"/>
        <v>4.5</v>
      </c>
      <c r="H545" s="171">
        <f>ROUND(
IF(F545="",
0,
MAX(1, 5 - MAX(0, (F545 - TIME(0,4,0)) / TIME(0,1,0) * 0.5))
),
2
)
</f>
        <v>4.42</v>
      </c>
    </row>
    <row r="546" hidden="1" outlineLevel="2">
      <c r="A546" s="399" t="s">
        <v>74</v>
      </c>
      <c r="B546" s="401">
        <v>92.0</v>
      </c>
      <c r="C546" s="401">
        <v>89.0</v>
      </c>
      <c r="D546" s="408">
        <f t="shared" si="132"/>
        <v>3</v>
      </c>
      <c r="E546" s="409">
        <f t="shared" si="133"/>
        <v>0.9673913043</v>
      </c>
      <c r="F546" s="410">
        <v>0.003298611111111111</v>
      </c>
      <c r="G546" s="171">
        <f t="shared" si="134"/>
        <v>4.5</v>
      </c>
      <c r="H546" s="171">
        <f>ROUND(
IF(F546="",
0,
MAX(1, 5 - MAX(0, (F546 - TIME(0,5,0)) / TIME(0,1,0) * 0.5))
),
2
)
</f>
        <v>5</v>
      </c>
    </row>
    <row r="547" hidden="1" outlineLevel="2">
      <c r="A547" s="272" t="s">
        <v>53</v>
      </c>
      <c r="B547" s="398">
        <v>105.0</v>
      </c>
      <c r="C547" s="398">
        <v>95.0</v>
      </c>
      <c r="D547" s="141">
        <f t="shared" si="132"/>
        <v>10</v>
      </c>
      <c r="E547" s="406">
        <f t="shared" si="133"/>
        <v>0.9047619048</v>
      </c>
      <c r="F547" s="407">
        <v>0.0024652777777777776</v>
      </c>
      <c r="G547" s="171">
        <f t="shared" si="134"/>
        <v>4</v>
      </c>
      <c r="H547" s="171">
        <f>ROUND(
IF(F547="",
0,
MAX(1, 5 - MAX(0, (F547 - TIME(0,4,0)) / TIME(0,1,0) * 0.5))
),
2
)
</f>
        <v>5</v>
      </c>
    </row>
    <row r="548" hidden="1" outlineLevel="2">
      <c r="A548" s="245" t="s">
        <v>85</v>
      </c>
      <c r="B548" s="401">
        <v>122.0</v>
      </c>
      <c r="C548" s="401">
        <v>122.0</v>
      </c>
      <c r="D548" s="408">
        <f t="shared" si="132"/>
        <v>0</v>
      </c>
      <c r="E548" s="409">
        <f t="shared" si="133"/>
        <v>1</v>
      </c>
      <c r="F548" s="410">
        <v>0.00443287037037037</v>
      </c>
      <c r="G548" s="171">
        <f t="shared" si="134"/>
        <v>5</v>
      </c>
      <c r="H548" s="171">
        <f t="shared" ref="H548:H550" si="135">ROUND(
IF(F548="",
0,
MAX(1, 5 - MAX(0, (F548 - TIME(0,5,0)) / TIME(0,1,0) * 0.5))
),
2
)
</f>
        <v>4.31</v>
      </c>
    </row>
    <row r="549" hidden="1" outlineLevel="2">
      <c r="A549" s="241" t="s">
        <v>7</v>
      </c>
      <c r="B549" s="398">
        <v>72.0</v>
      </c>
      <c r="C549" s="398">
        <v>62.0</v>
      </c>
      <c r="D549" s="141">
        <f t="shared" si="132"/>
        <v>10</v>
      </c>
      <c r="E549" s="406">
        <f t="shared" si="133"/>
        <v>0.8611111111</v>
      </c>
      <c r="F549" s="407">
        <v>0.004108796296296296</v>
      </c>
      <c r="G549" s="171">
        <f t="shared" si="134"/>
        <v>3</v>
      </c>
      <c r="H549" s="171">
        <f t="shared" si="135"/>
        <v>4.54</v>
      </c>
    </row>
    <row r="550" hidden="1" outlineLevel="2">
      <c r="A550" s="245" t="s">
        <v>514</v>
      </c>
      <c r="B550" s="401">
        <v>83.0</v>
      </c>
      <c r="C550" s="401">
        <v>83.0</v>
      </c>
      <c r="D550" s="408">
        <f t="shared" si="132"/>
        <v>0</v>
      </c>
      <c r="E550" s="409">
        <f t="shared" si="133"/>
        <v>1</v>
      </c>
      <c r="F550" s="410">
        <v>0.004618055555555556</v>
      </c>
      <c r="G550" s="171">
        <f t="shared" si="134"/>
        <v>5</v>
      </c>
      <c r="H550" s="171">
        <f t="shared" si="135"/>
        <v>4.18</v>
      </c>
    </row>
    <row r="551" hidden="1" outlineLevel="2"/>
    <row r="552" hidden="1" outlineLevel="2">
      <c r="A552" s="55" t="s">
        <v>195</v>
      </c>
    </row>
    <row r="553" hidden="1" outlineLevel="2">
      <c r="A553" s="192" t="s">
        <v>196</v>
      </c>
      <c r="B553" s="193" t="s">
        <v>198</v>
      </c>
      <c r="C553" s="195" t="s">
        <v>199</v>
      </c>
      <c r="D553" s="195" t="s">
        <v>200</v>
      </c>
      <c r="E553" s="197" t="s">
        <v>201</v>
      </c>
      <c r="F553" s="199" t="s">
        <v>202</v>
      </c>
      <c r="G553" s="201"/>
    </row>
    <row r="554" hidden="1" outlineLevel="2">
      <c r="A554" s="227" t="s">
        <v>4</v>
      </c>
      <c r="B554" s="229">
        <f t="shared" ref="B554:B561" si="136">(C554*0.3)+(D554*0.1)</f>
        <v>0.4</v>
      </c>
      <c r="C554" s="210">
        <v>1.0</v>
      </c>
      <c r="D554" s="210">
        <f>Dan!D434</f>
        <v>1</v>
      </c>
      <c r="E554" s="232">
        <f t="shared" ref="E554:E561" si="137">(L531+G543+H543)/15*0.3</f>
        <v>0.3</v>
      </c>
      <c r="F554" s="218">
        <f t="shared" ref="F554:F561" si="138">(E554/30%)*10</f>
        <v>10</v>
      </c>
      <c r="G554" s="201"/>
      <c r="H554" s="201"/>
      <c r="I554" s="201"/>
      <c r="J554" s="201"/>
    </row>
    <row r="555" hidden="1" outlineLevel="2">
      <c r="A555" s="220" t="s">
        <v>57</v>
      </c>
      <c r="B555" s="223">
        <f t="shared" si="136"/>
        <v>0.4</v>
      </c>
      <c r="C555" s="210">
        <v>1.0</v>
      </c>
      <c r="D555" s="210">
        <f>Godwin!D434</f>
        <v>1</v>
      </c>
      <c r="E555" s="226">
        <f t="shared" si="137"/>
        <v>0.2574</v>
      </c>
      <c r="F555" s="218">
        <f t="shared" si="138"/>
        <v>8.58</v>
      </c>
      <c r="G555" s="201"/>
      <c r="H555" s="201"/>
      <c r="I555" s="201"/>
      <c r="J555" s="201"/>
    </row>
    <row r="556" hidden="1" outlineLevel="2">
      <c r="A556" s="227" t="s">
        <v>21</v>
      </c>
      <c r="B556" s="229">
        <f t="shared" si="136"/>
        <v>0.4</v>
      </c>
      <c r="C556" s="210">
        <v>1.0</v>
      </c>
      <c r="D556" s="231">
        <f>Candy!D306</f>
        <v>1</v>
      </c>
      <c r="E556" s="232">
        <f t="shared" si="137"/>
        <v>0.2584</v>
      </c>
      <c r="F556" s="218">
        <f t="shared" si="138"/>
        <v>8.613333333</v>
      </c>
      <c r="G556" s="201"/>
      <c r="H556" s="201"/>
      <c r="I556" s="201"/>
      <c r="J556" s="201"/>
    </row>
    <row r="557" hidden="1" outlineLevel="2">
      <c r="A557" s="220" t="s">
        <v>32</v>
      </c>
      <c r="B557" s="223">
        <f t="shared" si="136"/>
        <v>0.4</v>
      </c>
      <c r="C557" s="210">
        <v>1.0</v>
      </c>
      <c r="D557" s="231">
        <f>Claudette!D434</f>
        <v>1</v>
      </c>
      <c r="E557" s="226">
        <f t="shared" si="137"/>
        <v>0.27</v>
      </c>
      <c r="F557" s="218">
        <f t="shared" si="138"/>
        <v>9</v>
      </c>
      <c r="G557" s="201"/>
      <c r="H557" s="201"/>
      <c r="I557" s="201"/>
      <c r="J557" s="201"/>
    </row>
    <row r="558" hidden="1" outlineLevel="2">
      <c r="A558" s="236" t="s">
        <v>58</v>
      </c>
      <c r="B558" s="229">
        <f t="shared" si="136"/>
        <v>0.22</v>
      </c>
      <c r="C558" s="210">
        <v>0.4</v>
      </c>
      <c r="D558" s="231">
        <f>Sofhia!D434</f>
        <v>1</v>
      </c>
      <c r="E558" s="232">
        <f t="shared" si="137"/>
        <v>0.26</v>
      </c>
      <c r="F558" s="218">
        <f t="shared" si="138"/>
        <v>8.666666667</v>
      </c>
      <c r="G558" s="201"/>
      <c r="H558" s="201"/>
      <c r="I558" s="201"/>
      <c r="J558" s="201"/>
    </row>
    <row r="559" hidden="1" outlineLevel="2">
      <c r="A559" s="241" t="s">
        <v>85</v>
      </c>
      <c r="B559" s="223">
        <f t="shared" si="136"/>
        <v>0.4</v>
      </c>
      <c r="C559" s="210">
        <v>1.0</v>
      </c>
      <c r="D559" s="231">
        <f>Cherry!D252</f>
        <v>1</v>
      </c>
      <c r="E559" s="226">
        <f t="shared" si="137"/>
        <v>0.2862</v>
      </c>
      <c r="F559" s="218">
        <f t="shared" si="138"/>
        <v>9.54</v>
      </c>
      <c r="G559" s="201"/>
      <c r="H559" s="201"/>
      <c r="I559" s="201"/>
      <c r="J559" s="201"/>
    </row>
    <row r="560" hidden="1" outlineLevel="2">
      <c r="A560" s="245" t="s">
        <v>7</v>
      </c>
      <c r="B560" s="229">
        <f t="shared" si="136"/>
        <v>0.355</v>
      </c>
      <c r="C560" s="210">
        <v>0.85</v>
      </c>
      <c r="D560" s="231">
        <f>Lyra!D233</f>
        <v>1</v>
      </c>
      <c r="E560" s="232">
        <f t="shared" si="137"/>
        <v>0.2508</v>
      </c>
      <c r="F560" s="218">
        <f t="shared" si="138"/>
        <v>8.36</v>
      </c>
      <c r="G560" s="201"/>
      <c r="H560" s="201"/>
      <c r="I560" s="201"/>
      <c r="J560" s="201"/>
    </row>
    <row r="561" hidden="1" outlineLevel="2">
      <c r="A561" s="241" t="s">
        <v>514</v>
      </c>
      <c r="B561" s="223">
        <f t="shared" si="136"/>
        <v>0.37</v>
      </c>
      <c r="C561" s="210">
        <v>0.9</v>
      </c>
      <c r="D561" s="231">
        <f>Mikka!D178</f>
        <v>1</v>
      </c>
      <c r="E561" s="226">
        <f t="shared" si="137"/>
        <v>0.2636</v>
      </c>
      <c r="F561" s="218">
        <f t="shared" si="138"/>
        <v>8.786666667</v>
      </c>
      <c r="G561" s="201"/>
      <c r="H561" s="201"/>
      <c r="I561" s="201"/>
      <c r="J561" s="201"/>
    </row>
    <row r="562" hidden="1" outlineLevel="2">
      <c r="A562" s="251"/>
      <c r="B562" s="251"/>
      <c r="C562" s="252"/>
      <c r="D562" s="253"/>
      <c r="E562" s="254"/>
      <c r="F562" s="201"/>
      <c r="G562" s="201"/>
      <c r="H562" s="201"/>
      <c r="I562" s="201"/>
      <c r="J562" s="201"/>
    </row>
    <row r="563" hidden="1" outlineLevel="2">
      <c r="A563" s="55" t="s">
        <v>222</v>
      </c>
      <c r="B563" s="251"/>
      <c r="C563" s="252"/>
      <c r="D563" s="253"/>
      <c r="E563" s="254"/>
      <c r="F563" s="201"/>
      <c r="G563" s="201"/>
      <c r="H563" s="201"/>
      <c r="I563" s="201"/>
      <c r="J563" s="201"/>
    </row>
    <row r="564" hidden="1" outlineLevel="2">
      <c r="A564" s="256" t="s">
        <v>196</v>
      </c>
      <c r="B564" s="257" t="s">
        <v>223</v>
      </c>
      <c r="C564" s="62">
        <v>46118.0</v>
      </c>
      <c r="D564" s="62">
        <v>46119.0</v>
      </c>
      <c r="E564" s="62">
        <v>46120.0</v>
      </c>
      <c r="F564" s="62">
        <v>46121.0</v>
      </c>
      <c r="G564" s="62">
        <v>46122.0</v>
      </c>
      <c r="H564" s="62">
        <v>46123.0</v>
      </c>
      <c r="I564" s="62">
        <v>46124.0</v>
      </c>
      <c r="J564" s="201"/>
    </row>
    <row r="565" hidden="1" outlineLevel="2">
      <c r="A565" s="308"/>
      <c r="B565" s="308"/>
      <c r="C565" s="82" t="s">
        <v>80</v>
      </c>
      <c r="D565" s="82" t="s">
        <v>226</v>
      </c>
      <c r="E565" s="82" t="s">
        <v>227</v>
      </c>
      <c r="F565" s="82" t="s">
        <v>228</v>
      </c>
      <c r="G565" s="82" t="s">
        <v>230</v>
      </c>
      <c r="H565" s="82" t="s">
        <v>231</v>
      </c>
      <c r="I565" s="82" t="s">
        <v>232</v>
      </c>
    </row>
    <row r="566" hidden="1" outlineLevel="2">
      <c r="A566" s="227" t="s">
        <v>4</v>
      </c>
      <c r="B566" s="264">
        <f t="shared" ref="B566:B573" si="139">Sum(C566:I566)</f>
        <v>0</v>
      </c>
      <c r="C566" s="267"/>
      <c r="D566" s="268"/>
      <c r="E566" s="268"/>
      <c r="F566" s="268"/>
      <c r="G566" s="267"/>
      <c r="H566" s="267"/>
      <c r="I566" s="267"/>
    </row>
    <row r="567" hidden="1" outlineLevel="2">
      <c r="A567" s="220" t="s">
        <v>57</v>
      </c>
      <c r="B567" s="264">
        <f t="shared" si="139"/>
        <v>0</v>
      </c>
      <c r="C567" s="266"/>
      <c r="D567" s="266"/>
      <c r="E567" s="266"/>
      <c r="F567" s="266"/>
      <c r="G567" s="266"/>
      <c r="H567" s="265"/>
      <c r="I567" s="266"/>
    </row>
    <row r="568" hidden="1" outlineLevel="2">
      <c r="A568" s="227" t="s">
        <v>21</v>
      </c>
      <c r="B568" s="264">
        <f t="shared" si="139"/>
        <v>0</v>
      </c>
      <c r="C568" s="267"/>
      <c r="D568" s="268"/>
      <c r="E568" s="267"/>
      <c r="F568" s="267"/>
      <c r="G568" s="267"/>
      <c r="H568" s="267"/>
      <c r="I568" s="268"/>
    </row>
    <row r="569" hidden="1" outlineLevel="2">
      <c r="A569" s="220" t="s">
        <v>32</v>
      </c>
      <c r="B569" s="264">
        <f t="shared" si="139"/>
        <v>0</v>
      </c>
      <c r="C569" s="266"/>
      <c r="D569" s="266"/>
      <c r="E569" s="266"/>
      <c r="F569" s="266"/>
      <c r="G569" s="266"/>
      <c r="H569" s="266"/>
      <c r="I569" s="265"/>
    </row>
    <row r="570" hidden="1" outlineLevel="2">
      <c r="A570" s="236" t="s">
        <v>58</v>
      </c>
      <c r="B570" s="264">
        <f t="shared" si="139"/>
        <v>0</v>
      </c>
      <c r="C570" s="267"/>
      <c r="D570" s="267"/>
      <c r="E570" s="267"/>
      <c r="F570" s="267"/>
      <c r="G570" s="267"/>
      <c r="H570" s="267"/>
      <c r="I570" s="268"/>
    </row>
    <row r="571" ht="16.5" hidden="1" customHeight="1" outlineLevel="2">
      <c r="A571" s="241" t="s">
        <v>85</v>
      </c>
      <c r="B571" s="264">
        <f t="shared" si="139"/>
        <v>0</v>
      </c>
      <c r="C571" s="266"/>
      <c r="D571" s="266"/>
      <c r="E571" s="266"/>
      <c r="F571" s="266"/>
      <c r="G571" s="266"/>
      <c r="H571" s="266"/>
      <c r="I571" s="266"/>
    </row>
    <row r="572" hidden="1" outlineLevel="2">
      <c r="A572" s="245" t="s">
        <v>7</v>
      </c>
      <c r="B572" s="264">
        <f t="shared" si="139"/>
        <v>0</v>
      </c>
      <c r="C572" s="268"/>
      <c r="D572" s="268"/>
      <c r="E572" s="267"/>
      <c r="F572" s="267"/>
      <c r="G572" s="267"/>
      <c r="H572" s="267"/>
      <c r="I572" s="268"/>
    </row>
    <row r="573" hidden="1" outlineLevel="2">
      <c r="A573" s="241" t="s">
        <v>72</v>
      </c>
      <c r="B573" s="264">
        <f t="shared" si="139"/>
        <v>0</v>
      </c>
      <c r="C573" s="265"/>
      <c r="D573" s="265"/>
      <c r="E573" s="266"/>
      <c r="F573" s="265"/>
      <c r="G573" s="266"/>
      <c r="H573" s="266"/>
      <c r="I573" s="265"/>
    </row>
    <row r="574" hidden="1" outlineLevel="2">
      <c r="A574" s="251"/>
      <c r="B574" s="251"/>
      <c r="C574" s="251"/>
      <c r="D574" s="251"/>
      <c r="E574" s="251"/>
      <c r="F574" s="251"/>
      <c r="G574" s="251"/>
      <c r="H574" s="251"/>
      <c r="I574" s="251"/>
    </row>
    <row r="575" hidden="1" outlineLevel="1">
      <c r="A575" s="52" t="s">
        <v>1137</v>
      </c>
    </row>
    <row r="576" hidden="1" outlineLevel="1">
      <c r="A576" s="55" t="s">
        <v>67</v>
      </c>
    </row>
    <row r="577" hidden="1" outlineLevel="1">
      <c r="A577" s="57" t="s">
        <v>68</v>
      </c>
      <c r="B577" s="59" t="s">
        <v>11</v>
      </c>
      <c r="C577" s="59" t="s">
        <v>71</v>
      </c>
      <c r="D577" s="62">
        <v>46139.0</v>
      </c>
      <c r="E577" s="62">
        <v>46140.0</v>
      </c>
      <c r="F577" s="62">
        <v>46141.0</v>
      </c>
      <c r="G577" s="62">
        <v>46142.0</v>
      </c>
      <c r="H577" s="62">
        <v>46143.0</v>
      </c>
      <c r="I577" s="62">
        <v>46144.0</v>
      </c>
      <c r="J577" s="62">
        <v>46145.0</v>
      </c>
      <c r="K577" s="76" t="s">
        <v>77</v>
      </c>
      <c r="L577" s="78" t="s">
        <v>78</v>
      </c>
    </row>
    <row r="578" hidden="1" outlineLevel="1">
      <c r="A578" s="395"/>
      <c r="B578" s="258"/>
      <c r="C578" s="258"/>
      <c r="D578" s="82" t="s">
        <v>80</v>
      </c>
      <c r="E578" s="82" t="str">
        <f t="shared" ref="E578:J578" si="140">text(E577,"ddd")</f>
        <v>Tue</v>
      </c>
      <c r="F578" s="82" t="str">
        <f t="shared" si="140"/>
        <v>Wed</v>
      </c>
      <c r="G578" s="82" t="str">
        <f t="shared" si="140"/>
        <v>Thu</v>
      </c>
      <c r="H578" s="82" t="str">
        <f t="shared" si="140"/>
        <v>Fri</v>
      </c>
      <c r="I578" s="82" t="str">
        <f t="shared" si="140"/>
        <v>Sat</v>
      </c>
      <c r="J578" s="82" t="str">
        <f t="shared" si="140"/>
        <v>Sun</v>
      </c>
      <c r="K578" s="92"/>
      <c r="L578" s="81"/>
    </row>
    <row r="579" hidden="1" outlineLevel="1">
      <c r="A579" s="396" t="s">
        <v>92</v>
      </c>
      <c r="B579" s="397">
        <f>25+20+20+20+15</f>
        <v>100</v>
      </c>
      <c r="C579" s="397">
        <f t="shared" ref="C579:C586" si="141">SUM(D579:J579)</f>
        <v>88</v>
      </c>
      <c r="D579" s="398">
        <v>14.0</v>
      </c>
      <c r="E579" s="398">
        <v>27.0</v>
      </c>
      <c r="F579" s="398">
        <v>18.0</v>
      </c>
      <c r="G579" s="398">
        <v>9.0</v>
      </c>
      <c r="H579" s="398">
        <v>20.0</v>
      </c>
      <c r="I579" s="398" t="s">
        <v>51</v>
      </c>
      <c r="J579" s="108" t="s">
        <v>51</v>
      </c>
      <c r="K579" s="118">
        <f t="shared" ref="K579:K586" si="142">iferror(C579/B579,"-")</f>
        <v>0.88</v>
      </c>
      <c r="L579" s="125">
        <f t="shared" ref="L579:L586" si="143">(IF(K579="",(0),IF(K579&gt;=1,(5),IF(K579&gt;=0.9,(4),IF(K579&gt;=0.8,(3),IF(K579&gt;=0.69,(2),IF(K579&lt;=0.69,(1))))))))</f>
        <v>3</v>
      </c>
    </row>
    <row r="580" hidden="1" outlineLevel="1">
      <c r="A580" s="399" t="s">
        <v>61</v>
      </c>
      <c r="B580" s="400">
        <f>25*5</f>
        <v>125</v>
      </c>
      <c r="C580" s="400">
        <f t="shared" si="141"/>
        <v>123</v>
      </c>
      <c r="D580" s="401">
        <v>26.0</v>
      </c>
      <c r="E580" s="401">
        <v>25.0</v>
      </c>
      <c r="F580" s="401">
        <v>23.0</v>
      </c>
      <c r="G580" s="401">
        <v>23.0</v>
      </c>
      <c r="H580" s="401">
        <v>26.0</v>
      </c>
      <c r="I580" s="401" t="s">
        <v>51</v>
      </c>
      <c r="J580" s="108" t="s">
        <v>51</v>
      </c>
      <c r="K580" s="118">
        <f t="shared" si="142"/>
        <v>0.984</v>
      </c>
      <c r="L580" s="125">
        <f t="shared" si="143"/>
        <v>4</v>
      </c>
    </row>
    <row r="581" hidden="1" outlineLevel="1">
      <c r="A581" s="396" t="s">
        <v>21</v>
      </c>
      <c r="B581" s="397">
        <f>30*5</f>
        <v>150</v>
      </c>
      <c r="C581" s="397">
        <f t="shared" si="141"/>
        <v>140</v>
      </c>
      <c r="D581" s="398">
        <v>26.0</v>
      </c>
      <c r="E581" s="398">
        <v>31.0</v>
      </c>
      <c r="F581" s="398">
        <v>26.0</v>
      </c>
      <c r="G581" s="398" t="s">
        <v>51</v>
      </c>
      <c r="H581" s="398">
        <v>34.0</v>
      </c>
      <c r="I581" s="398">
        <v>23.0</v>
      </c>
      <c r="J581" s="108" t="s">
        <v>51</v>
      </c>
      <c r="K581" s="118">
        <f t="shared" si="142"/>
        <v>0.9333333333</v>
      </c>
      <c r="L581" s="125">
        <f t="shared" si="143"/>
        <v>4</v>
      </c>
    </row>
    <row r="582" hidden="1" outlineLevel="1">
      <c r="A582" s="399" t="s">
        <v>74</v>
      </c>
      <c r="B582" s="400">
        <f>15+15+20+20+15</f>
        <v>85</v>
      </c>
      <c r="C582" s="400">
        <f t="shared" si="141"/>
        <v>87</v>
      </c>
      <c r="D582" s="401">
        <v>14.0</v>
      </c>
      <c r="E582" s="401">
        <v>15.0</v>
      </c>
      <c r="F582" s="401">
        <v>23.0</v>
      </c>
      <c r="G582" s="401" t="s">
        <v>51</v>
      </c>
      <c r="H582" s="401">
        <v>19.0</v>
      </c>
      <c r="I582" s="401">
        <v>16.0</v>
      </c>
      <c r="J582" s="108" t="s">
        <v>51</v>
      </c>
      <c r="K582" s="118">
        <f t="shared" si="142"/>
        <v>1.023529412</v>
      </c>
      <c r="L582" s="125">
        <f t="shared" si="143"/>
        <v>5</v>
      </c>
    </row>
    <row r="583" hidden="1" outlineLevel="1">
      <c r="A583" s="272" t="s">
        <v>53</v>
      </c>
      <c r="B583" s="397">
        <f>15+30+20+15+10</f>
        <v>90</v>
      </c>
      <c r="C583" s="397">
        <f t="shared" si="141"/>
        <v>93</v>
      </c>
      <c r="D583" s="398">
        <v>17.0</v>
      </c>
      <c r="E583" s="398" t="s">
        <v>51</v>
      </c>
      <c r="F583" s="398" t="s">
        <v>51</v>
      </c>
      <c r="G583" s="398">
        <v>29.0</v>
      </c>
      <c r="H583" s="398">
        <v>20.0</v>
      </c>
      <c r="I583" s="398">
        <v>14.0</v>
      </c>
      <c r="J583" s="108">
        <v>13.0</v>
      </c>
      <c r="K583" s="118">
        <f t="shared" si="142"/>
        <v>1.033333333</v>
      </c>
      <c r="L583" s="125">
        <f t="shared" si="143"/>
        <v>5</v>
      </c>
    </row>
    <row r="584" hidden="1" outlineLevel="1">
      <c r="A584" s="245" t="s">
        <v>85</v>
      </c>
      <c r="B584" s="400">
        <f>30+30+30+25+25</f>
        <v>140</v>
      </c>
      <c r="C584" s="400">
        <f t="shared" si="141"/>
        <v>132</v>
      </c>
      <c r="D584" s="401">
        <v>27.0</v>
      </c>
      <c r="E584" s="401">
        <v>31.0</v>
      </c>
      <c r="F584" s="401">
        <v>31.0</v>
      </c>
      <c r="G584" s="401" t="s">
        <v>51</v>
      </c>
      <c r="H584" s="401" t="s">
        <v>51</v>
      </c>
      <c r="I584" s="401">
        <v>22.0</v>
      </c>
      <c r="J584" s="151">
        <v>21.0</v>
      </c>
      <c r="K584" s="118">
        <f t="shared" si="142"/>
        <v>0.9428571429</v>
      </c>
      <c r="L584" s="125">
        <f t="shared" si="143"/>
        <v>4</v>
      </c>
    </row>
    <row r="585" hidden="1" outlineLevel="1">
      <c r="A585" s="241" t="s">
        <v>7</v>
      </c>
      <c r="B585" s="404">
        <f>25+20+20</f>
        <v>65</v>
      </c>
      <c r="C585" s="397">
        <f t="shared" si="141"/>
        <v>59</v>
      </c>
      <c r="D585" s="398">
        <v>23.0</v>
      </c>
      <c r="E585" s="398" t="s">
        <v>51</v>
      </c>
      <c r="F585" s="398" t="s">
        <v>51</v>
      </c>
      <c r="G585" s="398">
        <v>18.0</v>
      </c>
      <c r="H585" s="398">
        <v>18.0</v>
      </c>
      <c r="I585" s="398" t="s">
        <v>261</v>
      </c>
      <c r="J585" s="151" t="s">
        <v>261</v>
      </c>
      <c r="K585" s="118">
        <f t="shared" si="142"/>
        <v>0.9076923077</v>
      </c>
      <c r="L585" s="125">
        <f t="shared" si="143"/>
        <v>4</v>
      </c>
    </row>
    <row r="586" hidden="1" outlineLevel="1">
      <c r="A586" s="245" t="s">
        <v>514</v>
      </c>
      <c r="B586" s="405">
        <f>25*4+15</f>
        <v>115</v>
      </c>
      <c r="C586" s="400">
        <f t="shared" si="141"/>
        <v>90</v>
      </c>
      <c r="D586" s="401">
        <v>18.0</v>
      </c>
      <c r="E586" s="401">
        <v>19.0</v>
      </c>
      <c r="F586" s="401">
        <v>19.0</v>
      </c>
      <c r="G586" s="401">
        <v>21.0</v>
      </c>
      <c r="H586" s="401" t="s">
        <v>51</v>
      </c>
      <c r="I586" s="401" t="s">
        <v>51</v>
      </c>
      <c r="J586" s="108">
        <v>13.0</v>
      </c>
      <c r="K586" s="118">
        <f t="shared" si="142"/>
        <v>0.7826086957</v>
      </c>
      <c r="L586" s="125">
        <f t="shared" si="143"/>
        <v>2</v>
      </c>
    </row>
    <row r="587" hidden="1" outlineLevel="1"/>
    <row r="588" hidden="1" outlineLevel="1">
      <c r="A588" s="55" t="s">
        <v>87</v>
      </c>
      <c r="I588" s="55"/>
    </row>
    <row r="589" hidden="1" outlineLevel="1">
      <c r="A589" s="57" t="s">
        <v>68</v>
      </c>
      <c r="B589" s="158" t="s">
        <v>157</v>
      </c>
      <c r="C589" s="158" t="s">
        <v>158</v>
      </c>
      <c r="D589" s="158" t="s">
        <v>90</v>
      </c>
      <c r="E589" s="158" t="s">
        <v>91</v>
      </c>
      <c r="F589" s="158" t="s">
        <v>93</v>
      </c>
      <c r="G589" s="161" t="s">
        <v>94</v>
      </c>
      <c r="H589" s="161" t="s">
        <v>160</v>
      </c>
    </row>
    <row r="590" hidden="1" outlineLevel="1">
      <c r="A590" s="395"/>
      <c r="B590" s="258"/>
      <c r="C590" s="258"/>
      <c r="D590" s="258"/>
      <c r="E590" s="258"/>
      <c r="F590" s="258"/>
      <c r="G590" s="258"/>
      <c r="H590" s="258"/>
    </row>
    <row r="591" hidden="1" outlineLevel="1">
      <c r="A591" s="396" t="s">
        <v>92</v>
      </c>
      <c r="B591" s="398">
        <v>92.0</v>
      </c>
      <c r="C591" s="398">
        <v>91.0</v>
      </c>
      <c r="D591" s="141">
        <f t="shared" ref="D591:D598" si="144">B591-C591</f>
        <v>1</v>
      </c>
      <c r="E591" s="406">
        <f t="shared" ref="E591:E598" si="145">IFERROR(C591/B591,"")</f>
        <v>0.9891304348</v>
      </c>
      <c r="F591" s="407">
        <v>0.0024537037037037036</v>
      </c>
      <c r="G591" s="171">
        <f t="shared" ref="G591:G598" si="146">IFERROR((IF(E591="",(0),IF(E591&gt;=0.98,(5),IF(E591&gt;=0.95,(4.5),IF(E591&gt;=0.9,(4),IF(E591&gt;=0.8,(3),IF(E591&lt;=0.69,(1)))))))),"")</f>
        <v>5</v>
      </c>
      <c r="H591" s="171">
        <f>ROUND(
IF(F591="",
0,
MAX(1, 5 - MAX(0, (F591 - TIME(0,4,0)) / TIME(0,1,0) * 0.5))
),
2
)
</f>
        <v>5</v>
      </c>
    </row>
    <row r="592" hidden="1" outlineLevel="1">
      <c r="A592" s="399" t="s">
        <v>61</v>
      </c>
      <c r="B592" s="401">
        <v>124.0</v>
      </c>
      <c r="C592" s="401">
        <v>123.0</v>
      </c>
      <c r="D592" s="408">
        <f t="shared" si="144"/>
        <v>1</v>
      </c>
      <c r="E592" s="409">
        <f t="shared" si="145"/>
        <v>0.9919354839</v>
      </c>
      <c r="F592" s="410">
        <v>0.003981481481481482</v>
      </c>
      <c r="G592" s="171">
        <f t="shared" si="146"/>
        <v>5</v>
      </c>
      <c r="H592" s="171">
        <f>ROUND(
IF(F592="",
0,
MAX(1, 5 - MAX(0, (F592 - TIME(0,5,0)) / TIME(0,1,0) * 0.5))
),
2
)
</f>
        <v>4.63</v>
      </c>
    </row>
    <row r="593" hidden="1" outlineLevel="1">
      <c r="A593" s="396" t="s">
        <v>21</v>
      </c>
      <c r="B593" s="398">
        <v>141.0</v>
      </c>
      <c r="C593" s="398">
        <v>140.0</v>
      </c>
      <c r="D593" s="141">
        <f t="shared" si="144"/>
        <v>1</v>
      </c>
      <c r="E593" s="406">
        <f t="shared" si="145"/>
        <v>0.9929078014</v>
      </c>
      <c r="F593" s="407">
        <v>0.0036805555555555554</v>
      </c>
      <c r="G593" s="171">
        <f t="shared" si="146"/>
        <v>5</v>
      </c>
      <c r="H593" s="171">
        <f>ROUND(
IF(F593="",
0,
MAX(1, 5 - MAX(0, (F593 - TIME(0,4,0)) / TIME(0,1,0) * 0.5))
),
2
)
</f>
        <v>4.35</v>
      </c>
    </row>
    <row r="594" hidden="1" outlineLevel="1">
      <c r="A594" s="399" t="s">
        <v>74</v>
      </c>
      <c r="B594" s="401">
        <v>89.0</v>
      </c>
      <c r="C594" s="401">
        <v>88.0</v>
      </c>
      <c r="D594" s="408">
        <f t="shared" si="144"/>
        <v>1</v>
      </c>
      <c r="E594" s="409">
        <f t="shared" si="145"/>
        <v>0.9887640449</v>
      </c>
      <c r="F594" s="410">
        <v>0.0030555555555555557</v>
      </c>
      <c r="G594" s="171">
        <f t="shared" si="146"/>
        <v>5</v>
      </c>
      <c r="H594" s="171">
        <f>ROUND(
IF(F594="",
0,
MAX(1, 5 - MAX(0, (F594 - TIME(0,5,0)) / TIME(0,1,0) * 0.5))
),
2
)
</f>
        <v>5</v>
      </c>
    </row>
    <row r="595" hidden="1" outlineLevel="1">
      <c r="A595" s="272" t="s">
        <v>53</v>
      </c>
      <c r="B595" s="398">
        <v>98.0</v>
      </c>
      <c r="C595" s="398">
        <v>95.0</v>
      </c>
      <c r="D595" s="141">
        <f t="shared" si="144"/>
        <v>3</v>
      </c>
      <c r="E595" s="406">
        <f t="shared" si="145"/>
        <v>0.9693877551</v>
      </c>
      <c r="F595" s="407">
        <v>0.002673611111111111</v>
      </c>
      <c r="G595" s="171">
        <f t="shared" si="146"/>
        <v>4.5</v>
      </c>
      <c r="H595" s="171">
        <f>ROUND(
IF(F595="",
0,
MAX(1, 5 - MAX(0, (F595 - TIME(0,4,0)) / TIME(0,1,0) * 0.5))
),
2
)
</f>
        <v>5</v>
      </c>
    </row>
    <row r="596" hidden="1" outlineLevel="1">
      <c r="A596" s="245" t="s">
        <v>85</v>
      </c>
      <c r="B596" s="401">
        <v>133.0</v>
      </c>
      <c r="C596" s="401">
        <v>132.0</v>
      </c>
      <c r="D596" s="408">
        <f t="shared" si="144"/>
        <v>1</v>
      </c>
      <c r="E596" s="409">
        <f t="shared" si="145"/>
        <v>0.992481203</v>
      </c>
      <c r="F596" s="410">
        <v>0.003715277777777778</v>
      </c>
      <c r="G596" s="171">
        <f t="shared" si="146"/>
        <v>5</v>
      </c>
      <c r="H596" s="171">
        <f t="shared" ref="H596:H598" si="147">ROUND(
IF(F596="",
0,
MAX(1, 5 - MAX(0, (F596 - TIME(0,5,0)) / TIME(0,1,0) * 0.5))
),
2
)
</f>
        <v>4.83</v>
      </c>
    </row>
    <row r="597" hidden="1" outlineLevel="1">
      <c r="A597" s="241" t="s">
        <v>7</v>
      </c>
      <c r="B597" s="398">
        <v>62.0</v>
      </c>
      <c r="C597" s="398">
        <v>60.0</v>
      </c>
      <c r="D597" s="141">
        <f t="shared" si="144"/>
        <v>2</v>
      </c>
      <c r="E597" s="406">
        <f t="shared" si="145"/>
        <v>0.9677419355</v>
      </c>
      <c r="F597" s="407">
        <v>0.004247685185185185</v>
      </c>
      <c r="G597" s="171">
        <f t="shared" si="146"/>
        <v>4.5</v>
      </c>
      <c r="H597" s="171">
        <f t="shared" si="147"/>
        <v>4.44</v>
      </c>
    </row>
    <row r="598" hidden="1" outlineLevel="1">
      <c r="A598" s="245" t="s">
        <v>514</v>
      </c>
      <c r="B598" s="401">
        <v>92.0</v>
      </c>
      <c r="C598" s="401">
        <v>90.0</v>
      </c>
      <c r="D598" s="408">
        <f t="shared" si="144"/>
        <v>2</v>
      </c>
      <c r="E598" s="409">
        <f t="shared" si="145"/>
        <v>0.9782608696</v>
      </c>
      <c r="F598" s="410">
        <v>0.005023148148148148</v>
      </c>
      <c r="G598" s="171">
        <f t="shared" si="146"/>
        <v>4.5</v>
      </c>
      <c r="H598" s="171">
        <f t="shared" si="147"/>
        <v>3.88</v>
      </c>
    </row>
    <row r="599" hidden="1" outlineLevel="1"/>
    <row r="600" hidden="1" outlineLevel="1">
      <c r="A600" s="55" t="s">
        <v>195</v>
      </c>
    </row>
    <row r="601" hidden="1" outlineLevel="1">
      <c r="A601" s="192" t="s">
        <v>196</v>
      </c>
      <c r="B601" s="193" t="s">
        <v>198</v>
      </c>
      <c r="C601" s="195" t="s">
        <v>199</v>
      </c>
      <c r="D601" s="195" t="s">
        <v>200</v>
      </c>
      <c r="E601" s="197" t="s">
        <v>201</v>
      </c>
      <c r="F601" s="199" t="s">
        <v>202</v>
      </c>
      <c r="G601" s="201"/>
    </row>
    <row r="602" hidden="1" outlineLevel="1">
      <c r="A602" s="227" t="s">
        <v>4</v>
      </c>
      <c r="B602" s="229">
        <f t="shared" ref="B602:B609" si="148">(C602*0.3)+(D602*0.1)</f>
        <v>0.4</v>
      </c>
      <c r="C602" s="210">
        <v>1.0</v>
      </c>
      <c r="D602" s="210">
        <f>Dan!D452</f>
        <v>1</v>
      </c>
      <c r="E602" s="232">
        <f t="shared" ref="E602:E609" si="149">(L579+G591+H591)/15*0.3</f>
        <v>0.26</v>
      </c>
      <c r="F602" s="218">
        <f t="shared" ref="F602:F609" si="150">(E602/30%)*10</f>
        <v>8.666666667</v>
      </c>
      <c r="G602" s="201"/>
      <c r="H602" s="201"/>
      <c r="I602" s="201"/>
      <c r="J602" s="201"/>
    </row>
    <row r="603" hidden="1" outlineLevel="1">
      <c r="A603" s="220" t="s">
        <v>57</v>
      </c>
      <c r="B603" s="223">
        <f t="shared" si="148"/>
        <v>0.4</v>
      </c>
      <c r="C603" s="210">
        <v>1.0</v>
      </c>
      <c r="D603" s="210">
        <f>Godwin!D452</f>
        <v>1</v>
      </c>
      <c r="E603" s="226">
        <f t="shared" si="149"/>
        <v>0.2726</v>
      </c>
      <c r="F603" s="218">
        <f t="shared" si="150"/>
        <v>9.086666667</v>
      </c>
      <c r="G603" s="201"/>
      <c r="H603" s="201"/>
      <c r="I603" s="201"/>
      <c r="J603" s="201"/>
    </row>
    <row r="604" hidden="1" outlineLevel="1">
      <c r="A604" s="227" t="s">
        <v>21</v>
      </c>
      <c r="B604" s="229">
        <f t="shared" si="148"/>
        <v>0.4</v>
      </c>
      <c r="C604" s="210">
        <v>1.0</v>
      </c>
      <c r="D604" s="231">
        <f>Candy!D324</f>
        <v>1</v>
      </c>
      <c r="E604" s="232">
        <f t="shared" si="149"/>
        <v>0.267</v>
      </c>
      <c r="F604" s="218">
        <f t="shared" si="150"/>
        <v>8.9</v>
      </c>
      <c r="G604" s="201"/>
      <c r="H604" s="201"/>
      <c r="I604" s="201"/>
      <c r="J604" s="201"/>
    </row>
    <row r="605" hidden="1" outlineLevel="1">
      <c r="A605" s="220" t="s">
        <v>32</v>
      </c>
      <c r="B605" s="223">
        <f t="shared" si="148"/>
        <v>0.4</v>
      </c>
      <c r="C605" s="210">
        <v>1.0</v>
      </c>
      <c r="D605" s="231">
        <f>Claudette!D452</f>
        <v>1</v>
      </c>
      <c r="E605" s="226">
        <f t="shared" si="149"/>
        <v>0.3</v>
      </c>
      <c r="F605" s="218">
        <f t="shared" si="150"/>
        <v>10</v>
      </c>
      <c r="G605" s="201"/>
      <c r="H605" s="201"/>
      <c r="I605" s="201"/>
      <c r="J605" s="201"/>
    </row>
    <row r="606" hidden="1" outlineLevel="1">
      <c r="A606" s="236" t="s">
        <v>58</v>
      </c>
      <c r="B606" s="229">
        <f t="shared" si="148"/>
        <v>0.4</v>
      </c>
      <c r="C606" s="210">
        <v>1.0</v>
      </c>
      <c r="D606" s="231">
        <f>Sofhia!D452</f>
        <v>1</v>
      </c>
      <c r="E606" s="232">
        <f t="shared" si="149"/>
        <v>0.29</v>
      </c>
      <c r="F606" s="218">
        <f t="shared" si="150"/>
        <v>9.666666667</v>
      </c>
      <c r="G606" s="201"/>
      <c r="H606" s="201"/>
      <c r="I606" s="201"/>
      <c r="J606" s="201"/>
    </row>
    <row r="607" hidden="1" outlineLevel="1">
      <c r="A607" s="241" t="s">
        <v>85</v>
      </c>
      <c r="B607" s="223">
        <f t="shared" si="148"/>
        <v>0.4</v>
      </c>
      <c r="C607" s="210">
        <v>1.0</v>
      </c>
      <c r="D607" s="231">
        <f>Cherry!D270</f>
        <v>1</v>
      </c>
      <c r="E607" s="226">
        <f t="shared" si="149"/>
        <v>0.2766</v>
      </c>
      <c r="F607" s="218">
        <f t="shared" si="150"/>
        <v>9.22</v>
      </c>
      <c r="G607" s="201"/>
      <c r="H607" s="201"/>
      <c r="I607" s="201"/>
      <c r="J607" s="201"/>
    </row>
    <row r="608" hidden="1" outlineLevel="1">
      <c r="A608" s="245" t="s">
        <v>7</v>
      </c>
      <c r="B608" s="229">
        <f t="shared" si="148"/>
        <v>0.4</v>
      </c>
      <c r="C608" s="210">
        <v>1.0</v>
      </c>
      <c r="D608" s="231">
        <f>Lyra!D251</f>
        <v>1</v>
      </c>
      <c r="E608" s="232">
        <f t="shared" si="149"/>
        <v>0.2588</v>
      </c>
      <c r="F608" s="218">
        <f t="shared" si="150"/>
        <v>8.626666667</v>
      </c>
      <c r="G608" s="201"/>
      <c r="H608" s="201"/>
      <c r="I608" s="201"/>
      <c r="J608" s="201"/>
    </row>
    <row r="609" hidden="1" outlineLevel="1">
      <c r="A609" s="241" t="s">
        <v>514</v>
      </c>
      <c r="B609" s="223">
        <f t="shared" si="148"/>
        <v>0.4</v>
      </c>
      <c r="C609" s="210">
        <v>1.0</v>
      </c>
      <c r="D609" s="231">
        <f>Mikka!D196</f>
        <v>1</v>
      </c>
      <c r="E609" s="226">
        <f t="shared" si="149"/>
        <v>0.2076</v>
      </c>
      <c r="F609" s="218">
        <f t="shared" si="150"/>
        <v>6.92</v>
      </c>
      <c r="G609" s="201"/>
      <c r="H609" s="201"/>
      <c r="I609" s="201"/>
      <c r="J609" s="201"/>
    </row>
    <row r="610" hidden="1" outlineLevel="1">
      <c r="A610" s="251"/>
      <c r="B610" s="251"/>
      <c r="C610" s="252"/>
      <c r="D610" s="253"/>
      <c r="E610" s="254"/>
      <c r="F610" s="201"/>
      <c r="G610" s="201"/>
      <c r="H610" s="201"/>
      <c r="I610" s="201"/>
      <c r="J610" s="201"/>
    </row>
    <row r="611" hidden="1" outlineLevel="1">
      <c r="A611" s="55" t="s">
        <v>222</v>
      </c>
      <c r="B611" s="251"/>
      <c r="C611" s="252"/>
      <c r="D611" s="253"/>
      <c r="E611" s="254"/>
      <c r="F611" s="201"/>
      <c r="G611" s="201"/>
      <c r="H611" s="201"/>
      <c r="I611" s="201"/>
      <c r="J611" s="201"/>
    </row>
    <row r="612" hidden="1" outlineLevel="1">
      <c r="A612" s="256" t="s">
        <v>196</v>
      </c>
      <c r="B612" s="257" t="s">
        <v>223</v>
      </c>
      <c r="C612" s="62">
        <v>46118.0</v>
      </c>
      <c r="D612" s="62">
        <v>46119.0</v>
      </c>
      <c r="E612" s="62">
        <v>46120.0</v>
      </c>
      <c r="F612" s="62">
        <v>46121.0</v>
      </c>
      <c r="G612" s="62">
        <v>46122.0</v>
      </c>
      <c r="H612" s="62">
        <v>46123.0</v>
      </c>
      <c r="I612" s="62">
        <v>46124.0</v>
      </c>
      <c r="J612" s="201"/>
    </row>
    <row r="613" hidden="1" outlineLevel="1">
      <c r="A613" s="308"/>
      <c r="B613" s="308"/>
      <c r="C613" s="82" t="s">
        <v>80</v>
      </c>
      <c r="D613" s="82" t="s">
        <v>226</v>
      </c>
      <c r="E613" s="82" t="s">
        <v>227</v>
      </c>
      <c r="F613" s="82" t="s">
        <v>228</v>
      </c>
      <c r="G613" s="82" t="s">
        <v>230</v>
      </c>
      <c r="H613" s="82" t="s">
        <v>231</v>
      </c>
      <c r="I613" s="82" t="s">
        <v>232</v>
      </c>
    </row>
    <row r="614" hidden="1" outlineLevel="1">
      <c r="A614" s="227" t="s">
        <v>4</v>
      </c>
      <c r="B614" s="264">
        <f t="shared" ref="B614:B621" si="151">Sum(C614:I614)</f>
        <v>0</v>
      </c>
      <c r="C614" s="267"/>
      <c r="D614" s="268"/>
      <c r="E614" s="268"/>
      <c r="F614" s="268"/>
      <c r="G614" s="267"/>
      <c r="H614" s="267"/>
      <c r="I614" s="267"/>
    </row>
    <row r="615" hidden="1" outlineLevel="1">
      <c r="A615" s="220" t="s">
        <v>57</v>
      </c>
      <c r="B615" s="264">
        <f t="shared" si="151"/>
        <v>0</v>
      </c>
      <c r="C615" s="266"/>
      <c r="D615" s="266"/>
      <c r="E615" s="266"/>
      <c r="F615" s="266"/>
      <c r="G615" s="266"/>
      <c r="H615" s="265"/>
      <c r="I615" s="266"/>
    </row>
    <row r="616" hidden="1" outlineLevel="1">
      <c r="A616" s="227" t="s">
        <v>21</v>
      </c>
      <c r="B616" s="264">
        <f t="shared" si="151"/>
        <v>0</v>
      </c>
      <c r="C616" s="267"/>
      <c r="D616" s="268"/>
      <c r="E616" s="267"/>
      <c r="F616" s="267"/>
      <c r="G616" s="267"/>
      <c r="H616" s="267"/>
      <c r="I616" s="268"/>
    </row>
    <row r="617" hidden="1" outlineLevel="1">
      <c r="A617" s="220" t="s">
        <v>32</v>
      </c>
      <c r="B617" s="264">
        <f t="shared" si="151"/>
        <v>0</v>
      </c>
      <c r="C617" s="266"/>
      <c r="D617" s="266"/>
      <c r="E617" s="266"/>
      <c r="F617" s="266"/>
      <c r="G617" s="266"/>
      <c r="H617" s="266"/>
      <c r="I617" s="265"/>
    </row>
    <row r="618" hidden="1" outlineLevel="1">
      <c r="A618" s="236" t="s">
        <v>58</v>
      </c>
      <c r="B618" s="264">
        <f t="shared" si="151"/>
        <v>0</v>
      </c>
      <c r="C618" s="267"/>
      <c r="D618" s="267"/>
      <c r="E618" s="267"/>
      <c r="F618" s="267"/>
      <c r="G618" s="267"/>
      <c r="H618" s="267"/>
      <c r="I618" s="268"/>
    </row>
    <row r="619" ht="16.5" hidden="1" customHeight="1" outlineLevel="1">
      <c r="A619" s="241" t="s">
        <v>85</v>
      </c>
      <c r="B619" s="264">
        <f t="shared" si="151"/>
        <v>0</v>
      </c>
      <c r="C619" s="266"/>
      <c r="D619" s="266"/>
      <c r="E619" s="266"/>
      <c r="F619" s="266"/>
      <c r="G619" s="266"/>
      <c r="H619" s="266"/>
      <c r="I619" s="266"/>
    </row>
    <row r="620" hidden="1" outlineLevel="1">
      <c r="A620" s="245" t="s">
        <v>7</v>
      </c>
      <c r="B620" s="264">
        <f t="shared" si="151"/>
        <v>0</v>
      </c>
      <c r="C620" s="268"/>
      <c r="D620" s="268"/>
      <c r="E620" s="267"/>
      <c r="F620" s="267"/>
      <c r="G620" s="267"/>
      <c r="H620" s="267"/>
      <c r="I620" s="268"/>
    </row>
    <row r="621" hidden="1" outlineLevel="1">
      <c r="A621" s="241" t="s">
        <v>72</v>
      </c>
      <c r="B621" s="264">
        <f t="shared" si="151"/>
        <v>0</v>
      </c>
      <c r="C621" s="265"/>
      <c r="D621" s="265"/>
      <c r="E621" s="266"/>
      <c r="F621" s="265"/>
      <c r="G621" s="266"/>
      <c r="H621" s="266"/>
      <c r="I621" s="265"/>
    </row>
    <row r="622" hidden="1" outlineLevel="1">
      <c r="A622" s="251"/>
      <c r="B622" s="251"/>
      <c r="C622" s="251"/>
      <c r="D622" s="251"/>
      <c r="E622" s="251"/>
      <c r="F622" s="251"/>
      <c r="G622" s="251"/>
      <c r="H622" s="251"/>
      <c r="I622" s="251"/>
    </row>
    <row r="623" collapsed="1">
      <c r="A623" s="49">
        <v>46143.0</v>
      </c>
    </row>
    <row r="624" hidden="1" outlineLevel="1" collapsed="1">
      <c r="A624" s="52" t="s">
        <v>1191</v>
      </c>
    </row>
    <row r="625" hidden="1" outlineLevel="2">
      <c r="A625" s="55" t="s">
        <v>67</v>
      </c>
    </row>
    <row r="626" hidden="1" outlineLevel="2">
      <c r="A626" s="57" t="s">
        <v>68</v>
      </c>
      <c r="B626" s="59" t="s">
        <v>11</v>
      </c>
      <c r="C626" s="59" t="s">
        <v>71</v>
      </c>
      <c r="D626" s="62">
        <v>46146.0</v>
      </c>
      <c r="E626" s="62">
        <v>46147.0</v>
      </c>
      <c r="F626" s="62">
        <v>46148.0</v>
      </c>
      <c r="G626" s="62">
        <v>46149.0</v>
      </c>
      <c r="H626" s="62">
        <v>46150.0</v>
      </c>
      <c r="I626" s="62">
        <v>46151.0</v>
      </c>
      <c r="J626" s="62">
        <v>46152.0</v>
      </c>
      <c r="K626" s="76" t="s">
        <v>77</v>
      </c>
      <c r="L626" s="78" t="s">
        <v>78</v>
      </c>
    </row>
    <row r="627" hidden="1" outlineLevel="2">
      <c r="A627" s="414"/>
      <c r="B627" s="308"/>
      <c r="C627" s="308"/>
      <c r="D627" s="82" t="s">
        <v>80</v>
      </c>
      <c r="E627" s="82" t="str">
        <f t="shared" ref="E627:J627" si="152">text(E626,"ddd")</f>
        <v>Tue</v>
      </c>
      <c r="F627" s="82" t="str">
        <f t="shared" si="152"/>
        <v>Wed</v>
      </c>
      <c r="G627" s="82" t="str">
        <f t="shared" si="152"/>
        <v>Thu</v>
      </c>
      <c r="H627" s="82" t="str">
        <f t="shared" si="152"/>
        <v>Fri</v>
      </c>
      <c r="I627" s="82" t="str">
        <f t="shared" si="152"/>
        <v>Sat</v>
      </c>
      <c r="J627" s="82" t="str">
        <f t="shared" si="152"/>
        <v>Sun</v>
      </c>
      <c r="K627" s="92"/>
      <c r="L627" s="81"/>
    </row>
    <row r="628" hidden="1" outlineLevel="2">
      <c r="A628" s="399" t="s">
        <v>92</v>
      </c>
      <c r="B628" s="400">
        <f>20+15+15+15+20</f>
        <v>85</v>
      </c>
      <c r="C628" s="400">
        <f t="shared" ref="C628:C635" si="153">SUM(D628:J628)</f>
        <v>88</v>
      </c>
      <c r="D628" s="401">
        <v>21.0</v>
      </c>
      <c r="E628" s="401">
        <v>13.0</v>
      </c>
      <c r="F628" s="401">
        <v>17.0</v>
      </c>
      <c r="G628" s="401">
        <v>17.0</v>
      </c>
      <c r="H628" s="401">
        <v>20.0</v>
      </c>
      <c r="I628" s="401" t="s">
        <v>51</v>
      </c>
      <c r="J628" s="108" t="s">
        <v>51</v>
      </c>
      <c r="K628" s="118">
        <f t="shared" ref="K628:K635" si="154">iferror(C628/B628,"-")</f>
        <v>1.035294118</v>
      </c>
      <c r="L628" s="125">
        <f t="shared" ref="L628:L635" si="155">(IF(K628="",(0),IF(K628&gt;=1,(5),IF(K628&gt;=0.9,(4),IF(K628&gt;=0.8,(3),IF(K628&gt;=0.69,(2),IF(K628&lt;=0.69,(1))))))))</f>
        <v>5</v>
      </c>
    </row>
    <row r="629" hidden="1" outlineLevel="2">
      <c r="A629" s="396" t="s">
        <v>61</v>
      </c>
      <c r="B629" s="397">
        <f>30+30+25+20+20+10</f>
        <v>135</v>
      </c>
      <c r="C629" s="397">
        <f t="shared" si="153"/>
        <v>125</v>
      </c>
      <c r="D629" s="398">
        <v>24.0</v>
      </c>
      <c r="E629" s="398">
        <v>30.0</v>
      </c>
      <c r="F629" s="398">
        <v>21.0</v>
      </c>
      <c r="G629" s="398">
        <v>21.0</v>
      </c>
      <c r="H629" s="398">
        <v>16.0</v>
      </c>
      <c r="I629" s="398" t="s">
        <v>51</v>
      </c>
      <c r="J629" s="108">
        <v>13.0</v>
      </c>
      <c r="K629" s="118">
        <f t="shared" si="154"/>
        <v>0.9259259259</v>
      </c>
      <c r="L629" s="125">
        <f t="shared" si="155"/>
        <v>4</v>
      </c>
    </row>
    <row r="630" hidden="1" outlineLevel="2">
      <c r="A630" s="399" t="s">
        <v>21</v>
      </c>
      <c r="B630" s="400">
        <f>30+30+30+30+20+10</f>
        <v>150</v>
      </c>
      <c r="C630" s="400">
        <f t="shared" si="153"/>
        <v>144</v>
      </c>
      <c r="D630" s="401">
        <v>27.0</v>
      </c>
      <c r="E630" s="401">
        <v>26.0</v>
      </c>
      <c r="F630" s="401" t="s">
        <v>51</v>
      </c>
      <c r="G630" s="401">
        <v>33.0</v>
      </c>
      <c r="H630" s="401">
        <v>31.0</v>
      </c>
      <c r="I630" s="401">
        <v>18.0</v>
      </c>
      <c r="J630" s="108">
        <v>9.0</v>
      </c>
      <c r="K630" s="118">
        <f t="shared" si="154"/>
        <v>0.96</v>
      </c>
      <c r="L630" s="125">
        <f t="shared" si="155"/>
        <v>4</v>
      </c>
    </row>
    <row r="631" hidden="1" outlineLevel="2">
      <c r="A631" s="396" t="s">
        <v>74</v>
      </c>
      <c r="B631" s="397">
        <f>15+20+10+15+5</f>
        <v>65</v>
      </c>
      <c r="C631" s="397">
        <f t="shared" si="153"/>
        <v>61</v>
      </c>
      <c r="D631" s="398">
        <v>17.0</v>
      </c>
      <c r="E631" s="398">
        <v>18.0</v>
      </c>
      <c r="F631" s="398">
        <v>9.0</v>
      </c>
      <c r="G631" s="398">
        <v>13.0</v>
      </c>
      <c r="H631" s="398" t="s">
        <v>51</v>
      </c>
      <c r="I631" s="398" t="s">
        <v>51</v>
      </c>
      <c r="J631" s="108">
        <v>4.0</v>
      </c>
      <c r="K631" s="118">
        <f t="shared" si="154"/>
        <v>0.9384615385</v>
      </c>
      <c r="L631" s="125">
        <f t="shared" si="155"/>
        <v>4</v>
      </c>
    </row>
    <row r="632" hidden="1" outlineLevel="2">
      <c r="A632" s="236" t="s">
        <v>53</v>
      </c>
      <c r="B632" s="405">
        <f>20+15+15</f>
        <v>50</v>
      </c>
      <c r="C632" s="400">
        <f t="shared" si="153"/>
        <v>48</v>
      </c>
      <c r="D632" s="401">
        <v>16.0</v>
      </c>
      <c r="E632" s="401">
        <v>16.0</v>
      </c>
      <c r="F632" s="401">
        <v>16.0</v>
      </c>
      <c r="G632" s="401" t="s">
        <v>51</v>
      </c>
      <c r="H632" s="401" t="s">
        <v>51</v>
      </c>
      <c r="I632" s="401" t="s">
        <v>145</v>
      </c>
      <c r="J632" s="108" t="s">
        <v>145</v>
      </c>
      <c r="K632" s="118">
        <f t="shared" si="154"/>
        <v>0.96</v>
      </c>
      <c r="L632" s="125">
        <f t="shared" si="155"/>
        <v>4</v>
      </c>
    </row>
    <row r="633" hidden="1" outlineLevel="2">
      <c r="A633" s="241" t="s">
        <v>85</v>
      </c>
      <c r="B633" s="397">
        <f>35+30+30+25+25</f>
        <v>145</v>
      </c>
      <c r="C633" s="397">
        <f t="shared" si="153"/>
        <v>134</v>
      </c>
      <c r="D633" s="398">
        <v>36.0</v>
      </c>
      <c r="E633" s="398" t="s">
        <v>51</v>
      </c>
      <c r="F633" s="398">
        <v>27.0</v>
      </c>
      <c r="G633" s="398">
        <v>26.0</v>
      </c>
      <c r="H633" s="398">
        <v>23.0</v>
      </c>
      <c r="I633" s="398">
        <v>22.0</v>
      </c>
      <c r="J633" s="108" t="s">
        <v>51</v>
      </c>
      <c r="K633" s="118">
        <f t="shared" si="154"/>
        <v>0.924137931</v>
      </c>
      <c r="L633" s="125">
        <f t="shared" si="155"/>
        <v>4</v>
      </c>
    </row>
    <row r="634" hidden="1" outlineLevel="2">
      <c r="A634" s="245" t="s">
        <v>7</v>
      </c>
      <c r="B634" s="405">
        <f>25+20+20+15+10</f>
        <v>90</v>
      </c>
      <c r="C634" s="400">
        <f t="shared" si="153"/>
        <v>85</v>
      </c>
      <c r="D634" s="401" t="s">
        <v>51</v>
      </c>
      <c r="E634" s="401" t="s">
        <v>51</v>
      </c>
      <c r="F634" s="401">
        <v>22.0</v>
      </c>
      <c r="G634" s="401">
        <v>17.0</v>
      </c>
      <c r="H634" s="401">
        <v>21.0</v>
      </c>
      <c r="I634" s="401">
        <v>13.0</v>
      </c>
      <c r="J634" s="151">
        <v>12.0</v>
      </c>
      <c r="K634" s="118">
        <f t="shared" si="154"/>
        <v>0.9444444444</v>
      </c>
      <c r="L634" s="125">
        <f t="shared" si="155"/>
        <v>4</v>
      </c>
    </row>
    <row r="635" hidden="1" outlineLevel="2">
      <c r="A635" s="241" t="s">
        <v>514</v>
      </c>
      <c r="B635" s="404">
        <f>25+20+15+15+20+15</f>
        <v>110</v>
      </c>
      <c r="C635" s="397">
        <f t="shared" si="153"/>
        <v>107</v>
      </c>
      <c r="D635" s="398">
        <v>21.0</v>
      </c>
      <c r="E635" s="398">
        <v>20.0</v>
      </c>
      <c r="F635" s="398">
        <v>17.0</v>
      </c>
      <c r="G635" s="398">
        <v>16.0</v>
      </c>
      <c r="H635" s="398">
        <v>20.0</v>
      </c>
      <c r="I635" s="398">
        <v>13.0</v>
      </c>
      <c r="J635" s="108" t="s">
        <v>51</v>
      </c>
      <c r="K635" s="118">
        <f t="shared" si="154"/>
        <v>0.9727272727</v>
      </c>
      <c r="L635" s="125">
        <f t="shared" si="155"/>
        <v>4</v>
      </c>
    </row>
    <row r="636" hidden="1" outlineLevel="2"/>
    <row r="637" hidden="1" outlineLevel="2">
      <c r="A637" s="55" t="s">
        <v>87</v>
      </c>
      <c r="I637" s="55"/>
    </row>
    <row r="638" hidden="1" outlineLevel="2">
      <c r="A638" s="57" t="s">
        <v>68</v>
      </c>
      <c r="B638" s="158" t="s">
        <v>157</v>
      </c>
      <c r="C638" s="158" t="s">
        <v>158</v>
      </c>
      <c r="D638" s="158" t="s">
        <v>90</v>
      </c>
      <c r="E638" s="158" t="s">
        <v>91</v>
      </c>
      <c r="F638" s="158" t="s">
        <v>93</v>
      </c>
      <c r="G638" s="161" t="s">
        <v>94</v>
      </c>
      <c r="H638" s="161" t="s">
        <v>160</v>
      </c>
    </row>
    <row r="639" hidden="1" outlineLevel="2">
      <c r="A639" s="414"/>
      <c r="B639" s="308"/>
      <c r="C639" s="308"/>
      <c r="D639" s="308"/>
      <c r="E639" s="308"/>
      <c r="F639" s="308"/>
      <c r="G639" s="308"/>
      <c r="H639" s="308"/>
    </row>
    <row r="640" hidden="1" outlineLevel="2">
      <c r="A640" s="399" t="s">
        <v>92</v>
      </c>
      <c r="B640" s="401">
        <v>93.0</v>
      </c>
      <c r="C640" s="401">
        <v>88.0</v>
      </c>
      <c r="D640" s="408">
        <f t="shared" ref="D640:D647" si="156">B640-C640</f>
        <v>5</v>
      </c>
      <c r="E640" s="409">
        <f t="shared" ref="E640:E647" si="157">IFERROR(C640/B640,"")</f>
        <v>0.9462365591</v>
      </c>
      <c r="F640" s="410">
        <v>0.0021412037037037038</v>
      </c>
      <c r="G640" s="171">
        <f t="shared" ref="G640:G647" si="158">IFERROR((IF(E640="",(0),IF(E640&gt;=0.98,(5),IF(E640&gt;=0.95,(4.5),IF(E640&gt;=0.9,(4),IF(E640&gt;=0.8,(3),IF(E640&lt;=0.69,(1)))))))),"")</f>
        <v>4</v>
      </c>
      <c r="H640" s="171">
        <f>ROUND(
IF(F640="",
0,
MAX(1, 5 - MAX(0, (F640 - TIME(0,4,0)) / TIME(0,1,0) * 0.5))
),
2
)
</f>
        <v>5</v>
      </c>
    </row>
    <row r="641" hidden="1" outlineLevel="2">
      <c r="A641" s="396" t="s">
        <v>61</v>
      </c>
      <c r="B641" s="398">
        <v>127.0</v>
      </c>
      <c r="C641" s="398">
        <v>126.0</v>
      </c>
      <c r="D641" s="141">
        <f t="shared" si="156"/>
        <v>1</v>
      </c>
      <c r="E641" s="406">
        <f t="shared" si="157"/>
        <v>0.9921259843</v>
      </c>
      <c r="F641" s="407">
        <v>0.0038541666666666668</v>
      </c>
      <c r="G641" s="171">
        <f t="shared" si="158"/>
        <v>5</v>
      </c>
      <c r="H641" s="171">
        <f>ROUND(
IF(F641="",
0,
MAX(1, 5 - MAX(0, (F641 - TIME(0,5,0)) / TIME(0,1,0) * 0.5))
),
2
)
</f>
        <v>4.73</v>
      </c>
    </row>
    <row r="642" hidden="1" outlineLevel="2">
      <c r="A642" s="399" t="s">
        <v>21</v>
      </c>
      <c r="B642" s="401">
        <v>148.0</v>
      </c>
      <c r="C642" s="401">
        <v>144.0</v>
      </c>
      <c r="D642" s="408">
        <f t="shared" si="156"/>
        <v>4</v>
      </c>
      <c r="E642" s="409">
        <f t="shared" si="157"/>
        <v>0.972972973</v>
      </c>
      <c r="F642" s="410">
        <v>0.0035069444444444445</v>
      </c>
      <c r="G642" s="171">
        <f t="shared" si="158"/>
        <v>4.5</v>
      </c>
      <c r="H642" s="171">
        <f>ROUND(
IF(F642="",
0,
MAX(1, 5 - MAX(0, (F642 - TIME(0,4,0)) / TIME(0,1,0) * 0.5))
),
2
)
</f>
        <v>4.48</v>
      </c>
    </row>
    <row r="643" hidden="1" outlineLevel="2">
      <c r="A643" s="396" t="s">
        <v>74</v>
      </c>
      <c r="B643" s="398">
        <v>63.0</v>
      </c>
      <c r="C643" s="398">
        <v>61.0</v>
      </c>
      <c r="D643" s="141">
        <f t="shared" si="156"/>
        <v>2</v>
      </c>
      <c r="E643" s="406">
        <f t="shared" si="157"/>
        <v>0.9682539683</v>
      </c>
      <c r="F643" s="407">
        <v>0.003414351851851852</v>
      </c>
      <c r="G643" s="171">
        <f t="shared" si="158"/>
        <v>4.5</v>
      </c>
      <c r="H643" s="171">
        <f>ROUND(
IF(F643="",
0,
MAX(1, 5 - MAX(0, (F643 - TIME(0,5,0)) / TIME(0,1,0) * 0.5))
),
2
)
</f>
        <v>5</v>
      </c>
    </row>
    <row r="644" hidden="1" outlineLevel="2">
      <c r="A644" s="236" t="s">
        <v>53</v>
      </c>
      <c r="B644" s="401">
        <v>49.0</v>
      </c>
      <c r="C644" s="401">
        <v>47.0</v>
      </c>
      <c r="D644" s="408">
        <f t="shared" si="156"/>
        <v>2</v>
      </c>
      <c r="E644" s="409">
        <f t="shared" si="157"/>
        <v>0.9591836735</v>
      </c>
      <c r="F644" s="410">
        <v>0.002476851851851852</v>
      </c>
      <c r="G644" s="171">
        <f t="shared" si="158"/>
        <v>4.5</v>
      </c>
      <c r="H644" s="171">
        <f>ROUND(
IF(F644="",
0,
MAX(1, 5 - MAX(0, (F644 - TIME(0,4,0)) / TIME(0,1,0) * 0.5))
),
2
)
</f>
        <v>5</v>
      </c>
    </row>
    <row r="645" hidden="1" outlineLevel="2">
      <c r="A645" s="241" t="s">
        <v>85</v>
      </c>
      <c r="B645" s="398">
        <v>134.0</v>
      </c>
      <c r="C645" s="398">
        <v>134.0</v>
      </c>
      <c r="D645" s="141">
        <f t="shared" si="156"/>
        <v>0</v>
      </c>
      <c r="E645" s="406">
        <f t="shared" si="157"/>
        <v>1</v>
      </c>
      <c r="F645" s="407">
        <v>0.0038773148148148148</v>
      </c>
      <c r="G645" s="171">
        <f t="shared" si="158"/>
        <v>5</v>
      </c>
      <c r="H645" s="171">
        <f t="shared" ref="H645:H647" si="159">ROUND(
IF(F645="",
0,
MAX(1, 5 - MAX(0, (F645 - TIME(0,5,0)) / TIME(0,1,0) * 0.5))
),
2
)
</f>
        <v>4.71</v>
      </c>
    </row>
    <row r="646" hidden="1" outlineLevel="2">
      <c r="A646" s="245" t="s">
        <v>7</v>
      </c>
      <c r="B646" s="401">
        <v>86.0</v>
      </c>
      <c r="C646" s="401">
        <v>85.0</v>
      </c>
      <c r="D646" s="408">
        <f t="shared" si="156"/>
        <v>1</v>
      </c>
      <c r="E646" s="409">
        <f t="shared" si="157"/>
        <v>0.988372093</v>
      </c>
      <c r="F646" s="410">
        <v>0.004270833333333333</v>
      </c>
      <c r="G646" s="171">
        <f t="shared" si="158"/>
        <v>5</v>
      </c>
      <c r="H646" s="171">
        <f t="shared" si="159"/>
        <v>4.43</v>
      </c>
    </row>
    <row r="647" hidden="1" outlineLevel="2">
      <c r="A647" s="241" t="s">
        <v>514</v>
      </c>
      <c r="B647" s="398">
        <v>107.0</v>
      </c>
      <c r="C647" s="398">
        <v>107.0</v>
      </c>
      <c r="D647" s="141">
        <f t="shared" si="156"/>
        <v>0</v>
      </c>
      <c r="E647" s="406">
        <f t="shared" si="157"/>
        <v>1</v>
      </c>
      <c r="F647" s="407">
        <v>0.004907407407407407</v>
      </c>
      <c r="G647" s="171">
        <f t="shared" si="158"/>
        <v>5</v>
      </c>
      <c r="H647" s="171">
        <f t="shared" si="159"/>
        <v>3.97</v>
      </c>
    </row>
    <row r="648" hidden="1" outlineLevel="2"/>
    <row r="649" hidden="1" outlineLevel="2">
      <c r="A649" s="55" t="s">
        <v>195</v>
      </c>
    </row>
    <row r="650" hidden="1" outlineLevel="2">
      <c r="A650" s="192" t="s">
        <v>196</v>
      </c>
      <c r="B650" s="193" t="s">
        <v>198</v>
      </c>
      <c r="C650" s="195" t="s">
        <v>199</v>
      </c>
      <c r="D650" s="195" t="s">
        <v>200</v>
      </c>
      <c r="E650" s="197" t="s">
        <v>201</v>
      </c>
      <c r="F650" s="199" t="s">
        <v>202</v>
      </c>
      <c r="G650" s="201"/>
    </row>
    <row r="651" hidden="1" outlineLevel="2">
      <c r="A651" s="220" t="s">
        <v>4</v>
      </c>
      <c r="B651" s="223">
        <f t="shared" ref="B651:B658" si="160">(C651*0.3)+(D651*0.1)</f>
        <v>0.4</v>
      </c>
      <c r="C651" s="210">
        <v>1.0</v>
      </c>
      <c r="D651" s="210">
        <f>Dan!D470</f>
        <v>1</v>
      </c>
      <c r="E651" s="226">
        <f t="shared" ref="E651:E658" si="161">(L628+G640+H640)/15*0.3</f>
        <v>0.28</v>
      </c>
      <c r="F651" s="218">
        <f t="shared" ref="F651:F658" si="162">(E651/30%)*10</f>
        <v>9.333333333</v>
      </c>
      <c r="G651" s="201"/>
      <c r="H651" s="201"/>
      <c r="I651" s="201"/>
      <c r="J651" s="201"/>
    </row>
    <row r="652" hidden="1" outlineLevel="2">
      <c r="A652" s="227" t="s">
        <v>57</v>
      </c>
      <c r="B652" s="229">
        <f t="shared" si="160"/>
        <v>0.4</v>
      </c>
      <c r="C652" s="210">
        <v>1.0</v>
      </c>
      <c r="D652" s="210">
        <f>Godwin!D470</f>
        <v>1</v>
      </c>
      <c r="E652" s="232">
        <f t="shared" si="161"/>
        <v>0.2746</v>
      </c>
      <c r="F652" s="218">
        <f t="shared" si="162"/>
        <v>9.153333333</v>
      </c>
      <c r="G652" s="201"/>
      <c r="H652" s="201"/>
      <c r="I652" s="201"/>
      <c r="J652" s="201"/>
    </row>
    <row r="653" hidden="1" outlineLevel="2">
      <c r="A653" s="220" t="s">
        <v>21</v>
      </c>
      <c r="B653" s="223">
        <f t="shared" si="160"/>
        <v>0.37</v>
      </c>
      <c r="C653" s="210">
        <v>0.9</v>
      </c>
      <c r="D653" s="231">
        <f>Candy!D342</f>
        <v>1</v>
      </c>
      <c r="E653" s="226">
        <f t="shared" si="161"/>
        <v>0.2596</v>
      </c>
      <c r="F653" s="218">
        <f t="shared" si="162"/>
        <v>8.653333333</v>
      </c>
      <c r="G653" s="201"/>
      <c r="H653" s="201"/>
      <c r="I653" s="201"/>
      <c r="J653" s="201"/>
    </row>
    <row r="654" hidden="1" outlineLevel="2">
      <c r="A654" s="227" t="s">
        <v>32</v>
      </c>
      <c r="B654" s="229">
        <f t="shared" si="160"/>
        <v>0.4</v>
      </c>
      <c r="C654" s="210">
        <v>1.0</v>
      </c>
      <c r="D654" s="231">
        <f>Claudette!D470</f>
        <v>1</v>
      </c>
      <c r="E654" s="232">
        <f t="shared" si="161"/>
        <v>0.27</v>
      </c>
      <c r="F654" s="218">
        <f t="shared" si="162"/>
        <v>9</v>
      </c>
      <c r="G654" s="201"/>
      <c r="H654" s="201"/>
      <c r="I654" s="201"/>
      <c r="J654" s="201"/>
    </row>
    <row r="655" hidden="1" outlineLevel="2">
      <c r="A655" s="272" t="s">
        <v>58</v>
      </c>
      <c r="B655" s="223">
        <f t="shared" si="160"/>
        <v>0.31</v>
      </c>
      <c r="C655" s="210">
        <v>0.7</v>
      </c>
      <c r="D655" s="231">
        <f>Sofhia!D470</f>
        <v>1</v>
      </c>
      <c r="E655" s="226">
        <f t="shared" si="161"/>
        <v>0.27</v>
      </c>
      <c r="F655" s="218">
        <f t="shared" si="162"/>
        <v>9</v>
      </c>
      <c r="G655" s="201"/>
      <c r="H655" s="201"/>
      <c r="I655" s="201"/>
      <c r="J655" s="201"/>
    </row>
    <row r="656" hidden="1" outlineLevel="2">
      <c r="A656" s="245" t="s">
        <v>85</v>
      </c>
      <c r="B656" s="229">
        <f t="shared" si="160"/>
        <v>0.4</v>
      </c>
      <c r="C656" s="210">
        <v>1.0</v>
      </c>
      <c r="D656" s="231">
        <f>Cherry!D288</f>
        <v>1</v>
      </c>
      <c r="E656" s="232">
        <f t="shared" si="161"/>
        <v>0.2742</v>
      </c>
      <c r="F656" s="218">
        <f t="shared" si="162"/>
        <v>9.14</v>
      </c>
      <c r="G656" s="201"/>
      <c r="H656" s="201"/>
      <c r="I656" s="201"/>
      <c r="J656" s="201"/>
    </row>
    <row r="657" hidden="1" outlineLevel="2">
      <c r="A657" s="241" t="s">
        <v>7</v>
      </c>
      <c r="B657" s="223">
        <f t="shared" si="160"/>
        <v>0.4</v>
      </c>
      <c r="C657" s="210">
        <v>1.0</v>
      </c>
      <c r="D657" s="231">
        <f>Lyra!D269</f>
        <v>1</v>
      </c>
      <c r="E657" s="226">
        <f t="shared" si="161"/>
        <v>0.2686</v>
      </c>
      <c r="F657" s="218">
        <f t="shared" si="162"/>
        <v>8.953333333</v>
      </c>
      <c r="G657" s="201"/>
      <c r="H657" s="201"/>
      <c r="I657" s="201"/>
      <c r="J657" s="201"/>
    </row>
    <row r="658" hidden="1" outlineLevel="2">
      <c r="A658" s="245" t="s">
        <v>514</v>
      </c>
      <c r="B658" s="229">
        <f t="shared" si="160"/>
        <v>0.4</v>
      </c>
      <c r="C658" s="210">
        <v>1.0</v>
      </c>
      <c r="D658" s="231">
        <f>Mikka!D214</f>
        <v>1</v>
      </c>
      <c r="E658" s="232">
        <f t="shared" si="161"/>
        <v>0.2594</v>
      </c>
      <c r="F658" s="218">
        <f t="shared" si="162"/>
        <v>8.646666667</v>
      </c>
      <c r="G658" s="201"/>
      <c r="H658" s="201"/>
      <c r="I658" s="201"/>
      <c r="J658" s="201"/>
    </row>
    <row r="659" hidden="1" outlineLevel="2">
      <c r="A659" s="251"/>
      <c r="B659" s="251"/>
      <c r="C659" s="252"/>
      <c r="D659" s="253"/>
      <c r="E659" s="254"/>
      <c r="F659" s="201"/>
      <c r="G659" s="201"/>
      <c r="H659" s="201"/>
      <c r="I659" s="201"/>
      <c r="J659" s="201"/>
    </row>
    <row r="660" hidden="1" outlineLevel="2">
      <c r="A660" s="55" t="s">
        <v>222</v>
      </c>
      <c r="B660" s="251"/>
      <c r="C660" s="252"/>
      <c r="D660" s="253"/>
      <c r="E660" s="254"/>
      <c r="F660" s="201"/>
      <c r="G660" s="201"/>
      <c r="H660" s="201"/>
      <c r="I660" s="201"/>
      <c r="J660" s="201"/>
    </row>
    <row r="661" hidden="1" outlineLevel="2">
      <c r="A661" s="256" t="s">
        <v>196</v>
      </c>
      <c r="B661" s="257" t="s">
        <v>223</v>
      </c>
      <c r="C661" s="62">
        <v>46146.0</v>
      </c>
      <c r="D661" s="62">
        <v>46147.0</v>
      </c>
      <c r="E661" s="62">
        <v>46148.0</v>
      </c>
      <c r="F661" s="62">
        <v>46149.0</v>
      </c>
      <c r="G661" s="62">
        <v>46150.0</v>
      </c>
      <c r="H661" s="62">
        <v>46151.0</v>
      </c>
      <c r="I661" s="62">
        <v>46152.0</v>
      </c>
      <c r="J661" s="201"/>
    </row>
    <row r="662" hidden="1" outlineLevel="2">
      <c r="A662" s="258"/>
      <c r="B662" s="258"/>
      <c r="C662" s="82" t="s">
        <v>80</v>
      </c>
      <c r="D662" s="82" t="s">
        <v>226</v>
      </c>
      <c r="E662" s="82" t="s">
        <v>227</v>
      </c>
      <c r="F662" s="82" t="s">
        <v>228</v>
      </c>
      <c r="G662" s="82" t="s">
        <v>230</v>
      </c>
      <c r="H662" s="82" t="s">
        <v>231</v>
      </c>
      <c r="I662" s="82" t="s">
        <v>232</v>
      </c>
    </row>
    <row r="663" hidden="1" outlineLevel="2">
      <c r="A663" s="220" t="s">
        <v>4</v>
      </c>
      <c r="B663" s="264">
        <f t="shared" ref="B663:B670" si="163">Sum(C663:I663)</f>
        <v>0</v>
      </c>
      <c r="C663" s="266"/>
      <c r="D663" s="265"/>
      <c r="E663" s="265"/>
      <c r="F663" s="265"/>
      <c r="G663" s="266"/>
      <c r="H663" s="266"/>
      <c r="I663" s="266"/>
    </row>
    <row r="664" hidden="1" outlineLevel="2">
      <c r="A664" s="227" t="s">
        <v>57</v>
      </c>
      <c r="B664" s="264">
        <f t="shared" si="163"/>
        <v>8</v>
      </c>
      <c r="C664" s="267"/>
      <c r="D664" s="267"/>
      <c r="E664" s="267"/>
      <c r="F664" s="267"/>
      <c r="G664" s="267"/>
      <c r="H664" s="268"/>
      <c r="I664" s="267">
        <v>8.0</v>
      </c>
    </row>
    <row r="665" hidden="1" outlineLevel="2">
      <c r="A665" s="220" t="s">
        <v>21</v>
      </c>
      <c r="B665" s="264">
        <f t="shared" si="163"/>
        <v>8</v>
      </c>
      <c r="C665" s="266"/>
      <c r="D665" s="265"/>
      <c r="E665" s="266"/>
      <c r="F665" s="266"/>
      <c r="G665" s="266"/>
      <c r="H665" s="266">
        <v>8.0</v>
      </c>
      <c r="I665" s="265"/>
    </row>
    <row r="666" hidden="1" outlineLevel="2">
      <c r="A666" s="227" t="s">
        <v>32</v>
      </c>
      <c r="B666" s="264">
        <f t="shared" si="163"/>
        <v>0</v>
      </c>
      <c r="C666" s="267"/>
      <c r="D666" s="267"/>
      <c r="E666" s="267"/>
      <c r="F666" s="267"/>
      <c r="G666" s="267"/>
      <c r="H666" s="267"/>
      <c r="I666" s="268"/>
    </row>
    <row r="667" hidden="1" outlineLevel="2">
      <c r="A667" s="272" t="s">
        <v>58</v>
      </c>
      <c r="B667" s="264">
        <f t="shared" si="163"/>
        <v>0</v>
      </c>
      <c r="C667" s="266"/>
      <c r="D667" s="266"/>
      <c r="E667" s="266"/>
      <c r="F667" s="266"/>
      <c r="G667" s="266"/>
      <c r="H667" s="266"/>
      <c r="I667" s="265"/>
    </row>
    <row r="668" ht="16.5" hidden="1" customHeight="1" outlineLevel="2">
      <c r="A668" s="245" t="s">
        <v>85</v>
      </c>
      <c r="B668" s="264">
        <f t="shared" si="163"/>
        <v>0</v>
      </c>
      <c r="C668" s="267"/>
      <c r="D668" s="267"/>
      <c r="E668" s="267"/>
      <c r="F668" s="267"/>
      <c r="G668" s="267"/>
      <c r="H668" s="267"/>
      <c r="I668" s="267"/>
    </row>
    <row r="669" hidden="1" outlineLevel="2">
      <c r="A669" s="241" t="s">
        <v>7</v>
      </c>
      <c r="B669" s="264">
        <f t="shared" si="163"/>
        <v>0</v>
      </c>
      <c r="C669" s="265"/>
      <c r="D669" s="265"/>
      <c r="E669" s="266"/>
      <c r="F669" s="266"/>
      <c r="G669" s="266"/>
      <c r="H669" s="266"/>
      <c r="I669" s="265"/>
    </row>
    <row r="670" hidden="1" outlineLevel="2">
      <c r="A670" s="245" t="s">
        <v>72</v>
      </c>
      <c r="B670" s="264">
        <f t="shared" si="163"/>
        <v>8</v>
      </c>
      <c r="C670" s="268"/>
      <c r="D670" s="268"/>
      <c r="E670" s="267"/>
      <c r="F670" s="268"/>
      <c r="G670" s="267"/>
      <c r="H670" s="267">
        <v>8.0</v>
      </c>
      <c r="I670" s="268"/>
    </row>
    <row r="671" hidden="1" outlineLevel="2">
      <c r="A671" s="251"/>
      <c r="B671" s="251"/>
      <c r="C671" s="251"/>
      <c r="D671" s="251"/>
      <c r="E671" s="251"/>
      <c r="F671" s="251"/>
      <c r="G671" s="251"/>
      <c r="H671" s="251"/>
      <c r="I671" s="251"/>
    </row>
    <row r="672" hidden="1" outlineLevel="1" collapsed="1">
      <c r="A672" s="52" t="s">
        <v>1268</v>
      </c>
    </row>
    <row r="673" hidden="1" outlineLevel="2">
      <c r="A673" s="55" t="s">
        <v>67</v>
      </c>
    </row>
    <row r="674" hidden="1" outlineLevel="2">
      <c r="A674" s="57" t="s">
        <v>68</v>
      </c>
      <c r="B674" s="59" t="s">
        <v>11</v>
      </c>
      <c r="C674" s="59" t="s">
        <v>71</v>
      </c>
      <c r="D674" s="62">
        <v>46153.0</v>
      </c>
      <c r="E674" s="62">
        <v>46154.0</v>
      </c>
      <c r="F674" s="62">
        <v>46155.0</v>
      </c>
      <c r="G674" s="62">
        <v>46156.0</v>
      </c>
      <c r="H674" s="62">
        <v>46157.0</v>
      </c>
      <c r="I674" s="62">
        <v>46158.0</v>
      </c>
      <c r="J674" s="62">
        <v>46159.0</v>
      </c>
      <c r="K674" s="76" t="s">
        <v>77</v>
      </c>
      <c r="L674" s="78" t="s">
        <v>78</v>
      </c>
    </row>
    <row r="675" hidden="1" outlineLevel="2">
      <c r="A675" s="414"/>
      <c r="B675" s="308"/>
      <c r="C675" s="308"/>
      <c r="D675" s="82" t="s">
        <v>80</v>
      </c>
      <c r="E675" s="82" t="str">
        <f t="shared" ref="E675:J675" si="164">text(E674,"ddd")</f>
        <v>Tue</v>
      </c>
      <c r="F675" s="82" t="str">
        <f t="shared" si="164"/>
        <v>Wed</v>
      </c>
      <c r="G675" s="82" t="str">
        <f t="shared" si="164"/>
        <v>Thu</v>
      </c>
      <c r="H675" s="82" t="str">
        <f t="shared" si="164"/>
        <v>Fri</v>
      </c>
      <c r="I675" s="82" t="str">
        <f t="shared" si="164"/>
        <v>Sat</v>
      </c>
      <c r="J675" s="82" t="str">
        <f t="shared" si="164"/>
        <v>Sun</v>
      </c>
      <c r="K675" s="92"/>
      <c r="L675" s="81"/>
    </row>
    <row r="676" hidden="1" outlineLevel="2">
      <c r="A676" s="399" t="s">
        <v>92</v>
      </c>
      <c r="B676" s="400">
        <f>15+15+7+10+20</f>
        <v>67</v>
      </c>
      <c r="C676" s="400">
        <f t="shared" ref="C676:C683" si="165">SUM(D676:J676)</f>
        <v>71</v>
      </c>
      <c r="D676" s="401">
        <v>17.0</v>
      </c>
      <c r="E676" s="401">
        <v>17.0</v>
      </c>
      <c r="F676" s="401">
        <v>7.0</v>
      </c>
      <c r="G676" s="401">
        <v>9.0</v>
      </c>
      <c r="H676" s="401">
        <v>21.0</v>
      </c>
      <c r="I676" s="401" t="s">
        <v>51</v>
      </c>
      <c r="J676" s="108" t="s">
        <v>51</v>
      </c>
      <c r="K676" s="118">
        <f t="shared" ref="K676:K683" si="166">iferror(C676/B676,"-")</f>
        <v>1.059701493</v>
      </c>
      <c r="L676" s="125">
        <f t="shared" ref="L676:L683" si="167">(IF(K676="",(0),IF(K676&gt;=1,(5),IF(K676&gt;=0.9,(4),IF(K676&gt;=0.8,(3),IF(K676&gt;=0.69,(2),IF(K676&lt;=0.69,(1))))))))</f>
        <v>5</v>
      </c>
    </row>
    <row r="677" hidden="1" outlineLevel="2">
      <c r="A677" s="396" t="s">
        <v>61</v>
      </c>
      <c r="B677" s="397">
        <f>30+25+5</f>
        <v>60</v>
      </c>
      <c r="C677" s="397">
        <f t="shared" si="165"/>
        <v>60</v>
      </c>
      <c r="D677" s="419">
        <v>30.0</v>
      </c>
      <c r="E677" s="398">
        <v>26.0</v>
      </c>
      <c r="F677" s="398" t="s">
        <v>145</v>
      </c>
      <c r="G677" s="398" t="s">
        <v>145</v>
      </c>
      <c r="H677" s="398" t="s">
        <v>51</v>
      </c>
      <c r="I677" s="398" t="s">
        <v>51</v>
      </c>
      <c r="J677" s="108">
        <v>4.0</v>
      </c>
      <c r="K677" s="118">
        <f t="shared" si="166"/>
        <v>1</v>
      </c>
      <c r="L677" s="125">
        <f t="shared" si="167"/>
        <v>5</v>
      </c>
    </row>
    <row r="678" hidden="1" outlineLevel="2">
      <c r="A678" s="399" t="s">
        <v>21</v>
      </c>
      <c r="B678" s="400">
        <f>20+20+20+20+15</f>
        <v>95</v>
      </c>
      <c r="C678" s="400">
        <f t="shared" si="165"/>
        <v>93</v>
      </c>
      <c r="D678" s="401">
        <v>18.0</v>
      </c>
      <c r="E678" s="401">
        <v>21.0</v>
      </c>
      <c r="F678" s="401">
        <v>18.0</v>
      </c>
      <c r="G678" s="401">
        <v>21.0</v>
      </c>
      <c r="H678" s="401" t="s">
        <v>51</v>
      </c>
      <c r="I678" s="401" t="s">
        <v>51</v>
      </c>
      <c r="J678" s="108">
        <v>15.0</v>
      </c>
      <c r="K678" s="118">
        <f t="shared" si="166"/>
        <v>0.9789473684</v>
      </c>
      <c r="L678" s="125">
        <f t="shared" si="167"/>
        <v>4</v>
      </c>
    </row>
    <row r="679" hidden="1" outlineLevel="2">
      <c r="A679" s="396" t="s">
        <v>74</v>
      </c>
      <c r="B679" s="397">
        <f>20+15+20+15+15+5</f>
        <v>90</v>
      </c>
      <c r="C679" s="397">
        <f t="shared" si="165"/>
        <v>90</v>
      </c>
      <c r="D679" s="398">
        <v>20.0</v>
      </c>
      <c r="E679" s="398">
        <v>17.0</v>
      </c>
      <c r="F679" s="398">
        <v>18.0</v>
      </c>
      <c r="G679" s="398">
        <v>10.0</v>
      </c>
      <c r="H679" s="398" t="s">
        <v>51</v>
      </c>
      <c r="I679" s="398">
        <v>17.0</v>
      </c>
      <c r="J679" s="108">
        <v>8.0</v>
      </c>
      <c r="K679" s="118">
        <f t="shared" si="166"/>
        <v>1</v>
      </c>
      <c r="L679" s="125">
        <f t="shared" si="167"/>
        <v>5</v>
      </c>
    </row>
    <row r="680" hidden="1" outlineLevel="2">
      <c r="A680" s="236" t="s">
        <v>53</v>
      </c>
      <c r="B680" s="405">
        <f>15+10+15+15+10</f>
        <v>65</v>
      </c>
      <c r="C680" s="400">
        <f t="shared" si="165"/>
        <v>63</v>
      </c>
      <c r="D680" s="401" t="s">
        <v>51</v>
      </c>
      <c r="E680" s="401" t="s">
        <v>51</v>
      </c>
      <c r="F680" s="401">
        <v>13.0</v>
      </c>
      <c r="G680" s="401">
        <v>10.0</v>
      </c>
      <c r="H680" s="401">
        <v>13.0</v>
      </c>
      <c r="I680" s="401">
        <v>16.0</v>
      </c>
      <c r="J680" s="108">
        <v>11.0</v>
      </c>
      <c r="K680" s="118">
        <f t="shared" si="166"/>
        <v>0.9692307692</v>
      </c>
      <c r="L680" s="125">
        <f t="shared" si="167"/>
        <v>4</v>
      </c>
    </row>
    <row r="681" hidden="1" outlineLevel="2">
      <c r="A681" s="241" t="s">
        <v>85</v>
      </c>
      <c r="B681" s="397">
        <f>30+30+30+30+25</f>
        <v>145</v>
      </c>
      <c r="C681" s="397">
        <f t="shared" si="165"/>
        <v>138</v>
      </c>
      <c r="D681" s="398">
        <v>29.0</v>
      </c>
      <c r="E681" s="398">
        <v>27.0</v>
      </c>
      <c r="F681" s="398">
        <v>31.0</v>
      </c>
      <c r="G681" s="398">
        <v>29.0</v>
      </c>
      <c r="H681" s="398">
        <v>22.0</v>
      </c>
      <c r="I681" s="398" t="s">
        <v>51</v>
      </c>
      <c r="J681" s="108" t="s">
        <v>51</v>
      </c>
      <c r="K681" s="118">
        <f t="shared" si="166"/>
        <v>0.9517241379</v>
      </c>
      <c r="L681" s="125">
        <f t="shared" si="167"/>
        <v>4</v>
      </c>
    </row>
    <row r="682" hidden="1" outlineLevel="2">
      <c r="A682" s="245" t="s">
        <v>7</v>
      </c>
      <c r="B682" s="405">
        <f>20+15+15+5+15</f>
        <v>70</v>
      </c>
      <c r="C682" s="400">
        <f t="shared" si="165"/>
        <v>49</v>
      </c>
      <c r="D682" s="401">
        <v>18.0</v>
      </c>
      <c r="E682" s="401" t="s">
        <v>51</v>
      </c>
      <c r="F682" s="401" t="s">
        <v>51</v>
      </c>
      <c r="G682" s="401">
        <v>15.0</v>
      </c>
      <c r="H682" s="401">
        <v>12.0</v>
      </c>
      <c r="I682" s="401" t="s">
        <v>261</v>
      </c>
      <c r="J682" s="151">
        <v>4.0</v>
      </c>
      <c r="K682" s="118">
        <f t="shared" si="166"/>
        <v>0.7</v>
      </c>
      <c r="L682" s="125">
        <f t="shared" si="167"/>
        <v>2</v>
      </c>
    </row>
    <row r="683" hidden="1" outlineLevel="2">
      <c r="A683" s="241" t="s">
        <v>514</v>
      </c>
      <c r="B683" s="404">
        <f>20+20+20+15+15</f>
        <v>90</v>
      </c>
      <c r="C683" s="397">
        <f t="shared" si="165"/>
        <v>88</v>
      </c>
      <c r="D683" s="398">
        <v>15.0</v>
      </c>
      <c r="E683" s="398">
        <v>23.0</v>
      </c>
      <c r="F683" s="398">
        <v>21.0</v>
      </c>
      <c r="G683" s="398">
        <v>16.0</v>
      </c>
      <c r="H683" s="398">
        <v>13.0</v>
      </c>
      <c r="I683" s="398" t="s">
        <v>51</v>
      </c>
      <c r="J683" s="108" t="s">
        <v>51</v>
      </c>
      <c r="K683" s="118">
        <f t="shared" si="166"/>
        <v>0.9777777778</v>
      </c>
      <c r="L683" s="125">
        <f t="shared" si="167"/>
        <v>4</v>
      </c>
    </row>
    <row r="684" hidden="1" outlineLevel="2"/>
    <row r="685" hidden="1" outlineLevel="2">
      <c r="A685" s="55" t="s">
        <v>87</v>
      </c>
      <c r="I685" s="55"/>
    </row>
    <row r="686" hidden="1" outlineLevel="2">
      <c r="A686" s="57" t="s">
        <v>68</v>
      </c>
      <c r="B686" s="158" t="s">
        <v>157</v>
      </c>
      <c r="C686" s="158" t="s">
        <v>158</v>
      </c>
      <c r="D686" s="158" t="s">
        <v>90</v>
      </c>
      <c r="E686" s="158" t="s">
        <v>91</v>
      </c>
      <c r="F686" s="158" t="s">
        <v>93</v>
      </c>
      <c r="G686" s="161" t="s">
        <v>94</v>
      </c>
      <c r="H686" s="161" t="s">
        <v>160</v>
      </c>
    </row>
    <row r="687" hidden="1" outlineLevel="2">
      <c r="A687" s="414"/>
      <c r="B687" s="308"/>
      <c r="C687" s="308"/>
      <c r="D687" s="308"/>
      <c r="E687" s="308"/>
      <c r="F687" s="308"/>
      <c r="G687" s="308"/>
      <c r="H687" s="308"/>
    </row>
    <row r="688" hidden="1" outlineLevel="2">
      <c r="A688" s="399" t="s">
        <v>92</v>
      </c>
      <c r="B688" s="401">
        <v>74.0</v>
      </c>
      <c r="C688" s="401">
        <v>71.0</v>
      </c>
      <c r="D688" s="408">
        <f t="shared" ref="D688:D695" si="168">B688-C688</f>
        <v>3</v>
      </c>
      <c r="E688" s="409">
        <f t="shared" ref="E688:E695" si="169">IFERROR(C688/B688,"")</f>
        <v>0.9594594595</v>
      </c>
      <c r="F688" s="410">
        <v>0.002210648148148148</v>
      </c>
      <c r="G688" s="171">
        <f t="shared" ref="G688:G695" si="170">IFERROR((IF(E688="",(0),IF(E688&gt;=0.98,(5),IF(E688&gt;=0.95,(4.5),IF(E688&gt;=0.9,(4),IF(E688&gt;=0.8,(3),IF(E688&lt;=0.69,(1)))))))),"")</f>
        <v>4.5</v>
      </c>
      <c r="H688" s="171">
        <f>ROUND(
IF(F688="",
0,
MAX(1, 5 - MAX(0, (F688 - TIME(0,4,0)) / TIME(0,1,0) * 0.5))
),
2
)
</f>
        <v>5</v>
      </c>
    </row>
    <row r="689" hidden="1" outlineLevel="2">
      <c r="A689" s="396" t="s">
        <v>61</v>
      </c>
      <c r="B689" s="398">
        <v>61.0</v>
      </c>
      <c r="C689" s="398">
        <v>60.0</v>
      </c>
      <c r="D689" s="141">
        <f t="shared" si="168"/>
        <v>1</v>
      </c>
      <c r="E689" s="406">
        <f t="shared" si="169"/>
        <v>0.9836065574</v>
      </c>
      <c r="F689" s="407">
        <v>0.003715277777777778</v>
      </c>
      <c r="G689" s="171">
        <f t="shared" si="170"/>
        <v>5</v>
      </c>
      <c r="H689" s="171">
        <f>ROUND(
IF(F689="",
0,
MAX(1, 5 - MAX(0, (F689 - TIME(0,5,0)) / TIME(0,1,0) * 0.5))
),
2
)
</f>
        <v>4.83</v>
      </c>
    </row>
    <row r="690" hidden="1" outlineLevel="2">
      <c r="A690" s="399" t="s">
        <v>21</v>
      </c>
      <c r="B690" s="401">
        <v>94.0</v>
      </c>
      <c r="C690" s="401">
        <v>92.0</v>
      </c>
      <c r="D690" s="408">
        <f t="shared" si="168"/>
        <v>2</v>
      </c>
      <c r="E690" s="409">
        <f t="shared" si="169"/>
        <v>0.9787234043</v>
      </c>
      <c r="F690" s="410">
        <v>0.003912037037037037</v>
      </c>
      <c r="G690" s="171">
        <f t="shared" si="170"/>
        <v>4.5</v>
      </c>
      <c r="H690" s="171">
        <f>ROUND(
IF(F690="",
0,
MAX(1, 5 - MAX(0, (F690 - TIME(0,4,0)) / TIME(0,1,0) * 0.5))
),
2
)
</f>
        <v>4.18</v>
      </c>
    </row>
    <row r="691" hidden="1" outlineLevel="2">
      <c r="A691" s="396" t="s">
        <v>74</v>
      </c>
      <c r="B691" s="398">
        <v>94.0</v>
      </c>
      <c r="C691" s="398">
        <v>90.0</v>
      </c>
      <c r="D691" s="141">
        <f t="shared" si="168"/>
        <v>4</v>
      </c>
      <c r="E691" s="406">
        <f t="shared" si="169"/>
        <v>0.9574468085</v>
      </c>
      <c r="F691" s="407">
        <v>0.0032407407407407406</v>
      </c>
      <c r="G691" s="171">
        <f t="shared" si="170"/>
        <v>4.5</v>
      </c>
      <c r="H691" s="171">
        <f>ROUND(
IF(F691="",
0,
MAX(1, 5 - MAX(0, (F691 - TIME(0,5,0)) / TIME(0,1,0) * 0.5))
),
2
)
</f>
        <v>5</v>
      </c>
    </row>
    <row r="692" hidden="1" outlineLevel="2">
      <c r="A692" s="236" t="s">
        <v>53</v>
      </c>
      <c r="B692" s="401">
        <v>65.0</v>
      </c>
      <c r="C692" s="401">
        <v>63.0</v>
      </c>
      <c r="D692" s="408">
        <f t="shared" si="168"/>
        <v>2</v>
      </c>
      <c r="E692" s="409">
        <f t="shared" si="169"/>
        <v>0.9692307692</v>
      </c>
      <c r="F692" s="410">
        <v>0.003263888888888889</v>
      </c>
      <c r="G692" s="171">
        <f t="shared" si="170"/>
        <v>4.5</v>
      </c>
      <c r="H692" s="171">
        <f>ROUND(
IF(F692="",
0,
MAX(1, 5 - MAX(0, (F692 - TIME(0,4,0)) / TIME(0,1,0) * 0.5))
),
2
)
</f>
        <v>4.65</v>
      </c>
    </row>
    <row r="693" hidden="1" outlineLevel="2">
      <c r="A693" s="241" t="s">
        <v>85</v>
      </c>
      <c r="B693" s="398">
        <v>138.0</v>
      </c>
      <c r="C693" s="398">
        <v>138.0</v>
      </c>
      <c r="D693" s="141">
        <f t="shared" si="168"/>
        <v>0</v>
      </c>
      <c r="E693" s="406">
        <f t="shared" si="169"/>
        <v>1</v>
      </c>
      <c r="F693" s="407">
        <v>0.0046875</v>
      </c>
      <c r="G693" s="171">
        <f t="shared" si="170"/>
        <v>5</v>
      </c>
      <c r="H693" s="171">
        <f t="shared" ref="H693:H695" si="171">ROUND(
IF(F693="",
0,
MAX(1, 5 - MAX(0, (F693 - TIME(0,5,0)) / TIME(0,1,0) * 0.5))
),
2
)
</f>
        <v>4.13</v>
      </c>
    </row>
    <row r="694" hidden="1" outlineLevel="2">
      <c r="A694" s="245" t="s">
        <v>7</v>
      </c>
      <c r="B694" s="401">
        <v>50.0</v>
      </c>
      <c r="C694" s="401">
        <v>49.0</v>
      </c>
      <c r="D694" s="408">
        <f t="shared" si="168"/>
        <v>1</v>
      </c>
      <c r="E694" s="409">
        <f t="shared" si="169"/>
        <v>0.98</v>
      </c>
      <c r="F694" s="410">
        <v>0.005046296296296296</v>
      </c>
      <c r="G694" s="171">
        <f t="shared" si="170"/>
        <v>5</v>
      </c>
      <c r="H694" s="171">
        <f t="shared" si="171"/>
        <v>3.87</v>
      </c>
    </row>
    <row r="695" hidden="1" outlineLevel="2">
      <c r="A695" s="241" t="s">
        <v>514</v>
      </c>
      <c r="B695" s="398">
        <v>89.0</v>
      </c>
      <c r="C695" s="398">
        <v>88.0</v>
      </c>
      <c r="D695" s="141">
        <f t="shared" si="168"/>
        <v>1</v>
      </c>
      <c r="E695" s="406">
        <f t="shared" si="169"/>
        <v>0.9887640449</v>
      </c>
      <c r="F695" s="407">
        <v>0.004050925925925926</v>
      </c>
      <c r="G695" s="171">
        <f t="shared" si="170"/>
        <v>5</v>
      </c>
      <c r="H695" s="171">
        <f t="shared" si="171"/>
        <v>4.58</v>
      </c>
    </row>
    <row r="696" hidden="1" outlineLevel="2"/>
    <row r="697" hidden="1" outlineLevel="2">
      <c r="A697" s="55" t="s">
        <v>195</v>
      </c>
    </row>
    <row r="698" hidden="1" outlineLevel="2">
      <c r="A698" s="192" t="s">
        <v>196</v>
      </c>
      <c r="B698" s="193" t="s">
        <v>198</v>
      </c>
      <c r="C698" s="195" t="s">
        <v>199</v>
      </c>
      <c r="D698" s="195" t="s">
        <v>200</v>
      </c>
      <c r="E698" s="197" t="s">
        <v>201</v>
      </c>
      <c r="F698" s="199" t="s">
        <v>202</v>
      </c>
      <c r="G698" s="201"/>
    </row>
    <row r="699" hidden="1" outlineLevel="2">
      <c r="A699" s="220" t="s">
        <v>4</v>
      </c>
      <c r="B699" s="223">
        <f t="shared" ref="B699:B706" si="172">(C699*0.3)+(D699*0.1)</f>
        <v>0.4</v>
      </c>
      <c r="C699" s="210">
        <v>1.0</v>
      </c>
      <c r="D699" s="210">
        <f>Dan!D488</f>
        <v>1</v>
      </c>
      <c r="E699" s="226">
        <f t="shared" ref="E699:E706" si="173">(L676+G688+H688)/15*0.3</f>
        <v>0.29</v>
      </c>
      <c r="F699" s="218">
        <f t="shared" ref="F699:F706" si="174">(E699/30%)*10</f>
        <v>9.666666667</v>
      </c>
      <c r="G699" s="201"/>
      <c r="H699" s="201"/>
      <c r="I699" s="201"/>
      <c r="J699" s="201"/>
    </row>
    <row r="700" hidden="1" outlineLevel="2">
      <c r="A700" s="227" t="s">
        <v>57</v>
      </c>
      <c r="B700" s="229">
        <f t="shared" si="172"/>
        <v>0.4</v>
      </c>
      <c r="C700" s="210">
        <v>1.0</v>
      </c>
      <c r="D700" s="210">
        <f>Godwin!D488</f>
        <v>1</v>
      </c>
      <c r="E700" s="232">
        <f t="shared" si="173"/>
        <v>0.2966</v>
      </c>
      <c r="F700" s="218">
        <f t="shared" si="174"/>
        <v>9.886666667</v>
      </c>
      <c r="G700" s="201"/>
      <c r="H700" s="201"/>
      <c r="I700" s="201"/>
      <c r="J700" s="201"/>
    </row>
    <row r="701" hidden="1" outlineLevel="2">
      <c r="A701" s="220" t="s">
        <v>21</v>
      </c>
      <c r="B701" s="223">
        <f t="shared" si="172"/>
        <v>0.36001</v>
      </c>
      <c r="C701" s="210">
        <v>0.8667</v>
      </c>
      <c r="D701" s="231">
        <f>Candy!D360</f>
        <v>1</v>
      </c>
      <c r="E701" s="226">
        <f t="shared" si="173"/>
        <v>0.2536</v>
      </c>
      <c r="F701" s="218">
        <f t="shared" si="174"/>
        <v>8.453333333</v>
      </c>
      <c r="G701" s="201"/>
      <c r="H701" s="201"/>
      <c r="I701" s="201"/>
      <c r="J701" s="201"/>
    </row>
    <row r="702" hidden="1" outlineLevel="2">
      <c r="A702" s="227" t="s">
        <v>32</v>
      </c>
      <c r="B702" s="229">
        <f t="shared" si="172"/>
        <v>0.4</v>
      </c>
      <c r="C702" s="210">
        <v>1.0</v>
      </c>
      <c r="D702" s="231">
        <f>Claudette!D488</f>
        <v>1</v>
      </c>
      <c r="E702" s="232">
        <f t="shared" si="173"/>
        <v>0.29</v>
      </c>
      <c r="F702" s="218">
        <f t="shared" si="174"/>
        <v>9.666666667</v>
      </c>
      <c r="G702" s="201"/>
      <c r="H702" s="201"/>
      <c r="I702" s="201"/>
      <c r="J702" s="201"/>
    </row>
    <row r="703" hidden="1" outlineLevel="2">
      <c r="A703" s="272" t="s">
        <v>58</v>
      </c>
      <c r="B703" s="223">
        <f t="shared" si="172"/>
        <v>0.1</v>
      </c>
      <c r="C703" s="210">
        <v>0.0</v>
      </c>
      <c r="D703" s="231">
        <f>Sofhia!D488</f>
        <v>1</v>
      </c>
      <c r="E703" s="226">
        <f t="shared" si="173"/>
        <v>0.263</v>
      </c>
      <c r="F703" s="218">
        <f t="shared" si="174"/>
        <v>8.766666667</v>
      </c>
      <c r="G703" s="201"/>
      <c r="H703" s="201"/>
      <c r="I703" s="201"/>
      <c r="J703" s="201"/>
    </row>
    <row r="704" hidden="1" outlineLevel="2">
      <c r="A704" s="245" t="s">
        <v>85</v>
      </c>
      <c r="B704" s="229">
        <f t="shared" si="172"/>
        <v>0.4</v>
      </c>
      <c r="C704" s="210">
        <v>1.0</v>
      </c>
      <c r="D704" s="231">
        <f>Cherry!D306</f>
        <v>1</v>
      </c>
      <c r="E704" s="232">
        <f t="shared" si="173"/>
        <v>0.2626</v>
      </c>
      <c r="F704" s="218">
        <f t="shared" si="174"/>
        <v>8.753333333</v>
      </c>
      <c r="G704" s="201"/>
      <c r="H704" s="201"/>
      <c r="I704" s="201"/>
      <c r="J704" s="201"/>
    </row>
    <row r="705" hidden="1" outlineLevel="2">
      <c r="A705" s="241" t="s">
        <v>7</v>
      </c>
      <c r="B705" s="223">
        <f t="shared" si="172"/>
        <v>0.38</v>
      </c>
      <c r="C705" s="210">
        <v>1.0</v>
      </c>
      <c r="D705" s="231">
        <f>Lyra!D287</f>
        <v>0.8</v>
      </c>
      <c r="E705" s="226">
        <f t="shared" si="173"/>
        <v>0.2174</v>
      </c>
      <c r="F705" s="218">
        <f t="shared" si="174"/>
        <v>7.246666667</v>
      </c>
      <c r="G705" s="201"/>
      <c r="H705" s="201"/>
      <c r="I705" s="201"/>
      <c r="J705" s="201"/>
    </row>
    <row r="706" hidden="1" outlineLevel="2">
      <c r="A706" s="245" t="s">
        <v>514</v>
      </c>
      <c r="B706" s="229">
        <f t="shared" si="172"/>
        <v>0.36001</v>
      </c>
      <c r="C706" s="210">
        <v>0.8667</v>
      </c>
      <c r="D706" s="231">
        <f>Mikka!D232</f>
        <v>1</v>
      </c>
      <c r="E706" s="232">
        <f t="shared" si="173"/>
        <v>0.2716</v>
      </c>
      <c r="F706" s="218">
        <f t="shared" si="174"/>
        <v>9.053333333</v>
      </c>
      <c r="G706" s="201"/>
      <c r="H706" s="201"/>
      <c r="I706" s="201"/>
      <c r="J706" s="201"/>
    </row>
    <row r="707" hidden="1" outlineLevel="2">
      <c r="A707" s="251"/>
      <c r="B707" s="251"/>
      <c r="C707" s="252"/>
      <c r="D707" s="253"/>
      <c r="E707" s="254"/>
      <c r="F707" s="201"/>
      <c r="G707" s="201"/>
      <c r="H707" s="201"/>
      <c r="I707" s="201"/>
      <c r="J707" s="201"/>
    </row>
    <row r="708" hidden="1" outlineLevel="2">
      <c r="A708" s="55" t="s">
        <v>222</v>
      </c>
      <c r="B708" s="251"/>
      <c r="C708" s="252"/>
      <c r="D708" s="253"/>
      <c r="E708" s="254"/>
      <c r="F708" s="201"/>
      <c r="G708" s="201"/>
      <c r="H708" s="201"/>
      <c r="I708" s="201"/>
      <c r="J708" s="201"/>
    </row>
    <row r="709" hidden="1" outlineLevel="2">
      <c r="A709" s="256" t="s">
        <v>196</v>
      </c>
      <c r="B709" s="257" t="s">
        <v>223</v>
      </c>
      <c r="C709" s="62">
        <v>46153.0</v>
      </c>
      <c r="D709" s="62">
        <v>46154.0</v>
      </c>
      <c r="E709" s="62">
        <v>46155.0</v>
      </c>
      <c r="F709" s="62">
        <v>46156.0</v>
      </c>
      <c r="G709" s="62">
        <v>46157.0</v>
      </c>
      <c r="H709" s="62">
        <v>46158.0</v>
      </c>
      <c r="I709" s="62">
        <v>46159.0</v>
      </c>
      <c r="J709" s="201"/>
    </row>
    <row r="710" hidden="1" outlineLevel="2">
      <c r="A710" s="258"/>
      <c r="B710" s="258"/>
      <c r="C710" s="82" t="s">
        <v>80</v>
      </c>
      <c r="D710" s="82" t="s">
        <v>226</v>
      </c>
      <c r="E710" s="82" t="s">
        <v>227</v>
      </c>
      <c r="F710" s="82" t="s">
        <v>228</v>
      </c>
      <c r="G710" s="82" t="s">
        <v>230</v>
      </c>
      <c r="H710" s="82" t="s">
        <v>231</v>
      </c>
      <c r="I710" s="82" t="s">
        <v>232</v>
      </c>
    </row>
    <row r="711" hidden="1" outlineLevel="2">
      <c r="A711" s="220" t="s">
        <v>4</v>
      </c>
      <c r="B711" s="264">
        <f t="shared" ref="B711:B718" si="175">Sum(C711:I711)</f>
        <v>0</v>
      </c>
      <c r="C711" s="266"/>
      <c r="D711" s="265"/>
      <c r="E711" s="265"/>
      <c r="F711" s="265"/>
      <c r="G711" s="266"/>
      <c r="H711" s="266"/>
      <c r="I711" s="266"/>
    </row>
    <row r="712" hidden="1" outlineLevel="2">
      <c r="A712" s="227" t="s">
        <v>57</v>
      </c>
      <c r="B712" s="264">
        <f t="shared" si="175"/>
        <v>0</v>
      </c>
      <c r="C712" s="267"/>
      <c r="D712" s="267"/>
      <c r="E712" s="267"/>
      <c r="F712" s="267"/>
      <c r="G712" s="267"/>
      <c r="H712" s="268"/>
      <c r="I712" s="267"/>
    </row>
    <row r="713" hidden="1" outlineLevel="2">
      <c r="A713" s="220" t="s">
        <v>21</v>
      </c>
      <c r="B713" s="264">
        <f t="shared" si="175"/>
        <v>0</v>
      </c>
      <c r="C713" s="266"/>
      <c r="D713" s="265"/>
      <c r="E713" s="266"/>
      <c r="F713" s="266"/>
      <c r="G713" s="266"/>
      <c r="H713" s="266"/>
      <c r="I713" s="265"/>
    </row>
    <row r="714" hidden="1" outlineLevel="2">
      <c r="A714" s="227" t="s">
        <v>32</v>
      </c>
      <c r="B714" s="264">
        <f t="shared" si="175"/>
        <v>8</v>
      </c>
      <c r="C714" s="267"/>
      <c r="D714" s="267"/>
      <c r="E714" s="267"/>
      <c r="F714" s="267">
        <v>8.0</v>
      </c>
      <c r="G714" s="267"/>
      <c r="H714" s="267"/>
      <c r="I714" s="268"/>
    </row>
    <row r="715" hidden="1" outlineLevel="2">
      <c r="A715" s="272" t="s">
        <v>58</v>
      </c>
      <c r="B715" s="264">
        <f t="shared" si="175"/>
        <v>0</v>
      </c>
      <c r="C715" s="266"/>
      <c r="D715" s="266"/>
      <c r="E715" s="266"/>
      <c r="F715" s="266"/>
      <c r="G715" s="266"/>
      <c r="H715" s="266"/>
      <c r="I715" s="265"/>
    </row>
    <row r="716" ht="16.5" hidden="1" customHeight="1" outlineLevel="2">
      <c r="A716" s="245" t="s">
        <v>85</v>
      </c>
      <c r="B716" s="264">
        <f t="shared" si="175"/>
        <v>0</v>
      </c>
      <c r="C716" s="267"/>
      <c r="D716" s="267"/>
      <c r="E716" s="267"/>
      <c r="F716" s="267"/>
      <c r="G716" s="267"/>
      <c r="H716" s="267"/>
      <c r="I716" s="267"/>
    </row>
    <row r="717" hidden="1" outlineLevel="2">
      <c r="A717" s="241" t="s">
        <v>7</v>
      </c>
      <c r="B717" s="264">
        <f t="shared" si="175"/>
        <v>0</v>
      </c>
      <c r="C717" s="265"/>
      <c r="D717" s="265"/>
      <c r="E717" s="266"/>
      <c r="F717" s="266"/>
      <c r="G717" s="266"/>
      <c r="H717" s="266"/>
      <c r="I717" s="265"/>
    </row>
    <row r="718" hidden="1" outlineLevel="2">
      <c r="A718" s="245" t="s">
        <v>72</v>
      </c>
      <c r="B718" s="264">
        <f t="shared" si="175"/>
        <v>0</v>
      </c>
      <c r="C718" s="268"/>
      <c r="D718" s="268"/>
      <c r="E718" s="267"/>
      <c r="F718" s="268"/>
      <c r="G718" s="267"/>
      <c r="H718" s="267"/>
      <c r="I718" s="268"/>
    </row>
    <row r="719" hidden="1" outlineLevel="2">
      <c r="A719" s="251"/>
      <c r="B719" s="251"/>
      <c r="C719" s="251"/>
      <c r="D719" s="251"/>
      <c r="E719" s="251"/>
      <c r="F719" s="251"/>
      <c r="G719" s="251"/>
      <c r="H719" s="251"/>
      <c r="I719" s="251"/>
    </row>
    <row r="720" hidden="1" outlineLevel="1" collapsed="1">
      <c r="A720" s="52" t="s">
        <v>1347</v>
      </c>
    </row>
    <row r="721" hidden="1" outlineLevel="2">
      <c r="A721" s="55" t="s">
        <v>67</v>
      </c>
    </row>
    <row r="722" hidden="1" outlineLevel="2">
      <c r="A722" s="57" t="s">
        <v>68</v>
      </c>
      <c r="B722" s="59" t="s">
        <v>11</v>
      </c>
      <c r="C722" s="59" t="s">
        <v>71</v>
      </c>
      <c r="D722" s="62">
        <v>46160.0</v>
      </c>
      <c r="E722" s="62">
        <v>46161.0</v>
      </c>
      <c r="F722" s="62">
        <v>46162.0</v>
      </c>
      <c r="G722" s="62">
        <v>46163.0</v>
      </c>
      <c r="H722" s="62">
        <v>46164.0</v>
      </c>
      <c r="I722" s="62">
        <v>46165.0</v>
      </c>
      <c r="J722" s="62">
        <v>46166.0</v>
      </c>
      <c r="K722" s="76" t="s">
        <v>77</v>
      </c>
      <c r="L722" s="78" t="s">
        <v>78</v>
      </c>
    </row>
    <row r="723" hidden="1" outlineLevel="2">
      <c r="A723" s="414"/>
      <c r="B723" s="308"/>
      <c r="C723" s="308"/>
      <c r="D723" s="82" t="s">
        <v>80</v>
      </c>
      <c r="E723" s="82" t="str">
        <f t="shared" ref="E723:J723" si="176">text(E722,"ddd")</f>
        <v>Tue</v>
      </c>
      <c r="F723" s="82" t="str">
        <f t="shared" si="176"/>
        <v>Wed</v>
      </c>
      <c r="G723" s="82" t="str">
        <f t="shared" si="176"/>
        <v>Thu</v>
      </c>
      <c r="H723" s="82" t="str">
        <f t="shared" si="176"/>
        <v>Fri</v>
      </c>
      <c r="I723" s="82" t="str">
        <f t="shared" si="176"/>
        <v>Sat</v>
      </c>
      <c r="J723" s="82" t="str">
        <f t="shared" si="176"/>
        <v>Sun</v>
      </c>
      <c r="K723" s="92"/>
      <c r="L723" s="81"/>
    </row>
    <row r="724" hidden="1" outlineLevel="2">
      <c r="A724" s="399" t="s">
        <v>92</v>
      </c>
      <c r="B724" s="400">
        <f>20+10+10+15</f>
        <v>55</v>
      </c>
      <c r="C724" s="400">
        <f t="shared" ref="C724:C731" si="177">SUM(D724:J724)</f>
        <v>61</v>
      </c>
      <c r="D724" s="401" t="s">
        <v>145</v>
      </c>
      <c r="E724" s="401">
        <v>23.0</v>
      </c>
      <c r="F724" s="401">
        <v>12.0</v>
      </c>
      <c r="G724" s="401">
        <v>9.0</v>
      </c>
      <c r="H724" s="401">
        <v>17.0</v>
      </c>
      <c r="I724" s="401" t="s">
        <v>51</v>
      </c>
      <c r="J724" s="108" t="s">
        <v>51</v>
      </c>
      <c r="K724" s="118">
        <f t="shared" ref="K724:K731" si="178">iferror(C724/B724,"-")</f>
        <v>1.109090909</v>
      </c>
      <c r="L724" s="125">
        <f t="shared" ref="L724:L731" si="179">(IF(K724="",(0),IF(K724&gt;=1,(5),IF(K724&gt;=0.9,(4),IF(K724&gt;=0.8,(3),IF(K724&gt;=0.69,(2),IF(K724&lt;=0.69,(1))))))))</f>
        <v>5</v>
      </c>
    </row>
    <row r="725" hidden="1" outlineLevel="2">
      <c r="A725" s="396" t="s">
        <v>61</v>
      </c>
      <c r="B725" s="397">
        <f>15+15+20+25+15</f>
        <v>90</v>
      </c>
      <c r="C725" s="397">
        <f t="shared" si="177"/>
        <v>92</v>
      </c>
      <c r="D725" s="419">
        <v>18.0</v>
      </c>
      <c r="E725" s="398">
        <v>13.0</v>
      </c>
      <c r="F725" s="398">
        <v>22.0</v>
      </c>
      <c r="G725" s="398">
        <v>23.0</v>
      </c>
      <c r="H725" s="398">
        <v>16.0</v>
      </c>
      <c r="I725" s="398" t="s">
        <v>51</v>
      </c>
      <c r="J725" s="108" t="s">
        <v>51</v>
      </c>
      <c r="K725" s="118">
        <f t="shared" si="178"/>
        <v>1.022222222</v>
      </c>
      <c r="L725" s="125">
        <f t="shared" si="179"/>
        <v>5</v>
      </c>
    </row>
    <row r="726" hidden="1" outlineLevel="2">
      <c r="A726" s="399" t="s">
        <v>21</v>
      </c>
      <c r="B726" s="400">
        <f>20+25+25+30+20</f>
        <v>120</v>
      </c>
      <c r="C726" s="400">
        <f t="shared" si="177"/>
        <v>122</v>
      </c>
      <c r="D726" s="401">
        <v>23.0</v>
      </c>
      <c r="E726" s="401">
        <v>25.0</v>
      </c>
      <c r="F726" s="401" t="s">
        <v>51</v>
      </c>
      <c r="G726" s="401">
        <v>26.0</v>
      </c>
      <c r="H726" s="401">
        <v>27.0</v>
      </c>
      <c r="I726" s="401">
        <v>21.0</v>
      </c>
      <c r="J726" s="108" t="s">
        <v>51</v>
      </c>
      <c r="K726" s="118">
        <f t="shared" si="178"/>
        <v>1.016666667</v>
      </c>
      <c r="L726" s="125">
        <f t="shared" si="179"/>
        <v>5</v>
      </c>
    </row>
    <row r="727" hidden="1" outlineLevel="2">
      <c r="A727" s="396" t="s">
        <v>74</v>
      </c>
      <c r="B727" s="397">
        <f>15+10+10+15+10</f>
        <v>60</v>
      </c>
      <c r="C727" s="397">
        <f t="shared" si="177"/>
        <v>62</v>
      </c>
      <c r="D727" s="398">
        <v>17.0</v>
      </c>
      <c r="E727" s="398">
        <v>9.0</v>
      </c>
      <c r="F727" s="398">
        <v>11.0</v>
      </c>
      <c r="G727" s="398">
        <v>15.0</v>
      </c>
      <c r="H727" s="398" t="s">
        <v>51</v>
      </c>
      <c r="I727" s="398" t="s">
        <v>51</v>
      </c>
      <c r="J727" s="108">
        <v>10.0</v>
      </c>
      <c r="K727" s="118">
        <f t="shared" si="178"/>
        <v>1.033333333</v>
      </c>
      <c r="L727" s="125">
        <f t="shared" si="179"/>
        <v>5</v>
      </c>
    </row>
    <row r="728" hidden="1" outlineLevel="2">
      <c r="A728" s="236" t="s">
        <v>53</v>
      </c>
      <c r="B728" s="405">
        <f>15+15+15+15+10</f>
        <v>70</v>
      </c>
      <c r="C728" s="400">
        <f t="shared" si="177"/>
        <v>70</v>
      </c>
      <c r="D728" s="401">
        <v>16.0</v>
      </c>
      <c r="E728" s="401" t="s">
        <v>51</v>
      </c>
      <c r="F728" s="401">
        <v>14.0</v>
      </c>
      <c r="G728" s="401">
        <v>17.0</v>
      </c>
      <c r="H728" s="401" t="s">
        <v>51</v>
      </c>
      <c r="I728" s="401">
        <v>15.0</v>
      </c>
      <c r="J728" s="108">
        <v>8.0</v>
      </c>
      <c r="K728" s="118">
        <f t="shared" si="178"/>
        <v>1</v>
      </c>
      <c r="L728" s="125">
        <f t="shared" si="179"/>
        <v>5</v>
      </c>
    </row>
    <row r="729" hidden="1" outlineLevel="2">
      <c r="A729" s="241" t="s">
        <v>85</v>
      </c>
      <c r="B729" s="397">
        <f>25+20+35+30+20</f>
        <v>130</v>
      </c>
      <c r="C729" s="397">
        <f t="shared" si="177"/>
        <v>138</v>
      </c>
      <c r="D729" s="398">
        <v>25.0</v>
      </c>
      <c r="E729" s="398">
        <v>22.0</v>
      </c>
      <c r="F729" s="398">
        <v>37.0</v>
      </c>
      <c r="G729" s="398">
        <v>33.0</v>
      </c>
      <c r="H729" s="398">
        <v>21.0</v>
      </c>
      <c r="I729" s="398" t="s">
        <v>51</v>
      </c>
      <c r="J729" s="108" t="s">
        <v>51</v>
      </c>
      <c r="K729" s="118">
        <f t="shared" si="178"/>
        <v>1.061538462</v>
      </c>
      <c r="L729" s="125">
        <f t="shared" si="179"/>
        <v>5</v>
      </c>
    </row>
    <row r="730" hidden="1" outlineLevel="2">
      <c r="A730" s="245" t="s">
        <v>7</v>
      </c>
      <c r="B730" s="405">
        <f>20+10+15+20+10</f>
        <v>75</v>
      </c>
      <c r="C730" s="400">
        <f t="shared" si="177"/>
        <v>64</v>
      </c>
      <c r="D730" s="401">
        <v>17.0</v>
      </c>
      <c r="E730" s="401">
        <v>5.0</v>
      </c>
      <c r="F730" s="401">
        <v>15.0</v>
      </c>
      <c r="G730" s="401" t="s">
        <v>51</v>
      </c>
      <c r="H730" s="401" t="s">
        <v>51</v>
      </c>
      <c r="I730" s="401">
        <v>20.0</v>
      </c>
      <c r="J730" s="151">
        <v>7.0</v>
      </c>
      <c r="K730" s="118">
        <f t="shared" si="178"/>
        <v>0.8533333333</v>
      </c>
      <c r="L730" s="125">
        <f t="shared" si="179"/>
        <v>3</v>
      </c>
    </row>
    <row r="731" hidden="1" outlineLevel="2">
      <c r="A731" s="241" t="s">
        <v>514</v>
      </c>
      <c r="B731" s="404">
        <f>15+10+15+15+20</f>
        <v>75</v>
      </c>
      <c r="C731" s="397">
        <f t="shared" si="177"/>
        <v>75</v>
      </c>
      <c r="D731" s="398">
        <v>16.0</v>
      </c>
      <c r="E731" s="398">
        <v>11.0</v>
      </c>
      <c r="F731" s="398" t="s">
        <v>51</v>
      </c>
      <c r="G731" s="398">
        <v>16.0</v>
      </c>
      <c r="H731" s="398">
        <v>14.0</v>
      </c>
      <c r="I731" s="398">
        <v>18.0</v>
      </c>
      <c r="J731" s="108" t="s">
        <v>51</v>
      </c>
      <c r="K731" s="118">
        <f t="shared" si="178"/>
        <v>1</v>
      </c>
      <c r="L731" s="125">
        <f t="shared" si="179"/>
        <v>5</v>
      </c>
    </row>
    <row r="732" hidden="1" outlineLevel="2"/>
    <row r="733" hidden="1" outlineLevel="2">
      <c r="A733" s="55" t="s">
        <v>87</v>
      </c>
      <c r="I733" s="55"/>
    </row>
    <row r="734" hidden="1" outlineLevel="2">
      <c r="A734" s="57" t="s">
        <v>68</v>
      </c>
      <c r="B734" s="158" t="s">
        <v>157</v>
      </c>
      <c r="C734" s="158" t="s">
        <v>158</v>
      </c>
      <c r="D734" s="158" t="s">
        <v>90</v>
      </c>
      <c r="E734" s="158" t="s">
        <v>91</v>
      </c>
      <c r="F734" s="158" t="s">
        <v>93</v>
      </c>
      <c r="G734" s="161" t="s">
        <v>94</v>
      </c>
      <c r="H734" s="161" t="s">
        <v>160</v>
      </c>
    </row>
    <row r="735" hidden="1" outlineLevel="2">
      <c r="A735" s="414"/>
      <c r="B735" s="308"/>
      <c r="C735" s="308"/>
      <c r="D735" s="308"/>
      <c r="E735" s="308"/>
      <c r="F735" s="308"/>
      <c r="G735" s="308"/>
      <c r="H735" s="308"/>
    </row>
    <row r="736" hidden="1" outlineLevel="2">
      <c r="A736" s="399" t="s">
        <v>92</v>
      </c>
      <c r="B736" s="401">
        <v>64.0</v>
      </c>
      <c r="C736" s="401">
        <v>61.0</v>
      </c>
      <c r="D736" s="408">
        <f>B736-C736</f>
        <v>3</v>
      </c>
      <c r="E736" s="409">
        <f t="shared" ref="E736:E743" si="180">IFERROR(C736/B736,"")</f>
        <v>0.953125</v>
      </c>
      <c r="F736" s="410">
        <v>0.0023032407407407407</v>
      </c>
      <c r="G736" s="171">
        <f t="shared" ref="G736:G743" si="181">IFERROR((IF(E736="",(0),IF(E736&gt;=0.98,(5),IF(E736&gt;=0.95,(4.5),IF(E736&gt;=0.9,(4),IF(E736&gt;=0.8,(3),IF(E736&lt;=0.69,(1)))))))),"")</f>
        <v>4.5</v>
      </c>
      <c r="H736" s="171">
        <f>ROUND(
IF(F736="",
0,
MAX(1, 5 - MAX(0, (F736 - TIME(0,4,0)) / TIME(0,1,0) * 0.5))
),
2
)
</f>
        <v>5</v>
      </c>
    </row>
    <row r="737" hidden="1" outlineLevel="2">
      <c r="A737" s="396" t="s">
        <v>61</v>
      </c>
      <c r="B737" s="398">
        <f>122-26</f>
        <v>96</v>
      </c>
      <c r="C737" s="398">
        <v>92.0</v>
      </c>
      <c r="D737" s="398">
        <v>4.0</v>
      </c>
      <c r="E737" s="406">
        <f t="shared" si="180"/>
        <v>0.9583333333</v>
      </c>
      <c r="F737" s="407">
        <v>0.0036342592592592594</v>
      </c>
      <c r="G737" s="171">
        <f t="shared" si="181"/>
        <v>4.5</v>
      </c>
      <c r="H737" s="171">
        <f>ROUND(
IF(F737="",
0,
MAX(1, 5 - MAX(0, (F737 - TIME(0,5,0)) / TIME(0,1,0) * 0.5))
),
2
)
</f>
        <v>4.88</v>
      </c>
      <c r="I737" s="421">
        <v>26.0</v>
      </c>
    </row>
    <row r="738" hidden="1" outlineLevel="2">
      <c r="A738" s="399" t="s">
        <v>21</v>
      </c>
      <c r="B738" s="401">
        <v>124.0</v>
      </c>
      <c r="C738" s="401">
        <v>122.0</v>
      </c>
      <c r="D738" s="408">
        <f>B738-C738</f>
        <v>2</v>
      </c>
      <c r="E738" s="409">
        <f t="shared" si="180"/>
        <v>0.9838709677</v>
      </c>
      <c r="F738" s="410">
        <v>0.003576388888888889</v>
      </c>
      <c r="G738" s="171">
        <f t="shared" si="181"/>
        <v>5</v>
      </c>
      <c r="H738" s="171">
        <f>ROUND(
IF(F738="",
0,
MAX(1, 5 - MAX(0, (F738 - TIME(0,4,0)) / TIME(0,1,0) * 0.5))
),
2
)
</f>
        <v>4.43</v>
      </c>
    </row>
    <row r="739" hidden="1" outlineLevel="2">
      <c r="A739" s="422" t="s">
        <v>74</v>
      </c>
      <c r="B739" s="398">
        <f>76-22</f>
        <v>54</v>
      </c>
      <c r="C739" s="398">
        <v>52.0</v>
      </c>
      <c r="D739" s="398">
        <v>2.0</v>
      </c>
      <c r="E739" s="406">
        <f t="shared" si="180"/>
        <v>0.962962963</v>
      </c>
      <c r="F739" s="407">
        <v>0.002916666666666667</v>
      </c>
      <c r="G739" s="171">
        <f t="shared" si="181"/>
        <v>4.5</v>
      </c>
      <c r="H739" s="171">
        <f>ROUND(
IF(F739="",
0,
MAX(1, 5 - MAX(0, (F739 - TIME(0,5,0)) / TIME(0,1,0) * 0.5))
),
2
)
</f>
        <v>5</v>
      </c>
      <c r="I739" s="421">
        <v>22.0</v>
      </c>
    </row>
    <row r="740" hidden="1" outlineLevel="2">
      <c r="A740" s="423" t="s">
        <v>53</v>
      </c>
      <c r="B740" s="401">
        <v>70.0</v>
      </c>
      <c r="C740" s="401">
        <v>67.0</v>
      </c>
      <c r="D740" s="408">
        <f>B740-C740</f>
        <v>3</v>
      </c>
      <c r="E740" s="409">
        <f t="shared" si="180"/>
        <v>0.9571428571</v>
      </c>
      <c r="F740" s="410">
        <v>0.0024074074074074076</v>
      </c>
      <c r="G740" s="171">
        <f t="shared" si="181"/>
        <v>4.5</v>
      </c>
      <c r="H740" s="171">
        <f>ROUND(
IF(F740="",
0,
MAX(1, 5 - MAX(0, (F740 - TIME(0,4,0)) / TIME(0,1,0) * 0.5))
),
2
)
</f>
        <v>5</v>
      </c>
    </row>
    <row r="741" hidden="1" outlineLevel="2">
      <c r="A741" s="241" t="s">
        <v>85</v>
      </c>
      <c r="B741" s="398">
        <f>157-19</f>
        <v>138</v>
      </c>
      <c r="C741" s="398">
        <v>138.0</v>
      </c>
      <c r="D741" s="398">
        <v>0.0</v>
      </c>
      <c r="E741" s="406">
        <f t="shared" si="180"/>
        <v>1</v>
      </c>
      <c r="F741" s="407">
        <v>0.004050925925925926</v>
      </c>
      <c r="G741" s="171">
        <f t="shared" si="181"/>
        <v>5</v>
      </c>
      <c r="H741" s="171">
        <f t="shared" ref="H741:H743" si="182">ROUND(
IF(F741="",
0,
MAX(1, 5 - MAX(0, (F741 - TIME(0,5,0)) / TIME(0,1,0) * 0.5))
),
2
)
</f>
        <v>4.58</v>
      </c>
      <c r="I741" s="421">
        <v>19.0</v>
      </c>
    </row>
    <row r="742" hidden="1" outlineLevel="2">
      <c r="A742" s="424" t="s">
        <v>7</v>
      </c>
      <c r="B742" s="401">
        <f>92-31</f>
        <v>61</v>
      </c>
      <c r="C742" s="401">
        <v>59.0</v>
      </c>
      <c r="D742" s="401">
        <v>2.0</v>
      </c>
      <c r="E742" s="409">
        <f t="shared" si="180"/>
        <v>0.9672131148</v>
      </c>
      <c r="F742" s="410">
        <v>0.004097222222222223</v>
      </c>
      <c r="G742" s="171">
        <f t="shared" si="181"/>
        <v>4.5</v>
      </c>
      <c r="H742" s="171">
        <f t="shared" si="182"/>
        <v>4.55</v>
      </c>
      <c r="I742" s="425">
        <v>31.0</v>
      </c>
    </row>
    <row r="743" hidden="1" outlineLevel="2">
      <c r="A743" s="241" t="s">
        <v>514</v>
      </c>
      <c r="B743" s="398">
        <f>106-30</f>
        <v>76</v>
      </c>
      <c r="C743" s="398">
        <v>75.0</v>
      </c>
      <c r="D743" s="398">
        <v>1.0</v>
      </c>
      <c r="E743" s="406">
        <f t="shared" si="180"/>
        <v>0.9868421053</v>
      </c>
      <c r="F743" s="407">
        <v>0.004421296296296296</v>
      </c>
      <c r="G743" s="171">
        <f t="shared" si="181"/>
        <v>5</v>
      </c>
      <c r="H743" s="171">
        <f t="shared" si="182"/>
        <v>4.32</v>
      </c>
      <c r="I743" s="421">
        <v>30.0</v>
      </c>
    </row>
    <row r="744" hidden="1" outlineLevel="2"/>
    <row r="745" hidden="1" outlineLevel="2">
      <c r="A745" s="55" t="s">
        <v>195</v>
      </c>
    </row>
    <row r="746" hidden="1" outlineLevel="2">
      <c r="A746" s="192" t="s">
        <v>196</v>
      </c>
      <c r="B746" s="193" t="s">
        <v>198</v>
      </c>
      <c r="C746" s="195" t="s">
        <v>199</v>
      </c>
      <c r="D746" s="195" t="s">
        <v>200</v>
      </c>
      <c r="E746" s="197" t="s">
        <v>201</v>
      </c>
      <c r="F746" s="199" t="s">
        <v>202</v>
      </c>
      <c r="G746" s="201"/>
    </row>
    <row r="747" hidden="1" outlineLevel="2">
      <c r="A747" s="220" t="s">
        <v>4</v>
      </c>
      <c r="B747" s="223">
        <f t="shared" ref="B747:B754" si="183">(C747*0.3)+(D747*0.1)</f>
        <v>0.4</v>
      </c>
      <c r="C747" s="210">
        <v>1.0</v>
      </c>
      <c r="D747" s="210">
        <f>Dan!D506</f>
        <v>1</v>
      </c>
      <c r="E747" s="226">
        <f t="shared" ref="E747:E754" si="184">(L724+G736+H736)/15*0.3</f>
        <v>0.29</v>
      </c>
      <c r="F747" s="218">
        <f t="shared" ref="F747:F754" si="185">(E747/30%)*10</f>
        <v>9.666666667</v>
      </c>
      <c r="G747" s="201"/>
      <c r="H747" s="201"/>
      <c r="I747" s="201"/>
      <c r="J747" s="201"/>
    </row>
    <row r="748" hidden="1" outlineLevel="2">
      <c r="A748" s="227" t="s">
        <v>57</v>
      </c>
      <c r="B748" s="229">
        <f t="shared" si="183"/>
        <v>0.4</v>
      </c>
      <c r="C748" s="210">
        <v>1.0</v>
      </c>
      <c r="D748" s="210">
        <f>Godwin!D506</f>
        <v>1</v>
      </c>
      <c r="E748" s="232">
        <f t="shared" si="184"/>
        <v>0.2876</v>
      </c>
      <c r="F748" s="218">
        <f t="shared" si="185"/>
        <v>9.586666667</v>
      </c>
      <c r="G748" s="201"/>
      <c r="H748" s="201"/>
      <c r="I748" s="201"/>
      <c r="J748" s="201"/>
    </row>
    <row r="749" hidden="1" outlineLevel="2">
      <c r="A749" s="220" t="s">
        <v>21</v>
      </c>
      <c r="B749" s="223">
        <f t="shared" si="183"/>
        <v>0.4</v>
      </c>
      <c r="C749" s="210">
        <v>1.0</v>
      </c>
      <c r="D749" s="231">
        <f>Candy!D378</f>
        <v>1</v>
      </c>
      <c r="E749" s="226">
        <f t="shared" si="184"/>
        <v>0.2886</v>
      </c>
      <c r="F749" s="218">
        <f t="shared" si="185"/>
        <v>9.62</v>
      </c>
      <c r="G749" s="201"/>
      <c r="H749" s="201"/>
      <c r="I749" s="201"/>
      <c r="J749" s="201"/>
    </row>
    <row r="750" hidden="1" outlineLevel="2">
      <c r="A750" s="227" t="s">
        <v>32</v>
      </c>
      <c r="B750" s="229">
        <f t="shared" si="183"/>
        <v>0.4</v>
      </c>
      <c r="C750" s="210">
        <v>1.0</v>
      </c>
      <c r="D750" s="231">
        <f>Claudette!D506</f>
        <v>1</v>
      </c>
      <c r="E750" s="232">
        <f t="shared" si="184"/>
        <v>0.29</v>
      </c>
      <c r="F750" s="218">
        <f t="shared" si="185"/>
        <v>9.666666667</v>
      </c>
      <c r="G750" s="201"/>
      <c r="H750" s="201"/>
      <c r="I750" s="201"/>
      <c r="J750" s="201"/>
    </row>
    <row r="751" hidden="1" outlineLevel="2">
      <c r="A751" s="272" t="s">
        <v>58</v>
      </c>
      <c r="B751" s="223">
        <f t="shared" si="183"/>
        <v>0.4</v>
      </c>
      <c r="C751" s="210">
        <v>1.0</v>
      </c>
      <c r="D751" s="231">
        <f>Sofhia!D506</f>
        <v>1</v>
      </c>
      <c r="E751" s="226">
        <f t="shared" si="184"/>
        <v>0.29</v>
      </c>
      <c r="F751" s="218">
        <f t="shared" si="185"/>
        <v>9.666666667</v>
      </c>
      <c r="G751" s="201"/>
      <c r="H751" s="201"/>
      <c r="I751" s="201"/>
      <c r="J751" s="201"/>
    </row>
    <row r="752" hidden="1" outlineLevel="2">
      <c r="A752" s="245" t="s">
        <v>85</v>
      </c>
      <c r="B752" s="229">
        <f t="shared" si="183"/>
        <v>0.4</v>
      </c>
      <c r="C752" s="210">
        <v>1.0</v>
      </c>
      <c r="D752" s="231">
        <f>Cherry!D324</f>
        <v>1</v>
      </c>
      <c r="E752" s="232">
        <f t="shared" si="184"/>
        <v>0.2916</v>
      </c>
      <c r="F752" s="218">
        <f t="shared" si="185"/>
        <v>9.72</v>
      </c>
      <c r="G752" s="201"/>
      <c r="H752" s="201"/>
      <c r="I752" s="201"/>
      <c r="J752" s="201"/>
    </row>
    <row r="753" hidden="1" outlineLevel="2">
      <c r="A753" s="241" t="s">
        <v>7</v>
      </c>
      <c r="B753" s="223">
        <f t="shared" si="183"/>
        <v>0.4</v>
      </c>
      <c r="C753" s="210">
        <v>1.0</v>
      </c>
      <c r="D753" s="231">
        <f>Lyra!D305</f>
        <v>1</v>
      </c>
      <c r="E753" s="226">
        <f t="shared" si="184"/>
        <v>0.241</v>
      </c>
      <c r="F753" s="218">
        <f t="shared" si="185"/>
        <v>8.033333333</v>
      </c>
      <c r="G753" s="201"/>
      <c r="H753" s="201"/>
      <c r="I753" s="201"/>
      <c r="J753" s="201"/>
    </row>
    <row r="754" hidden="1" outlineLevel="2">
      <c r="A754" s="245" t="s">
        <v>514</v>
      </c>
      <c r="B754" s="229">
        <f t="shared" si="183"/>
        <v>0.4</v>
      </c>
      <c r="C754" s="210">
        <v>1.0</v>
      </c>
      <c r="D754" s="231">
        <f>Mikka!D250</f>
        <v>1</v>
      </c>
      <c r="E754" s="232">
        <f t="shared" si="184"/>
        <v>0.2864</v>
      </c>
      <c r="F754" s="218">
        <f t="shared" si="185"/>
        <v>9.546666667</v>
      </c>
      <c r="G754" s="201"/>
      <c r="H754" s="201"/>
      <c r="I754" s="201"/>
      <c r="J754" s="201"/>
    </row>
    <row r="755" hidden="1" outlineLevel="2">
      <c r="A755" s="251"/>
      <c r="B755" s="251"/>
      <c r="C755" s="252"/>
      <c r="D755" s="253"/>
      <c r="E755" s="254"/>
      <c r="F755" s="201"/>
      <c r="G755" s="201"/>
      <c r="H755" s="201"/>
      <c r="I755" s="201"/>
      <c r="J755" s="201"/>
    </row>
    <row r="756" hidden="1" outlineLevel="2">
      <c r="A756" s="55" t="s">
        <v>222</v>
      </c>
      <c r="B756" s="251"/>
      <c r="C756" s="252"/>
      <c r="D756" s="253"/>
      <c r="E756" s="254"/>
      <c r="F756" s="201"/>
      <c r="G756" s="201"/>
      <c r="H756" s="201"/>
      <c r="I756" s="201"/>
      <c r="J756" s="201"/>
    </row>
    <row r="757" hidden="1" outlineLevel="2">
      <c r="A757" s="256" t="s">
        <v>196</v>
      </c>
      <c r="B757" s="257" t="s">
        <v>223</v>
      </c>
      <c r="C757" s="62">
        <v>46153.0</v>
      </c>
      <c r="D757" s="62">
        <v>46154.0</v>
      </c>
      <c r="E757" s="62">
        <v>46155.0</v>
      </c>
      <c r="F757" s="62">
        <v>46156.0</v>
      </c>
      <c r="G757" s="62">
        <v>46157.0</v>
      </c>
      <c r="H757" s="62">
        <v>46158.0</v>
      </c>
      <c r="I757" s="62">
        <v>46159.0</v>
      </c>
      <c r="J757" s="201"/>
    </row>
    <row r="758" hidden="1" outlineLevel="2">
      <c r="A758" s="258"/>
      <c r="B758" s="258"/>
      <c r="C758" s="82" t="s">
        <v>80</v>
      </c>
      <c r="D758" s="82" t="s">
        <v>226</v>
      </c>
      <c r="E758" s="82" t="s">
        <v>227</v>
      </c>
      <c r="F758" s="82" t="s">
        <v>228</v>
      </c>
      <c r="G758" s="82" t="s">
        <v>230</v>
      </c>
      <c r="H758" s="82" t="s">
        <v>231</v>
      </c>
      <c r="I758" s="82" t="s">
        <v>232</v>
      </c>
    </row>
    <row r="759" hidden="1" outlineLevel="2">
      <c r="A759" s="220" t="s">
        <v>4</v>
      </c>
      <c r="B759" s="264">
        <f t="shared" ref="B759:B766" si="186">Sum(C759:I759)</f>
        <v>0</v>
      </c>
      <c r="C759" s="266"/>
      <c r="D759" s="265"/>
      <c r="E759" s="265"/>
      <c r="F759" s="265"/>
      <c r="G759" s="266"/>
      <c r="H759" s="266"/>
      <c r="I759" s="266"/>
    </row>
    <row r="760" hidden="1" outlineLevel="2">
      <c r="A760" s="227" t="s">
        <v>57</v>
      </c>
      <c r="B760" s="264">
        <f t="shared" si="186"/>
        <v>0</v>
      </c>
      <c r="C760" s="267"/>
      <c r="D760" s="267"/>
      <c r="E760" s="267"/>
      <c r="F760" s="267"/>
      <c r="G760" s="267"/>
      <c r="H760" s="268"/>
      <c r="I760" s="267"/>
    </row>
    <row r="761" hidden="1" outlineLevel="2">
      <c r="A761" s="220" t="s">
        <v>21</v>
      </c>
      <c r="B761" s="264">
        <f t="shared" si="186"/>
        <v>0</v>
      </c>
      <c r="C761" s="266"/>
      <c r="D761" s="265"/>
      <c r="E761" s="266"/>
      <c r="F761" s="266"/>
      <c r="G761" s="266"/>
      <c r="H761" s="266"/>
      <c r="I761" s="265"/>
    </row>
    <row r="762" hidden="1" outlineLevel="2">
      <c r="A762" s="227" t="s">
        <v>32</v>
      </c>
      <c r="B762" s="264">
        <f t="shared" si="186"/>
        <v>8</v>
      </c>
      <c r="C762" s="267"/>
      <c r="D762" s="267"/>
      <c r="E762" s="267"/>
      <c r="F762" s="267">
        <v>8.0</v>
      </c>
      <c r="G762" s="267"/>
      <c r="H762" s="267"/>
      <c r="I762" s="268"/>
    </row>
    <row r="763" hidden="1" outlineLevel="2">
      <c r="A763" s="272" t="s">
        <v>58</v>
      </c>
      <c r="B763" s="264">
        <f t="shared" si="186"/>
        <v>0</v>
      </c>
      <c r="C763" s="266"/>
      <c r="D763" s="266"/>
      <c r="E763" s="266"/>
      <c r="F763" s="266"/>
      <c r="G763" s="266"/>
      <c r="H763" s="266"/>
      <c r="I763" s="265"/>
    </row>
    <row r="764" ht="16.5" hidden="1" customHeight="1" outlineLevel="2">
      <c r="A764" s="245" t="s">
        <v>85</v>
      </c>
      <c r="B764" s="264">
        <f t="shared" si="186"/>
        <v>0</v>
      </c>
      <c r="C764" s="267"/>
      <c r="D764" s="267"/>
      <c r="E764" s="267"/>
      <c r="F764" s="267"/>
      <c r="G764" s="267"/>
      <c r="H764" s="267"/>
      <c r="I764" s="267"/>
    </row>
    <row r="765" hidden="1" outlineLevel="2">
      <c r="A765" s="241" t="s">
        <v>7</v>
      </c>
      <c r="B765" s="264">
        <f t="shared" si="186"/>
        <v>0</v>
      </c>
      <c r="C765" s="265"/>
      <c r="D765" s="265"/>
      <c r="E765" s="266"/>
      <c r="F765" s="266"/>
      <c r="G765" s="266"/>
      <c r="H765" s="266"/>
      <c r="I765" s="265"/>
    </row>
    <row r="766" hidden="1" outlineLevel="2">
      <c r="A766" s="245" t="s">
        <v>72</v>
      </c>
      <c r="B766" s="264">
        <f t="shared" si="186"/>
        <v>0</v>
      </c>
      <c r="C766" s="268"/>
      <c r="D766" s="268"/>
      <c r="E766" s="267"/>
      <c r="F766" s="268"/>
      <c r="G766" s="267"/>
      <c r="H766" s="267"/>
      <c r="I766" s="268"/>
    </row>
    <row r="767" hidden="1" outlineLevel="1">
      <c r="A767" s="52" t="s">
        <v>1401</v>
      </c>
    </row>
    <row r="768" hidden="1" outlineLevel="2">
      <c r="A768" s="55" t="s">
        <v>67</v>
      </c>
    </row>
    <row r="769" hidden="1" outlineLevel="2">
      <c r="A769" s="57" t="s">
        <v>68</v>
      </c>
      <c r="B769" s="59" t="s">
        <v>11</v>
      </c>
      <c r="C769" s="59" t="s">
        <v>71</v>
      </c>
      <c r="D769" s="62">
        <v>46167.0</v>
      </c>
      <c r="E769" s="62">
        <v>46168.0</v>
      </c>
      <c r="F769" s="62">
        <v>46169.0</v>
      </c>
      <c r="G769" s="62">
        <v>46170.0</v>
      </c>
      <c r="H769" s="62">
        <v>46171.0</v>
      </c>
      <c r="I769" s="62">
        <v>46172.0</v>
      </c>
      <c r="J769" s="62">
        <v>46173.0</v>
      </c>
      <c r="K769" s="76" t="s">
        <v>77</v>
      </c>
      <c r="L769" s="78" t="s">
        <v>78</v>
      </c>
    </row>
    <row r="770" hidden="1" outlineLevel="2">
      <c r="A770" s="395"/>
      <c r="B770" s="258"/>
      <c r="C770" s="258"/>
      <c r="D770" s="82" t="s">
        <v>80</v>
      </c>
      <c r="E770" s="82" t="str">
        <f t="shared" ref="E770:J770" si="187">text(E769,"ddd")</f>
        <v>Tue</v>
      </c>
      <c r="F770" s="82" t="str">
        <f t="shared" si="187"/>
        <v>Wed</v>
      </c>
      <c r="G770" s="82" t="str">
        <f t="shared" si="187"/>
        <v>Thu</v>
      </c>
      <c r="H770" s="82" t="str">
        <f t="shared" si="187"/>
        <v>Fri</v>
      </c>
      <c r="I770" s="82" t="str">
        <f t="shared" si="187"/>
        <v>Sat</v>
      </c>
      <c r="J770" s="82" t="str">
        <f t="shared" si="187"/>
        <v>Sun</v>
      </c>
      <c r="K770" s="92"/>
      <c r="L770" s="81"/>
    </row>
    <row r="771" hidden="1" outlineLevel="2">
      <c r="A771" s="396" t="s">
        <v>92</v>
      </c>
      <c r="B771" s="397">
        <f>20+10+10+15</f>
        <v>55</v>
      </c>
      <c r="C771" s="397">
        <f t="shared" ref="C771:C778" si="188">SUM(D771:J771)</f>
        <v>53</v>
      </c>
      <c r="D771" s="398">
        <v>6.0</v>
      </c>
      <c r="E771" s="398">
        <v>13.0</v>
      </c>
      <c r="F771" s="398">
        <v>12.0</v>
      </c>
      <c r="G771" s="398">
        <v>11.0</v>
      </c>
      <c r="H771" s="398">
        <v>11.0</v>
      </c>
      <c r="I771" s="398" t="s">
        <v>51</v>
      </c>
      <c r="J771" s="108" t="s">
        <v>51</v>
      </c>
      <c r="K771" s="118">
        <f t="shared" ref="K771:K778" si="189">iferror(C771/B771,"-")</f>
        <v>0.9636363636</v>
      </c>
      <c r="L771" s="125">
        <f t="shared" ref="L771:L778" si="190">(IF(K771="",(0),IF(K771&gt;=1,(5),IF(K771&gt;=0.9,(4),IF(K771&gt;=0.8,(3),IF(K771&gt;=0.69,(2),IF(K771&lt;=0.69,(1))))))))</f>
        <v>4</v>
      </c>
    </row>
    <row r="772" hidden="1" outlineLevel="2">
      <c r="A772" s="399" t="s">
        <v>61</v>
      </c>
      <c r="B772" s="400">
        <f>15+25+20+10</f>
        <v>70</v>
      </c>
      <c r="C772" s="400">
        <f t="shared" si="188"/>
        <v>74</v>
      </c>
      <c r="D772" s="427">
        <v>13.0</v>
      </c>
      <c r="E772" s="401">
        <v>23.0</v>
      </c>
      <c r="F772" s="401">
        <v>20.0</v>
      </c>
      <c r="G772" s="401" t="s">
        <v>145</v>
      </c>
      <c r="H772" s="401" t="s">
        <v>51</v>
      </c>
      <c r="I772" s="401" t="s">
        <v>51</v>
      </c>
      <c r="J772" s="108">
        <v>18.0</v>
      </c>
      <c r="K772" s="118">
        <f t="shared" si="189"/>
        <v>1.057142857</v>
      </c>
      <c r="L772" s="125">
        <f t="shared" si="190"/>
        <v>5</v>
      </c>
    </row>
    <row r="773" hidden="1" outlineLevel="2">
      <c r="A773" s="396" t="s">
        <v>21</v>
      </c>
      <c r="B773" s="397">
        <f>10+15+20+20+20</f>
        <v>85</v>
      </c>
      <c r="C773" s="397">
        <f t="shared" si="188"/>
        <v>82</v>
      </c>
      <c r="D773" s="398">
        <v>10.0</v>
      </c>
      <c r="E773" s="398">
        <v>14.0</v>
      </c>
      <c r="F773" s="398" t="s">
        <v>51</v>
      </c>
      <c r="G773" s="398">
        <v>18.0</v>
      </c>
      <c r="H773" s="398">
        <v>21.0</v>
      </c>
      <c r="I773" s="398">
        <v>19.0</v>
      </c>
      <c r="J773" s="108" t="s">
        <v>51</v>
      </c>
      <c r="K773" s="118">
        <f t="shared" si="189"/>
        <v>0.9647058824</v>
      </c>
      <c r="L773" s="125">
        <f t="shared" si="190"/>
        <v>4</v>
      </c>
    </row>
    <row r="774" hidden="1" outlineLevel="2">
      <c r="A774" s="399" t="s">
        <v>74</v>
      </c>
      <c r="B774" s="400">
        <f>10+15+15+10</f>
        <v>50</v>
      </c>
      <c r="C774" s="400">
        <f t="shared" si="188"/>
        <v>55</v>
      </c>
      <c r="D774" s="401" t="s">
        <v>51</v>
      </c>
      <c r="E774" s="401" t="s">
        <v>145</v>
      </c>
      <c r="F774" s="401">
        <v>7.0</v>
      </c>
      <c r="G774" s="401">
        <v>17.0</v>
      </c>
      <c r="H774" s="401" t="s">
        <v>51</v>
      </c>
      <c r="I774" s="401">
        <v>14.0</v>
      </c>
      <c r="J774" s="108">
        <v>17.0</v>
      </c>
      <c r="K774" s="118">
        <f t="shared" si="189"/>
        <v>1.1</v>
      </c>
      <c r="L774" s="125">
        <f t="shared" si="190"/>
        <v>5</v>
      </c>
    </row>
    <row r="775" hidden="1" outlineLevel="2">
      <c r="A775" s="272" t="s">
        <v>53</v>
      </c>
      <c r="B775" s="404">
        <f>10+15+15+10+10</f>
        <v>60</v>
      </c>
      <c r="C775" s="397">
        <f t="shared" si="188"/>
        <v>60</v>
      </c>
      <c r="D775" s="398">
        <v>10.0</v>
      </c>
      <c r="E775" s="398">
        <v>14.0</v>
      </c>
      <c r="F775" s="398">
        <v>16.0</v>
      </c>
      <c r="G775" s="398" t="s">
        <v>51</v>
      </c>
      <c r="H775" s="398" t="s">
        <v>51</v>
      </c>
      <c r="I775" s="398">
        <v>12.0</v>
      </c>
      <c r="J775" s="108">
        <v>8.0</v>
      </c>
      <c r="K775" s="118">
        <f t="shared" si="189"/>
        <v>1</v>
      </c>
      <c r="L775" s="125">
        <f t="shared" si="190"/>
        <v>5</v>
      </c>
    </row>
    <row r="776" hidden="1" outlineLevel="2">
      <c r="A776" s="245" t="s">
        <v>85</v>
      </c>
      <c r="B776" s="400">
        <f>15+40+30+35+35</f>
        <v>155</v>
      </c>
      <c r="C776" s="400">
        <f t="shared" si="188"/>
        <v>160</v>
      </c>
      <c r="D776" s="401">
        <v>17.0</v>
      </c>
      <c r="E776" s="401">
        <v>39.0</v>
      </c>
      <c r="F776" s="401">
        <v>31.0</v>
      </c>
      <c r="G776" s="401">
        <v>36.0</v>
      </c>
      <c r="H776" s="401">
        <v>37.0</v>
      </c>
      <c r="I776" s="401" t="s">
        <v>51</v>
      </c>
      <c r="J776" s="108" t="s">
        <v>51</v>
      </c>
      <c r="K776" s="118">
        <f t="shared" si="189"/>
        <v>1.032258065</v>
      </c>
      <c r="L776" s="125">
        <f t="shared" si="190"/>
        <v>5</v>
      </c>
    </row>
    <row r="777" hidden="1" outlineLevel="2">
      <c r="A777" s="241" t="s">
        <v>7</v>
      </c>
      <c r="B777" s="404">
        <f>15+20+15+15+20</f>
        <v>85</v>
      </c>
      <c r="C777" s="397">
        <f t="shared" si="188"/>
        <v>88</v>
      </c>
      <c r="D777" s="398">
        <v>16.0</v>
      </c>
      <c r="E777" s="398">
        <v>20.0</v>
      </c>
      <c r="F777" s="398">
        <v>14.0</v>
      </c>
      <c r="G777" s="398">
        <v>16.0</v>
      </c>
      <c r="H777" s="398">
        <v>22.0</v>
      </c>
      <c r="I777" s="398" t="s">
        <v>51</v>
      </c>
      <c r="J777" s="108" t="s">
        <v>51</v>
      </c>
      <c r="K777" s="118">
        <f t="shared" si="189"/>
        <v>1.035294118</v>
      </c>
      <c r="L777" s="125">
        <f t="shared" si="190"/>
        <v>5</v>
      </c>
    </row>
    <row r="778" hidden="1" outlineLevel="2">
      <c r="A778" s="245" t="s">
        <v>514</v>
      </c>
      <c r="B778" s="405">
        <f>20+15+15+20+15</f>
        <v>85</v>
      </c>
      <c r="C778" s="400">
        <f t="shared" si="188"/>
        <v>89</v>
      </c>
      <c r="D778" s="401" t="s">
        <v>51</v>
      </c>
      <c r="E778" s="401">
        <v>20.0</v>
      </c>
      <c r="F778" s="401">
        <v>16.0</v>
      </c>
      <c r="G778" s="401">
        <v>17.0</v>
      </c>
      <c r="H778" s="401">
        <v>18.0</v>
      </c>
      <c r="I778" s="401">
        <v>18.0</v>
      </c>
      <c r="J778" s="108" t="s">
        <v>51</v>
      </c>
      <c r="K778" s="118">
        <f t="shared" si="189"/>
        <v>1.047058824</v>
      </c>
      <c r="L778" s="125">
        <f t="shared" si="190"/>
        <v>5</v>
      </c>
    </row>
    <row r="779" hidden="1" outlineLevel="2"/>
    <row r="780" hidden="1" outlineLevel="2">
      <c r="A780" s="55" t="s">
        <v>87</v>
      </c>
      <c r="I780" s="55"/>
    </row>
    <row r="781" hidden="1" outlineLevel="2">
      <c r="A781" s="57" t="s">
        <v>68</v>
      </c>
      <c r="B781" s="158" t="s">
        <v>157</v>
      </c>
      <c r="C781" s="158" t="s">
        <v>158</v>
      </c>
      <c r="D781" s="158" t="s">
        <v>90</v>
      </c>
      <c r="E781" s="158" t="s">
        <v>91</v>
      </c>
      <c r="F781" s="158" t="s">
        <v>93</v>
      </c>
      <c r="G781" s="161" t="s">
        <v>94</v>
      </c>
      <c r="H781" s="161" t="s">
        <v>160</v>
      </c>
    </row>
    <row r="782" hidden="1" outlineLevel="2">
      <c r="A782" s="395"/>
      <c r="B782" s="258"/>
      <c r="C782" s="258"/>
      <c r="D782" s="258"/>
      <c r="E782" s="258"/>
      <c r="F782" s="258"/>
      <c r="G782" s="258"/>
      <c r="H782" s="258"/>
    </row>
    <row r="783" hidden="1" outlineLevel="2">
      <c r="A783" s="396" t="s">
        <v>92</v>
      </c>
      <c r="B783" s="398">
        <v>54.0</v>
      </c>
      <c r="C783" s="398">
        <v>52.0</v>
      </c>
      <c r="D783" s="141">
        <f t="shared" ref="D783:D790" si="191">B783-C783</f>
        <v>2</v>
      </c>
      <c r="E783" s="406">
        <f t="shared" ref="E783:E790" si="192">IFERROR(C783/B783,"")</f>
        <v>0.962962963</v>
      </c>
      <c r="F783" s="407">
        <v>0.0017592592592592592</v>
      </c>
      <c r="G783" s="171">
        <f t="shared" ref="G783:G790" si="193">IFERROR((IF(E783="",(0),IF(E783&gt;=0.98,(5),IF(E783&gt;=0.95,(4.5),IF(E783&gt;=0.9,(4),IF(E783&gt;=0.8,(3),IF(E783&lt;=0.69,(1)))))))),"")</f>
        <v>4.5</v>
      </c>
      <c r="H783" s="171">
        <f>ROUND(
IF(F783="",
0,
MAX(1, 5 - MAX(0, (F783 - TIME(0,4,0)) / TIME(0,1,0) * 0.5))
),
2
)
</f>
        <v>5</v>
      </c>
    </row>
    <row r="784" hidden="1" outlineLevel="2">
      <c r="A784" s="399" t="s">
        <v>61</v>
      </c>
      <c r="B784" s="401">
        <v>74.0</v>
      </c>
      <c r="C784" s="401">
        <v>73.0</v>
      </c>
      <c r="D784" s="408">
        <f t="shared" si="191"/>
        <v>1</v>
      </c>
      <c r="E784" s="409">
        <f t="shared" si="192"/>
        <v>0.9864864865</v>
      </c>
      <c r="F784" s="410">
        <v>0.003449074074074074</v>
      </c>
      <c r="G784" s="171">
        <f t="shared" si="193"/>
        <v>5</v>
      </c>
      <c r="H784" s="171">
        <f>ROUND(
IF(F784="",
0,
MAX(1, 5 - MAX(0, (F784 - TIME(0,5,0)) / TIME(0,1,0) * 0.5))
),
2
)
</f>
        <v>5</v>
      </c>
    </row>
    <row r="785" hidden="1" outlineLevel="2">
      <c r="A785" s="396" t="s">
        <v>21</v>
      </c>
      <c r="B785" s="398">
        <v>82.0</v>
      </c>
      <c r="C785" s="398">
        <v>82.0</v>
      </c>
      <c r="D785" s="141">
        <f t="shared" si="191"/>
        <v>0</v>
      </c>
      <c r="E785" s="406">
        <f t="shared" si="192"/>
        <v>1</v>
      </c>
      <c r="F785" s="407">
        <v>0.0029861111111111113</v>
      </c>
      <c r="G785" s="171">
        <f t="shared" si="193"/>
        <v>5</v>
      </c>
      <c r="H785" s="171">
        <f>ROUND(
IF(F785="",
0,
MAX(1, 5 - MAX(0, (F785 - TIME(0,4,0)) / TIME(0,1,0) * 0.5))
),
2
)
</f>
        <v>4.85</v>
      </c>
    </row>
    <row r="786" hidden="1" outlineLevel="2">
      <c r="A786" s="429" t="s">
        <v>74</v>
      </c>
      <c r="B786" s="401">
        <v>57.0</v>
      </c>
      <c r="C786" s="401">
        <v>55.0</v>
      </c>
      <c r="D786" s="408">
        <f t="shared" si="191"/>
        <v>2</v>
      </c>
      <c r="E786" s="409">
        <f t="shared" si="192"/>
        <v>0.9649122807</v>
      </c>
      <c r="F786" s="410">
        <v>0.0033912037037037036</v>
      </c>
      <c r="G786" s="171">
        <f t="shared" si="193"/>
        <v>4.5</v>
      </c>
      <c r="H786" s="171">
        <f>ROUND(
IF(F786="",
0,
MAX(1, 5 - MAX(0, (F786 - TIME(0,5,0)) / TIME(0,1,0) * 0.5))
),
2
)
</f>
        <v>5</v>
      </c>
    </row>
    <row r="787" hidden="1" outlineLevel="2">
      <c r="A787" s="430" t="s">
        <v>53</v>
      </c>
      <c r="B787" s="398">
        <v>64.0</v>
      </c>
      <c r="C787" s="398">
        <v>59.0</v>
      </c>
      <c r="D787" s="141">
        <f t="shared" si="191"/>
        <v>5</v>
      </c>
      <c r="E787" s="406">
        <f t="shared" si="192"/>
        <v>0.921875</v>
      </c>
      <c r="F787" s="407">
        <v>0.002939814814814815</v>
      </c>
      <c r="G787" s="171">
        <f t="shared" si="193"/>
        <v>4</v>
      </c>
      <c r="H787" s="171">
        <f>ROUND(
IF(F787="",
0,
MAX(1, 5 - MAX(0, (F787 - TIME(0,4,0)) / TIME(0,1,0) * 0.5))
),
2
)
</f>
        <v>4.88</v>
      </c>
    </row>
    <row r="788" hidden="1" outlineLevel="2">
      <c r="A788" s="245" t="s">
        <v>85</v>
      </c>
      <c r="B788" s="401">
        <v>160.0</v>
      </c>
      <c r="C788" s="401">
        <v>157.0</v>
      </c>
      <c r="D788" s="408">
        <f t="shared" si="191"/>
        <v>3</v>
      </c>
      <c r="E788" s="409">
        <f t="shared" si="192"/>
        <v>0.98125</v>
      </c>
      <c r="F788" s="410">
        <v>0.0042824074074074075</v>
      </c>
      <c r="G788" s="171">
        <f t="shared" si="193"/>
        <v>5</v>
      </c>
      <c r="H788" s="171">
        <f t="shared" ref="H788:H790" si="194">ROUND(
IF(F788="",
0,
MAX(1, 5 - MAX(0, (F788 - TIME(0,5,0)) / TIME(0,1,0) * 0.5))
),
2
)
</f>
        <v>4.42</v>
      </c>
    </row>
    <row r="789" hidden="1" outlineLevel="2">
      <c r="A789" s="431" t="s">
        <v>7</v>
      </c>
      <c r="B789" s="398">
        <v>90.0</v>
      </c>
      <c r="C789" s="398">
        <v>88.0</v>
      </c>
      <c r="D789" s="141">
        <f t="shared" si="191"/>
        <v>2</v>
      </c>
      <c r="E789" s="406">
        <f t="shared" si="192"/>
        <v>0.9777777778</v>
      </c>
      <c r="F789" s="407">
        <v>0.004143518518518519</v>
      </c>
      <c r="G789" s="171">
        <f t="shared" si="193"/>
        <v>4.5</v>
      </c>
      <c r="H789" s="171">
        <f t="shared" si="194"/>
        <v>4.52</v>
      </c>
    </row>
    <row r="790" hidden="1" outlineLevel="2">
      <c r="A790" s="245" t="s">
        <v>514</v>
      </c>
      <c r="B790" s="401">
        <v>90.0</v>
      </c>
      <c r="C790" s="401">
        <v>88.0</v>
      </c>
      <c r="D790" s="408">
        <f t="shared" si="191"/>
        <v>2</v>
      </c>
      <c r="E790" s="409">
        <f t="shared" si="192"/>
        <v>0.9777777778</v>
      </c>
      <c r="F790" s="410">
        <v>0.004375</v>
      </c>
      <c r="G790" s="171">
        <f t="shared" si="193"/>
        <v>4.5</v>
      </c>
      <c r="H790" s="171">
        <f t="shared" si="194"/>
        <v>4.35</v>
      </c>
    </row>
    <row r="791" hidden="1" outlineLevel="2"/>
    <row r="792" hidden="1" outlineLevel="2">
      <c r="A792" s="55" t="s">
        <v>195</v>
      </c>
    </row>
    <row r="793" hidden="1" outlineLevel="2">
      <c r="A793" s="192" t="s">
        <v>196</v>
      </c>
      <c r="B793" s="193" t="s">
        <v>198</v>
      </c>
      <c r="C793" s="195" t="s">
        <v>199</v>
      </c>
      <c r="D793" s="195" t="s">
        <v>200</v>
      </c>
      <c r="E793" s="197" t="s">
        <v>201</v>
      </c>
      <c r="F793" s="199" t="s">
        <v>202</v>
      </c>
      <c r="G793" s="201"/>
    </row>
    <row r="794" hidden="1" outlineLevel="2">
      <c r="A794" s="227" t="s">
        <v>4</v>
      </c>
      <c r="B794" s="229">
        <f t="shared" ref="B794:B801" si="195">(C794*0.3)+(D794*0.1)</f>
        <v>0.4</v>
      </c>
      <c r="C794" s="432">
        <v>1.0</v>
      </c>
      <c r="D794" s="210">
        <f>Dan!D523</f>
        <v>1</v>
      </c>
      <c r="E794" s="232">
        <f t="shared" ref="E794:E801" si="196">(L771+G783+H783)/15*0.3</f>
        <v>0.27</v>
      </c>
      <c r="F794" s="218">
        <f t="shared" ref="F794:F801" si="197">(E794/30%)*10</f>
        <v>9</v>
      </c>
      <c r="G794" s="201"/>
      <c r="H794" s="201"/>
      <c r="I794" s="201"/>
      <c r="J794" s="201"/>
    </row>
    <row r="795" hidden="1" outlineLevel="2">
      <c r="A795" s="220" t="s">
        <v>57</v>
      </c>
      <c r="B795" s="223">
        <f t="shared" si="195"/>
        <v>0.4</v>
      </c>
      <c r="C795" s="432">
        <v>1.0</v>
      </c>
      <c r="D795" s="210">
        <f>Godwin!D524</f>
        <v>1</v>
      </c>
      <c r="E795" s="226">
        <f t="shared" si="196"/>
        <v>0.3</v>
      </c>
      <c r="F795" s="218">
        <f t="shared" si="197"/>
        <v>10</v>
      </c>
      <c r="G795" s="201"/>
      <c r="H795" s="201"/>
      <c r="I795" s="201"/>
      <c r="J795" s="201"/>
    </row>
    <row r="796" hidden="1" outlineLevel="2">
      <c r="A796" s="227" t="s">
        <v>21</v>
      </c>
      <c r="B796" s="229">
        <f t="shared" si="195"/>
        <v>0.4</v>
      </c>
      <c r="C796" s="432">
        <v>1.0</v>
      </c>
      <c r="D796" s="231">
        <f>Candy!D395</f>
        <v>1</v>
      </c>
      <c r="E796" s="232">
        <f t="shared" si="196"/>
        <v>0.277</v>
      </c>
      <c r="F796" s="218">
        <f t="shared" si="197"/>
        <v>9.233333333</v>
      </c>
      <c r="G796" s="201"/>
      <c r="H796" s="201"/>
      <c r="I796" s="201"/>
      <c r="J796" s="201"/>
    </row>
    <row r="797" hidden="1" outlineLevel="2">
      <c r="A797" s="220" t="s">
        <v>32</v>
      </c>
      <c r="B797" s="223">
        <f t="shared" si="195"/>
        <v>0.4</v>
      </c>
      <c r="C797" s="432">
        <v>1.0</v>
      </c>
      <c r="D797" s="231">
        <f>Claudette!D524</f>
        <v>1</v>
      </c>
      <c r="E797" s="226">
        <f t="shared" si="196"/>
        <v>0.29</v>
      </c>
      <c r="F797" s="218">
        <f t="shared" si="197"/>
        <v>9.666666667</v>
      </c>
      <c r="G797" s="201"/>
      <c r="H797" s="201"/>
      <c r="I797" s="201"/>
      <c r="J797" s="201"/>
    </row>
    <row r="798" hidden="1" outlineLevel="2">
      <c r="A798" s="236" t="s">
        <v>58</v>
      </c>
      <c r="B798" s="229">
        <f t="shared" si="195"/>
        <v>0.19</v>
      </c>
      <c r="C798" s="432">
        <v>0.3</v>
      </c>
      <c r="D798" s="231">
        <f>Sofhia!D524</f>
        <v>1</v>
      </c>
      <c r="E798" s="232">
        <f t="shared" si="196"/>
        <v>0.2776</v>
      </c>
      <c r="F798" s="218">
        <f t="shared" si="197"/>
        <v>9.253333333</v>
      </c>
      <c r="G798" s="201"/>
      <c r="H798" s="201"/>
      <c r="I798" s="201"/>
      <c r="J798" s="201"/>
    </row>
    <row r="799" hidden="1" outlineLevel="2">
      <c r="A799" s="241" t="s">
        <v>85</v>
      </c>
      <c r="B799" s="223">
        <f t="shared" si="195"/>
        <v>0.4</v>
      </c>
      <c r="C799" s="432">
        <v>1.0</v>
      </c>
      <c r="D799" s="231">
        <f>Cherry!D341</f>
        <v>1</v>
      </c>
      <c r="E799" s="226">
        <f t="shared" si="196"/>
        <v>0.2884</v>
      </c>
      <c r="F799" s="218">
        <f t="shared" si="197"/>
        <v>9.613333333</v>
      </c>
      <c r="G799" s="201"/>
      <c r="H799" s="201"/>
      <c r="I799" s="201"/>
      <c r="J799" s="201"/>
    </row>
    <row r="800" hidden="1" outlineLevel="2">
      <c r="A800" s="245" t="s">
        <v>7</v>
      </c>
      <c r="B800" s="229">
        <f t="shared" si="195"/>
        <v>0.4</v>
      </c>
      <c r="C800" s="432">
        <v>1.0</v>
      </c>
      <c r="D800" s="231">
        <f>Lyra!D322</f>
        <v>1</v>
      </c>
      <c r="E800" s="232">
        <f t="shared" si="196"/>
        <v>0.2804</v>
      </c>
      <c r="F800" s="218">
        <f t="shared" si="197"/>
        <v>9.346666667</v>
      </c>
      <c r="G800" s="201"/>
      <c r="H800" s="201"/>
      <c r="I800" s="201"/>
      <c r="J800" s="201"/>
    </row>
    <row r="801" hidden="1" outlineLevel="2">
      <c r="A801" s="241" t="s">
        <v>514</v>
      </c>
      <c r="B801" s="223">
        <f t="shared" si="195"/>
        <v>0.4</v>
      </c>
      <c r="C801" s="432">
        <v>1.0</v>
      </c>
      <c r="D801" s="231">
        <f>Mikka!D267</f>
        <v>1</v>
      </c>
      <c r="E801" s="226">
        <f t="shared" si="196"/>
        <v>0.277</v>
      </c>
      <c r="F801" s="218">
        <f t="shared" si="197"/>
        <v>9.233333333</v>
      </c>
      <c r="G801" s="201"/>
      <c r="H801" s="201"/>
      <c r="I801" s="201"/>
      <c r="J801" s="201"/>
    </row>
    <row r="802" hidden="1" outlineLevel="2">
      <c r="A802" s="251"/>
      <c r="B802" s="251"/>
      <c r="C802" s="252"/>
      <c r="D802" s="253"/>
      <c r="E802" s="254"/>
      <c r="F802" s="201"/>
      <c r="G802" s="201"/>
      <c r="H802" s="201"/>
      <c r="I802" s="201"/>
      <c r="J802" s="201"/>
    </row>
    <row r="803" hidden="1" outlineLevel="2">
      <c r="A803" s="55" t="s">
        <v>222</v>
      </c>
      <c r="B803" s="251"/>
      <c r="C803" s="252"/>
      <c r="D803" s="253"/>
      <c r="E803" s="254"/>
      <c r="F803" s="201"/>
      <c r="G803" s="201"/>
      <c r="H803" s="201"/>
      <c r="I803" s="201"/>
      <c r="J803" s="201"/>
    </row>
    <row r="804" hidden="1" outlineLevel="2">
      <c r="A804" s="256" t="s">
        <v>196</v>
      </c>
      <c r="B804" s="257" t="s">
        <v>223</v>
      </c>
      <c r="C804" s="62">
        <v>46153.0</v>
      </c>
      <c r="D804" s="62">
        <v>46154.0</v>
      </c>
      <c r="E804" s="62">
        <v>46155.0</v>
      </c>
      <c r="F804" s="62">
        <v>46156.0</v>
      </c>
      <c r="G804" s="62">
        <v>46157.0</v>
      </c>
      <c r="H804" s="62">
        <v>46158.0</v>
      </c>
      <c r="I804" s="62">
        <v>46159.0</v>
      </c>
      <c r="J804" s="201"/>
    </row>
    <row r="805" hidden="1" outlineLevel="2">
      <c r="A805" s="308"/>
      <c r="B805" s="308"/>
      <c r="C805" s="82" t="s">
        <v>80</v>
      </c>
      <c r="D805" s="82" t="s">
        <v>226</v>
      </c>
      <c r="E805" s="82" t="s">
        <v>227</v>
      </c>
      <c r="F805" s="82" t="s">
        <v>228</v>
      </c>
      <c r="G805" s="82" t="s">
        <v>230</v>
      </c>
      <c r="H805" s="82" t="s">
        <v>231</v>
      </c>
      <c r="I805" s="82" t="s">
        <v>232</v>
      </c>
    </row>
    <row r="806" hidden="1" outlineLevel="2">
      <c r="A806" s="227" t="s">
        <v>4</v>
      </c>
      <c r="B806" s="264">
        <f t="shared" ref="B806:B813" si="198">Sum(C806:I806)</f>
        <v>0</v>
      </c>
      <c r="C806" s="267"/>
      <c r="D806" s="268"/>
      <c r="E806" s="268"/>
      <c r="F806" s="268"/>
      <c r="G806" s="267"/>
      <c r="H806" s="267"/>
      <c r="I806" s="267"/>
    </row>
    <row r="807" hidden="1" outlineLevel="2">
      <c r="A807" s="220" t="s">
        <v>57</v>
      </c>
      <c r="B807" s="264">
        <f t="shared" si="198"/>
        <v>0</v>
      </c>
      <c r="C807" s="266"/>
      <c r="D807" s="266"/>
      <c r="E807" s="266"/>
      <c r="F807" s="266"/>
      <c r="G807" s="266"/>
      <c r="H807" s="265"/>
      <c r="I807" s="266"/>
    </row>
    <row r="808" hidden="1" outlineLevel="2">
      <c r="A808" s="227" t="s">
        <v>21</v>
      </c>
      <c r="B808" s="264">
        <f t="shared" si="198"/>
        <v>0</v>
      </c>
      <c r="C808" s="267"/>
      <c r="D808" s="268"/>
      <c r="E808" s="267"/>
      <c r="F808" s="267"/>
      <c r="G808" s="267"/>
      <c r="H808" s="267"/>
      <c r="I808" s="268"/>
    </row>
    <row r="809" hidden="1" outlineLevel="2">
      <c r="A809" s="220" t="s">
        <v>32</v>
      </c>
      <c r="B809" s="264">
        <f t="shared" si="198"/>
        <v>0</v>
      </c>
      <c r="C809" s="266"/>
      <c r="D809" s="266"/>
      <c r="E809" s="266"/>
      <c r="F809" s="266"/>
      <c r="G809" s="266"/>
      <c r="H809" s="266"/>
      <c r="I809" s="265"/>
    </row>
    <row r="810" hidden="1" outlineLevel="2">
      <c r="A810" s="236" t="s">
        <v>58</v>
      </c>
      <c r="B810" s="264">
        <f t="shared" si="198"/>
        <v>0</v>
      </c>
      <c r="C810" s="267"/>
      <c r="D810" s="267"/>
      <c r="E810" s="267"/>
      <c r="F810" s="267"/>
      <c r="G810" s="267"/>
      <c r="H810" s="267"/>
      <c r="I810" s="268"/>
    </row>
    <row r="811" ht="16.5" hidden="1" customHeight="1" outlineLevel="2">
      <c r="A811" s="241" t="s">
        <v>85</v>
      </c>
      <c r="B811" s="264">
        <f t="shared" si="198"/>
        <v>0</v>
      </c>
      <c r="C811" s="266"/>
      <c r="D811" s="266"/>
      <c r="E811" s="266"/>
      <c r="F811" s="266"/>
      <c r="G811" s="266"/>
      <c r="H811" s="266"/>
      <c r="I811" s="266"/>
    </row>
    <row r="812" hidden="1" outlineLevel="2">
      <c r="A812" s="245" t="s">
        <v>7</v>
      </c>
      <c r="B812" s="264">
        <f t="shared" si="198"/>
        <v>0</v>
      </c>
      <c r="C812" s="268"/>
      <c r="D812" s="268"/>
      <c r="E812" s="267"/>
      <c r="F812" s="267"/>
      <c r="G812" s="267"/>
      <c r="H812" s="267"/>
      <c r="I812" s="268"/>
    </row>
    <row r="813" hidden="1" outlineLevel="2">
      <c r="A813" s="241" t="s">
        <v>72</v>
      </c>
      <c r="B813" s="264">
        <f t="shared" si="198"/>
        <v>0</v>
      </c>
      <c r="C813" s="265"/>
      <c r="D813" s="265"/>
      <c r="E813" s="266"/>
      <c r="F813" s="265"/>
      <c r="G813" s="266"/>
      <c r="H813" s="266"/>
      <c r="I813" s="265"/>
    </row>
    <row r="814" collapsed="1">
      <c r="A814" s="434">
        <v>46174.0</v>
      </c>
    </row>
    <row r="815" hidden="1" outlineLevel="1" collapsed="1">
      <c r="A815" s="52" t="s">
        <v>1486</v>
      </c>
    </row>
    <row r="816" hidden="1" outlineLevel="2">
      <c r="A816" s="55" t="s">
        <v>67</v>
      </c>
    </row>
    <row r="817" hidden="1" outlineLevel="2">
      <c r="A817" s="57" t="s">
        <v>68</v>
      </c>
      <c r="B817" s="59" t="s">
        <v>11</v>
      </c>
      <c r="C817" s="59" t="s">
        <v>71</v>
      </c>
      <c r="D817" s="62">
        <v>46174.0</v>
      </c>
      <c r="E817" s="62">
        <v>46175.0</v>
      </c>
      <c r="F817" s="62">
        <v>46176.0</v>
      </c>
      <c r="G817" s="62">
        <v>46177.0</v>
      </c>
      <c r="H817" s="62">
        <v>46178.0</v>
      </c>
      <c r="I817" s="62">
        <v>46179.0</v>
      </c>
      <c r="J817" s="62">
        <v>46180.0</v>
      </c>
      <c r="K817" s="76" t="s">
        <v>77</v>
      </c>
      <c r="L817" s="78" t="s">
        <v>78</v>
      </c>
    </row>
    <row r="818" hidden="1" outlineLevel="2">
      <c r="A818" s="395"/>
      <c r="B818" s="258"/>
      <c r="C818" s="258"/>
      <c r="D818" s="82" t="s">
        <v>80</v>
      </c>
      <c r="E818" s="82" t="str">
        <f t="shared" ref="E818:J818" si="199">text(E817,"ddd")</f>
        <v>Tue</v>
      </c>
      <c r="F818" s="82" t="str">
        <f t="shared" si="199"/>
        <v>Wed</v>
      </c>
      <c r="G818" s="82" t="str">
        <f t="shared" si="199"/>
        <v>Thu</v>
      </c>
      <c r="H818" s="82" t="str">
        <f t="shared" si="199"/>
        <v>Fri</v>
      </c>
      <c r="I818" s="82" t="str">
        <f t="shared" si="199"/>
        <v>Sat</v>
      </c>
      <c r="J818" s="82" t="str">
        <f t="shared" si="199"/>
        <v>Sun</v>
      </c>
      <c r="K818" s="92"/>
      <c r="L818" s="81"/>
    </row>
    <row r="819" hidden="1" outlineLevel="2">
      <c r="A819" s="396" t="s">
        <v>92</v>
      </c>
      <c r="B819" s="397">
        <f>15+15+15+7+10</f>
        <v>62</v>
      </c>
      <c r="C819" s="397">
        <f t="shared" ref="C819:C826" si="200">SUM(D819:J819)</f>
        <v>64</v>
      </c>
      <c r="D819" s="398">
        <v>16.0</v>
      </c>
      <c r="E819" s="398">
        <v>12.0</v>
      </c>
      <c r="F819" s="398">
        <v>19.0</v>
      </c>
      <c r="G819" s="398">
        <v>7.0</v>
      </c>
      <c r="H819" s="398">
        <v>10.0</v>
      </c>
      <c r="I819" s="398" t="s">
        <v>51</v>
      </c>
      <c r="J819" s="108" t="s">
        <v>51</v>
      </c>
      <c r="K819" s="118">
        <f t="shared" ref="K819:K826" si="201">iferror(C819/B819,"-")</f>
        <v>1.032258065</v>
      </c>
      <c r="L819" s="125">
        <f t="shared" ref="L819:L826" si="202">(IF(K819="",(0),IF(K819&gt;=1,(5),IF(K819&gt;=0.9,(4),IF(K819&gt;=0.8,(3),IF(K819&gt;=0.69,(2),IF(K819&lt;=0.69,(1))))))))</f>
        <v>5</v>
      </c>
    </row>
    <row r="820" hidden="1" outlineLevel="2">
      <c r="A820" s="399" t="s">
        <v>61</v>
      </c>
      <c r="B820" s="400">
        <f>30+25+20+20+25</f>
        <v>120</v>
      </c>
      <c r="C820" s="400">
        <f t="shared" si="200"/>
        <v>106</v>
      </c>
      <c r="D820" s="427">
        <v>26.0</v>
      </c>
      <c r="E820" s="401">
        <v>19.0</v>
      </c>
      <c r="F820" s="401">
        <v>16.0</v>
      </c>
      <c r="G820" s="401">
        <v>21.0</v>
      </c>
      <c r="H820" s="401">
        <v>24.0</v>
      </c>
      <c r="I820" s="401" t="s">
        <v>51</v>
      </c>
      <c r="J820" s="108" t="s">
        <v>51</v>
      </c>
      <c r="K820" s="118">
        <f t="shared" si="201"/>
        <v>0.8833333333</v>
      </c>
      <c r="L820" s="125">
        <f t="shared" si="202"/>
        <v>3</v>
      </c>
    </row>
    <row r="821" hidden="1" outlineLevel="2">
      <c r="A821" s="396" t="s">
        <v>21</v>
      </c>
      <c r="B821" s="397">
        <f>20*5</f>
        <v>100</v>
      </c>
      <c r="C821" s="397">
        <f t="shared" si="200"/>
        <v>91</v>
      </c>
      <c r="D821" s="398">
        <v>15.0</v>
      </c>
      <c r="E821" s="398">
        <v>19.0</v>
      </c>
      <c r="F821" s="398" t="s">
        <v>51</v>
      </c>
      <c r="G821" s="398">
        <v>22.0</v>
      </c>
      <c r="H821" s="398">
        <v>21.0</v>
      </c>
      <c r="I821" s="398">
        <v>14.0</v>
      </c>
      <c r="J821" s="108" t="s">
        <v>51</v>
      </c>
      <c r="K821" s="118">
        <f t="shared" si="201"/>
        <v>0.91</v>
      </c>
      <c r="L821" s="125">
        <f t="shared" si="202"/>
        <v>4</v>
      </c>
    </row>
    <row r="822" hidden="1" outlineLevel="2">
      <c r="A822" s="399" t="s">
        <v>74</v>
      </c>
      <c r="B822" s="400">
        <f>15+10+3+15+15</f>
        <v>58</v>
      </c>
      <c r="C822" s="400">
        <f t="shared" si="200"/>
        <v>60</v>
      </c>
      <c r="D822" s="401">
        <v>16.0</v>
      </c>
      <c r="E822" s="401">
        <v>9.0</v>
      </c>
      <c r="F822" s="401">
        <v>3.0</v>
      </c>
      <c r="G822" s="401" t="s">
        <v>51</v>
      </c>
      <c r="H822" s="401" t="s">
        <v>51</v>
      </c>
      <c r="I822" s="401">
        <v>17.0</v>
      </c>
      <c r="J822" s="108">
        <v>15.0</v>
      </c>
      <c r="K822" s="118">
        <f t="shared" si="201"/>
        <v>1.034482759</v>
      </c>
      <c r="L822" s="125">
        <f t="shared" si="202"/>
        <v>5</v>
      </c>
    </row>
    <row r="823" hidden="1" outlineLevel="2">
      <c r="A823" s="272" t="s">
        <v>53</v>
      </c>
      <c r="B823" s="404">
        <f>15+10+20+10+10</f>
        <v>65</v>
      </c>
      <c r="C823" s="397">
        <f t="shared" si="200"/>
        <v>68</v>
      </c>
      <c r="D823" s="398">
        <v>14.0</v>
      </c>
      <c r="E823" s="398">
        <v>12.0</v>
      </c>
      <c r="F823" s="398">
        <v>22.0</v>
      </c>
      <c r="G823" s="398" t="s">
        <v>51</v>
      </c>
      <c r="H823" s="398" t="s">
        <v>51</v>
      </c>
      <c r="I823" s="398">
        <v>11.0</v>
      </c>
      <c r="J823" s="108">
        <v>9.0</v>
      </c>
      <c r="K823" s="118">
        <f t="shared" si="201"/>
        <v>1.046153846</v>
      </c>
      <c r="L823" s="125">
        <f t="shared" si="202"/>
        <v>5</v>
      </c>
    </row>
    <row r="824" hidden="1" outlineLevel="2">
      <c r="A824" s="245" t="s">
        <v>85</v>
      </c>
      <c r="B824" s="400">
        <f>35+30+30+30+30</f>
        <v>155</v>
      </c>
      <c r="C824" s="400">
        <f t="shared" si="200"/>
        <v>170</v>
      </c>
      <c r="D824" s="401">
        <v>41.0</v>
      </c>
      <c r="E824" s="401">
        <v>34.0</v>
      </c>
      <c r="F824" s="401">
        <v>34.0</v>
      </c>
      <c r="G824" s="401">
        <v>28.0</v>
      </c>
      <c r="H824" s="401">
        <v>33.0</v>
      </c>
      <c r="I824" s="401" t="s">
        <v>51</v>
      </c>
      <c r="J824" s="108" t="s">
        <v>51</v>
      </c>
      <c r="K824" s="118">
        <f t="shared" si="201"/>
        <v>1.096774194</v>
      </c>
      <c r="L824" s="125">
        <f t="shared" si="202"/>
        <v>5</v>
      </c>
    </row>
    <row r="825" hidden="1" outlineLevel="2">
      <c r="A825" s="241" t="s">
        <v>7</v>
      </c>
      <c r="B825" s="404">
        <f>20+15+15+15</f>
        <v>65</v>
      </c>
      <c r="C825" s="397">
        <f t="shared" si="200"/>
        <v>86</v>
      </c>
      <c r="D825" s="398">
        <v>22.0</v>
      </c>
      <c r="E825" s="398">
        <v>17.0</v>
      </c>
      <c r="F825" s="398">
        <v>8.0</v>
      </c>
      <c r="G825" s="398">
        <v>15.0</v>
      </c>
      <c r="H825" s="398">
        <v>24.0</v>
      </c>
      <c r="I825" s="398" t="s">
        <v>51</v>
      </c>
      <c r="J825" s="108" t="s">
        <v>51</v>
      </c>
      <c r="K825" s="118">
        <f t="shared" si="201"/>
        <v>1.323076923</v>
      </c>
      <c r="L825" s="125">
        <f t="shared" si="202"/>
        <v>5</v>
      </c>
    </row>
    <row r="826" hidden="1" outlineLevel="2">
      <c r="A826" s="245" t="s">
        <v>514</v>
      </c>
      <c r="B826" s="405">
        <f>15+15+15</f>
        <v>45</v>
      </c>
      <c r="C826" s="400">
        <f t="shared" si="200"/>
        <v>84</v>
      </c>
      <c r="D826" s="401" t="s">
        <v>51</v>
      </c>
      <c r="E826" s="401">
        <v>17.0</v>
      </c>
      <c r="F826" s="401">
        <v>12.0</v>
      </c>
      <c r="G826" s="401">
        <v>14.0</v>
      </c>
      <c r="H826" s="401">
        <v>23.0</v>
      </c>
      <c r="I826" s="401">
        <v>18.0</v>
      </c>
      <c r="J826" s="108" t="s">
        <v>51</v>
      </c>
      <c r="K826" s="118">
        <f t="shared" si="201"/>
        <v>1.866666667</v>
      </c>
      <c r="L826" s="125">
        <f t="shared" si="202"/>
        <v>5</v>
      </c>
    </row>
    <row r="827" hidden="1" outlineLevel="2"/>
    <row r="828" hidden="1" outlineLevel="2">
      <c r="A828" s="55" t="s">
        <v>87</v>
      </c>
      <c r="I828" s="55"/>
    </row>
    <row r="829" hidden="1" outlineLevel="2">
      <c r="A829" s="57" t="s">
        <v>68</v>
      </c>
      <c r="B829" s="158" t="s">
        <v>157</v>
      </c>
      <c r="C829" s="158" t="s">
        <v>158</v>
      </c>
      <c r="D829" s="158" t="s">
        <v>90</v>
      </c>
      <c r="E829" s="158" t="s">
        <v>91</v>
      </c>
      <c r="F829" s="158" t="s">
        <v>93</v>
      </c>
      <c r="G829" s="161" t="s">
        <v>94</v>
      </c>
      <c r="H829" s="161" t="s">
        <v>160</v>
      </c>
    </row>
    <row r="830" hidden="1" outlineLevel="2">
      <c r="A830" s="395"/>
      <c r="B830" s="258"/>
      <c r="C830" s="258"/>
      <c r="D830" s="258"/>
      <c r="E830" s="258"/>
      <c r="F830" s="258"/>
      <c r="G830" s="258"/>
      <c r="H830" s="258"/>
    </row>
    <row r="831" hidden="1" outlineLevel="2">
      <c r="A831" s="396" t="s">
        <v>92</v>
      </c>
      <c r="B831" s="398">
        <v>68.0</v>
      </c>
      <c r="C831" s="398">
        <v>64.0</v>
      </c>
      <c r="D831" s="141">
        <f t="shared" ref="D831:D838" si="203">B831-C831</f>
        <v>4</v>
      </c>
      <c r="E831" s="406">
        <f t="shared" ref="E831:E838" si="204">IFERROR(C831/B831,"")</f>
        <v>0.9411764706</v>
      </c>
      <c r="F831" s="407">
        <v>0.0023032407407407407</v>
      </c>
      <c r="G831" s="171">
        <f t="shared" ref="G831:G838" si="205">IFERROR((IF(E831="",(0),IF(E831&gt;=0.98,(5),IF(E831&gt;=0.95,(4.5),IF(E831&gt;=0.9,(4),IF(E831&gt;=0.8,(3),IF(E831&lt;=0.69,(1)))))))),"")</f>
        <v>4</v>
      </c>
      <c r="H831" s="171">
        <f>ROUND(
IF(F831="",
0,
MAX(1, 5 - MAX(0, (F831 - TIME(0,4,0)) / TIME(0,1,0) * 0.5))
),
2
)
</f>
        <v>5</v>
      </c>
    </row>
    <row r="832" hidden="1" outlineLevel="2">
      <c r="A832" s="399" t="s">
        <v>61</v>
      </c>
      <c r="B832" s="401">
        <v>109.0</v>
      </c>
      <c r="C832" s="401">
        <v>106.0</v>
      </c>
      <c r="D832" s="408">
        <f t="shared" si="203"/>
        <v>3</v>
      </c>
      <c r="E832" s="409">
        <f t="shared" si="204"/>
        <v>0.9724770642</v>
      </c>
      <c r="F832" s="410">
        <v>0.004039351851851852</v>
      </c>
      <c r="G832" s="171">
        <f t="shared" si="205"/>
        <v>4.5</v>
      </c>
      <c r="H832" s="171">
        <f>ROUND(
IF(F832="",
0,
MAX(1, 5 - MAX(0, (F832 - TIME(0,5,0)) / TIME(0,1,0) * 0.5))
),
2
)
</f>
        <v>4.59</v>
      </c>
    </row>
    <row r="833" hidden="1" outlineLevel="2">
      <c r="A833" s="396" t="s">
        <v>21</v>
      </c>
      <c r="B833" s="398">
        <v>91.0</v>
      </c>
      <c r="C833" s="398">
        <v>91.0</v>
      </c>
      <c r="D833" s="141">
        <f t="shared" si="203"/>
        <v>0</v>
      </c>
      <c r="E833" s="406">
        <f t="shared" si="204"/>
        <v>1</v>
      </c>
      <c r="F833" s="407">
        <v>0.0032060185185185186</v>
      </c>
      <c r="G833" s="171">
        <f t="shared" si="205"/>
        <v>5</v>
      </c>
      <c r="H833" s="171">
        <f>ROUND(
IF(F833="",
0,
MAX(1, 5 - MAX(0, (F833 - TIME(0,4,0)) / TIME(0,1,0) * 0.5))
),
2
)
</f>
        <v>4.69</v>
      </c>
    </row>
    <row r="834" hidden="1" outlineLevel="2">
      <c r="A834" s="429" t="s">
        <v>74</v>
      </c>
      <c r="B834" s="401">
        <v>64.0</v>
      </c>
      <c r="C834" s="401">
        <v>60.0</v>
      </c>
      <c r="D834" s="408">
        <f t="shared" si="203"/>
        <v>4</v>
      </c>
      <c r="E834" s="409">
        <f t="shared" si="204"/>
        <v>0.9375</v>
      </c>
      <c r="F834" s="410">
        <v>0.0026041666666666665</v>
      </c>
      <c r="G834" s="171">
        <f t="shared" si="205"/>
        <v>4</v>
      </c>
      <c r="H834" s="171">
        <f>ROUND(
IF(F834="",
0,
MAX(1, 5 - MAX(0, (F834 - TIME(0,5,0)) / TIME(0,1,0) * 0.5))
),
2
)
</f>
        <v>5</v>
      </c>
    </row>
    <row r="835" hidden="1" outlineLevel="2">
      <c r="A835" s="430" t="s">
        <v>53</v>
      </c>
      <c r="B835" s="398">
        <v>71.0</v>
      </c>
      <c r="C835" s="398">
        <v>68.0</v>
      </c>
      <c r="D835" s="141">
        <f t="shared" si="203"/>
        <v>3</v>
      </c>
      <c r="E835" s="406">
        <f t="shared" si="204"/>
        <v>0.9577464789</v>
      </c>
      <c r="F835" s="407">
        <v>0.0028587962962962963</v>
      </c>
      <c r="G835" s="171">
        <f t="shared" si="205"/>
        <v>4.5</v>
      </c>
      <c r="H835" s="171">
        <f>ROUND(
IF(F835="",
0,
MAX(1, 5 - MAX(0, (F835 - TIME(0,4,0)) / TIME(0,1,0) * 0.5))
),
2
)
</f>
        <v>4.94</v>
      </c>
    </row>
    <row r="836" hidden="1" outlineLevel="2">
      <c r="A836" s="245" t="s">
        <v>85</v>
      </c>
      <c r="B836" s="401">
        <v>171.0</v>
      </c>
      <c r="C836" s="401">
        <v>170.0</v>
      </c>
      <c r="D836" s="408">
        <f t="shared" si="203"/>
        <v>1</v>
      </c>
      <c r="E836" s="409">
        <f t="shared" si="204"/>
        <v>0.9941520468</v>
      </c>
      <c r="F836" s="410">
        <v>0.0046875</v>
      </c>
      <c r="G836" s="171">
        <f t="shared" si="205"/>
        <v>5</v>
      </c>
      <c r="H836" s="171">
        <f t="shared" ref="H836:H838" si="206">ROUND(
IF(F836="",
0,
MAX(1, 5 - MAX(0, (F836 - TIME(0,5,0)) / TIME(0,1,0) * 0.5))
),
2
)
</f>
        <v>4.13</v>
      </c>
    </row>
    <row r="837" hidden="1" outlineLevel="2">
      <c r="A837" s="431" t="s">
        <v>7</v>
      </c>
      <c r="B837" s="398">
        <v>88.0</v>
      </c>
      <c r="C837" s="398">
        <v>86.0</v>
      </c>
      <c r="D837" s="141">
        <f t="shared" si="203"/>
        <v>2</v>
      </c>
      <c r="E837" s="406">
        <f t="shared" si="204"/>
        <v>0.9772727273</v>
      </c>
      <c r="F837" s="407">
        <v>0.003287037037037037</v>
      </c>
      <c r="G837" s="171">
        <f t="shared" si="205"/>
        <v>4.5</v>
      </c>
      <c r="H837" s="171">
        <f t="shared" si="206"/>
        <v>5</v>
      </c>
    </row>
    <row r="838" hidden="1" outlineLevel="2">
      <c r="A838" s="245" t="s">
        <v>514</v>
      </c>
      <c r="B838" s="401">
        <v>84.0</v>
      </c>
      <c r="C838" s="401">
        <v>84.0</v>
      </c>
      <c r="D838" s="408">
        <f t="shared" si="203"/>
        <v>0</v>
      </c>
      <c r="E838" s="409">
        <f t="shared" si="204"/>
        <v>1</v>
      </c>
      <c r="F838" s="410">
        <v>0.004050925925925926</v>
      </c>
      <c r="G838" s="171">
        <f t="shared" si="205"/>
        <v>5</v>
      </c>
      <c r="H838" s="171">
        <f t="shared" si="206"/>
        <v>4.58</v>
      </c>
    </row>
    <row r="839" hidden="1" outlineLevel="2"/>
    <row r="840" hidden="1" outlineLevel="2">
      <c r="A840" s="55" t="s">
        <v>195</v>
      </c>
    </row>
    <row r="841" hidden="1" outlineLevel="2">
      <c r="A841" s="192" t="s">
        <v>196</v>
      </c>
      <c r="B841" s="193" t="s">
        <v>198</v>
      </c>
      <c r="C841" s="195" t="s">
        <v>199</v>
      </c>
      <c r="D841" s="195" t="s">
        <v>200</v>
      </c>
      <c r="E841" s="197" t="s">
        <v>201</v>
      </c>
      <c r="F841" s="199" t="s">
        <v>202</v>
      </c>
      <c r="G841" s="201"/>
    </row>
    <row r="842" hidden="1" outlineLevel="2">
      <c r="A842" s="227" t="s">
        <v>4</v>
      </c>
      <c r="B842" s="229">
        <f t="shared" ref="B842:B849" si="207">(C842*0.3)+(D842*0.1)</f>
        <v>0.4</v>
      </c>
      <c r="C842" s="432">
        <v>1.0</v>
      </c>
      <c r="D842" s="210">
        <f>Dan!D540</f>
        <v>1</v>
      </c>
      <c r="E842" s="232">
        <f t="shared" ref="E842:E849" si="208">(L819+G831+H831)/15*0.3</f>
        <v>0.28</v>
      </c>
      <c r="F842" s="218">
        <f t="shared" ref="F842:F849" si="209">(E842/30%)*10</f>
        <v>9.333333333</v>
      </c>
      <c r="G842" s="201"/>
      <c r="H842" s="201"/>
      <c r="I842" s="201"/>
      <c r="J842" s="201"/>
    </row>
    <row r="843" hidden="1" outlineLevel="2">
      <c r="A843" s="220" t="s">
        <v>57</v>
      </c>
      <c r="B843" s="223">
        <f t="shared" si="207"/>
        <v>0.28</v>
      </c>
      <c r="C843" s="432">
        <v>0.6</v>
      </c>
      <c r="D843" s="210">
        <f>Godwin!D541</f>
        <v>1</v>
      </c>
      <c r="E843" s="226">
        <f t="shared" si="208"/>
        <v>0.2418</v>
      </c>
      <c r="F843" s="218">
        <f t="shared" si="209"/>
        <v>8.06</v>
      </c>
      <c r="G843" s="201"/>
      <c r="H843" s="201"/>
      <c r="I843" s="201"/>
      <c r="J843" s="201"/>
    </row>
    <row r="844" hidden="1" outlineLevel="2">
      <c r="A844" s="227" t="s">
        <v>21</v>
      </c>
      <c r="B844" s="229">
        <f t="shared" si="207"/>
        <v>0.4</v>
      </c>
      <c r="C844" s="432">
        <v>1.0</v>
      </c>
      <c r="D844" s="231">
        <f>Candy!D412</f>
        <v>1</v>
      </c>
      <c r="E844" s="232">
        <f t="shared" si="208"/>
        <v>0.2738</v>
      </c>
      <c r="F844" s="218">
        <f t="shared" si="209"/>
        <v>9.126666667</v>
      </c>
      <c r="G844" s="201"/>
      <c r="H844" s="201"/>
      <c r="I844" s="201"/>
      <c r="J844" s="201"/>
    </row>
    <row r="845" hidden="1" outlineLevel="2">
      <c r="A845" s="220" t="s">
        <v>32</v>
      </c>
      <c r="B845" s="223">
        <f t="shared" si="207"/>
        <v>0.4</v>
      </c>
      <c r="C845" s="432">
        <v>1.0</v>
      </c>
      <c r="D845" s="231">
        <f>Claudette!D541</f>
        <v>1</v>
      </c>
      <c r="E845" s="226">
        <f t="shared" si="208"/>
        <v>0.28</v>
      </c>
      <c r="F845" s="218">
        <f t="shared" si="209"/>
        <v>9.333333333</v>
      </c>
      <c r="G845" s="201"/>
      <c r="H845" s="201"/>
      <c r="I845" s="201"/>
      <c r="J845" s="201"/>
    </row>
    <row r="846" hidden="1" outlineLevel="2">
      <c r="A846" s="236" t="s">
        <v>58</v>
      </c>
      <c r="B846" s="229">
        <f t="shared" si="207"/>
        <v>0.4</v>
      </c>
      <c r="C846" s="432">
        <v>1.0</v>
      </c>
      <c r="D846" s="231">
        <f>Sofhia!D541</f>
        <v>1</v>
      </c>
      <c r="E846" s="232">
        <f t="shared" si="208"/>
        <v>0.2888</v>
      </c>
      <c r="F846" s="218">
        <f t="shared" si="209"/>
        <v>9.626666667</v>
      </c>
      <c r="G846" s="201"/>
      <c r="H846" s="201"/>
      <c r="I846" s="201"/>
      <c r="J846" s="201"/>
    </row>
    <row r="847" hidden="1" outlineLevel="2">
      <c r="A847" s="241" t="s">
        <v>85</v>
      </c>
      <c r="B847" s="223">
        <f t="shared" si="207"/>
        <v>0.1</v>
      </c>
      <c r="C847" s="432">
        <v>0.0</v>
      </c>
      <c r="D847" s="231">
        <f>Cherry!D358</f>
        <v>1</v>
      </c>
      <c r="E847" s="226">
        <f t="shared" si="208"/>
        <v>0.2826</v>
      </c>
      <c r="F847" s="218">
        <f t="shared" si="209"/>
        <v>9.42</v>
      </c>
      <c r="G847" s="201"/>
      <c r="H847" s="201"/>
      <c r="I847" s="201"/>
      <c r="J847" s="201"/>
    </row>
    <row r="848" hidden="1" outlineLevel="2">
      <c r="A848" s="245" t="s">
        <v>7</v>
      </c>
      <c r="B848" s="229">
        <f t="shared" si="207"/>
        <v>0.4</v>
      </c>
      <c r="C848" s="432">
        <v>1.0</v>
      </c>
      <c r="D848" s="231">
        <f>Lyra!D339</f>
        <v>1</v>
      </c>
      <c r="E848" s="232">
        <f t="shared" si="208"/>
        <v>0.29</v>
      </c>
      <c r="F848" s="218">
        <f t="shared" si="209"/>
        <v>9.666666667</v>
      </c>
      <c r="G848" s="201"/>
      <c r="H848" s="201"/>
      <c r="I848" s="201"/>
      <c r="J848" s="201"/>
    </row>
    <row r="849" hidden="1" outlineLevel="2">
      <c r="A849" s="241" t="s">
        <v>514</v>
      </c>
      <c r="B849" s="223">
        <f t="shared" si="207"/>
        <v>0.4</v>
      </c>
      <c r="C849" s="432">
        <v>1.0</v>
      </c>
      <c r="D849" s="231">
        <f>Mikka!D286</f>
        <v>1</v>
      </c>
      <c r="E849" s="226">
        <f t="shared" si="208"/>
        <v>0.2916</v>
      </c>
      <c r="F849" s="218">
        <f t="shared" si="209"/>
        <v>9.72</v>
      </c>
      <c r="G849" s="201"/>
      <c r="H849" s="201"/>
      <c r="I849" s="201"/>
      <c r="J849" s="201"/>
    </row>
    <row r="850" hidden="1" outlineLevel="2">
      <c r="A850" s="251"/>
      <c r="B850" s="251"/>
      <c r="C850" s="252"/>
      <c r="D850" s="253"/>
      <c r="E850" s="254"/>
      <c r="F850" s="201"/>
      <c r="G850" s="201"/>
      <c r="H850" s="201"/>
      <c r="I850" s="201"/>
      <c r="J850" s="201"/>
    </row>
    <row r="851" hidden="1" outlineLevel="2">
      <c r="A851" s="55" t="s">
        <v>222</v>
      </c>
      <c r="B851" s="251"/>
      <c r="C851" s="252"/>
      <c r="D851" s="253"/>
      <c r="E851" s="254"/>
      <c r="F851" s="201"/>
      <c r="G851" s="201"/>
      <c r="H851" s="201"/>
      <c r="I851" s="201"/>
      <c r="J851" s="201"/>
    </row>
    <row r="852" hidden="1" outlineLevel="2">
      <c r="A852" s="256" t="s">
        <v>196</v>
      </c>
      <c r="B852" s="257" t="s">
        <v>223</v>
      </c>
      <c r="C852" s="62">
        <v>46153.0</v>
      </c>
      <c r="D852" s="62">
        <v>46154.0</v>
      </c>
      <c r="E852" s="62">
        <v>46155.0</v>
      </c>
      <c r="F852" s="62">
        <v>46156.0</v>
      </c>
      <c r="G852" s="62">
        <v>46157.0</v>
      </c>
      <c r="H852" s="62">
        <v>46158.0</v>
      </c>
      <c r="I852" s="62">
        <v>46159.0</v>
      </c>
      <c r="J852" s="201"/>
    </row>
    <row r="853" hidden="1" outlineLevel="2">
      <c r="A853" s="308"/>
      <c r="B853" s="308"/>
      <c r="C853" s="82" t="s">
        <v>80</v>
      </c>
      <c r="D853" s="82" t="s">
        <v>226</v>
      </c>
      <c r="E853" s="82" t="s">
        <v>227</v>
      </c>
      <c r="F853" s="82" t="s">
        <v>228</v>
      </c>
      <c r="G853" s="82" t="s">
        <v>230</v>
      </c>
      <c r="H853" s="82" t="s">
        <v>231</v>
      </c>
      <c r="I853" s="82" t="s">
        <v>232</v>
      </c>
    </row>
    <row r="854" hidden="1" outlineLevel="2">
      <c r="A854" s="227" t="s">
        <v>4</v>
      </c>
      <c r="B854" s="264">
        <f t="shared" ref="B854:B861" si="210">Sum(C854:I854)</f>
        <v>0</v>
      </c>
      <c r="C854" s="267"/>
      <c r="D854" s="268"/>
      <c r="E854" s="268"/>
      <c r="F854" s="268"/>
      <c r="G854" s="267"/>
      <c r="H854" s="267"/>
      <c r="I854" s="267"/>
    </row>
    <row r="855" hidden="1" outlineLevel="2">
      <c r="A855" s="220" t="s">
        <v>57</v>
      </c>
      <c r="B855" s="264">
        <f t="shared" si="210"/>
        <v>0</v>
      </c>
      <c r="C855" s="266"/>
      <c r="D855" s="266"/>
      <c r="E855" s="266"/>
      <c r="F855" s="266"/>
      <c r="G855" s="266"/>
      <c r="H855" s="265"/>
      <c r="I855" s="266"/>
    </row>
    <row r="856" hidden="1" outlineLevel="2">
      <c r="A856" s="227" t="s">
        <v>21</v>
      </c>
      <c r="B856" s="264">
        <f t="shared" si="210"/>
        <v>0</v>
      </c>
      <c r="C856" s="267"/>
      <c r="D856" s="268"/>
      <c r="E856" s="267"/>
      <c r="F856" s="267"/>
      <c r="G856" s="267"/>
      <c r="H856" s="267"/>
      <c r="I856" s="268"/>
    </row>
    <row r="857" hidden="1" outlineLevel="2">
      <c r="A857" s="220" t="s">
        <v>32</v>
      </c>
      <c r="B857" s="264">
        <f t="shared" si="210"/>
        <v>0</v>
      </c>
      <c r="C857" s="266"/>
      <c r="D857" s="266"/>
      <c r="E857" s="266"/>
      <c r="F857" s="266"/>
      <c r="G857" s="266"/>
      <c r="H857" s="266"/>
      <c r="I857" s="265"/>
    </row>
    <row r="858" hidden="1" outlineLevel="2">
      <c r="A858" s="236" t="s">
        <v>58</v>
      </c>
      <c r="B858" s="264">
        <f t="shared" si="210"/>
        <v>0</v>
      </c>
      <c r="C858" s="267"/>
      <c r="D858" s="267"/>
      <c r="E858" s="267"/>
      <c r="F858" s="267"/>
      <c r="G858" s="267"/>
      <c r="H858" s="267"/>
      <c r="I858" s="268"/>
    </row>
    <row r="859" ht="16.5" hidden="1" customHeight="1" outlineLevel="2">
      <c r="A859" s="241" t="s">
        <v>85</v>
      </c>
      <c r="B859" s="264">
        <f t="shared" si="210"/>
        <v>0</v>
      </c>
      <c r="C859" s="266"/>
      <c r="D859" s="266"/>
      <c r="E859" s="266"/>
      <c r="F859" s="266"/>
      <c r="G859" s="266"/>
      <c r="H859" s="266"/>
      <c r="I859" s="266"/>
    </row>
    <row r="860" hidden="1" outlineLevel="2">
      <c r="A860" s="245" t="s">
        <v>7</v>
      </c>
      <c r="B860" s="264">
        <f t="shared" si="210"/>
        <v>0</v>
      </c>
      <c r="C860" s="268"/>
      <c r="D860" s="268"/>
      <c r="E860" s="267"/>
      <c r="F860" s="267"/>
      <c r="G860" s="267"/>
      <c r="H860" s="267"/>
      <c r="I860" s="268"/>
    </row>
    <row r="861" hidden="1" outlineLevel="2">
      <c r="A861" s="241" t="s">
        <v>72</v>
      </c>
      <c r="B861" s="264">
        <f t="shared" si="210"/>
        <v>0</v>
      </c>
      <c r="C861" s="265"/>
      <c r="D861" s="265"/>
      <c r="E861" s="266"/>
      <c r="F861" s="265"/>
      <c r="G861" s="266"/>
      <c r="H861" s="266"/>
      <c r="I861" s="265"/>
    </row>
    <row r="862" hidden="1" outlineLevel="1" collapsed="1">
      <c r="A862" s="52" t="s">
        <v>1565</v>
      </c>
    </row>
    <row r="863" hidden="1" outlineLevel="2">
      <c r="A863" s="55" t="s">
        <v>67</v>
      </c>
    </row>
    <row r="864" hidden="1" outlineLevel="2">
      <c r="A864" s="57" t="s">
        <v>68</v>
      </c>
      <c r="B864" s="59" t="s">
        <v>11</v>
      </c>
      <c r="C864" s="59" t="s">
        <v>71</v>
      </c>
      <c r="D864" s="62">
        <v>46181.0</v>
      </c>
      <c r="E864" s="62">
        <v>46182.0</v>
      </c>
      <c r="F864" s="62">
        <v>46183.0</v>
      </c>
      <c r="G864" s="62">
        <v>46184.0</v>
      </c>
      <c r="H864" s="62">
        <v>46185.0</v>
      </c>
      <c r="I864" s="62">
        <v>46186.0</v>
      </c>
      <c r="J864" s="62">
        <v>46187.0</v>
      </c>
      <c r="K864" s="76" t="s">
        <v>77</v>
      </c>
      <c r="L864" s="78" t="s">
        <v>78</v>
      </c>
    </row>
    <row r="865" hidden="1" outlineLevel="2">
      <c r="A865" s="414"/>
      <c r="B865" s="308"/>
      <c r="C865" s="308"/>
      <c r="D865" s="82" t="s">
        <v>80</v>
      </c>
      <c r="E865" s="82" t="str">
        <f t="shared" ref="E865:J865" si="211">text(E864,"ddd")</f>
        <v>Tue</v>
      </c>
      <c r="F865" s="82" t="str">
        <f t="shared" si="211"/>
        <v>Wed</v>
      </c>
      <c r="G865" s="82" t="str">
        <f t="shared" si="211"/>
        <v>Thu</v>
      </c>
      <c r="H865" s="82" t="str">
        <f t="shared" si="211"/>
        <v>Fri</v>
      </c>
      <c r="I865" s="82" t="str">
        <f t="shared" si="211"/>
        <v>Sat</v>
      </c>
      <c r="J865" s="82" t="str">
        <f t="shared" si="211"/>
        <v>Sun</v>
      </c>
      <c r="K865" s="92"/>
      <c r="L865" s="81"/>
    </row>
    <row r="866" hidden="1" outlineLevel="2">
      <c r="A866" s="399" t="s">
        <v>92</v>
      </c>
      <c r="B866" s="400">
        <f>15+15+15+7+10</f>
        <v>62</v>
      </c>
      <c r="C866" s="400">
        <f t="shared" ref="C866:C873" si="212">SUM(D866:J866)</f>
        <v>69</v>
      </c>
      <c r="D866" s="401" t="s">
        <v>51</v>
      </c>
      <c r="E866" s="401" t="s">
        <v>51</v>
      </c>
      <c r="F866" s="401">
        <v>13.0</v>
      </c>
      <c r="G866" s="401">
        <v>8.0</v>
      </c>
      <c r="H866" s="401">
        <v>16.0</v>
      </c>
      <c r="I866" s="401">
        <v>20.0</v>
      </c>
      <c r="J866" s="108">
        <v>12.0</v>
      </c>
      <c r="K866" s="118">
        <f t="shared" ref="K866:K873" si="213">iferror(C866/B866,"-")</f>
        <v>1.112903226</v>
      </c>
      <c r="L866" s="125">
        <f t="shared" ref="L866:L873" si="214">(IF(K866="",(0),IF(K866&gt;=1,(5),IF(K866&gt;=0.9,(4),IF(K866&gt;=0.8,(3),IF(K866&gt;=0.69,(2),IF(K866&lt;=0.69,(1))))))))</f>
        <v>5</v>
      </c>
    </row>
    <row r="867" hidden="1" outlineLevel="2">
      <c r="A867" s="396" t="s">
        <v>61</v>
      </c>
      <c r="B867" s="397">
        <f>30+25+20+20+25</f>
        <v>120</v>
      </c>
      <c r="C867" s="397">
        <f t="shared" si="212"/>
        <v>110</v>
      </c>
      <c r="D867" s="419">
        <v>28.0</v>
      </c>
      <c r="E867" s="398">
        <v>16.0</v>
      </c>
      <c r="F867" s="398">
        <v>21.0</v>
      </c>
      <c r="G867" s="398">
        <v>22.0</v>
      </c>
      <c r="H867" s="398">
        <v>23.0</v>
      </c>
      <c r="I867" s="398" t="s">
        <v>51</v>
      </c>
      <c r="J867" s="108" t="s">
        <v>51</v>
      </c>
      <c r="K867" s="118">
        <f t="shared" si="213"/>
        <v>0.9166666667</v>
      </c>
      <c r="L867" s="125">
        <f t="shared" si="214"/>
        <v>4</v>
      </c>
    </row>
    <row r="868" hidden="1" outlineLevel="2">
      <c r="A868" s="399" t="s">
        <v>21</v>
      </c>
      <c r="B868" s="400">
        <f>20*5</f>
        <v>100</v>
      </c>
      <c r="C868" s="400">
        <f t="shared" si="212"/>
        <v>98</v>
      </c>
      <c r="D868" s="401">
        <v>17.0</v>
      </c>
      <c r="E868" s="401">
        <v>24.0</v>
      </c>
      <c r="F868" s="401" t="s">
        <v>51</v>
      </c>
      <c r="G868" s="401">
        <v>17.0</v>
      </c>
      <c r="H868" s="401">
        <v>21.0</v>
      </c>
      <c r="I868" s="401">
        <v>19.0</v>
      </c>
      <c r="J868" s="108" t="s">
        <v>51</v>
      </c>
      <c r="K868" s="118">
        <f t="shared" si="213"/>
        <v>0.98</v>
      </c>
      <c r="L868" s="125">
        <f t="shared" si="214"/>
        <v>4</v>
      </c>
    </row>
    <row r="869" hidden="1" outlineLevel="2">
      <c r="A869" s="396" t="s">
        <v>74</v>
      </c>
      <c r="B869" s="397">
        <f>20+15+15+7+13</f>
        <v>70</v>
      </c>
      <c r="C869" s="397">
        <f t="shared" si="212"/>
        <v>67</v>
      </c>
      <c r="D869" s="398">
        <v>19.0</v>
      </c>
      <c r="E869" s="398">
        <v>14.0</v>
      </c>
      <c r="F869" s="398" t="s">
        <v>51</v>
      </c>
      <c r="G869" s="398" t="s">
        <v>51</v>
      </c>
      <c r="H869" s="398">
        <v>14.0</v>
      </c>
      <c r="I869" s="398">
        <v>7.0</v>
      </c>
      <c r="J869" s="108">
        <v>13.0</v>
      </c>
      <c r="K869" s="118">
        <f t="shared" si="213"/>
        <v>0.9571428571</v>
      </c>
      <c r="L869" s="125">
        <f t="shared" si="214"/>
        <v>4</v>
      </c>
    </row>
    <row r="870" hidden="1" outlineLevel="2">
      <c r="A870" s="236" t="s">
        <v>53</v>
      </c>
      <c r="B870" s="405">
        <f>15+10+20+10+10</f>
        <v>65</v>
      </c>
      <c r="C870" s="400">
        <f t="shared" si="212"/>
        <v>65</v>
      </c>
      <c r="D870" s="401">
        <v>10.0</v>
      </c>
      <c r="E870" s="401">
        <v>11.0</v>
      </c>
      <c r="F870" s="401">
        <v>15.0</v>
      </c>
      <c r="G870" s="401">
        <v>15.0</v>
      </c>
      <c r="H870" s="401">
        <v>14.0</v>
      </c>
      <c r="I870" s="401" t="s">
        <v>51</v>
      </c>
      <c r="J870" s="108" t="s">
        <v>51</v>
      </c>
      <c r="K870" s="118">
        <f t="shared" si="213"/>
        <v>1</v>
      </c>
      <c r="L870" s="125">
        <f t="shared" si="214"/>
        <v>5</v>
      </c>
    </row>
    <row r="871" hidden="1" outlineLevel="2">
      <c r="A871" s="241" t="s">
        <v>85</v>
      </c>
      <c r="B871" s="397">
        <f>35+30+30+30+20</f>
        <v>145</v>
      </c>
      <c r="C871" s="397">
        <f t="shared" si="212"/>
        <v>147</v>
      </c>
      <c r="D871" s="398">
        <v>33.0</v>
      </c>
      <c r="E871" s="398">
        <v>30.0</v>
      </c>
      <c r="F871" s="398">
        <v>31.0</v>
      </c>
      <c r="G871" s="398">
        <v>34.0</v>
      </c>
      <c r="H871" s="398" t="s">
        <v>51</v>
      </c>
      <c r="I871" s="398" t="s">
        <v>51</v>
      </c>
      <c r="J871" s="108">
        <v>19.0</v>
      </c>
      <c r="K871" s="118">
        <f t="shared" si="213"/>
        <v>1.013793103</v>
      </c>
      <c r="L871" s="125">
        <f t="shared" si="214"/>
        <v>5</v>
      </c>
    </row>
    <row r="872" hidden="1" outlineLevel="2">
      <c r="A872" s="245" t="s">
        <v>7</v>
      </c>
      <c r="B872" s="405">
        <f>20+15+15+30</f>
        <v>80</v>
      </c>
      <c r="C872" s="400">
        <f t="shared" si="212"/>
        <v>84</v>
      </c>
      <c r="D872" s="401">
        <v>21.0</v>
      </c>
      <c r="E872" s="401">
        <v>12.0</v>
      </c>
      <c r="F872" s="401">
        <v>14.0</v>
      </c>
      <c r="G872" s="401">
        <v>13.0</v>
      </c>
      <c r="H872" s="401">
        <v>24.0</v>
      </c>
      <c r="I872" s="401" t="s">
        <v>51</v>
      </c>
      <c r="J872" s="108" t="s">
        <v>51</v>
      </c>
      <c r="K872" s="118">
        <f t="shared" si="213"/>
        <v>1.05</v>
      </c>
      <c r="L872" s="125">
        <f t="shared" si="214"/>
        <v>5</v>
      </c>
    </row>
    <row r="873" hidden="1" outlineLevel="2">
      <c r="A873" s="241" t="s">
        <v>514</v>
      </c>
      <c r="B873" s="404">
        <f>20+15+20+20+15</f>
        <v>90</v>
      </c>
      <c r="C873" s="397">
        <f t="shared" si="212"/>
        <v>84</v>
      </c>
      <c r="D873" s="398" t="s">
        <v>51</v>
      </c>
      <c r="E873" s="398">
        <v>19.0</v>
      </c>
      <c r="F873" s="398">
        <v>16.0</v>
      </c>
      <c r="G873" s="398">
        <v>20.0</v>
      </c>
      <c r="H873" s="398" t="s">
        <v>51</v>
      </c>
      <c r="I873" s="398">
        <v>17.0</v>
      </c>
      <c r="J873" s="108">
        <v>12.0</v>
      </c>
      <c r="K873" s="118">
        <f t="shared" si="213"/>
        <v>0.9333333333</v>
      </c>
      <c r="L873" s="125">
        <f t="shared" si="214"/>
        <v>4</v>
      </c>
    </row>
    <row r="874" hidden="1" outlineLevel="2"/>
    <row r="875" hidden="1" outlineLevel="2">
      <c r="A875" s="55" t="s">
        <v>87</v>
      </c>
      <c r="I875" s="55"/>
    </row>
    <row r="876" hidden="1" outlineLevel="2">
      <c r="A876" s="57" t="s">
        <v>68</v>
      </c>
      <c r="B876" s="158" t="s">
        <v>157</v>
      </c>
      <c r="C876" s="158" t="s">
        <v>158</v>
      </c>
      <c r="D876" s="158" t="s">
        <v>90</v>
      </c>
      <c r="E876" s="158" t="s">
        <v>91</v>
      </c>
      <c r="F876" s="158" t="s">
        <v>93</v>
      </c>
      <c r="G876" s="161" t="s">
        <v>94</v>
      </c>
      <c r="H876" s="161" t="s">
        <v>160</v>
      </c>
    </row>
    <row r="877" hidden="1" outlineLevel="2">
      <c r="A877" s="414"/>
      <c r="B877" s="308"/>
      <c r="C877" s="308"/>
      <c r="D877" s="308"/>
      <c r="E877" s="308"/>
      <c r="F877" s="308"/>
      <c r="G877" s="308"/>
      <c r="H877" s="308"/>
    </row>
    <row r="878" hidden="1" outlineLevel="2">
      <c r="A878" s="399" t="s">
        <v>92</v>
      </c>
      <c r="B878" s="401">
        <v>69.0</v>
      </c>
      <c r="C878" s="401">
        <v>68.0</v>
      </c>
      <c r="D878" s="408">
        <f t="shared" ref="D878:D885" si="215">B878-C878</f>
        <v>1</v>
      </c>
      <c r="E878" s="409">
        <f t="shared" ref="E878:E885" si="216">IFERROR(C878/B878,"")</f>
        <v>0.9855072464</v>
      </c>
      <c r="F878" s="410">
        <v>0.0024537037037037036</v>
      </c>
      <c r="G878" s="171">
        <f t="shared" ref="G878:G885" si="217">IFERROR((IF(E878="",(0),IF(E878&gt;=0.98,(5),IF(E878&gt;=0.95,(4.5),IF(E878&gt;=0.9,(4),IF(E878&gt;=0.8,(3),IF(E878&lt;=0.69,(1)))))))),"")</f>
        <v>5</v>
      </c>
      <c r="H878" s="171">
        <f>ROUND(
IF(F878="",
0,
MAX(1, 5 - MAX(0, (F878 - TIME(0,4,0)) / TIME(0,1,0) * 0.5))
),
2
)
</f>
        <v>5</v>
      </c>
    </row>
    <row r="879" hidden="1" outlineLevel="2">
      <c r="A879" s="396" t="s">
        <v>61</v>
      </c>
      <c r="B879" s="398">
        <v>110.0</v>
      </c>
      <c r="C879" s="398">
        <v>105.0</v>
      </c>
      <c r="D879" s="141">
        <f t="shared" si="215"/>
        <v>5</v>
      </c>
      <c r="E879" s="406">
        <f t="shared" si="216"/>
        <v>0.9545454545</v>
      </c>
      <c r="F879" s="407">
        <v>0.004224537037037037</v>
      </c>
      <c r="G879" s="171">
        <f t="shared" si="217"/>
        <v>4.5</v>
      </c>
      <c r="H879" s="171">
        <f>ROUND(
IF(F879="",
0,
MAX(1, 5 - MAX(0, (F879 - TIME(0,5,0)) / TIME(0,1,0) * 0.5))
),
2
)
</f>
        <v>4.46</v>
      </c>
    </row>
    <row r="880" hidden="1" outlineLevel="2">
      <c r="A880" s="399" t="s">
        <v>21</v>
      </c>
      <c r="B880" s="401">
        <v>99.0</v>
      </c>
      <c r="C880" s="401">
        <v>95.0</v>
      </c>
      <c r="D880" s="408">
        <f t="shared" si="215"/>
        <v>4</v>
      </c>
      <c r="E880" s="409">
        <f t="shared" si="216"/>
        <v>0.9595959596</v>
      </c>
      <c r="F880" s="410">
        <v>0.0042824074074074075</v>
      </c>
      <c r="G880" s="171">
        <f t="shared" si="217"/>
        <v>4.5</v>
      </c>
      <c r="H880" s="171">
        <f>ROUND(
IF(F880="",
0,
MAX(1, 5 - MAX(0, (F880 - TIME(0,4,0)) / TIME(0,1,0) * 0.5))
),
2
)
</f>
        <v>3.92</v>
      </c>
    </row>
    <row r="881" hidden="1" outlineLevel="2">
      <c r="A881" s="422" t="s">
        <v>74</v>
      </c>
      <c r="B881" s="398">
        <v>67.0</v>
      </c>
      <c r="C881" s="398">
        <v>65.0</v>
      </c>
      <c r="D881" s="141">
        <f t="shared" si="215"/>
        <v>2</v>
      </c>
      <c r="E881" s="406">
        <f t="shared" si="216"/>
        <v>0.9701492537</v>
      </c>
      <c r="F881" s="407">
        <v>0.0031018518518518517</v>
      </c>
      <c r="G881" s="171">
        <f t="shared" si="217"/>
        <v>4.5</v>
      </c>
      <c r="H881" s="171">
        <f>ROUND(
IF(F881="",
0,
MAX(1, 5 - MAX(0, (F881 - TIME(0,5,0)) / TIME(0,1,0) * 0.5))
),
2
)
</f>
        <v>5</v>
      </c>
    </row>
    <row r="882" hidden="1" outlineLevel="2">
      <c r="A882" s="423" t="s">
        <v>53</v>
      </c>
      <c r="B882" s="401">
        <v>65.0</v>
      </c>
      <c r="C882" s="401">
        <v>65.0</v>
      </c>
      <c r="D882" s="408">
        <f t="shared" si="215"/>
        <v>0</v>
      </c>
      <c r="E882" s="409">
        <f t="shared" si="216"/>
        <v>1</v>
      </c>
      <c r="F882" s="410">
        <v>0.0020486111111111113</v>
      </c>
      <c r="G882" s="171">
        <f t="shared" si="217"/>
        <v>5</v>
      </c>
      <c r="H882" s="171">
        <f>ROUND(
IF(F882="",
0,
MAX(1, 5 - MAX(0, (F882 - TIME(0,4,0)) / TIME(0,1,0) * 0.5))
),
2
)
</f>
        <v>5</v>
      </c>
    </row>
    <row r="883" hidden="1" outlineLevel="2">
      <c r="A883" s="241" t="s">
        <v>85</v>
      </c>
      <c r="B883" s="398">
        <v>147.0</v>
      </c>
      <c r="C883" s="398">
        <v>144.0</v>
      </c>
      <c r="D883" s="141">
        <f t="shared" si="215"/>
        <v>3</v>
      </c>
      <c r="E883" s="406">
        <f t="shared" si="216"/>
        <v>0.9795918367</v>
      </c>
      <c r="F883" s="407">
        <v>0.004629629629629629</v>
      </c>
      <c r="G883" s="171">
        <f t="shared" si="217"/>
        <v>4.5</v>
      </c>
      <c r="H883" s="171">
        <f t="shared" ref="H883:H885" si="218">ROUND(
IF(F883="",
0,
MAX(1, 5 - MAX(0, (F883 - TIME(0,5,0)) / TIME(0,1,0) * 0.5))
),
2
)
</f>
        <v>4.17</v>
      </c>
    </row>
    <row r="884" hidden="1" outlineLevel="2">
      <c r="A884" s="424" t="s">
        <v>7</v>
      </c>
      <c r="B884" s="401">
        <v>89.0</v>
      </c>
      <c r="C884" s="401">
        <v>89.0</v>
      </c>
      <c r="D884" s="408">
        <f t="shared" si="215"/>
        <v>0</v>
      </c>
      <c r="E884" s="409">
        <f t="shared" si="216"/>
        <v>1</v>
      </c>
      <c r="F884" s="410">
        <v>0.004641203703703704</v>
      </c>
      <c r="G884" s="171">
        <f t="shared" si="217"/>
        <v>5</v>
      </c>
      <c r="H884" s="171">
        <f t="shared" si="218"/>
        <v>4.16</v>
      </c>
    </row>
    <row r="885" hidden="1" outlineLevel="2">
      <c r="A885" s="241" t="s">
        <v>514</v>
      </c>
      <c r="B885" s="398">
        <v>86.0</v>
      </c>
      <c r="C885" s="398">
        <v>83.0</v>
      </c>
      <c r="D885" s="141">
        <f t="shared" si="215"/>
        <v>3</v>
      </c>
      <c r="E885" s="406">
        <f t="shared" si="216"/>
        <v>0.9651162791</v>
      </c>
      <c r="F885" s="407">
        <v>0.004247685185185185</v>
      </c>
      <c r="G885" s="171">
        <f t="shared" si="217"/>
        <v>4.5</v>
      </c>
      <c r="H885" s="171">
        <f t="shared" si="218"/>
        <v>4.44</v>
      </c>
    </row>
    <row r="886" hidden="1" outlineLevel="2"/>
    <row r="887" hidden="1" outlineLevel="2">
      <c r="A887" s="55" t="s">
        <v>195</v>
      </c>
    </row>
    <row r="888" hidden="1" outlineLevel="2">
      <c r="A888" s="192" t="s">
        <v>196</v>
      </c>
      <c r="B888" s="193" t="s">
        <v>198</v>
      </c>
      <c r="C888" s="195" t="s">
        <v>199</v>
      </c>
      <c r="D888" s="195" t="s">
        <v>200</v>
      </c>
      <c r="E888" s="197" t="s">
        <v>201</v>
      </c>
      <c r="F888" s="199" t="s">
        <v>202</v>
      </c>
      <c r="G888" s="201"/>
    </row>
    <row r="889" hidden="1" outlineLevel="2">
      <c r="A889" s="220" t="s">
        <v>4</v>
      </c>
      <c r="B889" s="223">
        <f t="shared" ref="B889:B896" si="219">(C889*0.3)+(D889*0.1)</f>
        <v>0.4</v>
      </c>
      <c r="C889" s="432">
        <v>1.0</v>
      </c>
      <c r="D889" s="210">
        <f>Dan!D557</f>
        <v>1</v>
      </c>
      <c r="E889" s="226">
        <f t="shared" ref="E889:E896" si="220">(L866+G878+H878)/15*0.3</f>
        <v>0.3</v>
      </c>
      <c r="F889" s="218">
        <f t="shared" ref="F889:F896" si="221">(E889/30%)*10</f>
        <v>10</v>
      </c>
      <c r="G889" s="201"/>
      <c r="H889" s="201"/>
      <c r="I889" s="201"/>
      <c r="J889" s="201"/>
    </row>
    <row r="890" hidden="1" outlineLevel="2">
      <c r="A890" s="227" t="s">
        <v>57</v>
      </c>
      <c r="B890" s="229">
        <f t="shared" si="219"/>
        <v>0.28</v>
      </c>
      <c r="C890" s="432">
        <v>0.6</v>
      </c>
      <c r="D890" s="210">
        <f>Godwin!D558</f>
        <v>1</v>
      </c>
      <c r="E890" s="232">
        <f t="shared" si="220"/>
        <v>0.2592</v>
      </c>
      <c r="F890" s="218">
        <f t="shared" si="221"/>
        <v>8.64</v>
      </c>
      <c r="G890" s="201"/>
      <c r="H890" s="201"/>
      <c r="I890" s="201"/>
      <c r="J890" s="201"/>
    </row>
    <row r="891" hidden="1" outlineLevel="2">
      <c r="A891" s="220" t="s">
        <v>21</v>
      </c>
      <c r="B891" s="223">
        <f t="shared" si="219"/>
        <v>0.37</v>
      </c>
      <c r="C891" s="432">
        <v>0.9</v>
      </c>
      <c r="D891" s="231">
        <f>Candy!D429</f>
        <v>1</v>
      </c>
      <c r="E891" s="226">
        <f t="shared" si="220"/>
        <v>0.2484</v>
      </c>
      <c r="F891" s="218">
        <f t="shared" si="221"/>
        <v>8.28</v>
      </c>
      <c r="G891" s="201"/>
      <c r="H891" s="201"/>
      <c r="I891" s="201"/>
      <c r="J891" s="201"/>
    </row>
    <row r="892" hidden="1" outlineLevel="2">
      <c r="A892" s="227" t="s">
        <v>32</v>
      </c>
      <c r="B892" s="229">
        <f t="shared" si="219"/>
        <v>0.4</v>
      </c>
      <c r="C892" s="432">
        <v>1.0</v>
      </c>
      <c r="D892" s="231">
        <f>Claudette!D558</f>
        <v>1</v>
      </c>
      <c r="E892" s="232">
        <f t="shared" si="220"/>
        <v>0.27</v>
      </c>
      <c r="F892" s="218">
        <f t="shared" si="221"/>
        <v>9</v>
      </c>
      <c r="G892" s="201"/>
      <c r="H892" s="201"/>
      <c r="I892" s="201"/>
      <c r="J892" s="201"/>
    </row>
    <row r="893" hidden="1" outlineLevel="2">
      <c r="A893" s="272" t="s">
        <v>58</v>
      </c>
      <c r="B893" s="223">
        <f t="shared" si="219"/>
        <v>0.4</v>
      </c>
      <c r="C893" s="432">
        <v>1.0</v>
      </c>
      <c r="D893" s="231">
        <f>Sofhia!D558</f>
        <v>1</v>
      </c>
      <c r="E893" s="226">
        <f t="shared" si="220"/>
        <v>0.3</v>
      </c>
      <c r="F893" s="218">
        <f t="shared" si="221"/>
        <v>10</v>
      </c>
      <c r="G893" s="201"/>
      <c r="H893" s="201"/>
      <c r="I893" s="201"/>
      <c r="J893" s="201"/>
    </row>
    <row r="894" hidden="1" outlineLevel="2">
      <c r="A894" s="245" t="s">
        <v>85</v>
      </c>
      <c r="B894" s="229">
        <f t="shared" si="219"/>
        <v>0.4</v>
      </c>
      <c r="C894" s="432">
        <v>1.0</v>
      </c>
      <c r="D894" s="231">
        <f>Cherry!D375</f>
        <v>1</v>
      </c>
      <c r="E894" s="232">
        <f t="shared" si="220"/>
        <v>0.2734</v>
      </c>
      <c r="F894" s="218">
        <f t="shared" si="221"/>
        <v>9.113333333</v>
      </c>
      <c r="G894" s="201"/>
      <c r="H894" s="201"/>
      <c r="I894" s="201"/>
      <c r="J894" s="201"/>
    </row>
    <row r="895" hidden="1" outlineLevel="2">
      <c r="A895" s="241" t="s">
        <v>7</v>
      </c>
      <c r="B895" s="223">
        <f t="shared" si="219"/>
        <v>0.4</v>
      </c>
      <c r="C895" s="432">
        <v>1.0</v>
      </c>
      <c r="D895" s="231">
        <f>Lyra!D356</f>
        <v>1</v>
      </c>
      <c r="E895" s="226">
        <f t="shared" si="220"/>
        <v>0.2832</v>
      </c>
      <c r="F895" s="218">
        <f t="shared" si="221"/>
        <v>9.44</v>
      </c>
      <c r="G895" s="201"/>
      <c r="H895" s="201"/>
      <c r="I895" s="201"/>
      <c r="J895" s="201"/>
    </row>
    <row r="896" hidden="1" outlineLevel="2">
      <c r="A896" s="245" t="s">
        <v>514</v>
      </c>
      <c r="B896" s="229">
        <f t="shared" si="219"/>
        <v>0.4</v>
      </c>
      <c r="C896" s="432">
        <v>1.0</v>
      </c>
      <c r="D896" s="231">
        <f>Mikka!D304</f>
        <v>1</v>
      </c>
      <c r="E896" s="232">
        <f t="shared" si="220"/>
        <v>0.2588</v>
      </c>
      <c r="F896" s="218">
        <f t="shared" si="221"/>
        <v>8.626666667</v>
      </c>
      <c r="G896" s="201"/>
      <c r="H896" s="201"/>
      <c r="I896" s="201"/>
      <c r="J896" s="201"/>
    </row>
    <row r="897" hidden="1" outlineLevel="2">
      <c r="A897" s="251"/>
      <c r="B897" s="251"/>
      <c r="C897" s="252"/>
      <c r="D897" s="253"/>
      <c r="E897" s="254"/>
      <c r="F897" s="201"/>
      <c r="G897" s="201"/>
      <c r="H897" s="201"/>
      <c r="I897" s="201"/>
      <c r="J897" s="201"/>
    </row>
    <row r="898" hidden="1" outlineLevel="2">
      <c r="A898" s="55" t="s">
        <v>222</v>
      </c>
      <c r="B898" s="251"/>
      <c r="C898" s="252"/>
      <c r="D898" s="253"/>
      <c r="E898" s="254"/>
      <c r="F898" s="201"/>
      <c r="G898" s="201"/>
      <c r="H898" s="201"/>
      <c r="I898" s="201"/>
      <c r="J898" s="201"/>
    </row>
    <row r="899" hidden="1" outlineLevel="2">
      <c r="A899" s="256" t="s">
        <v>196</v>
      </c>
      <c r="B899" s="257" t="s">
        <v>223</v>
      </c>
      <c r="C899" s="62">
        <v>46153.0</v>
      </c>
      <c r="D899" s="62">
        <v>46154.0</v>
      </c>
      <c r="E899" s="62">
        <v>46155.0</v>
      </c>
      <c r="F899" s="62">
        <v>46156.0</v>
      </c>
      <c r="G899" s="62">
        <v>46157.0</v>
      </c>
      <c r="H899" s="62">
        <v>46158.0</v>
      </c>
      <c r="I899" s="62">
        <v>46159.0</v>
      </c>
      <c r="J899" s="201"/>
    </row>
    <row r="900" hidden="1" outlineLevel="2">
      <c r="A900" s="258"/>
      <c r="B900" s="258"/>
      <c r="C900" s="82" t="s">
        <v>80</v>
      </c>
      <c r="D900" s="82" t="s">
        <v>226</v>
      </c>
      <c r="E900" s="82" t="s">
        <v>227</v>
      </c>
      <c r="F900" s="82" t="s">
        <v>228</v>
      </c>
      <c r="G900" s="82" t="s">
        <v>230</v>
      </c>
      <c r="H900" s="82" t="s">
        <v>231</v>
      </c>
      <c r="I900" s="82" t="s">
        <v>232</v>
      </c>
    </row>
    <row r="901" hidden="1" outlineLevel="2">
      <c r="A901" s="220" t="s">
        <v>4</v>
      </c>
      <c r="B901" s="264">
        <f t="shared" ref="B901:B908" si="222">Sum(C901:I901)</f>
        <v>0</v>
      </c>
      <c r="C901" s="266"/>
      <c r="D901" s="265"/>
      <c r="E901" s="265"/>
      <c r="F901" s="265"/>
      <c r="G901" s="266"/>
      <c r="H901" s="266"/>
      <c r="I901" s="266"/>
    </row>
    <row r="902" hidden="1" outlineLevel="2">
      <c r="A902" s="227" t="s">
        <v>57</v>
      </c>
      <c r="B902" s="264">
        <f t="shared" si="222"/>
        <v>0</v>
      </c>
      <c r="C902" s="267"/>
      <c r="D902" s="267"/>
      <c r="E902" s="267"/>
      <c r="F902" s="267"/>
      <c r="G902" s="267"/>
      <c r="H902" s="268"/>
      <c r="I902" s="267"/>
    </row>
    <row r="903" hidden="1" outlineLevel="2">
      <c r="A903" s="220" t="s">
        <v>21</v>
      </c>
      <c r="B903" s="264">
        <f t="shared" si="222"/>
        <v>0</v>
      </c>
      <c r="C903" s="266"/>
      <c r="D903" s="265"/>
      <c r="E903" s="266"/>
      <c r="F903" s="266"/>
      <c r="G903" s="266"/>
      <c r="H903" s="266"/>
      <c r="I903" s="265"/>
    </row>
    <row r="904" hidden="1" outlineLevel="2">
      <c r="A904" s="227" t="s">
        <v>32</v>
      </c>
      <c r="B904" s="264">
        <f t="shared" si="222"/>
        <v>0</v>
      </c>
      <c r="C904" s="267"/>
      <c r="D904" s="267"/>
      <c r="E904" s="267"/>
      <c r="F904" s="267"/>
      <c r="G904" s="267"/>
      <c r="H904" s="267"/>
      <c r="I904" s="268"/>
    </row>
    <row r="905" hidden="1" outlineLevel="2">
      <c r="A905" s="272" t="s">
        <v>58</v>
      </c>
      <c r="B905" s="264">
        <f t="shared" si="222"/>
        <v>0</v>
      </c>
      <c r="C905" s="266"/>
      <c r="D905" s="266"/>
      <c r="E905" s="266"/>
      <c r="F905" s="266"/>
      <c r="G905" s="266"/>
      <c r="H905" s="266"/>
      <c r="I905" s="265"/>
    </row>
    <row r="906" ht="16.5" hidden="1" customHeight="1" outlineLevel="2">
      <c r="A906" s="245" t="s">
        <v>85</v>
      </c>
      <c r="B906" s="264">
        <f t="shared" si="222"/>
        <v>0</v>
      </c>
      <c r="C906" s="267"/>
      <c r="D906" s="267"/>
      <c r="E906" s="267"/>
      <c r="F906" s="267"/>
      <c r="G906" s="267"/>
      <c r="H906" s="267"/>
      <c r="I906" s="267"/>
    </row>
    <row r="907" hidden="1" outlineLevel="2">
      <c r="A907" s="241" t="s">
        <v>7</v>
      </c>
      <c r="B907" s="264">
        <f t="shared" si="222"/>
        <v>0</v>
      </c>
      <c r="C907" s="265"/>
      <c r="D907" s="265"/>
      <c r="E907" s="266"/>
      <c r="F907" s="266"/>
      <c r="G907" s="266"/>
      <c r="H907" s="266"/>
      <c r="I907" s="265"/>
    </row>
    <row r="908" hidden="1" outlineLevel="2">
      <c r="A908" s="245" t="s">
        <v>72</v>
      </c>
      <c r="B908" s="264">
        <f t="shared" si="222"/>
        <v>0</v>
      </c>
      <c r="C908" s="268"/>
      <c r="D908" s="268"/>
      <c r="E908" s="267"/>
      <c r="F908" s="268"/>
      <c r="G908" s="267"/>
      <c r="H908" s="267"/>
      <c r="I908" s="268"/>
    </row>
    <row r="909" hidden="1" outlineLevel="1" collapsed="1">
      <c r="A909" s="52" t="s">
        <v>1644</v>
      </c>
    </row>
    <row r="910" hidden="1" outlineLevel="2">
      <c r="A910" s="55" t="s">
        <v>67</v>
      </c>
    </row>
    <row r="911" hidden="1" outlineLevel="2">
      <c r="A911" s="57" t="s">
        <v>68</v>
      </c>
      <c r="B911" s="59" t="s">
        <v>11</v>
      </c>
      <c r="C911" s="59" t="s">
        <v>71</v>
      </c>
      <c r="D911" s="62">
        <v>46188.0</v>
      </c>
      <c r="E911" s="62">
        <v>46189.0</v>
      </c>
      <c r="F911" s="62">
        <v>46190.0</v>
      </c>
      <c r="G911" s="62">
        <v>46191.0</v>
      </c>
      <c r="H911" s="62">
        <v>46192.0</v>
      </c>
      <c r="I911" s="62">
        <v>46193.0</v>
      </c>
      <c r="J911" s="62">
        <v>46194.0</v>
      </c>
      <c r="K911" s="76" t="s">
        <v>77</v>
      </c>
      <c r="L911" s="78" t="s">
        <v>78</v>
      </c>
    </row>
    <row r="912" hidden="1" outlineLevel="2">
      <c r="A912" s="395"/>
      <c r="B912" s="258"/>
      <c r="C912" s="258"/>
      <c r="D912" s="82" t="s">
        <v>80</v>
      </c>
      <c r="E912" s="82" t="str">
        <f t="shared" ref="E912:J912" si="223">text(E911,"ddd")</f>
        <v>Tue</v>
      </c>
      <c r="F912" s="82" t="str">
        <f t="shared" si="223"/>
        <v>Wed</v>
      </c>
      <c r="G912" s="82" t="str">
        <f t="shared" si="223"/>
        <v>Thu</v>
      </c>
      <c r="H912" s="82" t="str">
        <f t="shared" si="223"/>
        <v>Fri</v>
      </c>
      <c r="I912" s="82" t="str">
        <f t="shared" si="223"/>
        <v>Sat</v>
      </c>
      <c r="J912" s="82" t="str">
        <f t="shared" si="223"/>
        <v>Sun</v>
      </c>
      <c r="K912" s="92"/>
      <c r="L912" s="81"/>
    </row>
    <row r="913" hidden="1" outlineLevel="2">
      <c r="A913" s="396" t="s">
        <v>92</v>
      </c>
      <c r="B913" s="397">
        <f>15+15+10+15+10</f>
        <v>65</v>
      </c>
      <c r="C913" s="397">
        <f t="shared" ref="C913:C920" si="224">SUM(D913:J913)</f>
        <v>69</v>
      </c>
      <c r="D913" s="398">
        <v>15.0</v>
      </c>
      <c r="E913" s="398" t="s">
        <v>51</v>
      </c>
      <c r="F913" s="398">
        <v>15.0</v>
      </c>
      <c r="G913" s="398" t="s">
        <v>51</v>
      </c>
      <c r="H913" s="398">
        <v>12.0</v>
      </c>
      <c r="I913" s="398">
        <v>15.0</v>
      </c>
      <c r="J913" s="108">
        <v>12.0</v>
      </c>
      <c r="K913" s="118">
        <f t="shared" ref="K913:K920" si="225">iferror(C913/B913,"-")</f>
        <v>1.061538462</v>
      </c>
      <c r="L913" s="125">
        <f t="shared" ref="L913:L920" si="226">(IF(K913="",(0),IF(K913&gt;=1,(5),IF(K913&gt;=0.9,(4),IF(K913&gt;=0.8,(3),IF(K913&gt;=0.69,(2),IF(K913&lt;=0.69,(1))))))))</f>
        <v>5</v>
      </c>
    </row>
    <row r="914" hidden="1" outlineLevel="2">
      <c r="A914" s="399" t="s">
        <v>61</v>
      </c>
      <c r="B914" s="400">
        <f>30+25+20+20+15</f>
        <v>110</v>
      </c>
      <c r="C914" s="400">
        <f t="shared" si="224"/>
        <v>101</v>
      </c>
      <c r="D914" s="427">
        <v>23.0</v>
      </c>
      <c r="E914" s="401">
        <v>23.0</v>
      </c>
      <c r="F914" s="401">
        <v>23.0</v>
      </c>
      <c r="G914" s="401">
        <v>16.0</v>
      </c>
      <c r="H914" s="401">
        <v>16.0</v>
      </c>
      <c r="I914" s="401" t="s">
        <v>51</v>
      </c>
      <c r="J914" s="108" t="s">
        <v>51</v>
      </c>
      <c r="K914" s="118">
        <f t="shared" si="225"/>
        <v>0.9181818182</v>
      </c>
      <c r="L914" s="125">
        <f t="shared" si="226"/>
        <v>4</v>
      </c>
    </row>
    <row r="915" hidden="1" outlineLevel="2">
      <c r="A915" s="396" t="s">
        <v>21</v>
      </c>
      <c r="B915" s="397">
        <f>25+25+25+25+25</f>
        <v>125</v>
      </c>
      <c r="C915" s="397">
        <f t="shared" si="224"/>
        <v>133</v>
      </c>
      <c r="D915" s="398">
        <v>27.0</v>
      </c>
      <c r="E915" s="398">
        <v>27.0</v>
      </c>
      <c r="F915" s="398" t="s">
        <v>51</v>
      </c>
      <c r="G915" s="398">
        <v>24.0</v>
      </c>
      <c r="H915" s="398">
        <v>26.0</v>
      </c>
      <c r="I915" s="398">
        <v>29.0</v>
      </c>
      <c r="J915" s="108" t="s">
        <v>51</v>
      </c>
      <c r="K915" s="118">
        <f t="shared" si="225"/>
        <v>1.064</v>
      </c>
      <c r="L915" s="125">
        <f t="shared" si="226"/>
        <v>5</v>
      </c>
    </row>
    <row r="916" hidden="1" outlineLevel="2">
      <c r="A916" s="399" t="s">
        <v>74</v>
      </c>
      <c r="B916" s="400">
        <f>15+10+10+10+10</f>
        <v>55</v>
      </c>
      <c r="C916" s="400">
        <f t="shared" si="224"/>
        <v>58</v>
      </c>
      <c r="D916" s="401">
        <v>16.0</v>
      </c>
      <c r="E916" s="401">
        <v>11.0</v>
      </c>
      <c r="F916" s="401">
        <v>11.0</v>
      </c>
      <c r="G916" s="401" t="s">
        <v>51</v>
      </c>
      <c r="H916" s="401" t="s">
        <v>51</v>
      </c>
      <c r="I916" s="401">
        <v>11.0</v>
      </c>
      <c r="J916" s="108">
        <v>9.0</v>
      </c>
      <c r="K916" s="118">
        <f t="shared" si="225"/>
        <v>1.054545455</v>
      </c>
      <c r="L916" s="125">
        <f t="shared" si="226"/>
        <v>5</v>
      </c>
    </row>
    <row r="917" hidden="1" outlineLevel="2">
      <c r="A917" s="272" t="s">
        <v>53</v>
      </c>
      <c r="B917" s="404">
        <f>20+15+20+15+10</f>
        <v>80</v>
      </c>
      <c r="C917" s="397">
        <f t="shared" si="224"/>
        <v>77</v>
      </c>
      <c r="D917" s="398">
        <v>19.0</v>
      </c>
      <c r="E917" s="398">
        <v>16.0</v>
      </c>
      <c r="F917" s="398">
        <v>21.0</v>
      </c>
      <c r="G917" s="398">
        <v>14.0</v>
      </c>
      <c r="H917" s="398">
        <v>7.0</v>
      </c>
      <c r="I917" s="398" t="s">
        <v>51</v>
      </c>
      <c r="J917" s="108" t="s">
        <v>51</v>
      </c>
      <c r="K917" s="118">
        <f t="shared" si="225"/>
        <v>0.9625</v>
      </c>
      <c r="L917" s="125">
        <f t="shared" si="226"/>
        <v>4</v>
      </c>
    </row>
    <row r="918" hidden="1" outlineLevel="2">
      <c r="A918" s="245" t="s">
        <v>85</v>
      </c>
      <c r="B918" s="400">
        <f>35+30+30+30+20</f>
        <v>145</v>
      </c>
      <c r="C918" s="400">
        <f t="shared" si="224"/>
        <v>145</v>
      </c>
      <c r="D918" s="401">
        <v>36.0</v>
      </c>
      <c r="E918" s="401">
        <v>32.0</v>
      </c>
      <c r="F918" s="401">
        <v>29.0</v>
      </c>
      <c r="G918" s="401">
        <v>27.0</v>
      </c>
      <c r="H918" s="401">
        <v>21.0</v>
      </c>
      <c r="I918" s="401" t="s">
        <v>51</v>
      </c>
      <c r="J918" s="108" t="s">
        <v>51</v>
      </c>
      <c r="K918" s="118">
        <f t="shared" si="225"/>
        <v>1</v>
      </c>
      <c r="L918" s="125">
        <f t="shared" si="226"/>
        <v>5</v>
      </c>
    </row>
    <row r="919" hidden="1" outlineLevel="2">
      <c r="A919" s="241" t="s">
        <v>7</v>
      </c>
      <c r="B919" s="404">
        <f>15+15+15+20+20</f>
        <v>85</v>
      </c>
      <c r="C919" s="397">
        <f t="shared" si="224"/>
        <v>36</v>
      </c>
      <c r="D919" s="398">
        <v>13.0</v>
      </c>
      <c r="E919" s="398" t="s">
        <v>51</v>
      </c>
      <c r="F919" s="398" t="s">
        <v>261</v>
      </c>
      <c r="G919" s="398" t="s">
        <v>261</v>
      </c>
      <c r="H919" s="398">
        <v>12.0</v>
      </c>
      <c r="I919" s="398">
        <v>11.0</v>
      </c>
      <c r="J919" s="108" t="s">
        <v>51</v>
      </c>
      <c r="K919" s="118">
        <f t="shared" si="225"/>
        <v>0.4235294118</v>
      </c>
      <c r="L919" s="125">
        <f t="shared" si="226"/>
        <v>1</v>
      </c>
    </row>
    <row r="920" hidden="1" outlineLevel="2">
      <c r="A920" s="245" t="s">
        <v>514</v>
      </c>
      <c r="B920" s="405">
        <f>20+20+15+10+20</f>
        <v>85</v>
      </c>
      <c r="C920" s="400">
        <f t="shared" si="224"/>
        <v>88</v>
      </c>
      <c r="D920" s="401">
        <v>22.0</v>
      </c>
      <c r="E920" s="401" t="s">
        <v>51</v>
      </c>
      <c r="F920" s="401" t="s">
        <v>51</v>
      </c>
      <c r="G920" s="401">
        <v>20.0</v>
      </c>
      <c r="H920" s="401">
        <v>14.0</v>
      </c>
      <c r="I920" s="401">
        <v>13.0</v>
      </c>
      <c r="J920" s="108">
        <v>19.0</v>
      </c>
      <c r="K920" s="118">
        <f t="shared" si="225"/>
        <v>1.035294118</v>
      </c>
      <c r="L920" s="125">
        <f t="shared" si="226"/>
        <v>5</v>
      </c>
    </row>
    <row r="921" hidden="1" outlineLevel="2"/>
    <row r="922" hidden="1" outlineLevel="2">
      <c r="A922" s="55" t="s">
        <v>87</v>
      </c>
      <c r="I922" s="55"/>
    </row>
    <row r="923" hidden="1" outlineLevel="2">
      <c r="A923" s="57" t="s">
        <v>68</v>
      </c>
      <c r="B923" s="158" t="s">
        <v>157</v>
      </c>
      <c r="C923" s="158" t="s">
        <v>158</v>
      </c>
      <c r="D923" s="158" t="s">
        <v>90</v>
      </c>
      <c r="E923" s="158" t="s">
        <v>91</v>
      </c>
      <c r="F923" s="158" t="s">
        <v>93</v>
      </c>
      <c r="G923" s="161" t="s">
        <v>94</v>
      </c>
      <c r="H923" s="161" t="s">
        <v>160</v>
      </c>
    </row>
    <row r="924" hidden="1" outlineLevel="2">
      <c r="A924" s="395"/>
      <c r="B924" s="258"/>
      <c r="C924" s="258"/>
      <c r="D924" s="258"/>
      <c r="E924" s="258"/>
      <c r="F924" s="258"/>
      <c r="G924" s="258"/>
      <c r="H924" s="258"/>
    </row>
    <row r="925" hidden="1" outlineLevel="2">
      <c r="A925" s="396" t="s">
        <v>92</v>
      </c>
      <c r="B925" s="398">
        <v>72.0</v>
      </c>
      <c r="C925" s="398">
        <v>68.0</v>
      </c>
      <c r="D925" s="141">
        <f t="shared" ref="D925:D932" si="227">B925-C925</f>
        <v>4</v>
      </c>
      <c r="E925" s="406">
        <f t="shared" ref="E925:E932" si="228">IFERROR(C925/B925,"")</f>
        <v>0.9444444444</v>
      </c>
      <c r="F925" s="407">
        <v>0.0020717592592592593</v>
      </c>
      <c r="G925" s="171">
        <f t="shared" ref="G925:G932" si="229">IFERROR((IF(E925="",(0),IF(E925&gt;=0.98,(5),IF(E925&gt;=0.95,(4.5),IF(E925&gt;=0.9,(4),IF(E925&gt;=0.8,(3),IF(E925&lt;=0.69,(1)))))))),"")</f>
        <v>4</v>
      </c>
      <c r="H925" s="171">
        <f>ROUND(
IF(F925="",
0,
MAX(1, 5 - MAX(0, (F925 - TIME(0,4,0)) / TIME(0,1,0) * 0.5))
),
2
)
</f>
        <v>5</v>
      </c>
    </row>
    <row r="926" hidden="1" outlineLevel="2">
      <c r="A926" s="399" t="s">
        <v>61</v>
      </c>
      <c r="B926" s="401">
        <v>107.0</v>
      </c>
      <c r="C926" s="401">
        <v>101.0</v>
      </c>
      <c r="D926" s="408">
        <f t="shared" si="227"/>
        <v>6</v>
      </c>
      <c r="E926" s="409">
        <f t="shared" si="228"/>
        <v>0.9439252336</v>
      </c>
      <c r="F926" s="410">
        <v>0.004224537037037037</v>
      </c>
      <c r="G926" s="171">
        <f t="shared" si="229"/>
        <v>4</v>
      </c>
      <c r="H926" s="171">
        <f>ROUND(
IF(F926="",
0,
MAX(1, 5 - MAX(0, (F926 - TIME(0,5,0)) / TIME(0,1,0) * 0.5))
),
2
)
</f>
        <v>4.46</v>
      </c>
    </row>
    <row r="927" hidden="1" outlineLevel="2">
      <c r="A927" s="396" t="s">
        <v>21</v>
      </c>
      <c r="B927" s="398">
        <v>135.0</v>
      </c>
      <c r="C927" s="398">
        <v>133.0</v>
      </c>
      <c r="D927" s="141">
        <f t="shared" si="227"/>
        <v>2</v>
      </c>
      <c r="E927" s="406">
        <f t="shared" si="228"/>
        <v>0.9851851852</v>
      </c>
      <c r="F927" s="407">
        <v>0.0028587962962962963</v>
      </c>
      <c r="G927" s="171">
        <f t="shared" si="229"/>
        <v>5</v>
      </c>
      <c r="H927" s="171">
        <f>ROUND(
IF(F927="",
0,
MAX(1, 5 - MAX(0, (F927 - TIME(0,4,0)) / TIME(0,1,0) * 0.5))
),
2
)
</f>
        <v>4.94</v>
      </c>
    </row>
    <row r="928" hidden="1" outlineLevel="2">
      <c r="A928" s="429" t="s">
        <v>74</v>
      </c>
      <c r="B928" s="401">
        <v>59.0</v>
      </c>
      <c r="C928" s="401">
        <v>58.0</v>
      </c>
      <c r="D928" s="408">
        <f t="shared" si="227"/>
        <v>1</v>
      </c>
      <c r="E928" s="409">
        <f t="shared" si="228"/>
        <v>0.9830508475</v>
      </c>
      <c r="F928" s="410">
        <v>0.003472222222222222</v>
      </c>
      <c r="G928" s="171">
        <f t="shared" si="229"/>
        <v>5</v>
      </c>
      <c r="H928" s="171">
        <f>ROUND(
IF(F928="",
0,
MAX(1, 5 - MAX(0, (F928 - TIME(0,5,0)) / TIME(0,1,0) * 0.5))
),
2
)
</f>
        <v>5</v>
      </c>
    </row>
    <row r="929" hidden="1" outlineLevel="2">
      <c r="A929" s="430" t="s">
        <v>53</v>
      </c>
      <c r="B929" s="398">
        <v>81.0</v>
      </c>
      <c r="C929" s="398">
        <v>77.0</v>
      </c>
      <c r="D929" s="141">
        <f t="shared" si="227"/>
        <v>4</v>
      </c>
      <c r="E929" s="406">
        <f t="shared" si="228"/>
        <v>0.950617284</v>
      </c>
      <c r="F929" s="407">
        <v>0.0024652777777777776</v>
      </c>
      <c r="G929" s="171">
        <f t="shared" si="229"/>
        <v>4.5</v>
      </c>
      <c r="H929" s="171">
        <f>ROUND(
IF(F929="",
0,
MAX(1, 5 - MAX(0, (F929 - TIME(0,4,0)) / TIME(0,1,0) * 0.5))
),
2
)
</f>
        <v>5</v>
      </c>
    </row>
    <row r="930" hidden="1" outlineLevel="2">
      <c r="A930" s="245" t="s">
        <v>85</v>
      </c>
      <c r="B930" s="401">
        <v>147.0</v>
      </c>
      <c r="C930" s="401">
        <v>145.0</v>
      </c>
      <c r="D930" s="408">
        <f t="shared" si="227"/>
        <v>2</v>
      </c>
      <c r="E930" s="409">
        <f t="shared" si="228"/>
        <v>0.9863945578</v>
      </c>
      <c r="F930" s="410">
        <v>0.004641203703703704</v>
      </c>
      <c r="G930" s="171">
        <f t="shared" si="229"/>
        <v>5</v>
      </c>
      <c r="H930" s="171">
        <f t="shared" ref="H930:H932" si="230">ROUND(
IF(F930="",
0,
MAX(1, 5 - MAX(0, (F930 - TIME(0,5,0)) / TIME(0,1,0) * 0.5))
),
2
)
</f>
        <v>4.16</v>
      </c>
    </row>
    <row r="931" hidden="1" outlineLevel="2">
      <c r="A931" s="431" t="s">
        <v>7</v>
      </c>
      <c r="B931" s="398">
        <v>37.0</v>
      </c>
      <c r="C931" s="398">
        <v>36.0</v>
      </c>
      <c r="D931" s="141">
        <f t="shared" si="227"/>
        <v>1</v>
      </c>
      <c r="E931" s="406">
        <f t="shared" si="228"/>
        <v>0.972972973</v>
      </c>
      <c r="F931" s="407">
        <v>0.003321759259259259</v>
      </c>
      <c r="G931" s="171">
        <f t="shared" si="229"/>
        <v>4.5</v>
      </c>
      <c r="H931" s="171">
        <f t="shared" si="230"/>
        <v>5</v>
      </c>
    </row>
    <row r="932" hidden="1" outlineLevel="2">
      <c r="A932" s="245" t="s">
        <v>514</v>
      </c>
      <c r="B932" s="401">
        <v>88.0</v>
      </c>
      <c r="C932" s="401">
        <v>85.0</v>
      </c>
      <c r="D932" s="408">
        <f t="shared" si="227"/>
        <v>3</v>
      </c>
      <c r="E932" s="409">
        <f t="shared" si="228"/>
        <v>0.9659090909</v>
      </c>
      <c r="F932" s="410">
        <v>0.003564814814814815</v>
      </c>
      <c r="G932" s="171">
        <f t="shared" si="229"/>
        <v>4.5</v>
      </c>
      <c r="H932" s="171">
        <f t="shared" si="230"/>
        <v>4.93</v>
      </c>
    </row>
    <row r="933" hidden="1" outlineLevel="2"/>
    <row r="934" hidden="1" outlineLevel="2">
      <c r="A934" s="55" t="s">
        <v>195</v>
      </c>
    </row>
    <row r="935" hidden="1" outlineLevel="2">
      <c r="A935" s="192" t="s">
        <v>196</v>
      </c>
      <c r="B935" s="193" t="s">
        <v>198</v>
      </c>
      <c r="C935" s="195" t="s">
        <v>199</v>
      </c>
      <c r="D935" s="195" t="s">
        <v>200</v>
      </c>
      <c r="E935" s="197" t="s">
        <v>201</v>
      </c>
      <c r="F935" s="199" t="s">
        <v>202</v>
      </c>
      <c r="G935" s="201"/>
    </row>
    <row r="936" hidden="1" outlineLevel="2">
      <c r="A936" s="227" t="s">
        <v>4</v>
      </c>
      <c r="B936" s="229">
        <f t="shared" ref="B936:B943" si="231">(C936*0.3)+(D936*0.1)</f>
        <v>0.4</v>
      </c>
      <c r="C936" s="432">
        <v>1.0</v>
      </c>
      <c r="D936" s="210">
        <v>1.0</v>
      </c>
      <c r="E936" s="232">
        <f t="shared" ref="E936:E943" si="232">(L913+G925+H925)/15*0.3</f>
        <v>0.28</v>
      </c>
      <c r="F936" s="218">
        <f t="shared" ref="F936:F943" si="233">(E936/30%)*10</f>
        <v>9.333333333</v>
      </c>
      <c r="G936" s="201"/>
      <c r="H936" s="201"/>
      <c r="I936" s="201"/>
      <c r="J936" s="201"/>
    </row>
    <row r="937" hidden="1" outlineLevel="2">
      <c r="A937" s="220" t="s">
        <v>57</v>
      </c>
      <c r="B937" s="223">
        <f t="shared" si="231"/>
        <v>0.4</v>
      </c>
      <c r="C937" s="432">
        <v>1.0</v>
      </c>
      <c r="D937" s="210">
        <v>1.0</v>
      </c>
      <c r="E937" s="226">
        <f t="shared" si="232"/>
        <v>0.2492</v>
      </c>
      <c r="F937" s="218">
        <f t="shared" si="233"/>
        <v>8.306666667</v>
      </c>
      <c r="G937" s="201"/>
      <c r="H937" s="201"/>
      <c r="I937" s="201"/>
      <c r="J937" s="201"/>
    </row>
    <row r="938" hidden="1" outlineLevel="2">
      <c r="A938" s="227" t="s">
        <v>21</v>
      </c>
      <c r="B938" s="229">
        <f t="shared" si="231"/>
        <v>0.4</v>
      </c>
      <c r="C938" s="432">
        <v>1.0</v>
      </c>
      <c r="D938" s="210">
        <v>1.0</v>
      </c>
      <c r="E938" s="232">
        <f t="shared" si="232"/>
        <v>0.2988</v>
      </c>
      <c r="F938" s="218">
        <f t="shared" si="233"/>
        <v>9.96</v>
      </c>
      <c r="G938" s="201"/>
      <c r="H938" s="201"/>
      <c r="I938" s="201"/>
      <c r="J938" s="201"/>
    </row>
    <row r="939" hidden="1" outlineLevel="2">
      <c r="A939" s="220" t="s">
        <v>32</v>
      </c>
      <c r="B939" s="223">
        <f t="shared" si="231"/>
        <v>0.4</v>
      </c>
      <c r="C939" s="432">
        <v>1.0</v>
      </c>
      <c r="D939" s="210">
        <v>1.0</v>
      </c>
      <c r="E939" s="226">
        <f t="shared" si="232"/>
        <v>0.3</v>
      </c>
      <c r="F939" s="218">
        <f t="shared" si="233"/>
        <v>10</v>
      </c>
      <c r="G939" s="201"/>
      <c r="H939" s="201"/>
      <c r="I939" s="201"/>
      <c r="J939" s="201"/>
    </row>
    <row r="940" hidden="1" outlineLevel="2">
      <c r="A940" s="236" t="s">
        <v>58</v>
      </c>
      <c r="B940" s="229">
        <f t="shared" si="231"/>
        <v>0.4</v>
      </c>
      <c r="C940" s="432">
        <v>1.0</v>
      </c>
      <c r="D940" s="210">
        <v>1.0</v>
      </c>
      <c r="E940" s="232">
        <f t="shared" si="232"/>
        <v>0.27</v>
      </c>
      <c r="F940" s="218">
        <f t="shared" si="233"/>
        <v>9</v>
      </c>
      <c r="G940" s="201"/>
      <c r="H940" s="201"/>
      <c r="I940" s="201"/>
      <c r="J940" s="201"/>
    </row>
    <row r="941" hidden="1" outlineLevel="2">
      <c r="A941" s="241" t="s">
        <v>85</v>
      </c>
      <c r="B941" s="223">
        <f t="shared" si="231"/>
        <v>0.4</v>
      </c>
      <c r="C941" s="432">
        <v>1.0</v>
      </c>
      <c r="D941" s="210">
        <v>1.0</v>
      </c>
      <c r="E941" s="226">
        <f t="shared" si="232"/>
        <v>0.2832</v>
      </c>
      <c r="F941" s="218">
        <f t="shared" si="233"/>
        <v>9.44</v>
      </c>
      <c r="G941" s="201"/>
      <c r="H941" s="201"/>
      <c r="I941" s="201"/>
      <c r="J941" s="201"/>
    </row>
    <row r="942" hidden="1" outlineLevel="2">
      <c r="A942" s="245" t="s">
        <v>7</v>
      </c>
      <c r="B942" s="229">
        <f t="shared" si="231"/>
        <v>0.4</v>
      </c>
      <c r="C942" s="432">
        <v>1.0</v>
      </c>
      <c r="D942" s="210">
        <v>1.0</v>
      </c>
      <c r="E942" s="232">
        <f t="shared" si="232"/>
        <v>0.21</v>
      </c>
      <c r="F942" s="218">
        <f t="shared" si="233"/>
        <v>7</v>
      </c>
      <c r="G942" s="201"/>
      <c r="H942" s="201"/>
      <c r="I942" s="201"/>
      <c r="J942" s="201"/>
    </row>
    <row r="943" hidden="1" outlineLevel="2">
      <c r="A943" s="241" t="s">
        <v>514</v>
      </c>
      <c r="B943" s="223">
        <f t="shared" si="231"/>
        <v>0.34</v>
      </c>
      <c r="C943" s="432">
        <v>0.8</v>
      </c>
      <c r="D943" s="210">
        <v>1.0</v>
      </c>
      <c r="E943" s="226">
        <f t="shared" si="232"/>
        <v>0.2886</v>
      </c>
      <c r="F943" s="218">
        <f t="shared" si="233"/>
        <v>9.62</v>
      </c>
      <c r="G943" s="201"/>
      <c r="H943" s="201"/>
      <c r="I943" s="201"/>
      <c r="J943" s="201"/>
    </row>
    <row r="944" hidden="1" outlineLevel="2">
      <c r="A944" s="251"/>
      <c r="B944" s="251"/>
      <c r="C944" s="252"/>
      <c r="D944" s="253"/>
      <c r="E944" s="254"/>
      <c r="F944" s="201"/>
      <c r="G944" s="201"/>
      <c r="H944" s="201"/>
      <c r="I944" s="201"/>
      <c r="J944" s="201"/>
    </row>
    <row r="945" hidden="1" outlineLevel="2">
      <c r="A945" s="55" t="s">
        <v>222</v>
      </c>
      <c r="B945" s="251"/>
      <c r="C945" s="252"/>
      <c r="D945" s="253"/>
      <c r="E945" s="254"/>
      <c r="F945" s="201"/>
      <c r="G945" s="201"/>
      <c r="H945" s="201"/>
      <c r="I945" s="201"/>
      <c r="J945" s="201"/>
    </row>
    <row r="946" hidden="1" outlineLevel="2">
      <c r="A946" s="256" t="s">
        <v>196</v>
      </c>
      <c r="B946" s="257" t="s">
        <v>223</v>
      </c>
      <c r="C946" s="62">
        <v>46153.0</v>
      </c>
      <c r="D946" s="62">
        <v>46154.0</v>
      </c>
      <c r="E946" s="62">
        <v>46155.0</v>
      </c>
      <c r="F946" s="62">
        <v>46156.0</v>
      </c>
      <c r="G946" s="62">
        <v>46157.0</v>
      </c>
      <c r="H946" s="62">
        <v>46158.0</v>
      </c>
      <c r="I946" s="62">
        <v>46159.0</v>
      </c>
      <c r="J946" s="201"/>
    </row>
    <row r="947" hidden="1" outlineLevel="2">
      <c r="A947" s="308"/>
      <c r="B947" s="308"/>
      <c r="C947" s="82" t="s">
        <v>80</v>
      </c>
      <c r="D947" s="82" t="s">
        <v>226</v>
      </c>
      <c r="E947" s="82" t="s">
        <v>227</v>
      </c>
      <c r="F947" s="82" t="s">
        <v>228</v>
      </c>
      <c r="G947" s="82" t="s">
        <v>230</v>
      </c>
      <c r="H947" s="82" t="s">
        <v>231</v>
      </c>
      <c r="I947" s="82" t="s">
        <v>232</v>
      </c>
    </row>
    <row r="948" hidden="1" outlineLevel="2">
      <c r="A948" s="227" t="s">
        <v>4</v>
      </c>
      <c r="B948" s="264">
        <f t="shared" ref="B948:B955" si="234">Sum(C948:I948)</f>
        <v>0</v>
      </c>
      <c r="C948" s="267"/>
      <c r="D948" s="268"/>
      <c r="E948" s="268"/>
      <c r="F948" s="268"/>
      <c r="G948" s="267"/>
      <c r="H948" s="267"/>
      <c r="I948" s="267"/>
    </row>
    <row r="949" hidden="1" outlineLevel="2">
      <c r="A949" s="220" t="s">
        <v>57</v>
      </c>
      <c r="B949" s="264">
        <f t="shared" si="234"/>
        <v>0</v>
      </c>
      <c r="C949" s="266"/>
      <c r="D949" s="266"/>
      <c r="E949" s="266"/>
      <c r="F949" s="266"/>
      <c r="G949" s="266"/>
      <c r="H949" s="265"/>
      <c r="I949" s="266"/>
    </row>
    <row r="950" hidden="1" outlineLevel="2">
      <c r="A950" s="227" t="s">
        <v>21</v>
      </c>
      <c r="B950" s="264">
        <f t="shared" si="234"/>
        <v>0</v>
      </c>
      <c r="C950" s="267"/>
      <c r="D950" s="268"/>
      <c r="E950" s="267"/>
      <c r="F950" s="267"/>
      <c r="G950" s="267"/>
      <c r="H950" s="267"/>
      <c r="I950" s="268"/>
    </row>
    <row r="951" hidden="1" outlineLevel="2">
      <c r="A951" s="220" t="s">
        <v>32</v>
      </c>
      <c r="B951" s="264">
        <f t="shared" si="234"/>
        <v>0</v>
      </c>
      <c r="C951" s="266"/>
      <c r="D951" s="266"/>
      <c r="E951" s="266"/>
      <c r="F951" s="266"/>
      <c r="G951" s="266"/>
      <c r="H951" s="266"/>
      <c r="I951" s="265"/>
    </row>
    <row r="952" hidden="1" outlineLevel="2">
      <c r="A952" s="236" t="s">
        <v>58</v>
      </c>
      <c r="B952" s="264">
        <f t="shared" si="234"/>
        <v>0</v>
      </c>
      <c r="C952" s="267"/>
      <c r="D952" s="267"/>
      <c r="E952" s="267"/>
      <c r="F952" s="267"/>
      <c r="G952" s="267"/>
      <c r="H952" s="267"/>
      <c r="I952" s="268"/>
    </row>
    <row r="953" ht="16.5" hidden="1" customHeight="1" outlineLevel="2">
      <c r="A953" s="241" t="s">
        <v>85</v>
      </c>
      <c r="B953" s="264">
        <f t="shared" si="234"/>
        <v>0</v>
      </c>
      <c r="C953" s="266"/>
      <c r="D953" s="266"/>
      <c r="E953" s="266"/>
      <c r="F953" s="266"/>
      <c r="G953" s="266"/>
      <c r="H953" s="266"/>
      <c r="I953" s="266"/>
    </row>
    <row r="954" hidden="1" outlineLevel="2">
      <c r="A954" s="245" t="s">
        <v>7</v>
      </c>
      <c r="B954" s="264">
        <f t="shared" si="234"/>
        <v>0</v>
      </c>
      <c r="C954" s="268"/>
      <c r="D954" s="268"/>
      <c r="E954" s="267"/>
      <c r="F954" s="267"/>
      <c r="G954" s="267"/>
      <c r="H954" s="267"/>
      <c r="I954" s="268"/>
    </row>
    <row r="955" hidden="1" outlineLevel="2">
      <c r="A955" s="241" t="s">
        <v>72</v>
      </c>
      <c r="B955" s="264">
        <f t="shared" si="234"/>
        <v>0</v>
      </c>
      <c r="C955" s="265"/>
      <c r="D955" s="265"/>
      <c r="E955" s="266"/>
      <c r="F955" s="265"/>
      <c r="G955" s="266"/>
      <c r="H955" s="266"/>
      <c r="I955" s="265"/>
    </row>
    <row r="956" hidden="1" outlineLevel="1">
      <c r="A956" s="52" t="s">
        <v>1726</v>
      </c>
    </row>
    <row r="957" hidden="1" outlineLevel="1">
      <c r="A957" s="55" t="s">
        <v>67</v>
      </c>
    </row>
    <row r="958" hidden="1" outlineLevel="1">
      <c r="A958" s="57" t="s">
        <v>68</v>
      </c>
      <c r="B958" s="59" t="s">
        <v>11</v>
      </c>
      <c r="C958" s="59" t="s">
        <v>71</v>
      </c>
      <c r="D958" s="62">
        <v>46195.0</v>
      </c>
      <c r="E958" s="62">
        <v>46196.0</v>
      </c>
      <c r="F958" s="62">
        <v>46197.0</v>
      </c>
      <c r="G958" s="62">
        <v>46198.0</v>
      </c>
      <c r="H958" s="62">
        <v>46199.0</v>
      </c>
      <c r="I958" s="62">
        <v>46200.0</v>
      </c>
      <c r="J958" s="62">
        <v>46201.0</v>
      </c>
      <c r="K958" s="76" t="s">
        <v>77</v>
      </c>
      <c r="L958" s="78" t="s">
        <v>78</v>
      </c>
    </row>
    <row r="959" hidden="1" outlineLevel="1">
      <c r="A959" s="414"/>
      <c r="B959" s="308"/>
      <c r="C959" s="308"/>
      <c r="D959" s="82" t="s">
        <v>80</v>
      </c>
      <c r="E959" s="82" t="str">
        <f t="shared" ref="E959:J959" si="235">text(E958,"ddd")</f>
        <v>Tue</v>
      </c>
      <c r="F959" s="82" t="str">
        <f t="shared" si="235"/>
        <v>Wed</v>
      </c>
      <c r="G959" s="82" t="str">
        <f t="shared" si="235"/>
        <v>Thu</v>
      </c>
      <c r="H959" s="82" t="str">
        <f t="shared" si="235"/>
        <v>Fri</v>
      </c>
      <c r="I959" s="82" t="str">
        <f t="shared" si="235"/>
        <v>Sat</v>
      </c>
      <c r="J959" s="82" t="str">
        <f t="shared" si="235"/>
        <v>Sun</v>
      </c>
      <c r="K959" s="92"/>
      <c r="L959" s="81"/>
    </row>
    <row r="960" hidden="1" outlineLevel="1">
      <c r="A960" s="399" t="s">
        <v>92</v>
      </c>
      <c r="B960" s="400">
        <f>19*4+10</f>
        <v>86</v>
      </c>
      <c r="C960" s="400">
        <f t="shared" ref="C960:C967" si="236">SUM(D960:J960)</f>
        <v>89</v>
      </c>
      <c r="D960" s="401">
        <v>10.0</v>
      </c>
      <c r="E960" s="401" t="s">
        <v>51</v>
      </c>
      <c r="F960" s="401">
        <v>25.0</v>
      </c>
      <c r="G960" s="401">
        <v>15.0</v>
      </c>
      <c r="H960" s="401">
        <v>21.0</v>
      </c>
      <c r="I960" s="401">
        <v>18.0</v>
      </c>
      <c r="J960" s="108" t="s">
        <v>51</v>
      </c>
      <c r="K960" s="118">
        <f t="shared" ref="K960:K967" si="237">iferror(C960/B960,"-")</f>
        <v>1.034883721</v>
      </c>
      <c r="L960" s="125">
        <f t="shared" ref="L960:L967" si="238">(IF(K960="",(0),IF(K960&gt;=1,(5),IF(K960&gt;=0.9,(4),IF(K960&gt;=0.8,(3),IF(K960&gt;=0.69,(2),IF(K960&lt;=0.69,(1))))))))</f>
        <v>5</v>
      </c>
    </row>
    <row r="961" hidden="1" outlineLevel="1">
      <c r="A961" s="396" t="s">
        <v>61</v>
      </c>
      <c r="B961" s="397">
        <f>25*5</f>
        <v>125</v>
      </c>
      <c r="C961" s="397">
        <f t="shared" si="236"/>
        <v>111</v>
      </c>
      <c r="D961" s="398">
        <v>22.0</v>
      </c>
      <c r="E961" s="398">
        <v>19.0</v>
      </c>
      <c r="F961" s="398">
        <v>19.0</v>
      </c>
      <c r="G961" s="398">
        <v>24.0</v>
      </c>
      <c r="H961" s="398">
        <v>27.0</v>
      </c>
      <c r="I961" s="398" t="s">
        <v>51</v>
      </c>
      <c r="J961" s="108" t="s">
        <v>51</v>
      </c>
      <c r="K961" s="118">
        <f t="shared" si="237"/>
        <v>0.888</v>
      </c>
      <c r="L961" s="125">
        <f t="shared" si="238"/>
        <v>3</v>
      </c>
    </row>
    <row r="962" hidden="1" outlineLevel="1">
      <c r="A962" s="399" t="s">
        <v>21</v>
      </c>
      <c r="B962" s="400">
        <f>25+25+25+25+25</f>
        <v>125</v>
      </c>
      <c r="C962" s="400">
        <f t="shared" si="236"/>
        <v>126</v>
      </c>
      <c r="D962" s="401">
        <v>23.0</v>
      </c>
      <c r="E962" s="401">
        <v>23.0</v>
      </c>
      <c r="F962" s="401" t="s">
        <v>51</v>
      </c>
      <c r="G962" s="401">
        <v>29.0</v>
      </c>
      <c r="H962" s="401">
        <v>27.0</v>
      </c>
      <c r="I962" s="401">
        <v>24.0</v>
      </c>
      <c r="J962" s="108" t="s">
        <v>51</v>
      </c>
      <c r="K962" s="118">
        <f t="shared" si="237"/>
        <v>1.008</v>
      </c>
      <c r="L962" s="125">
        <f t="shared" si="238"/>
        <v>5</v>
      </c>
    </row>
    <row r="963" hidden="1" outlineLevel="1">
      <c r="A963" s="396" t="s">
        <v>74</v>
      </c>
      <c r="B963" s="397">
        <f>10+10+15+15+10</f>
        <v>60</v>
      </c>
      <c r="C963" s="397">
        <f t="shared" si="236"/>
        <v>62</v>
      </c>
      <c r="D963" s="398">
        <v>9.0</v>
      </c>
      <c r="E963" s="398">
        <v>12.0</v>
      </c>
      <c r="F963" s="398">
        <v>17.0</v>
      </c>
      <c r="G963" s="398" t="s">
        <v>51</v>
      </c>
      <c r="H963" s="398" t="s">
        <v>51</v>
      </c>
      <c r="I963" s="398">
        <v>15.0</v>
      </c>
      <c r="J963" s="108">
        <v>9.0</v>
      </c>
      <c r="K963" s="118">
        <f t="shared" si="237"/>
        <v>1.033333333</v>
      </c>
      <c r="L963" s="125">
        <f t="shared" si="238"/>
        <v>5</v>
      </c>
    </row>
    <row r="964" hidden="1" outlineLevel="1">
      <c r="A964" s="236" t="s">
        <v>53</v>
      </c>
      <c r="B964" s="405">
        <f>15*5</f>
        <v>75</v>
      </c>
      <c r="C964" s="400">
        <f t="shared" si="236"/>
        <v>80</v>
      </c>
      <c r="D964" s="401">
        <v>13.0</v>
      </c>
      <c r="E964" s="401">
        <v>16.0</v>
      </c>
      <c r="F964" s="401">
        <v>26.0</v>
      </c>
      <c r="G964" s="401">
        <v>10.0</v>
      </c>
      <c r="H964" s="401" t="s">
        <v>51</v>
      </c>
      <c r="I964" s="401" t="s">
        <v>51</v>
      </c>
      <c r="J964" s="108">
        <v>15.0</v>
      </c>
      <c r="K964" s="118">
        <f t="shared" si="237"/>
        <v>1.066666667</v>
      </c>
      <c r="L964" s="125">
        <f t="shared" si="238"/>
        <v>5</v>
      </c>
    </row>
    <row r="965" hidden="1" outlineLevel="1">
      <c r="A965" s="241" t="s">
        <v>85</v>
      </c>
      <c r="B965" s="397">
        <f>25*5</f>
        <v>125</v>
      </c>
      <c r="C965" s="397">
        <f t="shared" si="236"/>
        <v>131</v>
      </c>
      <c r="D965" s="398">
        <v>30.0</v>
      </c>
      <c r="E965" s="398">
        <v>29.0</v>
      </c>
      <c r="F965" s="398">
        <v>28.0</v>
      </c>
      <c r="G965" s="398">
        <v>30.0</v>
      </c>
      <c r="H965" s="398" t="s">
        <v>51</v>
      </c>
      <c r="I965" s="398" t="s">
        <v>51</v>
      </c>
      <c r="J965" s="108">
        <v>14.0</v>
      </c>
      <c r="K965" s="118">
        <f t="shared" si="237"/>
        <v>1.048</v>
      </c>
      <c r="L965" s="125">
        <f t="shared" si="238"/>
        <v>5</v>
      </c>
    </row>
    <row r="966" hidden="1" outlineLevel="1">
      <c r="A966" s="245" t="s">
        <v>7</v>
      </c>
      <c r="B966" s="405">
        <f>20*5</f>
        <v>100</v>
      </c>
      <c r="C966" s="400">
        <f t="shared" si="236"/>
        <v>105</v>
      </c>
      <c r="D966" s="401">
        <v>25.0</v>
      </c>
      <c r="E966" s="401">
        <v>19.0</v>
      </c>
      <c r="F966" s="401">
        <v>20.0</v>
      </c>
      <c r="G966" s="401">
        <v>21.0</v>
      </c>
      <c r="H966" s="401">
        <v>20.0</v>
      </c>
      <c r="I966" s="401" t="s">
        <v>51</v>
      </c>
      <c r="J966" s="108" t="s">
        <v>51</v>
      </c>
      <c r="K966" s="118">
        <f t="shared" si="237"/>
        <v>1.05</v>
      </c>
      <c r="L966" s="125">
        <f t="shared" si="238"/>
        <v>5</v>
      </c>
    </row>
    <row r="967" hidden="1" outlineLevel="1">
      <c r="A967" s="241" t="s">
        <v>514</v>
      </c>
      <c r="B967" s="404">
        <f>20*4+10</f>
        <v>90</v>
      </c>
      <c r="C967" s="397">
        <f t="shared" si="236"/>
        <v>83</v>
      </c>
      <c r="D967" s="398">
        <v>21.0</v>
      </c>
      <c r="E967" s="398" t="s">
        <v>51</v>
      </c>
      <c r="F967" s="398" t="s">
        <v>51</v>
      </c>
      <c r="G967" s="398">
        <v>17.0</v>
      </c>
      <c r="H967" s="398">
        <v>18.0</v>
      </c>
      <c r="I967" s="398">
        <v>17.0</v>
      </c>
      <c r="J967" s="108">
        <v>10.0</v>
      </c>
      <c r="K967" s="118">
        <f t="shared" si="237"/>
        <v>0.9222222222</v>
      </c>
      <c r="L967" s="125">
        <f t="shared" si="238"/>
        <v>4</v>
      </c>
    </row>
    <row r="968" hidden="1" outlineLevel="1"/>
    <row r="969" hidden="1" outlineLevel="1">
      <c r="A969" s="55" t="s">
        <v>87</v>
      </c>
      <c r="I969" s="55"/>
    </row>
    <row r="970" hidden="1" outlineLevel="1">
      <c r="A970" s="57" t="s">
        <v>68</v>
      </c>
      <c r="B970" s="158" t="s">
        <v>157</v>
      </c>
      <c r="C970" s="158" t="s">
        <v>158</v>
      </c>
      <c r="D970" s="158" t="s">
        <v>90</v>
      </c>
      <c r="E970" s="158" t="s">
        <v>91</v>
      </c>
      <c r="F970" s="158" t="s">
        <v>93</v>
      </c>
      <c r="G970" s="161" t="s">
        <v>94</v>
      </c>
      <c r="H970" s="161" t="s">
        <v>160</v>
      </c>
    </row>
    <row r="971" hidden="1" outlineLevel="1">
      <c r="A971" s="414"/>
      <c r="B971" s="308"/>
      <c r="C971" s="308"/>
      <c r="D971" s="308"/>
      <c r="E971" s="308"/>
      <c r="F971" s="308"/>
      <c r="G971" s="308"/>
      <c r="H971" s="308"/>
    </row>
    <row r="972" hidden="1" outlineLevel="1">
      <c r="A972" s="399" t="s">
        <v>92</v>
      </c>
      <c r="B972" s="401">
        <v>90.0</v>
      </c>
      <c r="C972" s="401">
        <v>88.0</v>
      </c>
      <c r="D972" s="408">
        <f t="shared" ref="D972:D979" si="239">B972-C972</f>
        <v>2</v>
      </c>
      <c r="E972" s="409">
        <f t="shared" ref="E972:E979" si="240">IFERROR(C972/B972,"")</f>
        <v>0.9777777778</v>
      </c>
      <c r="F972" s="410">
        <v>0.0020601851851851853</v>
      </c>
      <c r="G972" s="171">
        <f t="shared" ref="G972:G979" si="241">IFERROR((IF(E972="",(0),IF(E972&gt;=0.98,(5),IF(E972&gt;=0.95,(4.5),IF(E972&gt;=0.9,(4),IF(E972&gt;=0.8,(3),IF(E972&lt;=0.69,(1)))))))),"")</f>
        <v>4.5</v>
      </c>
      <c r="H972" s="171">
        <f>ROUND(
IF(F972="",
0,
MAX(1, 5 - MAX(0, (F972 - TIME(0,4,0)) / TIME(0,1,0) * 0.5))
),
2
)
</f>
        <v>5</v>
      </c>
    </row>
    <row r="973" hidden="1" outlineLevel="1">
      <c r="A973" s="396" t="s">
        <v>61</v>
      </c>
      <c r="B973" s="398">
        <v>113.0</v>
      </c>
      <c r="C973" s="398">
        <v>111.0</v>
      </c>
      <c r="D973" s="141">
        <f t="shared" si="239"/>
        <v>2</v>
      </c>
      <c r="E973" s="406">
        <f t="shared" si="240"/>
        <v>0.982300885</v>
      </c>
      <c r="F973" s="407">
        <v>0.003969907407407407</v>
      </c>
      <c r="G973" s="171">
        <f t="shared" si="241"/>
        <v>5</v>
      </c>
      <c r="H973" s="171">
        <f>ROUND(
IF(F973="",
0,
MAX(1, 5 - MAX(0, (F973 - TIME(0,5,0)) / TIME(0,1,0) * 0.5))
),
2
)
</f>
        <v>4.64</v>
      </c>
    </row>
    <row r="974" hidden="1" outlineLevel="1">
      <c r="A974" s="399" t="s">
        <v>21</v>
      </c>
      <c r="B974" s="401">
        <v>129.0</v>
      </c>
      <c r="C974" s="401">
        <v>126.0</v>
      </c>
      <c r="D974" s="408">
        <f t="shared" si="239"/>
        <v>3</v>
      </c>
      <c r="E974" s="409">
        <f t="shared" si="240"/>
        <v>0.976744186</v>
      </c>
      <c r="F974" s="410">
        <v>0.002928240740740741</v>
      </c>
      <c r="G974" s="171">
        <f t="shared" si="241"/>
        <v>4.5</v>
      </c>
      <c r="H974" s="171">
        <f>ROUND(
IF(F974="",
0,
MAX(1, 5 - MAX(0, (F974 - TIME(0,4,0)) / TIME(0,1,0) * 0.5))
),
2
)
</f>
        <v>4.89</v>
      </c>
    </row>
    <row r="975" hidden="1" outlineLevel="1">
      <c r="A975" s="422" t="s">
        <v>74</v>
      </c>
      <c r="B975" s="398">
        <v>63.0</v>
      </c>
      <c r="C975" s="398">
        <v>62.0</v>
      </c>
      <c r="D975" s="141">
        <f t="shared" si="239"/>
        <v>1</v>
      </c>
      <c r="E975" s="406">
        <f t="shared" si="240"/>
        <v>0.9841269841</v>
      </c>
      <c r="F975" s="407">
        <v>0.0026041666666666665</v>
      </c>
      <c r="G975" s="171">
        <f t="shared" si="241"/>
        <v>5</v>
      </c>
      <c r="H975" s="171">
        <f>ROUND(
IF(F975="",
0,
MAX(1, 5 - MAX(0, (F975 - TIME(0,5,0)) / TIME(0,1,0) * 0.5))
),
2
)
</f>
        <v>5</v>
      </c>
    </row>
    <row r="976" hidden="1" outlineLevel="1">
      <c r="A976" s="423" t="s">
        <v>53</v>
      </c>
      <c r="B976" s="401">
        <v>81.0</v>
      </c>
      <c r="C976" s="401">
        <v>80.0</v>
      </c>
      <c r="D976" s="408">
        <f t="shared" si="239"/>
        <v>1</v>
      </c>
      <c r="E976" s="409">
        <f t="shared" si="240"/>
        <v>0.987654321</v>
      </c>
      <c r="F976" s="410">
        <v>0.002395833333333333</v>
      </c>
      <c r="G976" s="171">
        <f t="shared" si="241"/>
        <v>5</v>
      </c>
      <c r="H976" s="171">
        <f>ROUND(
IF(F976="",
0,
MAX(1, 5 - MAX(0, (F976 - TIME(0,4,0)) / TIME(0,1,0) * 0.5))
),
2
)
</f>
        <v>5</v>
      </c>
    </row>
    <row r="977" hidden="1" outlineLevel="1">
      <c r="A977" s="241" t="s">
        <v>85</v>
      </c>
      <c r="B977" s="398">
        <v>134.0</v>
      </c>
      <c r="C977" s="398">
        <v>131.0</v>
      </c>
      <c r="D977" s="141">
        <f t="shared" si="239"/>
        <v>3</v>
      </c>
      <c r="E977" s="406">
        <f t="shared" si="240"/>
        <v>0.9776119403</v>
      </c>
      <c r="F977" s="407">
        <v>0.004340277777777778</v>
      </c>
      <c r="G977" s="171">
        <f t="shared" si="241"/>
        <v>4.5</v>
      </c>
      <c r="H977" s="171">
        <f t="shared" ref="H977:H979" si="242">ROUND(
IF(F977="",
0,
MAX(1, 5 - MAX(0, (F977 - TIME(0,5,0)) / TIME(0,1,0) * 0.5))
),
2
)
</f>
        <v>4.38</v>
      </c>
    </row>
    <row r="978" hidden="1" outlineLevel="1">
      <c r="A978" s="424" t="s">
        <v>7</v>
      </c>
      <c r="B978" s="401">
        <v>108.0</v>
      </c>
      <c r="C978" s="401">
        <v>105.0</v>
      </c>
      <c r="D978" s="408">
        <f t="shared" si="239"/>
        <v>3</v>
      </c>
      <c r="E978" s="409">
        <f t="shared" si="240"/>
        <v>0.9722222222</v>
      </c>
      <c r="F978" s="410">
        <v>0.003958333333333334</v>
      </c>
      <c r="G978" s="171">
        <f t="shared" si="241"/>
        <v>4.5</v>
      </c>
      <c r="H978" s="171">
        <f t="shared" si="242"/>
        <v>4.65</v>
      </c>
    </row>
    <row r="979" hidden="1" outlineLevel="1">
      <c r="A979" s="241" t="s">
        <v>514</v>
      </c>
      <c r="B979" s="398">
        <v>85.0</v>
      </c>
      <c r="C979" s="398">
        <v>83.0</v>
      </c>
      <c r="D979" s="141">
        <f t="shared" si="239"/>
        <v>2</v>
      </c>
      <c r="E979" s="406">
        <f t="shared" si="240"/>
        <v>0.9764705882</v>
      </c>
      <c r="F979" s="407">
        <v>0.004340277777777778</v>
      </c>
      <c r="G979" s="171">
        <f t="shared" si="241"/>
        <v>4.5</v>
      </c>
      <c r="H979" s="171">
        <f t="shared" si="242"/>
        <v>4.38</v>
      </c>
    </row>
    <row r="980" hidden="1" outlineLevel="1"/>
    <row r="981" hidden="1" outlineLevel="1">
      <c r="A981" s="55" t="s">
        <v>195</v>
      </c>
    </row>
    <row r="982" hidden="1" outlineLevel="1">
      <c r="A982" s="192" t="s">
        <v>196</v>
      </c>
      <c r="B982" s="193" t="s">
        <v>198</v>
      </c>
      <c r="C982" s="195" t="s">
        <v>199</v>
      </c>
      <c r="D982" s="195" t="s">
        <v>200</v>
      </c>
      <c r="E982" s="197" t="s">
        <v>201</v>
      </c>
      <c r="F982" s="199" t="s">
        <v>202</v>
      </c>
      <c r="G982" s="201"/>
    </row>
    <row r="983" hidden="1" outlineLevel="1">
      <c r="A983" s="220" t="s">
        <v>4</v>
      </c>
      <c r="B983" s="223">
        <f t="shared" ref="B983:B990" si="243">(C983*0.3)+(D983*0.1)</f>
        <v>0.4</v>
      </c>
      <c r="C983" s="432">
        <v>1.0</v>
      </c>
      <c r="D983" s="210">
        <v>1.0</v>
      </c>
      <c r="E983" s="226">
        <f t="shared" ref="E983:E990" si="244">(L960+G972+H972)/15*0.3</f>
        <v>0.29</v>
      </c>
      <c r="F983" s="218">
        <f t="shared" ref="F983:F990" si="245">(E983/30%)*10</f>
        <v>9.666666667</v>
      </c>
      <c r="G983" s="201"/>
      <c r="H983" s="201"/>
      <c r="I983" s="201"/>
      <c r="J983" s="201"/>
    </row>
    <row r="984" hidden="1" outlineLevel="1">
      <c r="A984" s="227" t="s">
        <v>57</v>
      </c>
      <c r="B984" s="229">
        <f t="shared" si="243"/>
        <v>0.4</v>
      </c>
      <c r="C984" s="432">
        <v>1.0</v>
      </c>
      <c r="D984" s="210">
        <v>1.0</v>
      </c>
      <c r="E984" s="232">
        <f t="shared" si="244"/>
        <v>0.2528</v>
      </c>
      <c r="F984" s="218">
        <f t="shared" si="245"/>
        <v>8.426666667</v>
      </c>
      <c r="G984" s="201"/>
      <c r="H984" s="201"/>
      <c r="I984" s="201"/>
      <c r="J984" s="201"/>
    </row>
    <row r="985" hidden="1" outlineLevel="1">
      <c r="A985" s="220" t="s">
        <v>21</v>
      </c>
      <c r="B985" s="223">
        <f t="shared" si="243"/>
        <v>0.4</v>
      </c>
      <c r="C985" s="432">
        <v>1.0</v>
      </c>
      <c r="D985" s="210">
        <v>1.0</v>
      </c>
      <c r="E985" s="226">
        <f t="shared" si="244"/>
        <v>0.2878</v>
      </c>
      <c r="F985" s="218">
        <f t="shared" si="245"/>
        <v>9.593333333</v>
      </c>
      <c r="G985" s="201"/>
      <c r="H985" s="201"/>
      <c r="I985" s="201"/>
      <c r="J985" s="201"/>
    </row>
    <row r="986" hidden="1" outlineLevel="1">
      <c r="A986" s="227" t="s">
        <v>32</v>
      </c>
      <c r="B986" s="229">
        <f t="shared" si="243"/>
        <v>0.4</v>
      </c>
      <c r="C986" s="432">
        <v>1.0</v>
      </c>
      <c r="D986" s="210">
        <v>1.0</v>
      </c>
      <c r="E986" s="232">
        <f t="shared" si="244"/>
        <v>0.3</v>
      </c>
      <c r="F986" s="218">
        <f t="shared" si="245"/>
        <v>10</v>
      </c>
      <c r="G986" s="201"/>
      <c r="H986" s="201"/>
      <c r="I986" s="201"/>
      <c r="J986" s="201"/>
    </row>
    <row r="987" hidden="1" outlineLevel="1">
      <c r="A987" s="272" t="s">
        <v>58</v>
      </c>
      <c r="B987" s="223">
        <f t="shared" si="243"/>
        <v>0.4</v>
      </c>
      <c r="C987" s="432">
        <v>1.0</v>
      </c>
      <c r="D987" s="210">
        <v>1.0</v>
      </c>
      <c r="E987" s="226">
        <f t="shared" si="244"/>
        <v>0.3</v>
      </c>
      <c r="F987" s="218">
        <f t="shared" si="245"/>
        <v>10</v>
      </c>
      <c r="G987" s="201"/>
      <c r="H987" s="201"/>
      <c r="I987" s="201"/>
      <c r="J987" s="201"/>
    </row>
    <row r="988" hidden="1" outlineLevel="1">
      <c r="A988" s="245" t="s">
        <v>85</v>
      </c>
      <c r="B988" s="229">
        <f t="shared" si="243"/>
        <v>0.4</v>
      </c>
      <c r="C988" s="432">
        <v>1.0</v>
      </c>
      <c r="D988" s="210">
        <v>1.0</v>
      </c>
      <c r="E988" s="232">
        <f t="shared" si="244"/>
        <v>0.2776</v>
      </c>
      <c r="F988" s="218">
        <f t="shared" si="245"/>
        <v>9.253333333</v>
      </c>
      <c r="G988" s="201"/>
      <c r="H988" s="201"/>
      <c r="I988" s="201"/>
      <c r="J988" s="201"/>
    </row>
    <row r="989" hidden="1" outlineLevel="1">
      <c r="A989" s="241" t="s">
        <v>7</v>
      </c>
      <c r="B989" s="223">
        <f t="shared" si="243"/>
        <v>0.4</v>
      </c>
      <c r="C989" s="432">
        <v>1.0</v>
      </c>
      <c r="D989" s="210">
        <v>1.0</v>
      </c>
      <c r="E989" s="226">
        <f t="shared" si="244"/>
        <v>0.283</v>
      </c>
      <c r="F989" s="218">
        <f t="shared" si="245"/>
        <v>9.433333333</v>
      </c>
      <c r="G989" s="201"/>
      <c r="H989" s="201"/>
      <c r="I989" s="201"/>
      <c r="J989" s="201"/>
    </row>
    <row r="990" hidden="1" outlineLevel="1">
      <c r="A990" s="245" t="s">
        <v>514</v>
      </c>
      <c r="B990" s="229">
        <f t="shared" si="243"/>
        <v>0.34</v>
      </c>
      <c r="C990" s="432">
        <v>0.8</v>
      </c>
      <c r="D990" s="210">
        <v>1.0</v>
      </c>
      <c r="E990" s="232">
        <f t="shared" si="244"/>
        <v>0.2576</v>
      </c>
      <c r="F990" s="218">
        <f t="shared" si="245"/>
        <v>8.586666667</v>
      </c>
      <c r="G990" s="201"/>
      <c r="H990" s="201"/>
      <c r="I990" s="201"/>
      <c r="J990" s="201"/>
    </row>
    <row r="991" hidden="1" outlineLevel="1">
      <c r="A991" s="251"/>
      <c r="B991" s="251"/>
      <c r="C991" s="252"/>
      <c r="D991" s="253"/>
      <c r="E991" s="254"/>
      <c r="F991" s="201"/>
      <c r="G991" s="201"/>
      <c r="H991" s="201"/>
      <c r="I991" s="201"/>
      <c r="J991" s="201"/>
    </row>
    <row r="992" hidden="1" outlineLevel="1">
      <c r="A992" s="55" t="s">
        <v>222</v>
      </c>
      <c r="B992" s="251"/>
      <c r="C992" s="252"/>
      <c r="D992" s="253"/>
      <c r="E992" s="254"/>
      <c r="F992" s="201"/>
      <c r="G992" s="201"/>
      <c r="H992" s="201"/>
      <c r="I992" s="201"/>
      <c r="J992" s="201"/>
    </row>
    <row r="993" hidden="1" outlineLevel="1">
      <c r="A993" s="256" t="s">
        <v>196</v>
      </c>
      <c r="B993" s="257" t="s">
        <v>223</v>
      </c>
      <c r="C993" s="62">
        <v>46153.0</v>
      </c>
      <c r="D993" s="62">
        <v>46154.0</v>
      </c>
      <c r="E993" s="62">
        <v>46155.0</v>
      </c>
      <c r="F993" s="62">
        <v>46156.0</v>
      </c>
      <c r="G993" s="62">
        <v>46157.0</v>
      </c>
      <c r="H993" s="62">
        <v>46158.0</v>
      </c>
      <c r="I993" s="62">
        <v>46159.0</v>
      </c>
      <c r="J993" s="201"/>
    </row>
    <row r="994" hidden="1" outlineLevel="1">
      <c r="A994" s="258"/>
      <c r="B994" s="258"/>
      <c r="C994" s="82" t="s">
        <v>80</v>
      </c>
      <c r="D994" s="82" t="s">
        <v>226</v>
      </c>
      <c r="E994" s="82" t="s">
        <v>227</v>
      </c>
      <c r="F994" s="82" t="s">
        <v>228</v>
      </c>
      <c r="G994" s="82" t="s">
        <v>230</v>
      </c>
      <c r="H994" s="82" t="s">
        <v>231</v>
      </c>
      <c r="I994" s="82" t="s">
        <v>232</v>
      </c>
    </row>
    <row r="995" hidden="1" outlineLevel="1">
      <c r="A995" s="220" t="s">
        <v>4</v>
      </c>
      <c r="B995" s="264">
        <f t="shared" ref="B995:B1002" si="246">Sum(C995:I995)</f>
        <v>0</v>
      </c>
      <c r="C995" s="266"/>
      <c r="D995" s="265"/>
      <c r="E995" s="265"/>
      <c r="F995" s="265"/>
      <c r="G995" s="266"/>
      <c r="H995" s="266"/>
      <c r="I995" s="266"/>
    </row>
    <row r="996" hidden="1" outlineLevel="1">
      <c r="A996" s="227" t="s">
        <v>57</v>
      </c>
      <c r="B996" s="264">
        <f t="shared" si="246"/>
        <v>0</v>
      </c>
      <c r="C996" s="267"/>
      <c r="D996" s="267"/>
      <c r="E996" s="267"/>
      <c r="F996" s="267"/>
      <c r="G996" s="267"/>
      <c r="H996" s="268"/>
      <c r="I996" s="267"/>
    </row>
    <row r="997" hidden="1" outlineLevel="1">
      <c r="A997" s="220" t="s">
        <v>21</v>
      </c>
      <c r="B997" s="264">
        <f t="shared" si="246"/>
        <v>0</v>
      </c>
      <c r="C997" s="266"/>
      <c r="D997" s="265"/>
      <c r="E997" s="266"/>
      <c r="F997" s="266"/>
      <c r="G997" s="266"/>
      <c r="H997" s="266"/>
      <c r="I997" s="265"/>
    </row>
    <row r="998" hidden="1" outlineLevel="1">
      <c r="A998" s="227" t="s">
        <v>32</v>
      </c>
      <c r="B998" s="264">
        <f t="shared" si="246"/>
        <v>0</v>
      </c>
      <c r="C998" s="267"/>
      <c r="D998" s="267"/>
      <c r="E998" s="267"/>
      <c r="F998" s="267"/>
      <c r="G998" s="267"/>
      <c r="H998" s="267"/>
      <c r="I998" s="268"/>
    </row>
    <row r="999" hidden="1" outlineLevel="1">
      <c r="A999" s="272" t="s">
        <v>58</v>
      </c>
      <c r="B999" s="264">
        <f t="shared" si="246"/>
        <v>0</v>
      </c>
      <c r="C999" s="266"/>
      <c r="D999" s="266"/>
      <c r="E999" s="266"/>
      <c r="F999" s="266"/>
      <c r="G999" s="266"/>
      <c r="H999" s="266"/>
      <c r="I999" s="265"/>
    </row>
    <row r="1000" ht="16.5" hidden="1" customHeight="1" outlineLevel="1">
      <c r="A1000" s="245" t="s">
        <v>85</v>
      </c>
      <c r="B1000" s="264">
        <f t="shared" si="246"/>
        <v>0</v>
      </c>
      <c r="C1000" s="267"/>
      <c r="D1000" s="267"/>
      <c r="E1000" s="267"/>
      <c r="F1000" s="267"/>
      <c r="G1000" s="267"/>
      <c r="H1000" s="267"/>
      <c r="I1000" s="267"/>
    </row>
    <row r="1001" hidden="1" outlineLevel="1">
      <c r="A1001" s="241" t="s">
        <v>7</v>
      </c>
      <c r="B1001" s="264">
        <f t="shared" si="246"/>
        <v>0</v>
      </c>
      <c r="C1001" s="265"/>
      <c r="D1001" s="265"/>
      <c r="E1001" s="266"/>
      <c r="F1001" s="266"/>
      <c r="G1001" s="266"/>
      <c r="H1001" s="266"/>
      <c r="I1001" s="265"/>
    </row>
    <row r="1002" hidden="1" outlineLevel="1">
      <c r="A1002" s="245" t="s">
        <v>72</v>
      </c>
      <c r="B1002" s="264">
        <f t="shared" si="246"/>
        <v>0</v>
      </c>
      <c r="C1002" s="268"/>
      <c r="D1002" s="268"/>
      <c r="E1002" s="267"/>
      <c r="F1002" s="268"/>
      <c r="G1002" s="267"/>
      <c r="H1002" s="267"/>
      <c r="I1002" s="268"/>
    </row>
    <row r="1003" collapsed="1">
      <c r="A1003" s="434">
        <v>46204.0</v>
      </c>
    </row>
    <row r="1004" hidden="1" outlineLevel="1" collapsed="1">
      <c r="A1004" s="52" t="s">
        <v>1790</v>
      </c>
    </row>
    <row r="1005" hidden="1" outlineLevel="2">
      <c r="A1005" s="55" t="s">
        <v>67</v>
      </c>
    </row>
    <row r="1006" hidden="1" outlineLevel="2">
      <c r="A1006" s="57" t="s">
        <v>68</v>
      </c>
      <c r="B1006" s="59" t="s">
        <v>11</v>
      </c>
      <c r="C1006" s="59" t="s">
        <v>71</v>
      </c>
      <c r="D1006" s="62">
        <v>46202.0</v>
      </c>
      <c r="E1006" s="62">
        <v>46203.0</v>
      </c>
      <c r="F1006" s="62">
        <v>46204.0</v>
      </c>
      <c r="G1006" s="62">
        <v>46205.0</v>
      </c>
      <c r="H1006" s="62">
        <v>46206.0</v>
      </c>
      <c r="I1006" s="62">
        <v>46207.0</v>
      </c>
      <c r="J1006" s="62">
        <v>46208.0</v>
      </c>
      <c r="K1006" s="76" t="s">
        <v>77</v>
      </c>
      <c r="L1006" s="78" t="s">
        <v>78</v>
      </c>
    </row>
    <row r="1007" hidden="1" outlineLevel="2">
      <c r="A1007" s="414"/>
      <c r="B1007" s="308"/>
      <c r="C1007" s="308"/>
      <c r="D1007" s="82" t="s">
        <v>80</v>
      </c>
      <c r="E1007" s="82" t="str">
        <f t="shared" ref="E1007:J1007" si="247">text(E1006,"ddd")</f>
        <v>Tue</v>
      </c>
      <c r="F1007" s="82" t="str">
        <f t="shared" si="247"/>
        <v>Wed</v>
      </c>
      <c r="G1007" s="82" t="str">
        <f t="shared" si="247"/>
        <v>Thu</v>
      </c>
      <c r="H1007" s="82" t="str">
        <f t="shared" si="247"/>
        <v>Fri</v>
      </c>
      <c r="I1007" s="82" t="str">
        <f t="shared" si="247"/>
        <v>Sat</v>
      </c>
      <c r="J1007" s="82" t="str">
        <f t="shared" si="247"/>
        <v>Sun</v>
      </c>
      <c r="K1007" s="92"/>
      <c r="L1007" s="81"/>
    </row>
    <row r="1008" hidden="1" outlineLevel="2">
      <c r="A1008" s="399" t="s">
        <v>92</v>
      </c>
      <c r="B1008" s="400">
        <f>20*5</f>
        <v>100</v>
      </c>
      <c r="C1008" s="400">
        <f t="shared" ref="C1008:C1015" si="248">SUM(D1008:J1008)</f>
        <v>104</v>
      </c>
      <c r="D1008" s="401">
        <v>13.0</v>
      </c>
      <c r="E1008" s="401">
        <v>19.0</v>
      </c>
      <c r="F1008" s="401">
        <v>28.0</v>
      </c>
      <c r="G1008" s="401">
        <v>27.0</v>
      </c>
      <c r="H1008" s="401">
        <v>17.0</v>
      </c>
      <c r="I1008" s="401" t="s">
        <v>51</v>
      </c>
      <c r="J1008" s="108" t="s">
        <v>51</v>
      </c>
      <c r="K1008" s="118">
        <f t="shared" ref="K1008:K1015" si="249">iferror(C1008/B1008,"-")</f>
        <v>1.04</v>
      </c>
      <c r="L1008" s="125">
        <f t="shared" ref="L1008:L1015" si="250">(IF(K1008="",(0),IF(K1008&gt;=1,(5),IF(K1008&gt;=0.9,(4),IF(K1008&gt;=0.8,(3),IF(K1008&gt;=0.69,(2),IF(K1008&lt;=0.69,(1))))))))</f>
        <v>5</v>
      </c>
    </row>
    <row r="1009" hidden="1" outlineLevel="2">
      <c r="A1009" s="396" t="s">
        <v>61</v>
      </c>
      <c r="B1009" s="397">
        <f>25*5</f>
        <v>125</v>
      </c>
      <c r="C1009" s="397">
        <f t="shared" si="248"/>
        <v>109</v>
      </c>
      <c r="D1009" s="398">
        <v>20.0</v>
      </c>
      <c r="E1009" s="398">
        <v>27.0</v>
      </c>
      <c r="F1009" s="398">
        <v>19.0</v>
      </c>
      <c r="G1009" s="398">
        <v>25.0</v>
      </c>
      <c r="H1009" s="398">
        <v>18.0</v>
      </c>
      <c r="I1009" s="398" t="s">
        <v>51</v>
      </c>
      <c r="J1009" s="108" t="s">
        <v>51</v>
      </c>
      <c r="K1009" s="118">
        <f t="shared" si="249"/>
        <v>0.872</v>
      </c>
      <c r="L1009" s="125">
        <f t="shared" si="250"/>
        <v>3</v>
      </c>
    </row>
    <row r="1010" hidden="1" outlineLevel="2">
      <c r="A1010" s="399" t="s">
        <v>21</v>
      </c>
      <c r="B1010" s="400">
        <f>25+25+25+25+15</f>
        <v>115</v>
      </c>
      <c r="C1010" s="400">
        <f t="shared" si="248"/>
        <v>113</v>
      </c>
      <c r="D1010" s="401">
        <v>24.0</v>
      </c>
      <c r="E1010" s="401">
        <v>19.0</v>
      </c>
      <c r="F1010" s="401" t="s">
        <v>51</v>
      </c>
      <c r="G1010" s="401">
        <v>30.0</v>
      </c>
      <c r="H1010" s="401">
        <v>25.0</v>
      </c>
      <c r="I1010" s="401">
        <v>15.0</v>
      </c>
      <c r="J1010" s="108" t="s">
        <v>51</v>
      </c>
      <c r="K1010" s="118">
        <f t="shared" si="249"/>
        <v>0.9826086957</v>
      </c>
      <c r="L1010" s="125">
        <f t="shared" si="250"/>
        <v>4</v>
      </c>
    </row>
    <row r="1011" hidden="1" outlineLevel="2">
      <c r="A1011" s="396" t="s">
        <v>74</v>
      </c>
      <c r="B1011" s="397">
        <f>15+20+15+8+10</f>
        <v>68</v>
      </c>
      <c r="C1011" s="397">
        <f t="shared" si="248"/>
        <v>67</v>
      </c>
      <c r="D1011" s="398">
        <v>16.0</v>
      </c>
      <c r="E1011" s="398">
        <v>20.0</v>
      </c>
      <c r="F1011" s="398">
        <v>13.0</v>
      </c>
      <c r="G1011" s="398" t="s">
        <v>51</v>
      </c>
      <c r="H1011" s="398" t="s">
        <v>51</v>
      </c>
      <c r="I1011" s="398">
        <v>8.0</v>
      </c>
      <c r="J1011" s="108">
        <v>10.0</v>
      </c>
      <c r="K1011" s="118">
        <f t="shared" si="249"/>
        <v>0.9852941176</v>
      </c>
      <c r="L1011" s="125">
        <f t="shared" si="250"/>
        <v>4</v>
      </c>
    </row>
    <row r="1012" hidden="1" outlineLevel="2">
      <c r="A1012" s="236" t="s">
        <v>53</v>
      </c>
      <c r="B1012" s="405">
        <f>15*5</f>
        <v>75</v>
      </c>
      <c r="C1012" s="400">
        <f t="shared" si="248"/>
        <v>106</v>
      </c>
      <c r="D1012" s="401">
        <v>19.0</v>
      </c>
      <c r="E1012" s="401">
        <v>17.0</v>
      </c>
      <c r="F1012" s="401">
        <v>26.0</v>
      </c>
      <c r="G1012" s="401" t="s">
        <v>51</v>
      </c>
      <c r="H1012" s="401" t="s">
        <v>51</v>
      </c>
      <c r="I1012" s="401">
        <v>15.0</v>
      </c>
      <c r="J1012" s="108">
        <v>29.0</v>
      </c>
      <c r="K1012" s="118">
        <f t="shared" si="249"/>
        <v>1.413333333</v>
      </c>
      <c r="L1012" s="125">
        <f t="shared" si="250"/>
        <v>5</v>
      </c>
    </row>
    <row r="1013" hidden="1" outlineLevel="2">
      <c r="A1013" s="241" t="s">
        <v>85</v>
      </c>
      <c r="B1013" s="397">
        <f>30*4+15</f>
        <v>135</v>
      </c>
      <c r="C1013" s="397">
        <f t="shared" si="248"/>
        <v>143</v>
      </c>
      <c r="D1013" s="398">
        <v>28.0</v>
      </c>
      <c r="E1013" s="398">
        <v>35.0</v>
      </c>
      <c r="F1013" s="398">
        <v>29.0</v>
      </c>
      <c r="G1013" s="398">
        <v>35.0</v>
      </c>
      <c r="H1013" s="398" t="s">
        <v>51</v>
      </c>
      <c r="I1013" s="398" t="s">
        <v>51</v>
      </c>
      <c r="J1013" s="108">
        <v>16.0</v>
      </c>
      <c r="K1013" s="118">
        <f t="shared" si="249"/>
        <v>1.059259259</v>
      </c>
      <c r="L1013" s="125">
        <f t="shared" si="250"/>
        <v>5</v>
      </c>
    </row>
    <row r="1014" hidden="1" outlineLevel="2">
      <c r="A1014" s="245" t="s">
        <v>7</v>
      </c>
      <c r="B1014" s="405">
        <f>15+20+20+10+15</f>
        <v>80</v>
      </c>
      <c r="C1014" s="400">
        <f t="shared" si="248"/>
        <v>65</v>
      </c>
      <c r="D1014" s="401">
        <v>16.0</v>
      </c>
      <c r="E1014" s="401">
        <v>19.0</v>
      </c>
      <c r="F1014" s="401">
        <v>19.0</v>
      </c>
      <c r="G1014" s="401">
        <v>11.0</v>
      </c>
      <c r="H1014" s="401" t="s">
        <v>261</v>
      </c>
      <c r="I1014" s="401" t="s">
        <v>51</v>
      </c>
      <c r="J1014" s="108" t="s">
        <v>51</v>
      </c>
      <c r="K1014" s="118">
        <f t="shared" si="249"/>
        <v>0.8125</v>
      </c>
      <c r="L1014" s="125">
        <f t="shared" si="250"/>
        <v>3</v>
      </c>
    </row>
    <row r="1015" hidden="1" outlineLevel="2">
      <c r="A1015" s="241" t="s">
        <v>514</v>
      </c>
      <c r="B1015" s="404">
        <f>20+15+15+8+10</f>
        <v>68</v>
      </c>
      <c r="C1015" s="397">
        <f t="shared" si="248"/>
        <v>68</v>
      </c>
      <c r="D1015" s="398">
        <v>19.0</v>
      </c>
      <c r="E1015" s="398" t="s">
        <v>51</v>
      </c>
      <c r="F1015" s="398" t="s">
        <v>51</v>
      </c>
      <c r="G1015" s="398">
        <v>17.0</v>
      </c>
      <c r="H1015" s="398">
        <v>12.0</v>
      </c>
      <c r="I1015" s="398">
        <v>8.0</v>
      </c>
      <c r="J1015" s="108">
        <v>12.0</v>
      </c>
      <c r="K1015" s="118">
        <f t="shared" si="249"/>
        <v>1</v>
      </c>
      <c r="L1015" s="125">
        <f t="shared" si="250"/>
        <v>5</v>
      </c>
    </row>
    <row r="1016" hidden="1" outlineLevel="2"/>
    <row r="1017" hidden="1" outlineLevel="2">
      <c r="A1017" s="55" t="s">
        <v>87</v>
      </c>
      <c r="I1017" s="55"/>
    </row>
    <row r="1018" hidden="1" outlineLevel="2">
      <c r="A1018" s="57" t="s">
        <v>68</v>
      </c>
      <c r="B1018" s="158" t="s">
        <v>157</v>
      </c>
      <c r="C1018" s="158" t="s">
        <v>158</v>
      </c>
      <c r="D1018" s="158" t="s">
        <v>90</v>
      </c>
      <c r="E1018" s="158" t="s">
        <v>91</v>
      </c>
      <c r="F1018" s="158" t="s">
        <v>93</v>
      </c>
      <c r="G1018" s="161" t="s">
        <v>94</v>
      </c>
      <c r="H1018" s="161" t="s">
        <v>160</v>
      </c>
    </row>
    <row r="1019" hidden="1" outlineLevel="2">
      <c r="A1019" s="414"/>
      <c r="B1019" s="308"/>
      <c r="C1019" s="308"/>
      <c r="D1019" s="308"/>
      <c r="E1019" s="308"/>
      <c r="F1019" s="308"/>
      <c r="G1019" s="308"/>
      <c r="H1019" s="308"/>
    </row>
    <row r="1020" hidden="1" outlineLevel="2">
      <c r="A1020" s="399" t="s">
        <v>92</v>
      </c>
      <c r="B1020" s="462">
        <v>110.0</v>
      </c>
      <c r="C1020" s="462">
        <v>104.0</v>
      </c>
      <c r="D1020" s="408">
        <f t="shared" ref="D1020:D1027" si="251">B1020-C1020</f>
        <v>6</v>
      </c>
      <c r="E1020" s="409">
        <f t="shared" ref="E1020:E1027" si="252">IFERROR(C1020/B1020,"")</f>
        <v>0.9454545455</v>
      </c>
      <c r="F1020" s="463">
        <v>0.002210648148148148</v>
      </c>
      <c r="G1020" s="171">
        <f t="shared" ref="G1020:G1027" si="253">IFERROR((IF(E1020="",(0),IF(E1020&gt;=0.98,(5),IF(E1020&gt;=0.95,(4.5),IF(E1020&gt;=0.9,(4),IF(E1020&gt;=0.8,(3),IF(E1020&lt;=0.69,(1)))))))),"")</f>
        <v>4</v>
      </c>
      <c r="H1020" s="171">
        <f>ROUND(
IF(F1020="",
0,
MAX(1, 5 - MAX(0, (F1020 - TIME(0,4,0)) / TIME(0,1,0) * 0.5))
),
2
)
</f>
        <v>5</v>
      </c>
    </row>
    <row r="1021" hidden="1" outlineLevel="2">
      <c r="A1021" s="396" t="s">
        <v>61</v>
      </c>
      <c r="B1021" s="464">
        <v>109.0</v>
      </c>
      <c r="C1021" s="464">
        <v>109.0</v>
      </c>
      <c r="D1021" s="141">
        <f t="shared" si="251"/>
        <v>0</v>
      </c>
      <c r="E1021" s="406">
        <f t="shared" si="252"/>
        <v>1</v>
      </c>
      <c r="F1021" s="465">
        <v>0.0036689814814814814</v>
      </c>
      <c r="G1021" s="171">
        <f t="shared" si="253"/>
        <v>5</v>
      </c>
      <c r="H1021" s="171">
        <f>ROUND(
IF(F1021="",
0,
MAX(1, 5 - MAX(0, (F1021 - TIME(0,5,0)) / TIME(0,1,0) * 0.5))
),
2
)
</f>
        <v>4.86</v>
      </c>
    </row>
    <row r="1022" hidden="1" outlineLevel="2">
      <c r="A1022" s="399" t="s">
        <v>21</v>
      </c>
      <c r="B1022" s="462">
        <v>116.0</v>
      </c>
      <c r="C1022" s="462">
        <v>113.0</v>
      </c>
      <c r="D1022" s="408">
        <f t="shared" si="251"/>
        <v>3</v>
      </c>
      <c r="E1022" s="409">
        <f t="shared" si="252"/>
        <v>0.974137931</v>
      </c>
      <c r="F1022" s="463">
        <v>0.003576388888888889</v>
      </c>
      <c r="G1022" s="171">
        <f t="shared" si="253"/>
        <v>4.5</v>
      </c>
      <c r="H1022" s="171">
        <f>ROUND(
IF(F1022="",
0,
MAX(1, 5 - MAX(0, (F1022 - TIME(0,4,0)) / TIME(0,1,0) * 0.5))
),
2
)
</f>
        <v>4.43</v>
      </c>
    </row>
    <row r="1023" hidden="1" outlineLevel="2">
      <c r="A1023" s="422" t="s">
        <v>74</v>
      </c>
      <c r="B1023" s="464">
        <v>69.0</v>
      </c>
      <c r="C1023" s="464">
        <v>67.0</v>
      </c>
      <c r="D1023" s="141">
        <f t="shared" si="251"/>
        <v>2</v>
      </c>
      <c r="E1023" s="406">
        <f t="shared" si="252"/>
        <v>0.9710144928</v>
      </c>
      <c r="F1023" s="465">
        <v>0.003472222222222222</v>
      </c>
      <c r="G1023" s="171">
        <f t="shared" si="253"/>
        <v>4.5</v>
      </c>
      <c r="H1023" s="171">
        <f>ROUND(
IF(F1023="",
0,
MAX(1, 5 - MAX(0, (F1023 - TIME(0,5,0)) / TIME(0,1,0) * 0.5))
),
2
)
</f>
        <v>5</v>
      </c>
    </row>
    <row r="1024" hidden="1" outlineLevel="2">
      <c r="A1024" s="423" t="s">
        <v>53</v>
      </c>
      <c r="B1024" s="462">
        <v>107.0</v>
      </c>
      <c r="C1024" s="462">
        <v>106.0</v>
      </c>
      <c r="D1024" s="408">
        <f t="shared" si="251"/>
        <v>1</v>
      </c>
      <c r="E1024" s="409">
        <f t="shared" si="252"/>
        <v>0.9906542056</v>
      </c>
      <c r="F1024" s="463">
        <v>0.0021412037037037038</v>
      </c>
      <c r="G1024" s="171">
        <f t="shared" si="253"/>
        <v>5</v>
      </c>
      <c r="H1024" s="171">
        <f>ROUND(
IF(F1024="",
0,
MAX(1, 5 - MAX(0, (F1024 - TIME(0,4,0)) / TIME(0,1,0) * 0.5))
),
2
)
</f>
        <v>5</v>
      </c>
    </row>
    <row r="1025" hidden="1" outlineLevel="2">
      <c r="A1025" s="241" t="s">
        <v>85</v>
      </c>
      <c r="B1025" s="464">
        <v>144.0</v>
      </c>
      <c r="C1025" s="464">
        <v>143.0</v>
      </c>
      <c r="D1025" s="141">
        <f t="shared" si="251"/>
        <v>1</v>
      </c>
      <c r="E1025" s="406">
        <f t="shared" si="252"/>
        <v>0.9930555556</v>
      </c>
      <c r="F1025" s="465">
        <v>0.0046875</v>
      </c>
      <c r="G1025" s="171">
        <f t="shared" si="253"/>
        <v>5</v>
      </c>
      <c r="H1025" s="171">
        <f t="shared" ref="H1025:H1027" si="254">ROUND(
IF(F1025="",
0,
MAX(1, 5 - MAX(0, (F1025 - TIME(0,5,0)) / TIME(0,1,0) * 0.5))
),
2
)
</f>
        <v>4.13</v>
      </c>
    </row>
    <row r="1026" hidden="1" outlineLevel="2">
      <c r="A1026" s="424" t="s">
        <v>7</v>
      </c>
      <c r="B1026" s="462">
        <v>67.0</v>
      </c>
      <c r="C1026" s="462">
        <v>65.0</v>
      </c>
      <c r="D1026" s="408">
        <f t="shared" si="251"/>
        <v>2</v>
      </c>
      <c r="E1026" s="409">
        <f t="shared" si="252"/>
        <v>0.9701492537</v>
      </c>
      <c r="F1026" s="463">
        <v>0.003599537037037037</v>
      </c>
      <c r="G1026" s="171">
        <f t="shared" si="253"/>
        <v>4.5</v>
      </c>
      <c r="H1026" s="171">
        <f t="shared" si="254"/>
        <v>4.91</v>
      </c>
    </row>
    <row r="1027" hidden="1" outlineLevel="2">
      <c r="A1027" s="241" t="s">
        <v>514</v>
      </c>
      <c r="B1027" s="464">
        <v>69.0</v>
      </c>
      <c r="C1027" s="464">
        <v>68.0</v>
      </c>
      <c r="D1027" s="141">
        <f t="shared" si="251"/>
        <v>1</v>
      </c>
      <c r="E1027" s="406">
        <f t="shared" si="252"/>
        <v>0.9855072464</v>
      </c>
      <c r="F1027" s="465">
        <v>0.0038888888888888888</v>
      </c>
      <c r="G1027" s="171">
        <f t="shared" si="253"/>
        <v>5</v>
      </c>
      <c r="H1027" s="171">
        <f t="shared" si="254"/>
        <v>4.7</v>
      </c>
    </row>
    <row r="1028" hidden="1" outlineLevel="2"/>
    <row r="1029" hidden="1" outlineLevel="2">
      <c r="A1029" s="55" t="s">
        <v>195</v>
      </c>
    </row>
    <row r="1030" hidden="1" outlineLevel="2">
      <c r="A1030" s="192" t="s">
        <v>196</v>
      </c>
      <c r="B1030" s="193" t="s">
        <v>198</v>
      </c>
      <c r="C1030" s="195" t="s">
        <v>199</v>
      </c>
      <c r="D1030" s="195" t="s">
        <v>200</v>
      </c>
      <c r="E1030" s="197" t="s">
        <v>201</v>
      </c>
      <c r="F1030" s="199" t="s">
        <v>202</v>
      </c>
      <c r="G1030" s="201"/>
    </row>
    <row r="1031" hidden="1" outlineLevel="2">
      <c r="A1031" s="220" t="s">
        <v>4</v>
      </c>
      <c r="B1031" s="223">
        <f t="shared" ref="B1031:B1038" si="255">(C1031*0.3)+(D1031*0.1)</f>
        <v>0.4</v>
      </c>
      <c r="C1031" s="432">
        <v>1.0</v>
      </c>
      <c r="D1031" s="210">
        <f>Dan!D614</f>
        <v>1</v>
      </c>
      <c r="E1031" s="226">
        <f t="shared" ref="E1031:E1038" si="256">(L1008+G1020+H1020)/15*0.3</f>
        <v>0.28</v>
      </c>
      <c r="F1031" s="218">
        <f t="shared" ref="F1031:F1038" si="257">(E1031/30%)*10</f>
        <v>9.333333333</v>
      </c>
      <c r="G1031" s="201"/>
      <c r="H1031" s="201"/>
      <c r="I1031" s="201"/>
      <c r="J1031" s="201"/>
    </row>
    <row r="1032" hidden="1" outlineLevel="2">
      <c r="A1032" s="227" t="s">
        <v>57</v>
      </c>
      <c r="B1032" s="229">
        <f t="shared" si="255"/>
        <v>0.4</v>
      </c>
      <c r="C1032" s="432">
        <v>1.0</v>
      </c>
      <c r="D1032" s="210">
        <f>Godwin!D614</f>
        <v>1</v>
      </c>
      <c r="E1032" s="232">
        <f t="shared" si="256"/>
        <v>0.2572</v>
      </c>
      <c r="F1032" s="218">
        <f t="shared" si="257"/>
        <v>8.573333333</v>
      </c>
      <c r="G1032" s="201"/>
      <c r="H1032" s="201"/>
      <c r="I1032" s="201"/>
      <c r="J1032" s="201"/>
    </row>
    <row r="1033" hidden="1" outlineLevel="2">
      <c r="A1033" s="220" t="s">
        <v>21</v>
      </c>
      <c r="B1033" s="223">
        <f t="shared" si="255"/>
        <v>0.25</v>
      </c>
      <c r="C1033" s="432">
        <v>0.5</v>
      </c>
      <c r="D1033" s="210">
        <f>Candy!D486</f>
        <v>1</v>
      </c>
      <c r="E1033" s="226">
        <f t="shared" si="256"/>
        <v>0.2586</v>
      </c>
      <c r="F1033" s="218">
        <f t="shared" si="257"/>
        <v>8.62</v>
      </c>
      <c r="G1033" s="201"/>
      <c r="H1033" s="201"/>
      <c r="I1033" s="201"/>
      <c r="J1033" s="201"/>
    </row>
    <row r="1034" hidden="1" outlineLevel="2">
      <c r="A1034" s="227" t="s">
        <v>32</v>
      </c>
      <c r="B1034" s="229">
        <f t="shared" si="255"/>
        <v>0.4</v>
      </c>
      <c r="C1034" s="432">
        <v>1.0</v>
      </c>
      <c r="D1034" s="210">
        <f>Claudette!D614</f>
        <v>1</v>
      </c>
      <c r="E1034" s="232">
        <f t="shared" si="256"/>
        <v>0.27</v>
      </c>
      <c r="F1034" s="218">
        <f t="shared" si="257"/>
        <v>9</v>
      </c>
      <c r="G1034" s="201"/>
      <c r="H1034" s="201"/>
      <c r="I1034" s="201"/>
      <c r="J1034" s="201"/>
    </row>
    <row r="1035" hidden="1" outlineLevel="2">
      <c r="A1035" s="272" t="s">
        <v>58</v>
      </c>
      <c r="B1035" s="223">
        <f t="shared" si="255"/>
        <v>0.4</v>
      </c>
      <c r="C1035" s="432">
        <v>1.0</v>
      </c>
      <c r="D1035" s="210">
        <f>Sofhia!D614</f>
        <v>1</v>
      </c>
      <c r="E1035" s="226">
        <f t="shared" si="256"/>
        <v>0.3</v>
      </c>
      <c r="F1035" s="218">
        <f t="shared" si="257"/>
        <v>10</v>
      </c>
      <c r="G1035" s="201"/>
      <c r="H1035" s="201"/>
      <c r="I1035" s="201"/>
      <c r="J1035" s="201"/>
    </row>
    <row r="1036" hidden="1" outlineLevel="2">
      <c r="A1036" s="245" t="s">
        <v>85</v>
      </c>
      <c r="B1036" s="229">
        <f t="shared" si="255"/>
        <v>0.3953333333</v>
      </c>
      <c r="C1036" s="432">
        <v>1.0</v>
      </c>
      <c r="D1036" s="210">
        <f>Cherry!D432</f>
        <v>0.9533333333</v>
      </c>
      <c r="E1036" s="232">
        <f t="shared" si="256"/>
        <v>0.2826</v>
      </c>
      <c r="F1036" s="218">
        <f t="shared" si="257"/>
        <v>9.42</v>
      </c>
      <c r="G1036" s="201"/>
      <c r="H1036" s="201"/>
      <c r="I1036" s="201"/>
      <c r="J1036" s="201"/>
    </row>
    <row r="1037" hidden="1" outlineLevel="2">
      <c r="A1037" s="241" t="s">
        <v>7</v>
      </c>
      <c r="B1037" s="223">
        <f t="shared" si="255"/>
        <v>0.4</v>
      </c>
      <c r="C1037" s="432">
        <v>1.0</v>
      </c>
      <c r="D1037" s="210">
        <f>Lyra!D413</f>
        <v>1</v>
      </c>
      <c r="E1037" s="226">
        <f t="shared" si="256"/>
        <v>0.2482</v>
      </c>
      <c r="F1037" s="218">
        <f t="shared" si="257"/>
        <v>8.273333333</v>
      </c>
      <c r="G1037" s="201"/>
      <c r="H1037" s="201"/>
      <c r="I1037" s="201"/>
      <c r="J1037" s="201"/>
    </row>
    <row r="1038" hidden="1" outlineLevel="2">
      <c r="A1038" s="245" t="s">
        <v>514</v>
      </c>
      <c r="B1038" s="229">
        <f t="shared" si="255"/>
        <v>0.4</v>
      </c>
      <c r="C1038" s="432">
        <v>1.0</v>
      </c>
      <c r="D1038" s="210">
        <f>Mikka!D358</f>
        <v>1</v>
      </c>
      <c r="E1038" s="232">
        <f t="shared" si="256"/>
        <v>0.294</v>
      </c>
      <c r="F1038" s="218">
        <f t="shared" si="257"/>
        <v>9.8</v>
      </c>
      <c r="G1038" s="201"/>
      <c r="H1038" s="201"/>
      <c r="I1038" s="201"/>
      <c r="J1038" s="201"/>
    </row>
    <row r="1039" hidden="1" outlineLevel="2">
      <c r="A1039" s="251"/>
      <c r="B1039" s="251"/>
      <c r="C1039" s="252"/>
      <c r="D1039" s="253"/>
      <c r="E1039" s="254"/>
      <c r="F1039" s="201"/>
      <c r="G1039" s="201"/>
      <c r="H1039" s="201"/>
      <c r="I1039" s="201"/>
      <c r="J1039" s="201"/>
    </row>
    <row r="1040" hidden="1" outlineLevel="2">
      <c r="A1040" s="55" t="s">
        <v>222</v>
      </c>
      <c r="B1040" s="251"/>
      <c r="C1040" s="252"/>
      <c r="D1040" s="253"/>
      <c r="E1040" s="254"/>
      <c r="F1040" s="201"/>
      <c r="G1040" s="201"/>
      <c r="H1040" s="201"/>
      <c r="I1040" s="201"/>
      <c r="J1040" s="201"/>
    </row>
    <row r="1041" hidden="1" outlineLevel="2">
      <c r="A1041" s="256" t="s">
        <v>196</v>
      </c>
      <c r="B1041" s="257" t="s">
        <v>223</v>
      </c>
      <c r="C1041" s="62">
        <v>46153.0</v>
      </c>
      <c r="D1041" s="62">
        <v>46154.0</v>
      </c>
      <c r="E1041" s="62">
        <v>46155.0</v>
      </c>
      <c r="F1041" s="62">
        <v>46156.0</v>
      </c>
      <c r="G1041" s="62">
        <v>46157.0</v>
      </c>
      <c r="H1041" s="62">
        <v>46158.0</v>
      </c>
      <c r="I1041" s="62">
        <v>46159.0</v>
      </c>
      <c r="J1041" s="201"/>
    </row>
    <row r="1042" hidden="1" outlineLevel="2">
      <c r="A1042" s="258"/>
      <c r="B1042" s="258"/>
      <c r="C1042" s="82" t="s">
        <v>80</v>
      </c>
      <c r="D1042" s="82" t="s">
        <v>226</v>
      </c>
      <c r="E1042" s="82" t="s">
        <v>227</v>
      </c>
      <c r="F1042" s="82" t="s">
        <v>228</v>
      </c>
      <c r="G1042" s="82" t="s">
        <v>230</v>
      </c>
      <c r="H1042" s="82" t="s">
        <v>231</v>
      </c>
      <c r="I1042" s="82" t="s">
        <v>232</v>
      </c>
    </row>
    <row r="1043" hidden="1" outlineLevel="2">
      <c r="A1043" s="220" t="s">
        <v>4</v>
      </c>
      <c r="B1043" s="264">
        <f t="shared" ref="B1043:B1050" si="258">Sum(C1043:I1043)</f>
        <v>0</v>
      </c>
      <c r="C1043" s="266"/>
      <c r="D1043" s="265"/>
      <c r="E1043" s="265"/>
      <c r="F1043" s="265"/>
      <c r="G1043" s="266"/>
      <c r="H1043" s="266"/>
      <c r="I1043" s="266"/>
    </row>
    <row r="1044" hidden="1" outlineLevel="2">
      <c r="A1044" s="227" t="s">
        <v>57</v>
      </c>
      <c r="B1044" s="264">
        <f t="shared" si="258"/>
        <v>0</v>
      </c>
      <c r="C1044" s="267"/>
      <c r="D1044" s="267"/>
      <c r="E1044" s="267"/>
      <c r="F1044" s="267"/>
      <c r="G1044" s="267"/>
      <c r="H1044" s="268"/>
      <c r="I1044" s="267"/>
    </row>
    <row r="1045" hidden="1" outlineLevel="2">
      <c r="A1045" s="220" t="s">
        <v>21</v>
      </c>
      <c r="B1045" s="264">
        <f t="shared" si="258"/>
        <v>0</v>
      </c>
      <c r="C1045" s="266"/>
      <c r="D1045" s="265"/>
      <c r="E1045" s="266"/>
      <c r="F1045" s="266"/>
      <c r="G1045" s="266"/>
      <c r="H1045" s="266"/>
      <c r="I1045" s="265"/>
    </row>
    <row r="1046" hidden="1" outlineLevel="2">
      <c r="A1046" s="227" t="s">
        <v>32</v>
      </c>
      <c r="B1046" s="264">
        <f t="shared" si="258"/>
        <v>0</v>
      </c>
      <c r="C1046" s="267"/>
      <c r="D1046" s="267"/>
      <c r="E1046" s="267"/>
      <c r="F1046" s="267"/>
      <c r="G1046" s="267"/>
      <c r="H1046" s="267"/>
      <c r="I1046" s="268"/>
    </row>
    <row r="1047" hidden="1" outlineLevel="2">
      <c r="A1047" s="272" t="s">
        <v>58</v>
      </c>
      <c r="B1047" s="264">
        <f t="shared" si="258"/>
        <v>0</v>
      </c>
      <c r="C1047" s="266"/>
      <c r="D1047" s="266"/>
      <c r="E1047" s="266"/>
      <c r="F1047" s="266"/>
      <c r="G1047" s="266"/>
      <c r="H1047" s="266"/>
      <c r="I1047" s="265"/>
    </row>
    <row r="1048" ht="16.5" hidden="1" customHeight="1" outlineLevel="2">
      <c r="A1048" s="245" t="s">
        <v>85</v>
      </c>
      <c r="B1048" s="264">
        <f t="shared" si="258"/>
        <v>0</v>
      </c>
      <c r="C1048" s="267"/>
      <c r="D1048" s="267"/>
      <c r="E1048" s="267"/>
      <c r="F1048" s="267"/>
      <c r="G1048" s="267"/>
      <c r="H1048" s="267"/>
      <c r="I1048" s="267"/>
    </row>
    <row r="1049" hidden="1" outlineLevel="2">
      <c r="A1049" s="241" t="s">
        <v>7</v>
      </c>
      <c r="B1049" s="264">
        <f t="shared" si="258"/>
        <v>0</v>
      </c>
      <c r="C1049" s="265"/>
      <c r="D1049" s="265"/>
      <c r="E1049" s="266"/>
      <c r="F1049" s="266"/>
      <c r="G1049" s="266"/>
      <c r="H1049" s="266"/>
      <c r="I1049" s="265"/>
    </row>
    <row r="1050" hidden="1" outlineLevel="2">
      <c r="A1050" s="245" t="s">
        <v>72</v>
      </c>
      <c r="B1050" s="264">
        <f t="shared" si="258"/>
        <v>0</v>
      </c>
      <c r="C1050" s="268"/>
      <c r="D1050" s="268"/>
      <c r="E1050" s="267"/>
      <c r="F1050" s="268"/>
      <c r="G1050" s="267"/>
      <c r="H1050" s="267"/>
      <c r="I1050" s="268"/>
    </row>
    <row r="1051" hidden="1" outlineLevel="1" collapsed="1">
      <c r="A1051" s="52" t="s">
        <v>1873</v>
      </c>
    </row>
    <row r="1052" hidden="1" outlineLevel="2">
      <c r="A1052" s="55" t="s">
        <v>67</v>
      </c>
    </row>
    <row r="1053" hidden="1" outlineLevel="2">
      <c r="A1053" s="57" t="s">
        <v>68</v>
      </c>
      <c r="B1053" s="59" t="s">
        <v>11</v>
      </c>
      <c r="C1053" s="59" t="s">
        <v>71</v>
      </c>
      <c r="D1053" s="62">
        <v>46209.0</v>
      </c>
      <c r="E1053" s="62">
        <v>46210.0</v>
      </c>
      <c r="F1053" s="62">
        <v>46211.0</v>
      </c>
      <c r="G1053" s="62">
        <v>46212.0</v>
      </c>
      <c r="H1053" s="62">
        <v>46213.0</v>
      </c>
      <c r="I1053" s="62">
        <v>46214.0</v>
      </c>
      <c r="J1053" s="62">
        <v>46215.0</v>
      </c>
      <c r="K1053" s="76" t="s">
        <v>77</v>
      </c>
      <c r="L1053" s="78" t="s">
        <v>78</v>
      </c>
    </row>
    <row r="1054" hidden="1" outlineLevel="2">
      <c r="A1054" s="395"/>
      <c r="B1054" s="258"/>
      <c r="C1054" s="258"/>
      <c r="D1054" s="82" t="s">
        <v>80</v>
      </c>
      <c r="E1054" s="82" t="str">
        <f t="shared" ref="E1054:J1054" si="259">text(E1053,"ddd")</f>
        <v>Tue</v>
      </c>
      <c r="F1054" s="82" t="str">
        <f t="shared" si="259"/>
        <v>Wed</v>
      </c>
      <c r="G1054" s="82" t="str">
        <f t="shared" si="259"/>
        <v>Thu</v>
      </c>
      <c r="H1054" s="82" t="str">
        <f t="shared" si="259"/>
        <v>Fri</v>
      </c>
      <c r="I1054" s="82" t="str">
        <f t="shared" si="259"/>
        <v>Sat</v>
      </c>
      <c r="J1054" s="82" t="str">
        <f t="shared" si="259"/>
        <v>Sun</v>
      </c>
      <c r="K1054" s="92"/>
      <c r="L1054" s="81"/>
    </row>
    <row r="1055" hidden="1" outlineLevel="2">
      <c r="A1055" s="396" t="s">
        <v>92</v>
      </c>
      <c r="B1055" s="397">
        <f>16*5</f>
        <v>80</v>
      </c>
      <c r="C1055" s="397">
        <f t="shared" ref="C1055:C1062" si="260">SUM(D1055:J1055)</f>
        <v>91</v>
      </c>
      <c r="D1055" s="398">
        <v>19.0</v>
      </c>
      <c r="E1055" s="398">
        <v>20.0</v>
      </c>
      <c r="F1055" s="398">
        <v>19.0</v>
      </c>
      <c r="G1055" s="398">
        <v>15.0</v>
      </c>
      <c r="H1055" s="398">
        <v>18.0</v>
      </c>
      <c r="I1055" s="398" t="s">
        <v>51</v>
      </c>
      <c r="J1055" s="108" t="s">
        <v>51</v>
      </c>
      <c r="K1055" s="118">
        <f t="shared" ref="K1055:K1062" si="261">iferror(C1055/B1055,"-")</f>
        <v>1.1375</v>
      </c>
      <c r="L1055" s="125">
        <f t="shared" ref="L1055:L1062" si="262">(IF(K1055="",(0),IF(K1055&gt;=1,(5),IF(K1055&gt;=0.9,(4),IF(K1055&gt;=0.8,(3),IF(K1055&gt;=0.69,(2),IF(K1055&lt;=0.69,(1))))))))</f>
        <v>5</v>
      </c>
    </row>
    <row r="1056" hidden="1" outlineLevel="2">
      <c r="A1056" s="399" t="s">
        <v>61</v>
      </c>
      <c r="B1056" s="400">
        <f>20*5</f>
        <v>100</v>
      </c>
      <c r="C1056" s="400">
        <f t="shared" si="260"/>
        <v>96</v>
      </c>
      <c r="D1056" s="401">
        <v>22.0</v>
      </c>
      <c r="E1056" s="401">
        <v>16.0</v>
      </c>
      <c r="F1056" s="401">
        <v>18.0</v>
      </c>
      <c r="G1056" s="401">
        <v>18.0</v>
      </c>
      <c r="H1056" s="401">
        <v>22.0</v>
      </c>
      <c r="I1056" s="401" t="s">
        <v>51</v>
      </c>
      <c r="J1056" s="108" t="s">
        <v>51</v>
      </c>
      <c r="K1056" s="118">
        <f t="shared" si="261"/>
        <v>0.96</v>
      </c>
      <c r="L1056" s="125">
        <f t="shared" si="262"/>
        <v>4</v>
      </c>
    </row>
    <row r="1057" hidden="1" outlineLevel="2">
      <c r="A1057" s="396" t="s">
        <v>21</v>
      </c>
      <c r="B1057" s="397">
        <f>25+25+25+25+15</f>
        <v>115</v>
      </c>
      <c r="C1057" s="397">
        <f t="shared" si="260"/>
        <v>136</v>
      </c>
      <c r="D1057" s="398">
        <v>29.0</v>
      </c>
      <c r="E1057" s="398" t="s">
        <v>51</v>
      </c>
      <c r="F1057" s="398">
        <v>21.0</v>
      </c>
      <c r="G1057" s="398">
        <v>26.0</v>
      </c>
      <c r="H1057" s="398">
        <v>31.0</v>
      </c>
      <c r="I1057" s="398">
        <v>29.0</v>
      </c>
      <c r="J1057" s="108" t="s">
        <v>51</v>
      </c>
      <c r="K1057" s="118">
        <f t="shared" si="261"/>
        <v>1.182608696</v>
      </c>
      <c r="L1057" s="125">
        <f t="shared" si="262"/>
        <v>5</v>
      </c>
    </row>
    <row r="1058" hidden="1" outlineLevel="2">
      <c r="A1058" s="399" t="s">
        <v>74</v>
      </c>
      <c r="B1058" s="400">
        <f>16*5</f>
        <v>80</v>
      </c>
      <c r="C1058" s="400">
        <f t="shared" si="260"/>
        <v>79</v>
      </c>
      <c r="D1058" s="401">
        <v>17.0</v>
      </c>
      <c r="E1058" s="401">
        <v>15.0</v>
      </c>
      <c r="F1058" s="401">
        <v>17.0</v>
      </c>
      <c r="G1058" s="401" t="s">
        <v>51</v>
      </c>
      <c r="H1058" s="401" t="s">
        <v>51</v>
      </c>
      <c r="I1058" s="401">
        <v>15.0</v>
      </c>
      <c r="J1058" s="108">
        <v>15.0</v>
      </c>
      <c r="K1058" s="118">
        <f t="shared" si="261"/>
        <v>0.9875</v>
      </c>
      <c r="L1058" s="125">
        <f t="shared" si="262"/>
        <v>4</v>
      </c>
    </row>
    <row r="1059" hidden="1" outlineLevel="2">
      <c r="A1059" s="272" t="s">
        <v>53</v>
      </c>
      <c r="B1059" s="404">
        <f>15*5</f>
        <v>75</v>
      </c>
      <c r="C1059" s="397">
        <f t="shared" si="260"/>
        <v>88</v>
      </c>
      <c r="D1059" s="398">
        <v>21.0</v>
      </c>
      <c r="E1059" s="398">
        <v>18.0</v>
      </c>
      <c r="F1059" s="398">
        <v>18.0</v>
      </c>
      <c r="G1059" s="398" t="s">
        <v>51</v>
      </c>
      <c r="H1059" s="398" t="s">
        <v>51</v>
      </c>
      <c r="I1059" s="398">
        <v>9.0</v>
      </c>
      <c r="J1059" s="108">
        <v>22.0</v>
      </c>
      <c r="K1059" s="118">
        <f t="shared" si="261"/>
        <v>1.173333333</v>
      </c>
      <c r="L1059" s="125">
        <f t="shared" si="262"/>
        <v>5</v>
      </c>
    </row>
    <row r="1060" hidden="1" outlineLevel="2">
      <c r="A1060" s="245" t="s">
        <v>85</v>
      </c>
      <c r="B1060" s="400">
        <f>30*4+15</f>
        <v>135</v>
      </c>
      <c r="C1060" s="400">
        <f t="shared" si="260"/>
        <v>143</v>
      </c>
      <c r="D1060" s="401">
        <v>28.0</v>
      </c>
      <c r="E1060" s="401">
        <v>25.0</v>
      </c>
      <c r="F1060" s="401">
        <v>35.0</v>
      </c>
      <c r="G1060" s="401">
        <v>33.0</v>
      </c>
      <c r="H1060" s="401" t="s">
        <v>51</v>
      </c>
      <c r="I1060" s="401" t="s">
        <v>51</v>
      </c>
      <c r="J1060" s="108">
        <v>22.0</v>
      </c>
      <c r="K1060" s="118">
        <f t="shared" si="261"/>
        <v>1.059259259</v>
      </c>
      <c r="L1060" s="125">
        <f t="shared" si="262"/>
        <v>5</v>
      </c>
    </row>
    <row r="1061" hidden="1" outlineLevel="2">
      <c r="A1061" s="241" t="s">
        <v>7</v>
      </c>
      <c r="B1061" s="404">
        <f>15+20+20+10+15</f>
        <v>80</v>
      </c>
      <c r="C1061" s="397">
        <f t="shared" si="260"/>
        <v>87</v>
      </c>
      <c r="D1061" s="398">
        <v>18.0</v>
      </c>
      <c r="E1061" s="398">
        <v>20.0</v>
      </c>
      <c r="F1061" s="398">
        <v>17.0</v>
      </c>
      <c r="G1061" s="398">
        <v>12.0</v>
      </c>
      <c r="H1061" s="398">
        <v>20.0</v>
      </c>
      <c r="I1061" s="398" t="s">
        <v>51</v>
      </c>
      <c r="J1061" s="108" t="s">
        <v>51</v>
      </c>
      <c r="K1061" s="118">
        <f t="shared" si="261"/>
        <v>1.0875</v>
      </c>
      <c r="L1061" s="125">
        <f t="shared" si="262"/>
        <v>5</v>
      </c>
    </row>
    <row r="1062" hidden="1" outlineLevel="2">
      <c r="A1062" s="245" t="s">
        <v>514</v>
      </c>
      <c r="B1062" s="405">
        <f>15*5</f>
        <v>75</v>
      </c>
      <c r="C1062" s="400">
        <f t="shared" si="260"/>
        <v>82</v>
      </c>
      <c r="D1062" s="401">
        <v>19.0</v>
      </c>
      <c r="E1062" s="401" t="s">
        <v>51</v>
      </c>
      <c r="F1062" s="401" t="s">
        <v>51</v>
      </c>
      <c r="G1062" s="401">
        <v>16.0</v>
      </c>
      <c r="H1062" s="401">
        <v>15.0</v>
      </c>
      <c r="I1062" s="401">
        <v>21.0</v>
      </c>
      <c r="J1062" s="108">
        <v>11.0</v>
      </c>
      <c r="K1062" s="118">
        <f t="shared" si="261"/>
        <v>1.093333333</v>
      </c>
      <c r="L1062" s="125">
        <f t="shared" si="262"/>
        <v>5</v>
      </c>
    </row>
    <row r="1063" hidden="1" outlineLevel="2"/>
    <row r="1064" hidden="1" outlineLevel="2">
      <c r="A1064" s="55" t="s">
        <v>87</v>
      </c>
      <c r="I1064" s="55"/>
    </row>
    <row r="1065" hidden="1" outlineLevel="2">
      <c r="A1065" s="57" t="s">
        <v>68</v>
      </c>
      <c r="B1065" s="158" t="s">
        <v>157</v>
      </c>
      <c r="C1065" s="158" t="s">
        <v>158</v>
      </c>
      <c r="D1065" s="158" t="s">
        <v>90</v>
      </c>
      <c r="E1065" s="158" t="s">
        <v>91</v>
      </c>
      <c r="F1065" s="158" t="s">
        <v>93</v>
      </c>
      <c r="G1065" s="161" t="s">
        <v>94</v>
      </c>
      <c r="H1065" s="161" t="s">
        <v>160</v>
      </c>
    </row>
    <row r="1066" hidden="1" outlineLevel="2">
      <c r="A1066" s="395"/>
      <c r="B1066" s="258"/>
      <c r="C1066" s="258"/>
      <c r="D1066" s="258"/>
      <c r="E1066" s="258"/>
      <c r="F1066" s="258"/>
      <c r="G1066" s="258"/>
      <c r="H1066" s="258"/>
    </row>
    <row r="1067" hidden="1" outlineLevel="2">
      <c r="A1067" s="396" t="s">
        <v>92</v>
      </c>
      <c r="B1067" s="398">
        <v>91.0</v>
      </c>
      <c r="C1067" s="398">
        <v>91.0</v>
      </c>
      <c r="D1067" s="141">
        <f t="shared" ref="D1067:D1074" si="263">B1067-C1067</f>
        <v>0</v>
      </c>
      <c r="E1067" s="406">
        <f t="shared" ref="E1067:E1074" si="264">IFERROR(C1067/B1067,"")</f>
        <v>1</v>
      </c>
      <c r="F1067" s="407">
        <v>0.0022569444444444442</v>
      </c>
      <c r="G1067" s="171">
        <f t="shared" ref="G1067:G1074" si="265">IFERROR((IF(E1067="",(0),IF(E1067&gt;=0.98,(5),IF(E1067&gt;=0.95,(4.5),IF(E1067&gt;=0.9,(4),IF(E1067&gt;=0.8,(3),IF(E1067&lt;=0.69,(1)))))))),"")</f>
        <v>5</v>
      </c>
      <c r="H1067" s="171">
        <f>ROUND(
IF(F1067="",
0,
MAX(1, 5 - MAX(0, (F1067 - TIME(0,4,0)) / TIME(0,1,0) * 0.5))
),
2
)
</f>
        <v>5</v>
      </c>
    </row>
    <row r="1068" hidden="1" outlineLevel="2">
      <c r="A1068" s="399" t="s">
        <v>61</v>
      </c>
      <c r="B1068" s="401">
        <v>100.0</v>
      </c>
      <c r="C1068" s="401">
        <v>96.0</v>
      </c>
      <c r="D1068" s="408">
        <f t="shared" si="263"/>
        <v>4</v>
      </c>
      <c r="E1068" s="409">
        <f t="shared" si="264"/>
        <v>0.96</v>
      </c>
      <c r="F1068" s="410">
        <v>0.004108796296296296</v>
      </c>
      <c r="G1068" s="171">
        <f t="shared" si="265"/>
        <v>4.5</v>
      </c>
      <c r="H1068" s="171">
        <f>ROUND(
IF(F1068="",
0,
MAX(1, 5 - MAX(0, (F1068 - TIME(0,5,0)) / TIME(0,1,0) * 0.5))
),
2
)
</f>
        <v>4.54</v>
      </c>
    </row>
    <row r="1069" hidden="1" outlineLevel="2">
      <c r="A1069" s="396" t="s">
        <v>21</v>
      </c>
      <c r="B1069" s="398">
        <v>142.0</v>
      </c>
      <c r="C1069" s="398">
        <v>136.0</v>
      </c>
      <c r="D1069" s="141">
        <f t="shared" si="263"/>
        <v>6</v>
      </c>
      <c r="E1069" s="406">
        <f t="shared" si="264"/>
        <v>0.9577464789</v>
      </c>
      <c r="F1069" s="407">
        <v>0.0038078703703703703</v>
      </c>
      <c r="G1069" s="171">
        <f t="shared" si="265"/>
        <v>4.5</v>
      </c>
      <c r="H1069" s="171">
        <f>ROUND(
IF(F1069="",
0,
MAX(1, 5 - MAX(0, (F1069 - TIME(0,4,0)) / TIME(0,1,0) * 0.5))
),
2
)
</f>
        <v>4.26</v>
      </c>
    </row>
    <row r="1070" hidden="1" outlineLevel="2">
      <c r="A1070" s="429" t="s">
        <v>74</v>
      </c>
      <c r="B1070" s="401">
        <v>80.0</v>
      </c>
      <c r="C1070" s="401">
        <v>79.0</v>
      </c>
      <c r="D1070" s="408">
        <f t="shared" si="263"/>
        <v>1</v>
      </c>
      <c r="E1070" s="409">
        <f t="shared" si="264"/>
        <v>0.9875</v>
      </c>
      <c r="F1070" s="410">
        <v>0.003310185185185185</v>
      </c>
      <c r="G1070" s="171">
        <f t="shared" si="265"/>
        <v>5</v>
      </c>
      <c r="H1070" s="171">
        <f>ROUND(
IF(F1070="",
0,
MAX(1, 5 - MAX(0, (F1070 - TIME(0,5,0)) / TIME(0,1,0) * 0.5))
),
2
)
</f>
        <v>5</v>
      </c>
    </row>
    <row r="1071" hidden="1" outlineLevel="2">
      <c r="A1071" s="430" t="s">
        <v>53</v>
      </c>
      <c r="B1071" s="398">
        <v>91.0</v>
      </c>
      <c r="C1071" s="398">
        <v>88.0</v>
      </c>
      <c r="D1071" s="141">
        <f t="shared" si="263"/>
        <v>3</v>
      </c>
      <c r="E1071" s="406">
        <f t="shared" si="264"/>
        <v>0.967032967</v>
      </c>
      <c r="F1071" s="407">
        <v>0.0020486111111111113</v>
      </c>
      <c r="G1071" s="171">
        <f t="shared" si="265"/>
        <v>4.5</v>
      </c>
      <c r="H1071" s="171">
        <f>ROUND(
IF(F1071="",
0,
MAX(1, 5 - MAX(0, (F1071 - TIME(0,4,0)) / TIME(0,1,0) * 0.5))
),
2
)
</f>
        <v>5</v>
      </c>
    </row>
    <row r="1072" hidden="1" outlineLevel="2">
      <c r="A1072" s="245" t="s">
        <v>85</v>
      </c>
      <c r="B1072" s="401">
        <v>146.0</v>
      </c>
      <c r="C1072" s="401">
        <v>143.0</v>
      </c>
      <c r="D1072" s="408">
        <f t="shared" si="263"/>
        <v>3</v>
      </c>
      <c r="E1072" s="409">
        <f t="shared" si="264"/>
        <v>0.9794520548</v>
      </c>
      <c r="F1072" s="410">
        <v>0.004571759259259259</v>
      </c>
      <c r="G1072" s="171">
        <f t="shared" si="265"/>
        <v>4.5</v>
      </c>
      <c r="H1072" s="171">
        <f t="shared" ref="H1072:H1074" si="266">ROUND(
IF(F1072="",
0,
MAX(1, 5 - MAX(0, (F1072 - TIME(0,5,0)) / TIME(0,1,0) * 0.5))
),
2
)
</f>
        <v>4.21</v>
      </c>
    </row>
    <row r="1073" hidden="1" outlineLevel="2">
      <c r="A1073" s="431" t="s">
        <v>7</v>
      </c>
      <c r="B1073" s="398">
        <v>92.0</v>
      </c>
      <c r="C1073" s="398">
        <v>87.0</v>
      </c>
      <c r="D1073" s="141">
        <f t="shared" si="263"/>
        <v>5</v>
      </c>
      <c r="E1073" s="406">
        <f t="shared" si="264"/>
        <v>0.9456521739</v>
      </c>
      <c r="F1073" s="407">
        <v>0.0038773148148148148</v>
      </c>
      <c r="G1073" s="171">
        <f t="shared" si="265"/>
        <v>4</v>
      </c>
      <c r="H1073" s="171">
        <f t="shared" si="266"/>
        <v>4.71</v>
      </c>
    </row>
    <row r="1074" hidden="1" outlineLevel="2">
      <c r="A1074" s="245" t="s">
        <v>514</v>
      </c>
      <c r="B1074" s="401">
        <v>82.0</v>
      </c>
      <c r="C1074" s="401">
        <v>82.0</v>
      </c>
      <c r="D1074" s="408">
        <f t="shared" si="263"/>
        <v>0</v>
      </c>
      <c r="E1074" s="409">
        <f t="shared" si="264"/>
        <v>1</v>
      </c>
      <c r="F1074" s="410">
        <v>0.004525462962962963</v>
      </c>
      <c r="G1074" s="171">
        <f t="shared" si="265"/>
        <v>5</v>
      </c>
      <c r="H1074" s="171">
        <f t="shared" si="266"/>
        <v>4.24</v>
      </c>
    </row>
    <row r="1075" hidden="1" outlineLevel="2"/>
    <row r="1076" hidden="1" outlineLevel="2">
      <c r="A1076" s="55" t="s">
        <v>195</v>
      </c>
    </row>
    <row r="1077" hidden="1" outlineLevel="2">
      <c r="A1077" s="192" t="s">
        <v>196</v>
      </c>
      <c r="B1077" s="193" t="s">
        <v>198</v>
      </c>
      <c r="C1077" s="195" t="s">
        <v>199</v>
      </c>
      <c r="D1077" s="195" t="s">
        <v>200</v>
      </c>
      <c r="E1077" s="197" t="s">
        <v>201</v>
      </c>
      <c r="F1077" s="199" t="s">
        <v>202</v>
      </c>
      <c r="G1077" s="201"/>
    </row>
    <row r="1078" hidden="1" outlineLevel="2">
      <c r="A1078" s="227" t="s">
        <v>4</v>
      </c>
      <c r="B1078" s="229">
        <f t="shared" ref="B1078:B1085" si="267">(C1078*0.3)+(D1078*0.1)</f>
        <v>0.4</v>
      </c>
      <c r="C1078" s="432">
        <v>1.0</v>
      </c>
      <c r="D1078" s="210">
        <f>Dan!D631</f>
        <v>1</v>
      </c>
      <c r="E1078" s="232">
        <f t="shared" ref="E1078:E1085" si="268">(L1055+G1067+H1067)/15*0.3</f>
        <v>0.3</v>
      </c>
      <c r="F1078" s="218">
        <f t="shared" ref="F1078:F1085" si="269">(E1078/30%)*10</f>
        <v>10</v>
      </c>
      <c r="G1078" s="201"/>
      <c r="H1078" s="201"/>
      <c r="I1078" s="201"/>
      <c r="J1078" s="201"/>
    </row>
    <row r="1079" hidden="1" outlineLevel="2">
      <c r="A1079" s="220" t="s">
        <v>57</v>
      </c>
      <c r="B1079" s="223">
        <f t="shared" si="267"/>
        <v>0.4</v>
      </c>
      <c r="C1079" s="432">
        <v>1.0</v>
      </c>
      <c r="D1079" s="210">
        <f>Godwin!D631</f>
        <v>1</v>
      </c>
      <c r="E1079" s="226">
        <f t="shared" si="268"/>
        <v>0.2608</v>
      </c>
      <c r="F1079" s="218">
        <f t="shared" si="269"/>
        <v>8.693333333</v>
      </c>
      <c r="G1079" s="201"/>
      <c r="H1079" s="201"/>
      <c r="I1079" s="201"/>
      <c r="J1079" s="201"/>
    </row>
    <row r="1080" hidden="1" outlineLevel="2">
      <c r="A1080" s="227" t="s">
        <v>21</v>
      </c>
      <c r="B1080" s="229">
        <f t="shared" si="267"/>
        <v>0.4</v>
      </c>
      <c r="C1080" s="432">
        <v>1.0</v>
      </c>
      <c r="D1080" s="210">
        <f>Candy!D503</f>
        <v>1</v>
      </c>
      <c r="E1080" s="232">
        <f t="shared" si="268"/>
        <v>0.2752</v>
      </c>
      <c r="F1080" s="218">
        <f t="shared" si="269"/>
        <v>9.173333333</v>
      </c>
      <c r="G1080" s="201"/>
      <c r="H1080" s="201"/>
      <c r="I1080" s="201"/>
      <c r="J1080" s="201"/>
    </row>
    <row r="1081" hidden="1" outlineLevel="2">
      <c r="A1081" s="220" t="s">
        <v>32</v>
      </c>
      <c r="B1081" s="223">
        <f t="shared" si="267"/>
        <v>0.4</v>
      </c>
      <c r="C1081" s="432">
        <v>1.0</v>
      </c>
      <c r="D1081" s="210">
        <f>Claudette!D631</f>
        <v>1</v>
      </c>
      <c r="E1081" s="226">
        <f t="shared" si="268"/>
        <v>0.28</v>
      </c>
      <c r="F1081" s="218">
        <f t="shared" si="269"/>
        <v>9.333333333</v>
      </c>
      <c r="G1081" s="201"/>
      <c r="H1081" s="201"/>
      <c r="I1081" s="201"/>
      <c r="J1081" s="201"/>
    </row>
    <row r="1082" hidden="1" outlineLevel="2">
      <c r="A1082" s="236" t="s">
        <v>58</v>
      </c>
      <c r="B1082" s="229">
        <f t="shared" si="267"/>
        <v>0.4</v>
      </c>
      <c r="C1082" s="432">
        <v>1.0</v>
      </c>
      <c r="D1082" s="210">
        <f>Sofhia!D631</f>
        <v>1</v>
      </c>
      <c r="E1082" s="232">
        <f t="shared" si="268"/>
        <v>0.29</v>
      </c>
      <c r="F1082" s="218">
        <f t="shared" si="269"/>
        <v>9.666666667</v>
      </c>
      <c r="G1082" s="201"/>
      <c r="H1082" s="201"/>
      <c r="I1082" s="201"/>
      <c r="J1082" s="201"/>
    </row>
    <row r="1083" hidden="1" outlineLevel="2">
      <c r="A1083" s="241" t="s">
        <v>85</v>
      </c>
      <c r="B1083" s="223">
        <f t="shared" si="267"/>
        <v>0.4</v>
      </c>
      <c r="C1083" s="432">
        <v>1.0</v>
      </c>
      <c r="D1083" s="210">
        <f>Cherry!D449</f>
        <v>1</v>
      </c>
      <c r="E1083" s="226">
        <f t="shared" si="268"/>
        <v>0.2742</v>
      </c>
      <c r="F1083" s="218">
        <f t="shared" si="269"/>
        <v>9.14</v>
      </c>
      <c r="G1083" s="201"/>
      <c r="H1083" s="201"/>
      <c r="I1083" s="201"/>
      <c r="J1083" s="201"/>
    </row>
    <row r="1084" hidden="1" outlineLevel="2">
      <c r="A1084" s="245" t="s">
        <v>7</v>
      </c>
      <c r="B1084" s="229">
        <f t="shared" si="267"/>
        <v>0.4</v>
      </c>
      <c r="C1084" s="432">
        <v>1.0</v>
      </c>
      <c r="D1084" s="210">
        <f>Lyra!D431</f>
        <v>1</v>
      </c>
      <c r="E1084" s="232">
        <f t="shared" si="268"/>
        <v>0.2742</v>
      </c>
      <c r="F1084" s="218">
        <f t="shared" si="269"/>
        <v>9.14</v>
      </c>
      <c r="G1084" s="201"/>
      <c r="H1084" s="201"/>
      <c r="I1084" s="201"/>
      <c r="J1084" s="201"/>
    </row>
    <row r="1085" hidden="1" outlineLevel="2">
      <c r="A1085" s="241" t="s">
        <v>514</v>
      </c>
      <c r="B1085" s="223">
        <f t="shared" si="267"/>
        <v>0.4</v>
      </c>
      <c r="C1085" s="432">
        <v>1.0</v>
      </c>
      <c r="D1085" s="210">
        <f>Mikka!D376</f>
        <v>1</v>
      </c>
      <c r="E1085" s="226">
        <f t="shared" si="268"/>
        <v>0.2848</v>
      </c>
      <c r="F1085" s="218">
        <f t="shared" si="269"/>
        <v>9.493333333</v>
      </c>
      <c r="G1085" s="201"/>
      <c r="H1085" s="201"/>
      <c r="I1085" s="201"/>
      <c r="J1085" s="201"/>
    </row>
    <row r="1086" hidden="1" outlineLevel="2">
      <c r="A1086" s="251"/>
      <c r="B1086" s="251"/>
      <c r="C1086" s="252"/>
      <c r="D1086" s="253"/>
      <c r="E1086" s="254"/>
      <c r="F1086" s="201"/>
      <c r="G1086" s="201"/>
      <c r="H1086" s="201"/>
      <c r="I1086" s="201"/>
      <c r="J1086" s="201"/>
    </row>
    <row r="1087" hidden="1" outlineLevel="2">
      <c r="A1087" s="55" t="s">
        <v>222</v>
      </c>
      <c r="B1087" s="251"/>
      <c r="C1087" s="252"/>
      <c r="D1087" s="253"/>
      <c r="E1087" s="254"/>
      <c r="F1087" s="201"/>
      <c r="G1087" s="201"/>
      <c r="H1087" s="201"/>
      <c r="I1087" s="201"/>
      <c r="J1087" s="201"/>
    </row>
    <row r="1088" hidden="1" outlineLevel="2">
      <c r="A1088" s="256" t="s">
        <v>196</v>
      </c>
      <c r="B1088" s="257" t="s">
        <v>223</v>
      </c>
      <c r="C1088" s="62">
        <v>46153.0</v>
      </c>
      <c r="D1088" s="62">
        <v>46154.0</v>
      </c>
      <c r="E1088" s="62">
        <v>46155.0</v>
      </c>
      <c r="F1088" s="62">
        <v>46156.0</v>
      </c>
      <c r="G1088" s="62">
        <v>46157.0</v>
      </c>
      <c r="H1088" s="62">
        <v>46158.0</v>
      </c>
      <c r="I1088" s="62">
        <v>46159.0</v>
      </c>
      <c r="J1088" s="201"/>
    </row>
    <row r="1089" hidden="1" outlineLevel="2">
      <c r="A1089" s="308"/>
      <c r="B1089" s="308"/>
      <c r="C1089" s="82" t="s">
        <v>80</v>
      </c>
      <c r="D1089" s="82" t="s">
        <v>226</v>
      </c>
      <c r="E1089" s="82" t="s">
        <v>227</v>
      </c>
      <c r="F1089" s="82" t="s">
        <v>228</v>
      </c>
      <c r="G1089" s="82" t="s">
        <v>230</v>
      </c>
      <c r="H1089" s="82" t="s">
        <v>231</v>
      </c>
      <c r="I1089" s="82" t="s">
        <v>232</v>
      </c>
    </row>
    <row r="1090" hidden="1" outlineLevel="2">
      <c r="A1090" s="227" t="s">
        <v>4</v>
      </c>
      <c r="B1090" s="264">
        <f t="shared" ref="B1090:B1097" si="270">Sum(C1090:I1090)</f>
        <v>0</v>
      </c>
      <c r="C1090" s="267"/>
      <c r="D1090" s="268"/>
      <c r="E1090" s="268"/>
      <c r="F1090" s="268"/>
      <c r="G1090" s="267"/>
      <c r="H1090" s="267"/>
      <c r="I1090" s="267"/>
    </row>
    <row r="1091" hidden="1" outlineLevel="2">
      <c r="A1091" s="220" t="s">
        <v>57</v>
      </c>
      <c r="B1091" s="264">
        <f t="shared" si="270"/>
        <v>0</v>
      </c>
      <c r="C1091" s="266"/>
      <c r="D1091" s="266"/>
      <c r="E1091" s="266"/>
      <c r="F1091" s="266"/>
      <c r="G1091" s="266"/>
      <c r="H1091" s="265"/>
      <c r="I1091" s="266"/>
    </row>
    <row r="1092" hidden="1" outlineLevel="2">
      <c r="A1092" s="227" t="s">
        <v>21</v>
      </c>
      <c r="B1092" s="264">
        <f t="shared" si="270"/>
        <v>0</v>
      </c>
      <c r="C1092" s="267"/>
      <c r="D1092" s="268"/>
      <c r="E1092" s="267"/>
      <c r="F1092" s="267"/>
      <c r="G1092" s="267"/>
      <c r="H1092" s="267"/>
      <c r="I1092" s="268"/>
    </row>
    <row r="1093" hidden="1" outlineLevel="2">
      <c r="A1093" s="220" t="s">
        <v>32</v>
      </c>
      <c r="B1093" s="264">
        <f t="shared" si="270"/>
        <v>0</v>
      </c>
      <c r="C1093" s="266"/>
      <c r="D1093" s="266"/>
      <c r="E1093" s="266"/>
      <c r="F1093" s="266"/>
      <c r="G1093" s="266"/>
      <c r="H1093" s="266"/>
      <c r="I1093" s="265"/>
    </row>
    <row r="1094" hidden="1" outlineLevel="2">
      <c r="A1094" s="236" t="s">
        <v>58</v>
      </c>
      <c r="B1094" s="264">
        <f t="shared" si="270"/>
        <v>0</v>
      </c>
      <c r="C1094" s="267"/>
      <c r="D1094" s="267"/>
      <c r="E1094" s="267"/>
      <c r="F1094" s="267"/>
      <c r="G1094" s="267"/>
      <c r="H1094" s="267"/>
      <c r="I1094" s="268"/>
    </row>
    <row r="1095" ht="16.5" hidden="1" customHeight="1" outlineLevel="2">
      <c r="A1095" s="241" t="s">
        <v>85</v>
      </c>
      <c r="B1095" s="264">
        <f t="shared" si="270"/>
        <v>0</v>
      </c>
      <c r="C1095" s="266"/>
      <c r="D1095" s="266"/>
      <c r="E1095" s="266"/>
      <c r="F1095" s="266"/>
      <c r="G1095" s="266"/>
      <c r="H1095" s="266"/>
      <c r="I1095" s="266"/>
    </row>
    <row r="1096" hidden="1" outlineLevel="2">
      <c r="A1096" s="245" t="s">
        <v>7</v>
      </c>
      <c r="B1096" s="264">
        <f t="shared" si="270"/>
        <v>0</v>
      </c>
      <c r="C1096" s="268"/>
      <c r="D1096" s="268"/>
      <c r="E1096" s="267"/>
      <c r="F1096" s="267"/>
      <c r="G1096" s="267"/>
      <c r="H1096" s="267"/>
      <c r="I1096" s="268"/>
    </row>
    <row r="1097" hidden="1" outlineLevel="2">
      <c r="A1097" s="241" t="s">
        <v>72</v>
      </c>
      <c r="B1097" s="264">
        <f t="shared" si="270"/>
        <v>0</v>
      </c>
      <c r="C1097" s="265"/>
      <c r="D1097" s="265"/>
      <c r="E1097" s="266"/>
      <c r="F1097" s="265"/>
      <c r="G1097" s="266"/>
      <c r="H1097" s="266"/>
      <c r="I1097" s="265"/>
    </row>
    <row r="1098" hidden="1" outlineLevel="1" collapsed="1">
      <c r="A1098" s="52" t="s">
        <v>1967</v>
      </c>
    </row>
    <row r="1099" hidden="1" outlineLevel="2">
      <c r="A1099" s="55" t="s">
        <v>67</v>
      </c>
    </row>
    <row r="1100" hidden="1" outlineLevel="2">
      <c r="A1100" s="57" t="s">
        <v>68</v>
      </c>
      <c r="B1100" s="59" t="s">
        <v>11</v>
      </c>
      <c r="C1100" s="59" t="s">
        <v>71</v>
      </c>
      <c r="D1100" s="62">
        <v>46209.0</v>
      </c>
      <c r="E1100" s="62">
        <v>46210.0</v>
      </c>
      <c r="F1100" s="62">
        <v>46211.0</v>
      </c>
      <c r="G1100" s="62">
        <v>46212.0</v>
      </c>
      <c r="H1100" s="62">
        <v>46213.0</v>
      </c>
      <c r="I1100" s="62">
        <v>46214.0</v>
      </c>
      <c r="J1100" s="62">
        <v>46215.0</v>
      </c>
      <c r="K1100" s="76" t="s">
        <v>77</v>
      </c>
      <c r="L1100" s="78" t="s">
        <v>78</v>
      </c>
    </row>
    <row r="1101" hidden="1" outlineLevel="2">
      <c r="A1101" s="414"/>
      <c r="B1101" s="308"/>
      <c r="C1101" s="308"/>
      <c r="D1101" s="82" t="s">
        <v>80</v>
      </c>
      <c r="E1101" s="82" t="str">
        <f t="shared" ref="E1101:J1101" si="271">text(E1100,"ddd")</f>
        <v>Tue</v>
      </c>
      <c r="F1101" s="82" t="str">
        <f t="shared" si="271"/>
        <v>Wed</v>
      </c>
      <c r="G1101" s="82" t="str">
        <f t="shared" si="271"/>
        <v>Thu</v>
      </c>
      <c r="H1101" s="82" t="str">
        <f t="shared" si="271"/>
        <v>Fri</v>
      </c>
      <c r="I1101" s="82" t="str">
        <f t="shared" si="271"/>
        <v>Sat</v>
      </c>
      <c r="J1101" s="82" t="str">
        <f t="shared" si="271"/>
        <v>Sun</v>
      </c>
      <c r="K1101" s="92"/>
      <c r="L1101" s="81"/>
    </row>
    <row r="1102" hidden="1" outlineLevel="2">
      <c r="A1102" s="399" t="s">
        <v>92</v>
      </c>
      <c r="B1102" s="400">
        <f>20*5</f>
        <v>100</v>
      </c>
      <c r="C1102" s="400">
        <f t="shared" ref="C1102:C1109" si="272">SUM(D1102:J1102)</f>
        <v>106</v>
      </c>
      <c r="D1102" s="401">
        <v>22.0</v>
      </c>
      <c r="E1102" s="401">
        <v>4.0</v>
      </c>
      <c r="F1102" s="401">
        <v>22.0</v>
      </c>
      <c r="G1102" s="401">
        <v>28.0</v>
      </c>
      <c r="H1102" s="401">
        <v>30.0</v>
      </c>
      <c r="I1102" s="401" t="s">
        <v>51</v>
      </c>
      <c r="J1102" s="108" t="s">
        <v>51</v>
      </c>
      <c r="K1102" s="118">
        <f t="shared" ref="K1102:K1109" si="273">iferror(C1102/B1102,"-")</f>
        <v>1.06</v>
      </c>
      <c r="L1102" s="125">
        <f t="shared" ref="L1102:L1109" si="274">(IF(K1102="",(0),IF(K1102&gt;=1,(5),IF(K1102&gt;=0.9,(4),IF(K1102&gt;=0.8,(3),IF(K1102&gt;=0.69,(2),IF(K1102&lt;=0.69,(1))))))))</f>
        <v>5</v>
      </c>
    </row>
    <row r="1103" hidden="1" outlineLevel="2">
      <c r="A1103" s="396" t="s">
        <v>61</v>
      </c>
      <c r="B1103" s="397">
        <f>25*5</f>
        <v>125</v>
      </c>
      <c r="C1103" s="397">
        <f t="shared" si="272"/>
        <v>115</v>
      </c>
      <c r="D1103" s="398">
        <v>27.0</v>
      </c>
      <c r="E1103" s="398">
        <v>27.0</v>
      </c>
      <c r="F1103" s="398">
        <v>10.0</v>
      </c>
      <c r="G1103" s="398">
        <v>23.0</v>
      </c>
      <c r="H1103" s="398">
        <v>28.0</v>
      </c>
      <c r="I1103" s="398" t="s">
        <v>51</v>
      </c>
      <c r="J1103" s="108" t="s">
        <v>51</v>
      </c>
      <c r="K1103" s="118">
        <f t="shared" si="273"/>
        <v>0.92</v>
      </c>
      <c r="L1103" s="125">
        <f t="shared" si="274"/>
        <v>4</v>
      </c>
    </row>
    <row r="1104" hidden="1" outlineLevel="2">
      <c r="A1104" s="399" t="s">
        <v>21</v>
      </c>
      <c r="B1104" s="400">
        <f>30*5</f>
        <v>150</v>
      </c>
      <c r="C1104" s="400">
        <f t="shared" si="272"/>
        <v>155</v>
      </c>
      <c r="D1104" s="401">
        <v>28.0</v>
      </c>
      <c r="E1104" s="401">
        <v>30.0</v>
      </c>
      <c r="F1104" s="401" t="s">
        <v>51</v>
      </c>
      <c r="G1104" s="401">
        <v>43.0</v>
      </c>
      <c r="H1104" s="401">
        <v>28.0</v>
      </c>
      <c r="I1104" s="401">
        <v>19.0</v>
      </c>
      <c r="J1104" s="108">
        <v>7.0</v>
      </c>
      <c r="K1104" s="118">
        <f t="shared" si="273"/>
        <v>1.033333333</v>
      </c>
      <c r="L1104" s="125">
        <f t="shared" si="274"/>
        <v>5</v>
      </c>
    </row>
    <row r="1105" hidden="1" outlineLevel="2">
      <c r="A1105" s="396" t="s">
        <v>74</v>
      </c>
      <c r="B1105" s="397">
        <f>20*5</f>
        <v>100</v>
      </c>
      <c r="C1105" s="397">
        <f t="shared" si="272"/>
        <v>90</v>
      </c>
      <c r="D1105" s="398">
        <v>24.0</v>
      </c>
      <c r="E1105" s="398">
        <v>16.0</v>
      </c>
      <c r="F1105" s="398">
        <v>18.0</v>
      </c>
      <c r="G1105" s="398">
        <v>11.0</v>
      </c>
      <c r="H1105" s="398">
        <v>21.0</v>
      </c>
      <c r="I1105" s="398" t="s">
        <v>51</v>
      </c>
      <c r="J1105" s="108" t="s">
        <v>51</v>
      </c>
      <c r="K1105" s="118">
        <f t="shared" si="273"/>
        <v>0.9</v>
      </c>
      <c r="L1105" s="125">
        <f t="shared" si="274"/>
        <v>4</v>
      </c>
    </row>
    <row r="1106" hidden="1" outlineLevel="2">
      <c r="A1106" s="236" t="s">
        <v>53</v>
      </c>
      <c r="B1106" s="400">
        <f>23*5</f>
        <v>115</v>
      </c>
      <c r="C1106" s="400">
        <f t="shared" si="272"/>
        <v>122</v>
      </c>
      <c r="D1106" s="401">
        <v>21.0</v>
      </c>
      <c r="E1106" s="401">
        <v>19.0</v>
      </c>
      <c r="F1106" s="401">
        <v>29.0</v>
      </c>
      <c r="G1106" s="401" t="s">
        <v>51</v>
      </c>
      <c r="H1106" s="401" t="s">
        <v>51</v>
      </c>
      <c r="I1106" s="401">
        <v>26.0</v>
      </c>
      <c r="J1106" s="108">
        <v>27.0</v>
      </c>
      <c r="K1106" s="118">
        <f t="shared" si="273"/>
        <v>1.060869565</v>
      </c>
      <c r="L1106" s="125">
        <f t="shared" si="274"/>
        <v>5</v>
      </c>
    </row>
    <row r="1107" hidden="1" outlineLevel="2">
      <c r="A1107" s="241" t="s">
        <v>85</v>
      </c>
      <c r="B1107" s="397">
        <f t="shared" ref="B1107:B1108" si="275">25*5</f>
        <v>125</v>
      </c>
      <c r="C1107" s="397">
        <f t="shared" si="272"/>
        <v>129</v>
      </c>
      <c r="D1107" s="398">
        <v>40.0</v>
      </c>
      <c r="E1107" s="398">
        <v>38.0</v>
      </c>
      <c r="F1107" s="398" t="s">
        <v>51</v>
      </c>
      <c r="G1107" s="398" t="s">
        <v>145</v>
      </c>
      <c r="H1107" s="398" t="s">
        <v>51</v>
      </c>
      <c r="I1107" s="398">
        <v>27.0</v>
      </c>
      <c r="J1107" s="108">
        <v>24.0</v>
      </c>
      <c r="K1107" s="118">
        <f t="shared" si="273"/>
        <v>1.032</v>
      </c>
      <c r="L1107" s="125">
        <f t="shared" si="274"/>
        <v>5</v>
      </c>
    </row>
    <row r="1108" hidden="1" outlineLevel="2">
      <c r="A1108" s="245" t="s">
        <v>7</v>
      </c>
      <c r="B1108" s="405">
        <f t="shared" si="275"/>
        <v>125</v>
      </c>
      <c r="C1108" s="400">
        <f t="shared" si="272"/>
        <v>57</v>
      </c>
      <c r="D1108" s="401" t="s">
        <v>51</v>
      </c>
      <c r="E1108" s="401">
        <v>5.0</v>
      </c>
      <c r="F1108" s="401">
        <v>18.0</v>
      </c>
      <c r="G1108" s="401">
        <v>24.0</v>
      </c>
      <c r="H1108" s="401" t="s">
        <v>51</v>
      </c>
      <c r="I1108" s="401" t="s">
        <v>261</v>
      </c>
      <c r="J1108" s="108">
        <v>10.0</v>
      </c>
      <c r="K1108" s="118">
        <f t="shared" si="273"/>
        <v>0.456</v>
      </c>
      <c r="L1108" s="125">
        <f t="shared" si="274"/>
        <v>1</v>
      </c>
    </row>
    <row r="1109" hidden="1" outlineLevel="2">
      <c r="A1109" s="241" t="s">
        <v>514</v>
      </c>
      <c r="B1109" s="404">
        <f>20*5</f>
        <v>100</v>
      </c>
      <c r="C1109" s="397">
        <f t="shared" si="272"/>
        <v>100</v>
      </c>
      <c r="D1109" s="398">
        <v>28.0</v>
      </c>
      <c r="E1109" s="398" t="s">
        <v>51</v>
      </c>
      <c r="F1109" s="398" t="s">
        <v>51</v>
      </c>
      <c r="G1109" s="398">
        <v>26.0</v>
      </c>
      <c r="H1109" s="398">
        <v>17.0</v>
      </c>
      <c r="I1109" s="398">
        <v>18.0</v>
      </c>
      <c r="J1109" s="108">
        <v>11.0</v>
      </c>
      <c r="K1109" s="118">
        <f t="shared" si="273"/>
        <v>1</v>
      </c>
      <c r="L1109" s="125">
        <f t="shared" si="274"/>
        <v>5</v>
      </c>
    </row>
    <row r="1110" hidden="1" outlineLevel="2"/>
    <row r="1111" hidden="1" outlineLevel="2">
      <c r="A1111" s="55" t="s">
        <v>87</v>
      </c>
      <c r="I1111" s="55"/>
    </row>
    <row r="1112" hidden="1" outlineLevel="2">
      <c r="A1112" s="57" t="s">
        <v>68</v>
      </c>
      <c r="B1112" s="158" t="s">
        <v>157</v>
      </c>
      <c r="C1112" s="158" t="s">
        <v>158</v>
      </c>
      <c r="D1112" s="158" t="s">
        <v>90</v>
      </c>
      <c r="E1112" s="158" t="s">
        <v>91</v>
      </c>
      <c r="F1112" s="158" t="s">
        <v>93</v>
      </c>
      <c r="G1112" s="161" t="s">
        <v>94</v>
      </c>
      <c r="H1112" s="161" t="s">
        <v>160</v>
      </c>
    </row>
    <row r="1113" hidden="1" outlineLevel="2">
      <c r="A1113" s="414"/>
      <c r="B1113" s="308"/>
      <c r="C1113" s="308"/>
      <c r="D1113" s="308"/>
      <c r="E1113" s="308"/>
      <c r="F1113" s="308"/>
      <c r="G1113" s="308"/>
      <c r="H1113" s="308"/>
    </row>
    <row r="1114" hidden="1" outlineLevel="2">
      <c r="A1114" s="399" t="s">
        <v>92</v>
      </c>
      <c r="B1114" s="462">
        <v>107.0</v>
      </c>
      <c r="C1114" s="462">
        <v>106.0</v>
      </c>
      <c r="D1114" s="408">
        <f t="shared" ref="D1114:D1121" si="276">B1114-C1114</f>
        <v>1</v>
      </c>
      <c r="E1114" s="409">
        <f t="shared" ref="E1114:E1121" si="277">IFERROR(C1114/B1114,"")</f>
        <v>0.9906542056</v>
      </c>
      <c r="F1114" s="463">
        <v>0.001712962962962963</v>
      </c>
      <c r="G1114" s="171">
        <f t="shared" ref="G1114:G1121" si="278">IFERROR((IF(E1114="",(0),IF(E1114&gt;=0.98,(5),IF(E1114&gt;=0.95,(4.5),IF(E1114&gt;=0.9,(4),IF(E1114&gt;=0.8,(3),IF(E1114&lt;=0.69,(1)))))))),"")</f>
        <v>5</v>
      </c>
      <c r="H1114" s="171">
        <f>ROUND(
IF(F1114="",
0,
MAX(1, 5 - MAX(0, (F1114 - TIME(0,4,0)) / TIME(0,1,0) * 0.5))
),
2
)
</f>
        <v>5</v>
      </c>
    </row>
    <row r="1115" hidden="1" outlineLevel="2">
      <c r="A1115" s="396" t="s">
        <v>61</v>
      </c>
      <c r="B1115" s="464">
        <v>120.0</v>
      </c>
      <c r="C1115" s="464">
        <v>115.0</v>
      </c>
      <c r="D1115" s="141">
        <f t="shared" si="276"/>
        <v>5</v>
      </c>
      <c r="E1115" s="406">
        <f t="shared" si="277"/>
        <v>0.9583333333</v>
      </c>
      <c r="F1115" s="465">
        <v>0.0037847222222222223</v>
      </c>
      <c r="G1115" s="171">
        <f t="shared" si="278"/>
        <v>4.5</v>
      </c>
      <c r="H1115" s="171">
        <f>ROUND(
IF(F1115="",
0,
MAX(1, 5 - MAX(0, (F1115 - TIME(0,5,0)) / TIME(0,1,0) * 0.5))
),
2
)
</f>
        <v>4.78</v>
      </c>
    </row>
    <row r="1116" hidden="1" outlineLevel="2">
      <c r="A1116" s="399" t="s">
        <v>21</v>
      </c>
      <c r="B1116" s="462">
        <v>163.0</v>
      </c>
      <c r="C1116" s="462">
        <v>155.0</v>
      </c>
      <c r="D1116" s="408">
        <f t="shared" si="276"/>
        <v>8</v>
      </c>
      <c r="E1116" s="409">
        <f t="shared" si="277"/>
        <v>0.9509202454</v>
      </c>
      <c r="F1116" s="463">
        <v>0.0036226851851851854</v>
      </c>
      <c r="G1116" s="171">
        <f t="shared" si="278"/>
        <v>4.5</v>
      </c>
      <c r="H1116" s="171">
        <f>ROUND(
IF(F1116="",
0,
MAX(1, 5 - MAX(0, (F1116 - TIME(0,4,0)) / TIME(0,1,0) * 0.5))
),
2
)
</f>
        <v>4.39</v>
      </c>
    </row>
    <row r="1117" hidden="1" outlineLevel="2">
      <c r="A1117" s="422" t="s">
        <v>74</v>
      </c>
      <c r="B1117" s="464">
        <v>96.0</v>
      </c>
      <c r="C1117" s="464">
        <v>90.0</v>
      </c>
      <c r="D1117" s="141">
        <f t="shared" si="276"/>
        <v>6</v>
      </c>
      <c r="E1117" s="406">
        <f t="shared" si="277"/>
        <v>0.9375</v>
      </c>
      <c r="F1117" s="465">
        <v>0.0036574074074074074</v>
      </c>
      <c r="G1117" s="171">
        <f t="shared" si="278"/>
        <v>4</v>
      </c>
      <c r="H1117" s="171">
        <f>ROUND(
IF(F1117="",
0,
MAX(1, 5 - MAX(0, (F1117 - TIME(0,5,0)) / TIME(0,1,0) * 0.5))
),
2
)
</f>
        <v>4.87</v>
      </c>
    </row>
    <row r="1118" hidden="1" outlineLevel="2">
      <c r="A1118" s="423" t="s">
        <v>53</v>
      </c>
      <c r="B1118" s="462">
        <v>125.0</v>
      </c>
      <c r="C1118" s="462">
        <v>122.0</v>
      </c>
      <c r="D1118" s="408">
        <f t="shared" si="276"/>
        <v>3</v>
      </c>
      <c r="E1118" s="409">
        <f t="shared" si="277"/>
        <v>0.976</v>
      </c>
      <c r="F1118" s="463">
        <v>0.0027430555555555554</v>
      </c>
      <c r="G1118" s="171">
        <f t="shared" si="278"/>
        <v>4.5</v>
      </c>
      <c r="H1118" s="171">
        <f>ROUND(
IF(F1118="",
0,
MAX(1, 5 - MAX(0, (F1118 - TIME(0,4,0)) / TIME(0,1,0) * 0.5))
),
2
)
</f>
        <v>5</v>
      </c>
    </row>
    <row r="1119" hidden="1" outlineLevel="2">
      <c r="A1119" s="241" t="s">
        <v>85</v>
      </c>
      <c r="B1119" s="464">
        <v>141.0</v>
      </c>
      <c r="C1119" s="464">
        <v>129.0</v>
      </c>
      <c r="D1119" s="141">
        <f t="shared" si="276"/>
        <v>12</v>
      </c>
      <c r="E1119" s="406">
        <f t="shared" si="277"/>
        <v>0.914893617</v>
      </c>
      <c r="F1119" s="465">
        <v>0.004178240740740741</v>
      </c>
      <c r="G1119" s="171">
        <f t="shared" si="278"/>
        <v>4</v>
      </c>
      <c r="H1119" s="171">
        <f t="shared" ref="H1119:H1121" si="279">ROUND(
IF(F1119="",
0,
MAX(1, 5 - MAX(0, (F1119 - TIME(0,5,0)) / TIME(0,1,0) * 0.5))
),
2
)
</f>
        <v>4.49</v>
      </c>
    </row>
    <row r="1120" hidden="1" outlineLevel="2">
      <c r="A1120" s="424" t="s">
        <v>7</v>
      </c>
      <c r="B1120" s="462">
        <v>58.0</v>
      </c>
      <c r="C1120" s="462">
        <v>57.0</v>
      </c>
      <c r="D1120" s="408">
        <f t="shared" si="276"/>
        <v>1</v>
      </c>
      <c r="E1120" s="409">
        <f t="shared" si="277"/>
        <v>0.9827586207</v>
      </c>
      <c r="F1120" s="463">
        <v>0.0031944444444444446</v>
      </c>
      <c r="G1120" s="171">
        <f t="shared" si="278"/>
        <v>5</v>
      </c>
      <c r="H1120" s="171">
        <f t="shared" si="279"/>
        <v>5</v>
      </c>
    </row>
    <row r="1121" hidden="1" outlineLevel="2">
      <c r="A1121" s="241" t="s">
        <v>514</v>
      </c>
      <c r="B1121" s="464">
        <v>101.0</v>
      </c>
      <c r="C1121" s="464">
        <v>100.0</v>
      </c>
      <c r="D1121" s="141">
        <f t="shared" si="276"/>
        <v>1</v>
      </c>
      <c r="E1121" s="406">
        <f t="shared" si="277"/>
        <v>0.9900990099</v>
      </c>
      <c r="F1121" s="465">
        <v>0.00443287037037037</v>
      </c>
      <c r="G1121" s="171">
        <f t="shared" si="278"/>
        <v>5</v>
      </c>
      <c r="H1121" s="171">
        <f t="shared" si="279"/>
        <v>4.31</v>
      </c>
    </row>
    <row r="1122" hidden="1" outlineLevel="2"/>
    <row r="1123" hidden="1" outlineLevel="2">
      <c r="A1123" s="55" t="s">
        <v>195</v>
      </c>
    </row>
    <row r="1124" hidden="1" outlineLevel="2">
      <c r="A1124" s="192" t="s">
        <v>196</v>
      </c>
      <c r="B1124" s="193" t="s">
        <v>198</v>
      </c>
      <c r="C1124" s="195" t="s">
        <v>199</v>
      </c>
      <c r="D1124" s="195" t="s">
        <v>200</v>
      </c>
      <c r="E1124" s="197" t="s">
        <v>201</v>
      </c>
      <c r="F1124" s="199" t="s">
        <v>202</v>
      </c>
      <c r="G1124" s="201"/>
    </row>
    <row r="1125" hidden="1" outlineLevel="2">
      <c r="A1125" s="220" t="s">
        <v>4</v>
      </c>
      <c r="B1125" s="223">
        <f t="shared" ref="B1125:B1132" si="280">(C1125*0.3)+(D1125*0.1)</f>
        <v>0.4</v>
      </c>
      <c r="C1125" s="432">
        <v>1.0</v>
      </c>
      <c r="D1125" s="210">
        <f>Dan!D648</f>
        <v>1</v>
      </c>
      <c r="E1125" s="226">
        <f t="shared" ref="E1125:E1132" si="281">(L1102+G1114+H1114)/15*0.3</f>
        <v>0.3</v>
      </c>
      <c r="F1125" s="218">
        <f t="shared" ref="F1125:F1132" si="282">(E1125/30%)*10</f>
        <v>10</v>
      </c>
      <c r="G1125" s="201"/>
      <c r="H1125" s="201"/>
      <c r="I1125" s="201"/>
      <c r="J1125" s="201"/>
    </row>
    <row r="1126" hidden="1" outlineLevel="2">
      <c r="A1126" s="227" t="s">
        <v>57</v>
      </c>
      <c r="B1126" s="229">
        <f t="shared" si="280"/>
        <v>0.4</v>
      </c>
      <c r="C1126" s="432">
        <v>1.0</v>
      </c>
      <c r="D1126" s="210">
        <f>Godwin!D68</f>
        <v>1</v>
      </c>
      <c r="E1126" s="232">
        <f t="shared" si="281"/>
        <v>0.2656</v>
      </c>
      <c r="F1126" s="218">
        <f t="shared" si="282"/>
        <v>8.853333333</v>
      </c>
      <c r="G1126" s="201"/>
      <c r="H1126" s="201"/>
      <c r="I1126" s="201"/>
      <c r="J1126" s="201"/>
    </row>
    <row r="1127" hidden="1" outlineLevel="2">
      <c r="A1127" s="220" t="s">
        <v>21</v>
      </c>
      <c r="B1127" s="223">
        <f t="shared" si="280"/>
        <v>0.34</v>
      </c>
      <c r="C1127" s="432">
        <v>0.8</v>
      </c>
      <c r="D1127" s="210">
        <v>1.0</v>
      </c>
      <c r="E1127" s="226">
        <f t="shared" si="281"/>
        <v>0.2778</v>
      </c>
      <c r="F1127" s="218">
        <f t="shared" si="282"/>
        <v>9.26</v>
      </c>
      <c r="G1127" s="201"/>
      <c r="H1127" s="201"/>
      <c r="I1127" s="201"/>
      <c r="J1127" s="201"/>
    </row>
    <row r="1128" hidden="1" outlineLevel="2">
      <c r="A1128" s="227" t="s">
        <v>32</v>
      </c>
      <c r="B1128" s="229">
        <f t="shared" si="280"/>
        <v>0.4</v>
      </c>
      <c r="C1128" s="432">
        <v>1.0</v>
      </c>
      <c r="D1128" s="210">
        <f>Claudette!D648</f>
        <v>1</v>
      </c>
      <c r="E1128" s="232">
        <f t="shared" si="281"/>
        <v>0.2574</v>
      </c>
      <c r="F1128" s="218">
        <f t="shared" si="282"/>
        <v>8.58</v>
      </c>
      <c r="G1128" s="201"/>
      <c r="H1128" s="201"/>
      <c r="I1128" s="201"/>
      <c r="J1128" s="201"/>
    </row>
    <row r="1129" hidden="1" outlineLevel="2">
      <c r="A1129" s="272" t="s">
        <v>58</v>
      </c>
      <c r="B1129" s="223">
        <f t="shared" si="280"/>
        <v>0.4</v>
      </c>
      <c r="C1129" s="432">
        <v>1.0</v>
      </c>
      <c r="D1129" s="210">
        <v>1.0</v>
      </c>
      <c r="E1129" s="226">
        <f t="shared" si="281"/>
        <v>0.29</v>
      </c>
      <c r="F1129" s="218">
        <f t="shared" si="282"/>
        <v>9.666666667</v>
      </c>
      <c r="G1129" s="201"/>
      <c r="H1129" s="201"/>
      <c r="I1129" s="201"/>
      <c r="J1129" s="201"/>
    </row>
    <row r="1130" hidden="1" outlineLevel="2">
      <c r="A1130" s="245" t="s">
        <v>85</v>
      </c>
      <c r="B1130" s="229">
        <f t="shared" si="280"/>
        <v>0.4</v>
      </c>
      <c r="C1130" s="432">
        <v>1.0</v>
      </c>
      <c r="D1130" s="210">
        <v>1.0</v>
      </c>
      <c r="E1130" s="232">
        <f t="shared" si="281"/>
        <v>0.2698</v>
      </c>
      <c r="F1130" s="218">
        <f t="shared" si="282"/>
        <v>8.993333333</v>
      </c>
      <c r="G1130" s="201"/>
      <c r="H1130" s="201"/>
      <c r="I1130" s="201"/>
      <c r="J1130" s="201"/>
    </row>
    <row r="1131" hidden="1" outlineLevel="2">
      <c r="A1131" s="241" t="s">
        <v>7</v>
      </c>
      <c r="B1131" s="223">
        <f t="shared" si="280"/>
        <v>0.4</v>
      </c>
      <c r="C1131" s="432">
        <v>1.0</v>
      </c>
      <c r="D1131" s="210">
        <v>1.0</v>
      </c>
      <c r="E1131" s="226">
        <f t="shared" si="281"/>
        <v>0.22</v>
      </c>
      <c r="F1131" s="218">
        <f t="shared" si="282"/>
        <v>7.333333333</v>
      </c>
      <c r="G1131" s="201"/>
      <c r="H1131" s="201"/>
      <c r="I1131" s="201"/>
      <c r="J1131" s="201"/>
    </row>
    <row r="1132" hidden="1" outlineLevel="2">
      <c r="A1132" s="245" t="s">
        <v>514</v>
      </c>
      <c r="B1132" s="229">
        <f t="shared" si="280"/>
        <v>0.4</v>
      </c>
      <c r="C1132" s="432">
        <v>1.0</v>
      </c>
      <c r="D1132" s="210">
        <v>1.0</v>
      </c>
      <c r="E1132" s="232">
        <f t="shared" si="281"/>
        <v>0.2862</v>
      </c>
      <c r="F1132" s="218">
        <f t="shared" si="282"/>
        <v>9.54</v>
      </c>
      <c r="G1132" s="201"/>
      <c r="H1132" s="201"/>
      <c r="I1132" s="201"/>
      <c r="J1132" s="201"/>
    </row>
    <row r="1133" hidden="1" outlineLevel="2">
      <c r="A1133" s="251"/>
      <c r="B1133" s="251"/>
      <c r="C1133" s="252"/>
      <c r="D1133" s="253"/>
      <c r="E1133" s="254"/>
      <c r="F1133" s="201"/>
      <c r="G1133" s="201"/>
      <c r="H1133" s="201"/>
      <c r="I1133" s="201"/>
      <c r="J1133" s="201"/>
    </row>
    <row r="1134" hidden="1" outlineLevel="2">
      <c r="A1134" s="55" t="s">
        <v>222</v>
      </c>
      <c r="B1134" s="251"/>
      <c r="C1134" s="252"/>
      <c r="D1134" s="253"/>
      <c r="E1134" s="254"/>
      <c r="F1134" s="201"/>
      <c r="G1134" s="201"/>
      <c r="H1134" s="201"/>
      <c r="I1134" s="201"/>
      <c r="J1134" s="201"/>
    </row>
    <row r="1135" hidden="1" outlineLevel="2">
      <c r="A1135" s="256" t="s">
        <v>196</v>
      </c>
      <c r="B1135" s="257" t="s">
        <v>223</v>
      </c>
      <c r="C1135" s="62">
        <v>46153.0</v>
      </c>
      <c r="D1135" s="62">
        <v>46154.0</v>
      </c>
      <c r="E1135" s="62">
        <v>46155.0</v>
      </c>
      <c r="F1135" s="62">
        <v>46156.0</v>
      </c>
      <c r="G1135" s="62">
        <v>46157.0</v>
      </c>
      <c r="H1135" s="62">
        <v>46158.0</v>
      </c>
      <c r="I1135" s="62">
        <v>46159.0</v>
      </c>
      <c r="J1135" s="201"/>
    </row>
    <row r="1136" hidden="1" outlineLevel="2">
      <c r="A1136" s="258"/>
      <c r="B1136" s="258"/>
      <c r="C1136" s="82" t="s">
        <v>80</v>
      </c>
      <c r="D1136" s="82" t="s">
        <v>226</v>
      </c>
      <c r="E1136" s="82" t="s">
        <v>227</v>
      </c>
      <c r="F1136" s="82" t="s">
        <v>228</v>
      </c>
      <c r="G1136" s="82" t="s">
        <v>230</v>
      </c>
      <c r="H1136" s="82" t="s">
        <v>231</v>
      </c>
      <c r="I1136" s="82" t="s">
        <v>232</v>
      </c>
    </row>
    <row r="1137" hidden="1" outlineLevel="2">
      <c r="A1137" s="220" t="s">
        <v>4</v>
      </c>
      <c r="B1137" s="264">
        <f t="shared" ref="B1137:B1144" si="283">Sum(C1137:I1137)</f>
        <v>0</v>
      </c>
      <c r="C1137" s="266"/>
      <c r="D1137" s="265"/>
      <c r="E1137" s="265"/>
      <c r="F1137" s="265"/>
      <c r="G1137" s="266"/>
      <c r="H1137" s="266"/>
      <c r="I1137" s="266"/>
    </row>
    <row r="1138" hidden="1" outlineLevel="2">
      <c r="A1138" s="227" t="s">
        <v>57</v>
      </c>
      <c r="B1138" s="264">
        <f t="shared" si="283"/>
        <v>0</v>
      </c>
      <c r="C1138" s="267"/>
      <c r="D1138" s="267"/>
      <c r="E1138" s="267"/>
      <c r="F1138" s="267"/>
      <c r="G1138" s="267"/>
      <c r="H1138" s="268"/>
      <c r="I1138" s="267"/>
    </row>
    <row r="1139" hidden="1" outlineLevel="2">
      <c r="A1139" s="220" t="s">
        <v>21</v>
      </c>
      <c r="B1139" s="264">
        <f t="shared" si="283"/>
        <v>0</v>
      </c>
      <c r="C1139" s="266"/>
      <c r="D1139" s="265"/>
      <c r="E1139" s="266"/>
      <c r="F1139" s="266"/>
      <c r="G1139" s="266"/>
      <c r="H1139" s="266"/>
      <c r="I1139" s="265"/>
    </row>
    <row r="1140" hidden="1" outlineLevel="2">
      <c r="A1140" s="227" t="s">
        <v>32</v>
      </c>
      <c r="B1140" s="264">
        <f t="shared" si="283"/>
        <v>0</v>
      </c>
      <c r="C1140" s="267"/>
      <c r="D1140" s="267"/>
      <c r="E1140" s="267"/>
      <c r="F1140" s="267"/>
      <c r="G1140" s="267"/>
      <c r="H1140" s="267"/>
      <c r="I1140" s="268"/>
    </row>
    <row r="1141" hidden="1" outlineLevel="2">
      <c r="A1141" s="272" t="s">
        <v>58</v>
      </c>
      <c r="B1141" s="264">
        <f t="shared" si="283"/>
        <v>0</v>
      </c>
      <c r="C1141" s="266"/>
      <c r="D1141" s="266"/>
      <c r="E1141" s="266"/>
      <c r="F1141" s="266"/>
      <c r="G1141" s="266"/>
      <c r="H1141" s="266"/>
      <c r="I1141" s="265"/>
    </row>
    <row r="1142" ht="16.5" hidden="1" customHeight="1" outlineLevel="2">
      <c r="A1142" s="245" t="s">
        <v>85</v>
      </c>
      <c r="B1142" s="264">
        <f t="shared" si="283"/>
        <v>0</v>
      </c>
      <c r="C1142" s="267"/>
      <c r="D1142" s="267"/>
      <c r="E1142" s="267"/>
      <c r="F1142" s="267"/>
      <c r="G1142" s="267"/>
      <c r="H1142" s="267"/>
      <c r="I1142" s="267"/>
    </row>
    <row r="1143" hidden="1" outlineLevel="2">
      <c r="A1143" s="241" t="s">
        <v>7</v>
      </c>
      <c r="B1143" s="264">
        <f t="shared" si="283"/>
        <v>0</v>
      </c>
      <c r="C1143" s="265"/>
      <c r="D1143" s="265"/>
      <c r="E1143" s="266"/>
      <c r="F1143" s="266"/>
      <c r="G1143" s="266"/>
      <c r="H1143" s="266"/>
      <c r="I1143" s="265"/>
    </row>
    <row r="1144" hidden="1" outlineLevel="2">
      <c r="A1144" s="245" t="s">
        <v>72</v>
      </c>
      <c r="B1144" s="264">
        <f t="shared" si="283"/>
        <v>0</v>
      </c>
      <c r="C1144" s="268"/>
      <c r="D1144" s="268"/>
      <c r="E1144" s="267"/>
      <c r="F1144" s="268"/>
      <c r="G1144" s="267"/>
      <c r="H1144" s="267"/>
      <c r="I1144" s="268"/>
    </row>
    <row r="1145" hidden="1" outlineLevel="1" collapsed="1">
      <c r="A1145" s="52" t="s">
        <v>2056</v>
      </c>
    </row>
    <row r="1146" hidden="1" outlineLevel="2">
      <c r="A1146" s="55" t="s">
        <v>67</v>
      </c>
    </row>
    <row r="1147" hidden="1" outlineLevel="2">
      <c r="A1147" s="57" t="s">
        <v>68</v>
      </c>
      <c r="B1147" s="59" t="s">
        <v>11</v>
      </c>
      <c r="C1147" s="59" t="s">
        <v>71</v>
      </c>
      <c r="D1147" s="62">
        <v>46223.0</v>
      </c>
      <c r="E1147" s="62">
        <v>46224.0</v>
      </c>
      <c r="F1147" s="62">
        <v>46225.0</v>
      </c>
      <c r="G1147" s="62">
        <v>46226.0</v>
      </c>
      <c r="H1147" s="62">
        <v>46227.0</v>
      </c>
      <c r="I1147" s="62">
        <v>46228.0</v>
      </c>
      <c r="J1147" s="62">
        <v>46229.0</v>
      </c>
      <c r="K1147" s="76" t="s">
        <v>77</v>
      </c>
      <c r="L1147" s="78" t="s">
        <v>78</v>
      </c>
    </row>
    <row r="1148" hidden="1" outlineLevel="2">
      <c r="A1148" s="395"/>
      <c r="B1148" s="258"/>
      <c r="C1148" s="258"/>
      <c r="D1148" s="82" t="s">
        <v>80</v>
      </c>
      <c r="E1148" s="82" t="str">
        <f t="shared" ref="E1148:J1148" si="284">text(E1147,"ddd")</f>
        <v>Tue</v>
      </c>
      <c r="F1148" s="82" t="str">
        <f t="shared" si="284"/>
        <v>Wed</v>
      </c>
      <c r="G1148" s="82" t="str">
        <f t="shared" si="284"/>
        <v>Thu</v>
      </c>
      <c r="H1148" s="82" t="str">
        <f t="shared" si="284"/>
        <v>Fri</v>
      </c>
      <c r="I1148" s="82" t="str">
        <f t="shared" si="284"/>
        <v>Sat</v>
      </c>
      <c r="J1148" s="82" t="str">
        <f t="shared" si="284"/>
        <v>Sun</v>
      </c>
      <c r="K1148" s="92"/>
      <c r="L1148" s="81"/>
    </row>
    <row r="1149" hidden="1" outlineLevel="2">
      <c r="A1149" s="396" t="s">
        <v>92</v>
      </c>
      <c r="B1149" s="397">
        <f>25*5+15</f>
        <v>140</v>
      </c>
      <c r="C1149" s="397">
        <f t="shared" ref="C1149:C1156" si="285">SUM(D1149:J1149)</f>
        <v>143</v>
      </c>
      <c r="D1149" s="398">
        <v>19.0</v>
      </c>
      <c r="E1149" s="398">
        <v>21.0</v>
      </c>
      <c r="F1149" s="398">
        <v>27.0</v>
      </c>
      <c r="G1149" s="398">
        <v>39.0</v>
      </c>
      <c r="H1149" s="398">
        <v>25.0</v>
      </c>
      <c r="I1149" s="398">
        <v>12.0</v>
      </c>
      <c r="J1149" s="108" t="s">
        <v>51</v>
      </c>
      <c r="K1149" s="118">
        <f t="shared" ref="K1149:K1156" si="286">iferror(C1149/B1149,"-")</f>
        <v>1.021428571</v>
      </c>
      <c r="L1149" s="125">
        <f t="shared" ref="L1149:L1156" si="287">(IF(K1149="",(0),IF(K1149&gt;=1,(5),IF(K1149&gt;=0.9,(4),IF(K1149&gt;=0.8,(3),IF(K1149&gt;=0.69,(2),IF(K1149&lt;=0.69,(1))))))))</f>
        <v>5</v>
      </c>
    </row>
    <row r="1150" hidden="1" outlineLevel="2">
      <c r="A1150" s="399" t="s">
        <v>61</v>
      </c>
      <c r="B1150" s="400">
        <f>30*5+5</f>
        <v>155</v>
      </c>
      <c r="C1150" s="400">
        <f t="shared" si="285"/>
        <v>112</v>
      </c>
      <c r="D1150" s="401">
        <v>29.0</v>
      </c>
      <c r="E1150" s="401">
        <v>27.0</v>
      </c>
      <c r="F1150" s="401">
        <v>17.0</v>
      </c>
      <c r="G1150" s="401">
        <v>22.0</v>
      </c>
      <c r="H1150" s="401">
        <v>13.0</v>
      </c>
      <c r="I1150" s="401" t="s">
        <v>51</v>
      </c>
      <c r="J1150" s="108">
        <v>4.0</v>
      </c>
      <c r="K1150" s="118">
        <f t="shared" si="286"/>
        <v>0.7225806452</v>
      </c>
      <c r="L1150" s="125">
        <f t="shared" si="287"/>
        <v>2</v>
      </c>
    </row>
    <row r="1151" hidden="1" outlineLevel="2">
      <c r="A1151" s="396" t="s">
        <v>21</v>
      </c>
      <c r="B1151" s="397">
        <f>35*5+5</f>
        <v>180</v>
      </c>
      <c r="C1151" s="397">
        <f t="shared" si="285"/>
        <v>170</v>
      </c>
      <c r="D1151" s="398">
        <v>31.0</v>
      </c>
      <c r="E1151" s="419">
        <v>35.0</v>
      </c>
      <c r="F1151" s="398" t="s">
        <v>51</v>
      </c>
      <c r="G1151" s="398">
        <v>26.0</v>
      </c>
      <c r="H1151" s="398">
        <v>30.0</v>
      </c>
      <c r="I1151" s="398">
        <v>42.0</v>
      </c>
      <c r="J1151" s="108">
        <v>6.0</v>
      </c>
      <c r="K1151" s="118">
        <f t="shared" si="286"/>
        <v>0.9444444444</v>
      </c>
      <c r="L1151" s="125">
        <f t="shared" si="287"/>
        <v>4</v>
      </c>
    </row>
    <row r="1152" hidden="1" outlineLevel="2">
      <c r="A1152" s="399" t="s">
        <v>74</v>
      </c>
      <c r="B1152" s="400">
        <f>20*5</f>
        <v>100</v>
      </c>
      <c r="C1152" s="400">
        <f t="shared" si="285"/>
        <v>91</v>
      </c>
      <c r="D1152" s="401">
        <v>12.0</v>
      </c>
      <c r="E1152" s="401">
        <v>29.0</v>
      </c>
      <c r="F1152" s="401">
        <v>11.0</v>
      </c>
      <c r="G1152" s="401">
        <v>24.0</v>
      </c>
      <c r="H1152" s="401" t="s">
        <v>51</v>
      </c>
      <c r="I1152" s="401" t="s">
        <v>51</v>
      </c>
      <c r="J1152" s="108">
        <v>15.0</v>
      </c>
      <c r="K1152" s="118">
        <f t="shared" si="286"/>
        <v>0.91</v>
      </c>
      <c r="L1152" s="125">
        <f t="shared" si="287"/>
        <v>4</v>
      </c>
    </row>
    <row r="1153" hidden="1" outlineLevel="2">
      <c r="A1153" s="272" t="s">
        <v>53</v>
      </c>
      <c r="B1153" s="397">
        <f>25*5</f>
        <v>125</v>
      </c>
      <c r="C1153" s="397">
        <f t="shared" si="285"/>
        <v>116</v>
      </c>
      <c r="D1153" s="398">
        <v>23.0</v>
      </c>
      <c r="E1153" s="398">
        <v>27.0</v>
      </c>
      <c r="F1153" s="398">
        <v>33.0</v>
      </c>
      <c r="G1153" s="398" t="s">
        <v>51</v>
      </c>
      <c r="H1153" s="398" t="s">
        <v>51</v>
      </c>
      <c r="I1153" s="398">
        <v>15.0</v>
      </c>
      <c r="J1153" s="108">
        <v>18.0</v>
      </c>
      <c r="K1153" s="118">
        <f t="shared" si="286"/>
        <v>0.928</v>
      </c>
      <c r="L1153" s="125">
        <f t="shared" si="287"/>
        <v>4</v>
      </c>
    </row>
    <row r="1154" hidden="1" outlineLevel="2">
      <c r="A1154" s="245" t="s">
        <v>85</v>
      </c>
      <c r="B1154" s="400">
        <f>30*5+10</f>
        <v>160</v>
      </c>
      <c r="C1154" s="400">
        <f t="shared" si="285"/>
        <v>158</v>
      </c>
      <c r="D1154" s="401">
        <v>33.0</v>
      </c>
      <c r="E1154" s="401">
        <v>33.0</v>
      </c>
      <c r="F1154" s="401">
        <v>27.0</v>
      </c>
      <c r="G1154" s="401">
        <v>28.0</v>
      </c>
      <c r="H1154" s="401">
        <v>27.0</v>
      </c>
      <c r="I1154" s="401">
        <v>10.0</v>
      </c>
      <c r="J1154" s="108" t="s">
        <v>51</v>
      </c>
      <c r="K1154" s="118">
        <f t="shared" si="286"/>
        <v>0.9875</v>
      </c>
      <c r="L1154" s="125">
        <f t="shared" si="287"/>
        <v>4</v>
      </c>
    </row>
    <row r="1155" hidden="1" outlineLevel="2">
      <c r="A1155" s="241" t="s">
        <v>7</v>
      </c>
      <c r="B1155" s="404">
        <f>25*5+15</f>
        <v>140</v>
      </c>
      <c r="C1155" s="397">
        <f t="shared" si="285"/>
        <v>135</v>
      </c>
      <c r="D1155" s="398">
        <v>17.0</v>
      </c>
      <c r="E1155" s="398">
        <v>32.0</v>
      </c>
      <c r="F1155" s="398">
        <v>32.0</v>
      </c>
      <c r="G1155" s="398">
        <v>11.0</v>
      </c>
      <c r="H1155" s="398">
        <v>31.0</v>
      </c>
      <c r="I1155" s="398">
        <v>12.0</v>
      </c>
      <c r="J1155" s="108" t="s">
        <v>51</v>
      </c>
      <c r="K1155" s="118">
        <f t="shared" si="286"/>
        <v>0.9642857143</v>
      </c>
      <c r="L1155" s="125">
        <f t="shared" si="287"/>
        <v>4</v>
      </c>
    </row>
    <row r="1156" hidden="1" outlineLevel="2">
      <c r="A1156" s="245" t="s">
        <v>514</v>
      </c>
      <c r="B1156" s="405">
        <f>25*4+20</f>
        <v>120</v>
      </c>
      <c r="C1156" s="400">
        <f t="shared" si="285"/>
        <v>97</v>
      </c>
      <c r="D1156" s="401">
        <v>17.0</v>
      </c>
      <c r="E1156" s="401" t="s">
        <v>51</v>
      </c>
      <c r="F1156" s="401" t="s">
        <v>51</v>
      </c>
      <c r="G1156" s="401">
        <v>24.0</v>
      </c>
      <c r="H1156" s="401">
        <v>17.0</v>
      </c>
      <c r="I1156" s="401">
        <v>20.0</v>
      </c>
      <c r="J1156" s="108">
        <v>19.0</v>
      </c>
      <c r="K1156" s="118">
        <f t="shared" si="286"/>
        <v>0.8083333333</v>
      </c>
      <c r="L1156" s="125">
        <f t="shared" si="287"/>
        <v>3</v>
      </c>
    </row>
    <row r="1157" hidden="1" outlineLevel="2"/>
    <row r="1158" hidden="1" outlineLevel="2">
      <c r="A1158" s="55" t="s">
        <v>87</v>
      </c>
      <c r="I1158" s="55"/>
    </row>
    <row r="1159" hidden="1" outlineLevel="2">
      <c r="A1159" s="57" t="s">
        <v>68</v>
      </c>
      <c r="B1159" s="158" t="s">
        <v>157</v>
      </c>
      <c r="C1159" s="158" t="s">
        <v>158</v>
      </c>
      <c r="D1159" s="158" t="s">
        <v>90</v>
      </c>
      <c r="E1159" s="158" t="s">
        <v>91</v>
      </c>
      <c r="F1159" s="158" t="s">
        <v>93</v>
      </c>
      <c r="G1159" s="161" t="s">
        <v>94</v>
      </c>
      <c r="H1159" s="161" t="s">
        <v>160</v>
      </c>
    </row>
    <row r="1160" hidden="1" outlineLevel="2">
      <c r="A1160" s="395"/>
      <c r="B1160" s="258"/>
      <c r="C1160" s="258"/>
      <c r="D1160" s="258"/>
      <c r="E1160" s="258"/>
      <c r="F1160" s="258"/>
      <c r="G1160" s="258"/>
      <c r="H1160" s="258"/>
    </row>
    <row r="1161" hidden="1" outlineLevel="2">
      <c r="A1161" s="396" t="s">
        <v>92</v>
      </c>
      <c r="B1161" s="398">
        <v>150.0</v>
      </c>
      <c r="C1161" s="398">
        <v>143.0</v>
      </c>
      <c r="D1161" s="141">
        <f t="shared" ref="D1161:D1168" si="288">B1161-C1161</f>
        <v>7</v>
      </c>
      <c r="E1161" s="406">
        <f t="shared" ref="E1161:E1168" si="289">IFERROR(C1161/B1161,"")</f>
        <v>0.9533333333</v>
      </c>
      <c r="F1161" s="407">
        <v>0.002476851851851852</v>
      </c>
      <c r="G1161" s="171">
        <f t="shared" ref="G1161:G1168" si="290">IFERROR((IF(E1161="",(0),IF(E1161&gt;=0.98,(5),IF(E1161&gt;=0.95,(4.5),IF(E1161&gt;=0.9,(4),IF(E1161&gt;=0.8,(3),IF(E1161&lt;=0.69,(1)))))))),"")</f>
        <v>4.5</v>
      </c>
      <c r="H1161" s="171">
        <f>ROUND(
IF(F1161="",
0,
MAX(1, 5 - MAX(0, (F1161 - TIME(0,4,0)) / TIME(0,1,0) * 0.5))
),
2
)
</f>
        <v>5</v>
      </c>
    </row>
    <row r="1162" hidden="1" outlineLevel="2">
      <c r="A1162" s="399" t="s">
        <v>61</v>
      </c>
      <c r="B1162" s="401">
        <v>112.0</v>
      </c>
      <c r="C1162" s="401">
        <v>112.0</v>
      </c>
      <c r="D1162" s="408">
        <f t="shared" si="288"/>
        <v>0</v>
      </c>
      <c r="E1162" s="409">
        <f t="shared" si="289"/>
        <v>1</v>
      </c>
      <c r="F1162" s="410">
        <v>0.0038078703703703703</v>
      </c>
      <c r="G1162" s="171">
        <f t="shared" si="290"/>
        <v>5</v>
      </c>
      <c r="H1162" s="171">
        <f>ROUND(
IF(F1162="",
0,
MAX(1, 5 - MAX(0, (F1162 - TIME(0,5,0)) / TIME(0,1,0) * 0.5))
),
2
)
</f>
        <v>4.76</v>
      </c>
    </row>
    <row r="1163" hidden="1" outlineLevel="2">
      <c r="A1163" s="396" t="s">
        <v>21</v>
      </c>
      <c r="B1163" s="398">
        <v>175.0</v>
      </c>
      <c r="C1163" s="398">
        <v>170.0</v>
      </c>
      <c r="D1163" s="141">
        <f t="shared" si="288"/>
        <v>5</v>
      </c>
      <c r="E1163" s="406">
        <f t="shared" si="289"/>
        <v>0.9714285714</v>
      </c>
      <c r="F1163" s="407">
        <v>0.003726851851851852</v>
      </c>
      <c r="G1163" s="171">
        <f t="shared" si="290"/>
        <v>4.5</v>
      </c>
      <c r="H1163" s="171">
        <f>ROUND(
IF(F1163="",
0,
MAX(1, 5 - MAX(0, (F1163 - TIME(0,4,0)) / TIME(0,1,0) * 0.5))
),
2
)
</f>
        <v>4.32</v>
      </c>
    </row>
    <row r="1164" hidden="1" outlineLevel="2">
      <c r="A1164" s="429" t="s">
        <v>74</v>
      </c>
      <c r="B1164" s="401">
        <v>92.0</v>
      </c>
      <c r="C1164" s="401">
        <v>88.0</v>
      </c>
      <c r="D1164" s="408">
        <f t="shared" si="288"/>
        <v>4</v>
      </c>
      <c r="E1164" s="409">
        <f t="shared" si="289"/>
        <v>0.9565217391</v>
      </c>
      <c r="F1164" s="410">
        <v>0.00318287037037037</v>
      </c>
      <c r="G1164" s="171">
        <f t="shared" si="290"/>
        <v>4.5</v>
      </c>
      <c r="H1164" s="171">
        <f>ROUND(
IF(F1164="",
0,
MAX(1, 5 - MAX(0, (F1164 - TIME(0,5,0)) / TIME(0,1,0) * 0.5))
),
2
)
</f>
        <v>5</v>
      </c>
    </row>
    <row r="1165" hidden="1" outlineLevel="2">
      <c r="A1165" s="430" t="s">
        <v>53</v>
      </c>
      <c r="B1165" s="398">
        <v>119.0</v>
      </c>
      <c r="C1165" s="398">
        <v>116.0</v>
      </c>
      <c r="D1165" s="141">
        <f t="shared" si="288"/>
        <v>3</v>
      </c>
      <c r="E1165" s="406">
        <f t="shared" si="289"/>
        <v>0.974789916</v>
      </c>
      <c r="F1165" s="407">
        <v>0.002349537037037037</v>
      </c>
      <c r="G1165" s="171">
        <f t="shared" si="290"/>
        <v>4.5</v>
      </c>
      <c r="H1165" s="171">
        <f>ROUND(
IF(F1165="",
0,
MAX(1, 5 - MAX(0, (F1165 - TIME(0,4,0)) / TIME(0,1,0) * 0.5))
),
2
)
</f>
        <v>5</v>
      </c>
    </row>
    <row r="1166" hidden="1" outlineLevel="2">
      <c r="A1166" s="245" t="s">
        <v>85</v>
      </c>
      <c r="B1166" s="401">
        <v>161.0</v>
      </c>
      <c r="C1166" s="401">
        <v>158.0</v>
      </c>
      <c r="D1166" s="408">
        <f t="shared" si="288"/>
        <v>3</v>
      </c>
      <c r="E1166" s="409">
        <f t="shared" si="289"/>
        <v>0.9813664596</v>
      </c>
      <c r="F1166" s="410">
        <v>0.004641203703703704</v>
      </c>
      <c r="G1166" s="171">
        <f t="shared" si="290"/>
        <v>5</v>
      </c>
      <c r="H1166" s="171">
        <f t="shared" ref="H1166:H1168" si="291">ROUND(
IF(F1166="",
0,
MAX(1, 5 - MAX(0, (F1166 - TIME(0,5,0)) / TIME(0,1,0) * 0.5))
),
2
)
</f>
        <v>4.16</v>
      </c>
    </row>
    <row r="1167" hidden="1" outlineLevel="2">
      <c r="A1167" s="431" t="s">
        <v>7</v>
      </c>
      <c r="B1167" s="398">
        <v>137.0</v>
      </c>
      <c r="C1167" s="398">
        <v>134.0</v>
      </c>
      <c r="D1167" s="141">
        <f t="shared" si="288"/>
        <v>3</v>
      </c>
      <c r="E1167" s="406">
        <f t="shared" si="289"/>
        <v>0.9781021898</v>
      </c>
      <c r="F1167" s="407">
        <v>0.003576388888888889</v>
      </c>
      <c r="G1167" s="171">
        <f t="shared" si="290"/>
        <v>4.5</v>
      </c>
      <c r="H1167" s="171">
        <f t="shared" si="291"/>
        <v>4.93</v>
      </c>
    </row>
    <row r="1168" hidden="1" outlineLevel="2">
      <c r="A1168" s="245" t="s">
        <v>514</v>
      </c>
      <c r="B1168" s="401">
        <v>98.0</v>
      </c>
      <c r="C1168" s="401">
        <v>97.0</v>
      </c>
      <c r="D1168" s="408">
        <f t="shared" si="288"/>
        <v>1</v>
      </c>
      <c r="E1168" s="409">
        <f t="shared" si="289"/>
        <v>0.9897959184</v>
      </c>
      <c r="F1168" s="410">
        <v>0.004270833333333333</v>
      </c>
      <c r="G1168" s="171">
        <f t="shared" si="290"/>
        <v>5</v>
      </c>
      <c r="H1168" s="171">
        <f t="shared" si="291"/>
        <v>4.43</v>
      </c>
    </row>
    <row r="1169" hidden="1" outlineLevel="2"/>
    <row r="1170" hidden="1" outlineLevel="2">
      <c r="A1170" s="55" t="s">
        <v>195</v>
      </c>
    </row>
    <row r="1171" hidden="1" outlineLevel="2">
      <c r="A1171" s="192" t="s">
        <v>196</v>
      </c>
      <c r="B1171" s="193" t="s">
        <v>198</v>
      </c>
      <c r="C1171" s="195" t="s">
        <v>199</v>
      </c>
      <c r="D1171" s="195" t="s">
        <v>200</v>
      </c>
      <c r="E1171" s="197" t="s">
        <v>201</v>
      </c>
      <c r="F1171" s="199" t="s">
        <v>202</v>
      </c>
      <c r="G1171" s="201"/>
    </row>
    <row r="1172" hidden="1" outlineLevel="2">
      <c r="A1172" s="227" t="s">
        <v>4</v>
      </c>
      <c r="B1172" s="229">
        <f t="shared" ref="B1172:B1179" si="292">(C1172*0.3)+(D1172*0.1)</f>
        <v>0.4</v>
      </c>
      <c r="C1172" s="210">
        <v>1.0</v>
      </c>
      <c r="D1172" s="210">
        <v>1.0</v>
      </c>
      <c r="E1172" s="232">
        <f t="shared" ref="E1172:E1179" si="293">(L1149+G1161+H1161)/15*0.3</f>
        <v>0.29</v>
      </c>
      <c r="F1172" s="218">
        <f t="shared" ref="F1172:F1179" si="294">(E1172/30%)*10</f>
        <v>9.666666667</v>
      </c>
      <c r="G1172" s="201"/>
      <c r="H1172" s="201"/>
      <c r="I1172" s="201"/>
      <c r="J1172" s="201"/>
    </row>
    <row r="1173" hidden="1" outlineLevel="2">
      <c r="A1173" s="220" t="s">
        <v>57</v>
      </c>
      <c r="B1173" s="223">
        <f t="shared" si="292"/>
        <v>0.4</v>
      </c>
      <c r="C1173" s="210">
        <v>1.0</v>
      </c>
      <c r="D1173" s="210">
        <v>1.0</v>
      </c>
      <c r="E1173" s="226">
        <f t="shared" si="293"/>
        <v>0.2352</v>
      </c>
      <c r="F1173" s="218">
        <f t="shared" si="294"/>
        <v>7.84</v>
      </c>
      <c r="G1173" s="201"/>
      <c r="H1173" s="201"/>
      <c r="I1173" s="201"/>
      <c r="J1173" s="201"/>
    </row>
    <row r="1174" hidden="1" outlineLevel="2">
      <c r="A1174" s="227" t="s">
        <v>21</v>
      </c>
      <c r="B1174" s="229">
        <f t="shared" si="292"/>
        <v>0.355</v>
      </c>
      <c r="C1174" s="210">
        <v>0.85</v>
      </c>
      <c r="D1174" s="210">
        <v>1.0</v>
      </c>
      <c r="E1174" s="232">
        <f t="shared" si="293"/>
        <v>0.2564</v>
      </c>
      <c r="F1174" s="218">
        <f t="shared" si="294"/>
        <v>8.546666667</v>
      </c>
      <c r="G1174" s="201"/>
      <c r="H1174" s="201"/>
      <c r="I1174" s="201"/>
      <c r="J1174" s="201"/>
    </row>
    <row r="1175" hidden="1" outlineLevel="2">
      <c r="A1175" s="220" t="s">
        <v>32</v>
      </c>
      <c r="B1175" s="223">
        <f t="shared" si="292"/>
        <v>0.4</v>
      </c>
      <c r="C1175" s="210">
        <v>1.0</v>
      </c>
      <c r="D1175" s="210">
        <v>1.0</v>
      </c>
      <c r="E1175" s="226">
        <f t="shared" si="293"/>
        <v>0.27</v>
      </c>
      <c r="F1175" s="218">
        <f t="shared" si="294"/>
        <v>9</v>
      </c>
      <c r="G1175" s="201"/>
      <c r="H1175" s="201"/>
      <c r="I1175" s="201"/>
      <c r="J1175" s="201"/>
    </row>
    <row r="1176" hidden="1" outlineLevel="2">
      <c r="A1176" s="236" t="s">
        <v>58</v>
      </c>
      <c r="B1176" s="229">
        <f t="shared" si="292"/>
        <v>0.31</v>
      </c>
      <c r="C1176" s="210">
        <v>0.7</v>
      </c>
      <c r="D1176" s="210">
        <v>1.0</v>
      </c>
      <c r="E1176" s="232">
        <f t="shared" si="293"/>
        <v>0.27</v>
      </c>
      <c r="F1176" s="218">
        <f t="shared" si="294"/>
        <v>9</v>
      </c>
      <c r="G1176" s="201"/>
      <c r="H1176" s="201"/>
      <c r="I1176" s="201"/>
      <c r="J1176" s="201"/>
    </row>
    <row r="1177" hidden="1" outlineLevel="2">
      <c r="A1177" s="241" t="s">
        <v>85</v>
      </c>
      <c r="B1177" s="223">
        <f t="shared" si="292"/>
        <v>0.4</v>
      </c>
      <c r="C1177" s="210">
        <v>1.0</v>
      </c>
      <c r="D1177" s="210">
        <v>1.0</v>
      </c>
      <c r="E1177" s="226">
        <f t="shared" si="293"/>
        <v>0.2632</v>
      </c>
      <c r="F1177" s="218">
        <f t="shared" si="294"/>
        <v>8.773333333</v>
      </c>
      <c r="G1177" s="201"/>
      <c r="H1177" s="201"/>
      <c r="I1177" s="201"/>
      <c r="J1177" s="201"/>
    </row>
    <row r="1178" hidden="1" outlineLevel="2">
      <c r="A1178" s="245" t="s">
        <v>7</v>
      </c>
      <c r="B1178" s="229">
        <f t="shared" si="292"/>
        <v>0.4</v>
      </c>
      <c r="C1178" s="210">
        <v>1.0</v>
      </c>
      <c r="D1178" s="210">
        <v>1.0</v>
      </c>
      <c r="E1178" s="232">
        <f t="shared" si="293"/>
        <v>0.2686</v>
      </c>
      <c r="F1178" s="218">
        <f t="shared" si="294"/>
        <v>8.953333333</v>
      </c>
      <c r="G1178" s="201"/>
      <c r="H1178" s="201"/>
      <c r="I1178" s="201"/>
      <c r="J1178" s="201"/>
    </row>
    <row r="1179" hidden="1" outlineLevel="2">
      <c r="A1179" s="241" t="s">
        <v>514</v>
      </c>
      <c r="B1179" s="223">
        <f t="shared" si="292"/>
        <v>0.4</v>
      </c>
      <c r="C1179" s="210">
        <v>1.0</v>
      </c>
      <c r="D1179" s="210">
        <v>1.0</v>
      </c>
      <c r="E1179" s="226">
        <f t="shared" si="293"/>
        <v>0.2486</v>
      </c>
      <c r="F1179" s="218">
        <f t="shared" si="294"/>
        <v>8.286666667</v>
      </c>
      <c r="G1179" s="201"/>
      <c r="H1179" s="201"/>
      <c r="I1179" s="201"/>
      <c r="J1179" s="201"/>
    </row>
    <row r="1180" hidden="1" outlineLevel="2">
      <c r="A1180" s="251"/>
      <c r="B1180" s="251"/>
      <c r="C1180" s="252"/>
      <c r="D1180" s="253"/>
      <c r="E1180" s="254"/>
      <c r="F1180" s="201"/>
      <c r="G1180" s="201"/>
      <c r="H1180" s="201"/>
      <c r="I1180" s="201"/>
      <c r="J1180" s="201"/>
    </row>
    <row r="1181" hidden="1" outlineLevel="2">
      <c r="A1181" s="55" t="s">
        <v>222</v>
      </c>
      <c r="B1181" s="251"/>
      <c r="C1181" s="252"/>
      <c r="D1181" s="253"/>
      <c r="E1181" s="254"/>
      <c r="F1181" s="201"/>
      <c r="G1181" s="201"/>
      <c r="H1181" s="201"/>
      <c r="I1181" s="201"/>
      <c r="J1181" s="201"/>
    </row>
    <row r="1182" hidden="1" outlineLevel="2">
      <c r="A1182" s="256" t="s">
        <v>196</v>
      </c>
      <c r="B1182" s="257" t="s">
        <v>223</v>
      </c>
      <c r="C1182" s="62">
        <v>46153.0</v>
      </c>
      <c r="D1182" s="62">
        <v>46154.0</v>
      </c>
      <c r="E1182" s="62">
        <v>46155.0</v>
      </c>
      <c r="F1182" s="62">
        <v>46156.0</v>
      </c>
      <c r="G1182" s="62">
        <v>46157.0</v>
      </c>
      <c r="H1182" s="62">
        <v>46158.0</v>
      </c>
      <c r="I1182" s="62">
        <v>46159.0</v>
      </c>
      <c r="J1182" s="201"/>
    </row>
    <row r="1183" hidden="1" outlineLevel="2">
      <c r="A1183" s="308"/>
      <c r="B1183" s="308"/>
      <c r="C1183" s="82" t="s">
        <v>80</v>
      </c>
      <c r="D1183" s="82" t="s">
        <v>226</v>
      </c>
      <c r="E1183" s="82" t="s">
        <v>227</v>
      </c>
      <c r="F1183" s="82" t="s">
        <v>228</v>
      </c>
      <c r="G1183" s="82" t="s">
        <v>230</v>
      </c>
      <c r="H1183" s="82" t="s">
        <v>231</v>
      </c>
      <c r="I1183" s="82" t="s">
        <v>232</v>
      </c>
    </row>
    <row r="1184" hidden="1" outlineLevel="2">
      <c r="A1184" s="227" t="s">
        <v>4</v>
      </c>
      <c r="B1184" s="264">
        <f t="shared" ref="B1184:B1191" si="295">Sum(C1184:I1184)</f>
        <v>0</v>
      </c>
      <c r="C1184" s="267"/>
      <c r="D1184" s="268"/>
      <c r="E1184" s="268"/>
      <c r="F1184" s="268"/>
      <c r="G1184" s="267"/>
      <c r="H1184" s="267"/>
      <c r="I1184" s="267"/>
    </row>
    <row r="1185" hidden="1" outlineLevel="2">
      <c r="A1185" s="220" t="s">
        <v>57</v>
      </c>
      <c r="B1185" s="264">
        <f t="shared" si="295"/>
        <v>0</v>
      </c>
      <c r="C1185" s="266"/>
      <c r="D1185" s="266"/>
      <c r="E1185" s="266"/>
      <c r="F1185" s="266"/>
      <c r="G1185" s="266"/>
      <c r="H1185" s="265"/>
      <c r="I1185" s="266"/>
    </row>
    <row r="1186" hidden="1" outlineLevel="2">
      <c r="A1186" s="227" t="s">
        <v>21</v>
      </c>
      <c r="B1186" s="264">
        <f t="shared" si="295"/>
        <v>0</v>
      </c>
      <c r="C1186" s="267"/>
      <c r="D1186" s="268"/>
      <c r="E1186" s="267"/>
      <c r="F1186" s="267"/>
      <c r="G1186" s="267"/>
      <c r="H1186" s="267"/>
      <c r="I1186" s="268"/>
    </row>
    <row r="1187" hidden="1" outlineLevel="2">
      <c r="A1187" s="220" t="s">
        <v>32</v>
      </c>
      <c r="B1187" s="264">
        <f t="shared" si="295"/>
        <v>0</v>
      </c>
      <c r="C1187" s="266"/>
      <c r="D1187" s="266"/>
      <c r="E1187" s="266"/>
      <c r="F1187" s="266"/>
      <c r="G1187" s="266"/>
      <c r="H1187" s="266"/>
      <c r="I1187" s="265"/>
    </row>
    <row r="1188" hidden="1" outlineLevel="2">
      <c r="A1188" s="236" t="s">
        <v>58</v>
      </c>
      <c r="B1188" s="264">
        <f t="shared" si="295"/>
        <v>0</v>
      </c>
      <c r="C1188" s="267"/>
      <c r="D1188" s="267"/>
      <c r="E1188" s="267"/>
      <c r="F1188" s="267"/>
      <c r="G1188" s="267"/>
      <c r="H1188" s="267"/>
      <c r="I1188" s="268"/>
    </row>
    <row r="1189" ht="16.5" hidden="1" customHeight="1" outlineLevel="2">
      <c r="A1189" s="241" t="s">
        <v>85</v>
      </c>
      <c r="B1189" s="264">
        <f t="shared" si="295"/>
        <v>0</v>
      </c>
      <c r="C1189" s="266"/>
      <c r="D1189" s="266"/>
      <c r="E1189" s="266"/>
      <c r="F1189" s="266"/>
      <c r="G1189" s="266"/>
      <c r="H1189" s="266"/>
      <c r="I1189" s="266"/>
    </row>
    <row r="1190" hidden="1" outlineLevel="2">
      <c r="A1190" s="245" t="s">
        <v>7</v>
      </c>
      <c r="B1190" s="264">
        <f t="shared" si="295"/>
        <v>0</v>
      </c>
      <c r="C1190" s="268"/>
      <c r="D1190" s="268"/>
      <c r="E1190" s="267"/>
      <c r="F1190" s="267"/>
      <c r="G1190" s="267"/>
      <c r="H1190" s="267"/>
      <c r="I1190" s="268"/>
    </row>
    <row r="1191" hidden="1" outlineLevel="2">
      <c r="A1191" s="241" t="s">
        <v>72</v>
      </c>
      <c r="B1191" s="264">
        <f t="shared" si="295"/>
        <v>0</v>
      </c>
      <c r="C1191" s="265"/>
      <c r="D1191" s="265"/>
      <c r="E1191" s="266"/>
      <c r="F1191" s="265"/>
      <c r="G1191" s="266"/>
      <c r="H1191" s="266"/>
      <c r="I1191" s="265"/>
    </row>
    <row r="1192" hidden="1" outlineLevel="1">
      <c r="A1192" s="52" t="s">
        <v>2154</v>
      </c>
    </row>
    <row r="1193" hidden="1" outlineLevel="1">
      <c r="A1193" s="55" t="s">
        <v>67</v>
      </c>
    </row>
    <row r="1194" hidden="1" outlineLevel="1">
      <c r="A1194" s="57" t="s">
        <v>68</v>
      </c>
      <c r="B1194" s="59" t="s">
        <v>11</v>
      </c>
      <c r="C1194" s="59" t="s">
        <v>71</v>
      </c>
      <c r="D1194" s="62">
        <v>46230.0</v>
      </c>
      <c r="E1194" s="62">
        <v>46231.0</v>
      </c>
      <c r="F1194" s="62">
        <v>46232.0</v>
      </c>
      <c r="G1194" s="62">
        <v>46233.0</v>
      </c>
      <c r="H1194" s="62">
        <v>46234.0</v>
      </c>
      <c r="I1194" s="62">
        <v>46235.0</v>
      </c>
      <c r="J1194" s="62">
        <v>46236.0</v>
      </c>
      <c r="K1194" s="76" t="s">
        <v>77</v>
      </c>
      <c r="L1194" s="78" t="s">
        <v>78</v>
      </c>
    </row>
    <row r="1195" hidden="1" outlineLevel="1">
      <c r="A1195" s="414"/>
      <c r="B1195" s="308"/>
      <c r="C1195" s="308"/>
      <c r="D1195" s="82" t="s">
        <v>80</v>
      </c>
      <c r="E1195" s="82" t="str">
        <f t="shared" ref="E1195:J1195" si="296">text(E1194,"ddd")</f>
        <v>Tue</v>
      </c>
      <c r="F1195" s="82" t="str">
        <f t="shared" si="296"/>
        <v>Wed</v>
      </c>
      <c r="G1195" s="82" t="str">
        <f t="shared" si="296"/>
        <v>Thu</v>
      </c>
      <c r="H1195" s="82" t="str">
        <f t="shared" si="296"/>
        <v>Fri</v>
      </c>
      <c r="I1195" s="82" t="str">
        <f t="shared" si="296"/>
        <v>Sat</v>
      </c>
      <c r="J1195" s="82" t="str">
        <f t="shared" si="296"/>
        <v>Sun</v>
      </c>
      <c r="K1195" s="92"/>
      <c r="L1195" s="81"/>
    </row>
    <row r="1196" hidden="1" outlineLevel="1">
      <c r="A1196" s="399" t="s">
        <v>92</v>
      </c>
      <c r="B1196" s="400">
        <f>30*5</f>
        <v>150</v>
      </c>
      <c r="C1196" s="400">
        <f t="shared" ref="C1196:C1203" si="297">SUM(D1196:J1196)</f>
        <v>149</v>
      </c>
      <c r="D1196" s="401">
        <v>17.0</v>
      </c>
      <c r="E1196" s="401">
        <v>24.0</v>
      </c>
      <c r="F1196" s="401">
        <v>21.0</v>
      </c>
      <c r="G1196" s="401">
        <v>39.0</v>
      </c>
      <c r="H1196" s="401">
        <v>30.0</v>
      </c>
      <c r="I1196" s="401">
        <v>18.0</v>
      </c>
      <c r="J1196" s="108" t="s">
        <v>51</v>
      </c>
      <c r="K1196" s="118">
        <f t="shared" ref="K1196:K1203" si="298">iferror(C1196/B1196,"-")</f>
        <v>0.9933333333</v>
      </c>
      <c r="L1196" s="125">
        <f t="shared" ref="L1196:L1203" si="299">(IF(K1196="",(0),IF(K1196&gt;=1,(5),IF(K1196&gt;=0.9,(4),IF(K1196&gt;=0.8,(3),IF(K1196&gt;=0.69,(2),IF(K1196&lt;=0.69,(1))))))))</f>
        <v>4</v>
      </c>
    </row>
    <row r="1197" hidden="1" outlineLevel="1">
      <c r="A1197" s="396" t="s">
        <v>61</v>
      </c>
      <c r="B1197" s="397">
        <f>30*3+15</f>
        <v>105</v>
      </c>
      <c r="C1197" s="397">
        <f t="shared" si="297"/>
        <v>91</v>
      </c>
      <c r="D1197" s="398">
        <v>21.0</v>
      </c>
      <c r="E1197" s="398">
        <v>26.0</v>
      </c>
      <c r="F1197" s="398">
        <v>14.0</v>
      </c>
      <c r="G1197" s="398">
        <v>24.0</v>
      </c>
      <c r="H1197" s="398" t="s">
        <v>145</v>
      </c>
      <c r="I1197" s="398" t="s">
        <v>51</v>
      </c>
      <c r="J1197" s="108">
        <v>6.0</v>
      </c>
      <c r="K1197" s="118">
        <f t="shared" si="298"/>
        <v>0.8666666667</v>
      </c>
      <c r="L1197" s="125">
        <f t="shared" si="299"/>
        <v>3</v>
      </c>
    </row>
    <row r="1198" hidden="1" outlineLevel="1">
      <c r="A1198" s="399" t="s">
        <v>21</v>
      </c>
      <c r="B1198" s="400">
        <f>30*6</f>
        <v>180</v>
      </c>
      <c r="C1198" s="400">
        <f t="shared" si="297"/>
        <v>188</v>
      </c>
      <c r="D1198" s="401">
        <v>45.0</v>
      </c>
      <c r="E1198" s="427">
        <v>34.0</v>
      </c>
      <c r="F1198" s="401" t="s">
        <v>51</v>
      </c>
      <c r="G1198" s="401">
        <v>30.0</v>
      </c>
      <c r="H1198" s="401">
        <v>34.0</v>
      </c>
      <c r="I1198" s="401">
        <v>36.0</v>
      </c>
      <c r="J1198" s="108">
        <v>9.0</v>
      </c>
      <c r="K1198" s="118">
        <f t="shared" si="298"/>
        <v>1.044444444</v>
      </c>
      <c r="L1198" s="125">
        <f t="shared" si="299"/>
        <v>5</v>
      </c>
    </row>
    <row r="1199" hidden="1" outlineLevel="1">
      <c r="A1199" s="396" t="s">
        <v>74</v>
      </c>
      <c r="B1199" s="397">
        <f t="shared" ref="B1199:B1200" si="300">26*5</f>
        <v>130</v>
      </c>
      <c r="C1199" s="397">
        <f t="shared" si="297"/>
        <v>106</v>
      </c>
      <c r="D1199" s="398">
        <v>17.0</v>
      </c>
      <c r="E1199" s="398">
        <v>26.0</v>
      </c>
      <c r="F1199" s="398">
        <v>25.0</v>
      </c>
      <c r="G1199" s="398">
        <v>4.0</v>
      </c>
      <c r="H1199" s="398" t="s">
        <v>51</v>
      </c>
      <c r="I1199" s="398">
        <v>17.0</v>
      </c>
      <c r="J1199" s="108">
        <v>17.0</v>
      </c>
      <c r="K1199" s="118">
        <f t="shared" si="298"/>
        <v>0.8153846154</v>
      </c>
      <c r="L1199" s="125">
        <f t="shared" si="299"/>
        <v>3</v>
      </c>
    </row>
    <row r="1200" hidden="1" outlineLevel="1">
      <c r="A1200" s="236" t="s">
        <v>53</v>
      </c>
      <c r="B1200" s="400">
        <f t="shared" si="300"/>
        <v>130</v>
      </c>
      <c r="C1200" s="400">
        <f t="shared" si="297"/>
        <v>130</v>
      </c>
      <c r="D1200" s="401">
        <v>28.0</v>
      </c>
      <c r="E1200" s="401">
        <v>21.0</v>
      </c>
      <c r="F1200" s="401">
        <v>30.0</v>
      </c>
      <c r="G1200" s="401" t="s">
        <v>51</v>
      </c>
      <c r="H1200" s="401">
        <v>7.0</v>
      </c>
      <c r="I1200" s="401">
        <v>25.0</v>
      </c>
      <c r="J1200" s="108">
        <v>19.0</v>
      </c>
      <c r="K1200" s="118">
        <f t="shared" si="298"/>
        <v>1</v>
      </c>
      <c r="L1200" s="125">
        <f t="shared" si="299"/>
        <v>5</v>
      </c>
    </row>
    <row r="1201" hidden="1" outlineLevel="1">
      <c r="A1201" s="241" t="s">
        <v>85</v>
      </c>
      <c r="B1201" s="397">
        <f t="shared" ref="B1201:B1202" si="301">30*5</f>
        <v>150</v>
      </c>
      <c r="C1201" s="397">
        <f t="shared" si="297"/>
        <v>151</v>
      </c>
      <c r="D1201" s="398">
        <v>29.0</v>
      </c>
      <c r="E1201" s="398">
        <v>28.0</v>
      </c>
      <c r="F1201" s="398">
        <v>32.0</v>
      </c>
      <c r="G1201" s="398">
        <v>26.0</v>
      </c>
      <c r="H1201" s="398">
        <v>36.0</v>
      </c>
      <c r="I1201" s="398" t="s">
        <v>51</v>
      </c>
      <c r="J1201" s="108" t="s">
        <v>51</v>
      </c>
      <c r="K1201" s="118">
        <f t="shared" si="298"/>
        <v>1.006666667</v>
      </c>
      <c r="L1201" s="125">
        <f t="shared" si="299"/>
        <v>5</v>
      </c>
    </row>
    <row r="1202" hidden="1" outlineLevel="1">
      <c r="A1202" s="245" t="s">
        <v>7</v>
      </c>
      <c r="B1202" s="400">
        <f t="shared" si="301"/>
        <v>150</v>
      </c>
      <c r="C1202" s="400">
        <f t="shared" si="297"/>
        <v>147</v>
      </c>
      <c r="D1202" s="401">
        <v>38.0</v>
      </c>
      <c r="E1202" s="401">
        <v>31.0</v>
      </c>
      <c r="F1202" s="401">
        <v>37.0</v>
      </c>
      <c r="G1202" s="401">
        <v>29.0</v>
      </c>
      <c r="H1202" s="401">
        <v>12.0</v>
      </c>
      <c r="I1202" s="401" t="s">
        <v>51</v>
      </c>
      <c r="J1202" s="108" t="s">
        <v>51</v>
      </c>
      <c r="K1202" s="118">
        <f t="shared" si="298"/>
        <v>0.98</v>
      </c>
      <c r="L1202" s="125">
        <f t="shared" si="299"/>
        <v>4</v>
      </c>
    </row>
    <row r="1203" hidden="1" outlineLevel="1">
      <c r="A1203" s="241" t="s">
        <v>514</v>
      </c>
      <c r="B1203" s="397">
        <f>30*3+15+15</f>
        <v>120</v>
      </c>
      <c r="C1203" s="397">
        <f t="shared" si="297"/>
        <v>100</v>
      </c>
      <c r="D1203" s="398">
        <v>27.0</v>
      </c>
      <c r="E1203" s="398" t="s">
        <v>51</v>
      </c>
      <c r="F1203" s="398" t="s">
        <v>51</v>
      </c>
      <c r="G1203" s="398">
        <v>19.0</v>
      </c>
      <c r="H1203" s="398">
        <v>29.0</v>
      </c>
      <c r="I1203" s="398">
        <v>14.0</v>
      </c>
      <c r="J1203" s="108">
        <v>11.0</v>
      </c>
      <c r="K1203" s="118">
        <f t="shared" si="298"/>
        <v>0.8333333333</v>
      </c>
      <c r="L1203" s="125">
        <f t="shared" si="299"/>
        <v>3</v>
      </c>
    </row>
    <row r="1204" hidden="1" outlineLevel="1"/>
    <row r="1205" hidden="1" outlineLevel="1">
      <c r="A1205" s="55" t="s">
        <v>87</v>
      </c>
      <c r="I1205" s="55"/>
    </row>
    <row r="1206" hidden="1" outlineLevel="1">
      <c r="A1206" s="57" t="s">
        <v>68</v>
      </c>
      <c r="B1206" s="158" t="s">
        <v>157</v>
      </c>
      <c r="C1206" s="158" t="s">
        <v>158</v>
      </c>
      <c r="D1206" s="158" t="s">
        <v>90</v>
      </c>
      <c r="E1206" s="158" t="s">
        <v>91</v>
      </c>
      <c r="F1206" s="158" t="s">
        <v>93</v>
      </c>
      <c r="G1206" s="161" t="s">
        <v>94</v>
      </c>
      <c r="H1206" s="161" t="s">
        <v>160</v>
      </c>
    </row>
    <row r="1207" hidden="1" outlineLevel="1">
      <c r="A1207" s="414"/>
      <c r="B1207" s="308"/>
      <c r="C1207" s="308"/>
      <c r="D1207" s="308"/>
      <c r="E1207" s="308"/>
      <c r="F1207" s="308"/>
      <c r="G1207" s="308"/>
      <c r="H1207" s="308"/>
    </row>
    <row r="1208" hidden="1" outlineLevel="1">
      <c r="A1208" s="399" t="s">
        <v>92</v>
      </c>
      <c r="B1208" s="401">
        <v>153.0</v>
      </c>
      <c r="C1208" s="401">
        <v>149.0</v>
      </c>
      <c r="D1208" s="408">
        <f t="shared" ref="D1208:D1215" si="302">B1208-C1208</f>
        <v>4</v>
      </c>
      <c r="E1208" s="409">
        <f t="shared" ref="E1208:E1215" si="303">IFERROR(C1208/B1208,"")</f>
        <v>0.9738562092</v>
      </c>
      <c r="F1208" s="410">
        <v>0.0019444444444444444</v>
      </c>
      <c r="G1208" s="171">
        <f t="shared" ref="G1208:G1215" si="304">IFERROR((IF(E1208="",(0),IF(E1208&gt;=0.98,(5),IF(E1208&gt;=0.95,(4.5),IF(E1208&gt;=0.9,(4),IF(E1208&gt;=0.8,(3),IF(E1208&lt;=0.69,(1)))))))),"")</f>
        <v>4.5</v>
      </c>
      <c r="H1208" s="171">
        <f>ROUND(
IF(F1208="",
0,
MAX(1, 5 - MAX(0, (F1208 - TIME(0,4,0)) / TIME(0,1,0) * 0.5))
),
2
)
</f>
        <v>5</v>
      </c>
    </row>
    <row r="1209" hidden="1" outlineLevel="1">
      <c r="A1209" s="396" t="s">
        <v>61</v>
      </c>
      <c r="B1209" s="398">
        <v>94.0</v>
      </c>
      <c r="C1209" s="398">
        <v>91.0</v>
      </c>
      <c r="D1209" s="141">
        <f t="shared" si="302"/>
        <v>3</v>
      </c>
      <c r="E1209" s="406">
        <f t="shared" si="303"/>
        <v>0.9680851064</v>
      </c>
      <c r="F1209" s="407">
        <v>0.003611111111111111</v>
      </c>
      <c r="G1209" s="171">
        <f t="shared" si="304"/>
        <v>4.5</v>
      </c>
      <c r="H1209" s="171">
        <f>ROUND(
IF(F1209="",
0,
MAX(1, 5 - MAX(0, (F1209 - TIME(0,5,0)) / TIME(0,1,0) * 0.5))
),
2
)
</f>
        <v>4.9</v>
      </c>
    </row>
    <row r="1210" hidden="1" outlineLevel="1">
      <c r="A1210" s="399" t="s">
        <v>21</v>
      </c>
      <c r="B1210" s="401">
        <v>196.0</v>
      </c>
      <c r="C1210" s="401">
        <v>188.0</v>
      </c>
      <c r="D1210" s="408">
        <f t="shared" si="302"/>
        <v>8</v>
      </c>
      <c r="E1210" s="409">
        <f t="shared" si="303"/>
        <v>0.9591836735</v>
      </c>
      <c r="F1210" s="410">
        <v>0.003449074074074074</v>
      </c>
      <c r="G1210" s="171">
        <f t="shared" si="304"/>
        <v>4.5</v>
      </c>
      <c r="H1210" s="171">
        <f>ROUND(
IF(F1210="",
0,
MAX(1, 5 - MAX(0, (F1210 - TIME(0,4,0)) / TIME(0,1,0) * 0.5))
),
2
)
</f>
        <v>4.52</v>
      </c>
    </row>
    <row r="1211" hidden="1" outlineLevel="1">
      <c r="A1211" s="422" t="s">
        <v>74</v>
      </c>
      <c r="B1211" s="398">
        <v>110.0</v>
      </c>
      <c r="C1211" s="398">
        <v>106.0</v>
      </c>
      <c r="D1211" s="141">
        <f t="shared" si="302"/>
        <v>4</v>
      </c>
      <c r="E1211" s="406">
        <f t="shared" si="303"/>
        <v>0.9636363636</v>
      </c>
      <c r="F1211" s="407">
        <v>0.0033912037037037036</v>
      </c>
      <c r="G1211" s="171">
        <f t="shared" si="304"/>
        <v>4.5</v>
      </c>
      <c r="H1211" s="171">
        <f>ROUND(
IF(F1211="",
0,
MAX(1, 5 - MAX(0, (F1211 - TIME(0,5,0)) / TIME(0,1,0) * 0.5))
),
2
)
</f>
        <v>5</v>
      </c>
    </row>
    <row r="1212" hidden="1" outlineLevel="1">
      <c r="A1212" s="423" t="s">
        <v>53</v>
      </c>
      <c r="B1212" s="401">
        <v>136.0</v>
      </c>
      <c r="C1212" s="401">
        <v>130.0</v>
      </c>
      <c r="D1212" s="408">
        <f t="shared" si="302"/>
        <v>6</v>
      </c>
      <c r="E1212" s="409">
        <f t="shared" si="303"/>
        <v>0.9558823529</v>
      </c>
      <c r="F1212" s="410">
        <v>0.002523148148148148</v>
      </c>
      <c r="G1212" s="171">
        <f t="shared" si="304"/>
        <v>4.5</v>
      </c>
      <c r="H1212" s="171">
        <f>ROUND(
IF(F1212="",
0,
MAX(1, 5 - MAX(0, (F1212 - TIME(0,4,0)) / TIME(0,1,0) * 0.5))
),
2
)
</f>
        <v>5</v>
      </c>
    </row>
    <row r="1213" hidden="1" outlineLevel="1">
      <c r="A1213" s="241" t="s">
        <v>85</v>
      </c>
      <c r="B1213" s="398">
        <v>195.0</v>
      </c>
      <c r="C1213" s="398">
        <v>158.0</v>
      </c>
      <c r="D1213" s="141">
        <f t="shared" si="302"/>
        <v>37</v>
      </c>
      <c r="E1213" s="406">
        <f t="shared" si="303"/>
        <v>0.8102564103</v>
      </c>
      <c r="F1213" s="407">
        <v>0.0043287037037037035</v>
      </c>
      <c r="G1213" s="171">
        <f t="shared" si="304"/>
        <v>3</v>
      </c>
      <c r="H1213" s="171">
        <f t="shared" ref="H1213:H1215" si="305">ROUND(
IF(F1213="",
0,
MAX(1, 5 - MAX(0, (F1213 - TIME(0,5,0)) / TIME(0,1,0) * 0.5))
),
2
)
</f>
        <v>4.38</v>
      </c>
    </row>
    <row r="1214" hidden="1" outlineLevel="1">
      <c r="A1214" s="424" t="s">
        <v>7</v>
      </c>
      <c r="B1214" s="401">
        <v>151.0</v>
      </c>
      <c r="C1214" s="401">
        <v>147.0</v>
      </c>
      <c r="D1214" s="408">
        <f t="shared" si="302"/>
        <v>4</v>
      </c>
      <c r="E1214" s="409">
        <f t="shared" si="303"/>
        <v>0.9735099338</v>
      </c>
      <c r="F1214" s="410">
        <v>0.003703703703703704</v>
      </c>
      <c r="G1214" s="171">
        <f t="shared" si="304"/>
        <v>4.5</v>
      </c>
      <c r="H1214" s="171">
        <f t="shared" si="305"/>
        <v>4.83</v>
      </c>
    </row>
    <row r="1215" hidden="1" outlineLevel="1">
      <c r="A1215" s="241" t="s">
        <v>514</v>
      </c>
      <c r="B1215" s="398">
        <v>101.0</v>
      </c>
      <c r="C1215" s="398">
        <v>100.0</v>
      </c>
      <c r="D1215" s="141">
        <f t="shared" si="302"/>
        <v>1</v>
      </c>
      <c r="E1215" s="406">
        <f t="shared" si="303"/>
        <v>0.9900990099</v>
      </c>
      <c r="F1215" s="407">
        <v>0.004363425925925926</v>
      </c>
      <c r="G1215" s="171">
        <f t="shared" si="304"/>
        <v>5</v>
      </c>
      <c r="H1215" s="171">
        <f t="shared" si="305"/>
        <v>4.36</v>
      </c>
    </row>
    <row r="1216" hidden="1" outlineLevel="1"/>
    <row r="1217" hidden="1" outlineLevel="1">
      <c r="A1217" s="55" t="s">
        <v>195</v>
      </c>
    </row>
    <row r="1218" hidden="1" outlineLevel="1">
      <c r="A1218" s="192" t="s">
        <v>196</v>
      </c>
      <c r="B1218" s="193" t="s">
        <v>198</v>
      </c>
      <c r="C1218" s="195" t="s">
        <v>199</v>
      </c>
      <c r="D1218" s="195" t="s">
        <v>200</v>
      </c>
      <c r="E1218" s="197" t="s">
        <v>201</v>
      </c>
      <c r="F1218" s="199" t="s">
        <v>202</v>
      </c>
      <c r="G1218" s="201"/>
    </row>
    <row r="1219" hidden="1" outlineLevel="1">
      <c r="A1219" s="220" t="s">
        <v>4</v>
      </c>
      <c r="B1219" s="223">
        <f t="shared" ref="B1219:B1226" si="306">(C1219*0.3)+(D1219*0.1)</f>
        <v>0.4</v>
      </c>
      <c r="C1219" s="210">
        <v>1.0</v>
      </c>
      <c r="D1219" s="210">
        <v>1.0</v>
      </c>
      <c r="E1219" s="226">
        <f t="shared" ref="E1219:E1226" si="307">(L1196+G1208+H1208)/15*0.3</f>
        <v>0.27</v>
      </c>
      <c r="F1219" s="218">
        <f t="shared" ref="F1219:F1226" si="308">(E1219/30%)*10</f>
        <v>9</v>
      </c>
      <c r="G1219" s="201"/>
      <c r="H1219" s="201"/>
      <c r="I1219" s="201"/>
      <c r="J1219" s="201"/>
    </row>
    <row r="1220" hidden="1" outlineLevel="1">
      <c r="A1220" s="227" t="s">
        <v>57</v>
      </c>
      <c r="B1220" s="229">
        <f t="shared" si="306"/>
        <v>0.4</v>
      </c>
      <c r="C1220" s="210">
        <v>1.0</v>
      </c>
      <c r="D1220" s="210">
        <v>1.0</v>
      </c>
      <c r="E1220" s="232">
        <f t="shared" si="307"/>
        <v>0.248</v>
      </c>
      <c r="F1220" s="218">
        <f t="shared" si="308"/>
        <v>8.266666667</v>
      </c>
      <c r="G1220" s="201"/>
      <c r="H1220" s="201"/>
      <c r="I1220" s="201"/>
      <c r="J1220" s="201"/>
    </row>
    <row r="1221" hidden="1" outlineLevel="1">
      <c r="A1221" s="220" t="s">
        <v>21</v>
      </c>
      <c r="B1221" s="223">
        <f t="shared" si="306"/>
        <v>0.4</v>
      </c>
      <c r="C1221" s="210">
        <v>1.0</v>
      </c>
      <c r="D1221" s="210">
        <v>1.0</v>
      </c>
      <c r="E1221" s="226">
        <f t="shared" si="307"/>
        <v>0.2804</v>
      </c>
      <c r="F1221" s="218">
        <f t="shared" si="308"/>
        <v>9.346666667</v>
      </c>
      <c r="G1221" s="201"/>
      <c r="H1221" s="201"/>
      <c r="I1221" s="201"/>
      <c r="J1221" s="201"/>
    </row>
    <row r="1222" hidden="1" outlineLevel="1">
      <c r="A1222" s="227" t="s">
        <v>32</v>
      </c>
      <c r="B1222" s="229">
        <f t="shared" si="306"/>
        <v>0.39633</v>
      </c>
      <c r="C1222" s="210">
        <v>1.0</v>
      </c>
      <c r="D1222" s="210">
        <v>0.9633</v>
      </c>
      <c r="E1222" s="232">
        <f t="shared" si="307"/>
        <v>0.25</v>
      </c>
      <c r="F1222" s="218">
        <f t="shared" si="308"/>
        <v>8.333333333</v>
      </c>
      <c r="G1222" s="201"/>
      <c r="H1222" s="201"/>
      <c r="I1222" s="201"/>
      <c r="J1222" s="201"/>
    </row>
    <row r="1223" hidden="1" outlineLevel="1">
      <c r="A1223" s="272" t="s">
        <v>58</v>
      </c>
      <c r="B1223" s="223">
        <f t="shared" si="306"/>
        <v>0.31</v>
      </c>
      <c r="C1223" s="210">
        <v>0.7</v>
      </c>
      <c r="D1223" s="210">
        <v>1.0</v>
      </c>
      <c r="E1223" s="226">
        <f t="shared" si="307"/>
        <v>0.29</v>
      </c>
      <c r="F1223" s="218">
        <f t="shared" si="308"/>
        <v>9.666666667</v>
      </c>
      <c r="G1223" s="201"/>
      <c r="H1223" s="201"/>
      <c r="I1223" s="201"/>
      <c r="J1223" s="201"/>
    </row>
    <row r="1224" hidden="1" outlineLevel="1">
      <c r="A1224" s="245" t="s">
        <v>85</v>
      </c>
      <c r="B1224" s="229">
        <f t="shared" si="306"/>
        <v>0.4</v>
      </c>
      <c r="C1224" s="210">
        <v>1.0</v>
      </c>
      <c r="D1224" s="210">
        <v>1.0</v>
      </c>
      <c r="E1224" s="232">
        <f t="shared" si="307"/>
        <v>0.2476</v>
      </c>
      <c r="F1224" s="218">
        <f t="shared" si="308"/>
        <v>8.253333333</v>
      </c>
      <c r="G1224" s="201"/>
      <c r="H1224" s="201"/>
      <c r="I1224" s="201"/>
      <c r="J1224" s="201"/>
    </row>
    <row r="1225" hidden="1" outlineLevel="1">
      <c r="A1225" s="241" t="s">
        <v>7</v>
      </c>
      <c r="B1225" s="223">
        <f t="shared" si="306"/>
        <v>0.4</v>
      </c>
      <c r="C1225" s="210">
        <v>1.0</v>
      </c>
      <c r="D1225" s="210">
        <v>1.0</v>
      </c>
      <c r="E1225" s="226">
        <f t="shared" si="307"/>
        <v>0.2666</v>
      </c>
      <c r="F1225" s="218">
        <f t="shared" si="308"/>
        <v>8.886666667</v>
      </c>
      <c r="G1225" s="201"/>
      <c r="H1225" s="201"/>
      <c r="I1225" s="201"/>
      <c r="J1225" s="201"/>
    </row>
    <row r="1226" hidden="1" outlineLevel="1">
      <c r="A1226" s="245" t="s">
        <v>514</v>
      </c>
      <c r="B1226" s="229">
        <f t="shared" si="306"/>
        <v>0.4</v>
      </c>
      <c r="C1226" s="210">
        <v>1.0</v>
      </c>
      <c r="D1226" s="210">
        <v>1.0</v>
      </c>
      <c r="E1226" s="232">
        <f t="shared" si="307"/>
        <v>0.2472</v>
      </c>
      <c r="F1226" s="218">
        <f t="shared" si="308"/>
        <v>8.24</v>
      </c>
      <c r="G1226" s="201"/>
      <c r="H1226" s="201"/>
      <c r="I1226" s="201"/>
      <c r="J1226" s="201"/>
    </row>
    <row r="1227" hidden="1" outlineLevel="1">
      <c r="A1227" s="251"/>
      <c r="B1227" s="251"/>
      <c r="C1227" s="252"/>
      <c r="D1227" s="253"/>
      <c r="E1227" s="254"/>
      <c r="F1227" s="201"/>
      <c r="G1227" s="201"/>
      <c r="H1227" s="201"/>
      <c r="I1227" s="201"/>
      <c r="J1227" s="201"/>
    </row>
    <row r="1228">
      <c r="A1228" s="52" t="s">
        <v>2282</v>
      </c>
    </row>
    <row r="1229" outlineLevel="1">
      <c r="A1229" s="55" t="s">
        <v>67</v>
      </c>
    </row>
    <row r="1230" outlineLevel="1">
      <c r="A1230" s="57" t="s">
        <v>68</v>
      </c>
      <c r="B1230" s="59" t="s">
        <v>11</v>
      </c>
      <c r="C1230" s="59" t="s">
        <v>71</v>
      </c>
      <c r="D1230" s="62">
        <v>46237.0</v>
      </c>
      <c r="E1230" s="62">
        <v>46238.0</v>
      </c>
      <c r="F1230" s="62">
        <v>46239.0</v>
      </c>
      <c r="G1230" s="62">
        <v>46240.0</v>
      </c>
      <c r="H1230" s="62">
        <v>46241.0</v>
      </c>
      <c r="I1230" s="62">
        <v>46242.0</v>
      </c>
      <c r="J1230" s="62">
        <v>46243.0</v>
      </c>
      <c r="K1230" s="76" t="s">
        <v>77</v>
      </c>
      <c r="L1230" s="78" t="s">
        <v>78</v>
      </c>
    </row>
    <row r="1231" outlineLevel="1">
      <c r="A1231" s="414"/>
      <c r="B1231" s="308"/>
      <c r="C1231" s="308"/>
      <c r="D1231" s="82" t="s">
        <v>80</v>
      </c>
      <c r="E1231" s="82" t="str">
        <f t="shared" ref="E1231:J1231" si="309">text(E1230,"ddd")</f>
        <v>Tue</v>
      </c>
      <c r="F1231" s="82" t="str">
        <f t="shared" si="309"/>
        <v>Wed</v>
      </c>
      <c r="G1231" s="82" t="str">
        <f t="shared" si="309"/>
        <v>Thu</v>
      </c>
      <c r="H1231" s="82" t="str">
        <f t="shared" si="309"/>
        <v>Fri</v>
      </c>
      <c r="I1231" s="82" t="str">
        <f t="shared" si="309"/>
        <v>Sat</v>
      </c>
      <c r="J1231" s="82" t="str">
        <f t="shared" si="309"/>
        <v>Sun</v>
      </c>
      <c r="K1231" s="92"/>
      <c r="L1231" s="81"/>
    </row>
    <row r="1232" outlineLevel="1">
      <c r="A1232" s="399" t="s">
        <v>92</v>
      </c>
      <c r="B1232" s="400">
        <f>30*5</f>
        <v>150</v>
      </c>
      <c r="C1232" s="400">
        <f t="shared" ref="C1232:C1239" si="310">SUM(D1232:J1232)</f>
        <v>152</v>
      </c>
      <c r="D1232" s="401">
        <v>24.0</v>
      </c>
      <c r="E1232" s="401">
        <v>31.0</v>
      </c>
      <c r="F1232" s="401">
        <v>28.0</v>
      </c>
      <c r="G1232" s="401">
        <v>25.0</v>
      </c>
      <c r="H1232" s="401">
        <v>44.0</v>
      </c>
      <c r="I1232" s="401" t="s">
        <v>51</v>
      </c>
      <c r="J1232" s="108" t="s">
        <v>51</v>
      </c>
      <c r="K1232" s="118">
        <f t="shared" ref="K1232:K1239" si="311">iferror(C1232/B1232,"-")</f>
        <v>1.013333333</v>
      </c>
      <c r="L1232" s="125">
        <f t="shared" ref="L1232:L1239" si="312">(IF(K1232="",(0),IF(K1232&gt;=1,(5),IF(K1232&gt;=0.9,(4),IF(K1232&gt;=0.8,(3),IF(K1232&gt;=0.69,(2),IF(K1232&lt;=0.69,(1))))))))</f>
        <v>5</v>
      </c>
    </row>
    <row r="1233" outlineLevel="1">
      <c r="A1233" s="396" t="s">
        <v>61</v>
      </c>
      <c r="B1233" s="397">
        <f>30*3+15</f>
        <v>105</v>
      </c>
      <c r="C1233" s="397">
        <f t="shared" si="310"/>
        <v>116</v>
      </c>
      <c r="D1233" s="398">
        <v>29.0</v>
      </c>
      <c r="E1233" s="398">
        <v>21.0</v>
      </c>
      <c r="F1233" s="398">
        <v>24.0</v>
      </c>
      <c r="G1233" s="398">
        <v>14.0</v>
      </c>
      <c r="H1233" s="398">
        <v>28.0</v>
      </c>
      <c r="I1233" s="398" t="s">
        <v>51</v>
      </c>
      <c r="J1233" s="108" t="s">
        <v>51</v>
      </c>
      <c r="K1233" s="118">
        <f t="shared" si="311"/>
        <v>1.104761905</v>
      </c>
      <c r="L1233" s="125">
        <f t="shared" si="312"/>
        <v>5</v>
      </c>
    </row>
    <row r="1234" outlineLevel="1">
      <c r="A1234" s="399" t="s">
        <v>21</v>
      </c>
      <c r="B1234" s="400">
        <f>30*6</f>
        <v>180</v>
      </c>
      <c r="C1234" s="400">
        <f t="shared" si="310"/>
        <v>135</v>
      </c>
      <c r="D1234" s="401">
        <v>33.0</v>
      </c>
      <c r="E1234" s="427">
        <v>28.0</v>
      </c>
      <c r="F1234" s="401" t="s">
        <v>51</v>
      </c>
      <c r="G1234" s="401">
        <v>36.0</v>
      </c>
      <c r="H1234" s="401">
        <v>38.0</v>
      </c>
      <c r="I1234" s="401"/>
      <c r="J1234" s="108" t="s">
        <v>51</v>
      </c>
      <c r="K1234" s="118">
        <f t="shared" si="311"/>
        <v>0.75</v>
      </c>
      <c r="L1234" s="125">
        <f t="shared" si="312"/>
        <v>2</v>
      </c>
    </row>
    <row r="1235" outlineLevel="1">
      <c r="A1235" s="396" t="s">
        <v>74</v>
      </c>
      <c r="B1235" s="397">
        <f t="shared" ref="B1235:B1236" si="313">26*5</f>
        <v>130</v>
      </c>
      <c r="C1235" s="397">
        <f t="shared" si="310"/>
        <v>80</v>
      </c>
      <c r="D1235" s="398">
        <v>26.0</v>
      </c>
      <c r="E1235" s="398">
        <v>23.0</v>
      </c>
      <c r="F1235" s="398">
        <v>18.0</v>
      </c>
      <c r="G1235" s="398">
        <v>13.0</v>
      </c>
      <c r="H1235" s="398" t="s">
        <v>51</v>
      </c>
      <c r="I1235" s="398"/>
      <c r="J1235" s="108"/>
      <c r="K1235" s="118">
        <f t="shared" si="311"/>
        <v>0.6153846154</v>
      </c>
      <c r="L1235" s="125">
        <f t="shared" si="312"/>
        <v>1</v>
      </c>
    </row>
    <row r="1236" outlineLevel="1">
      <c r="A1236" s="236" t="s">
        <v>53</v>
      </c>
      <c r="B1236" s="400">
        <f t="shared" si="313"/>
        <v>130</v>
      </c>
      <c r="C1236" s="400">
        <f t="shared" si="310"/>
        <v>93</v>
      </c>
      <c r="D1236" s="401">
        <v>34.0</v>
      </c>
      <c r="E1236" s="401">
        <v>24.0</v>
      </c>
      <c r="F1236" s="401">
        <v>27.0</v>
      </c>
      <c r="G1236" s="401">
        <v>8.0</v>
      </c>
      <c r="H1236" s="401" t="s">
        <v>51</v>
      </c>
      <c r="I1236" s="401"/>
      <c r="J1236" s="108"/>
      <c r="K1236" s="118">
        <f t="shared" si="311"/>
        <v>0.7153846154</v>
      </c>
      <c r="L1236" s="125">
        <f t="shared" si="312"/>
        <v>2</v>
      </c>
    </row>
    <row r="1237" outlineLevel="1">
      <c r="A1237" s="241" t="s">
        <v>85</v>
      </c>
      <c r="B1237" s="397">
        <f t="shared" ref="B1237:B1238" si="314">30*5</f>
        <v>150</v>
      </c>
      <c r="C1237" s="397">
        <f t="shared" si="310"/>
        <v>169</v>
      </c>
      <c r="D1237" s="398">
        <v>33.0</v>
      </c>
      <c r="E1237" s="398">
        <v>36.0</v>
      </c>
      <c r="F1237" s="398">
        <v>32.0</v>
      </c>
      <c r="G1237" s="398">
        <v>41.0</v>
      </c>
      <c r="H1237" s="398">
        <v>27.0</v>
      </c>
      <c r="I1237" s="398" t="s">
        <v>51</v>
      </c>
      <c r="J1237" s="108" t="s">
        <v>51</v>
      </c>
      <c r="K1237" s="118">
        <f t="shared" si="311"/>
        <v>1.126666667</v>
      </c>
      <c r="L1237" s="125">
        <f t="shared" si="312"/>
        <v>5</v>
      </c>
    </row>
    <row r="1238" outlineLevel="1">
      <c r="A1238" s="245" t="s">
        <v>7</v>
      </c>
      <c r="B1238" s="400">
        <f t="shared" si="314"/>
        <v>150</v>
      </c>
      <c r="C1238" s="400">
        <f t="shared" si="310"/>
        <v>162</v>
      </c>
      <c r="D1238" s="401">
        <v>39.0</v>
      </c>
      <c r="E1238" s="401">
        <v>27.0</v>
      </c>
      <c r="F1238" s="401">
        <v>42.0</v>
      </c>
      <c r="G1238" s="401">
        <v>28.0</v>
      </c>
      <c r="H1238" s="401">
        <v>26.0</v>
      </c>
      <c r="I1238" s="401" t="s">
        <v>51</v>
      </c>
      <c r="J1238" s="108" t="s">
        <v>51</v>
      </c>
      <c r="K1238" s="118">
        <f t="shared" si="311"/>
        <v>1.08</v>
      </c>
      <c r="L1238" s="125">
        <f t="shared" si="312"/>
        <v>5</v>
      </c>
    </row>
    <row r="1239" outlineLevel="1">
      <c r="A1239" s="241" t="s">
        <v>514</v>
      </c>
      <c r="B1239" s="397">
        <f>30*3+15+15</f>
        <v>120</v>
      </c>
      <c r="C1239" s="397">
        <f t="shared" si="310"/>
        <v>87</v>
      </c>
      <c r="D1239" s="398">
        <v>18.0</v>
      </c>
      <c r="E1239" s="398">
        <v>14.0</v>
      </c>
      <c r="F1239" s="398" t="s">
        <v>51</v>
      </c>
      <c r="G1239" s="398">
        <v>26.0</v>
      </c>
      <c r="H1239" s="398">
        <v>29.0</v>
      </c>
      <c r="I1239" s="398"/>
      <c r="J1239" s="108"/>
      <c r="K1239" s="118">
        <f t="shared" si="311"/>
        <v>0.725</v>
      </c>
      <c r="L1239" s="125">
        <f t="shared" si="312"/>
        <v>2</v>
      </c>
    </row>
    <row r="1240" outlineLevel="1"/>
    <row r="1241" outlineLevel="1">
      <c r="A1241" s="55" t="s">
        <v>87</v>
      </c>
      <c r="I1241" s="55"/>
    </row>
    <row r="1242" outlineLevel="1">
      <c r="A1242" s="57" t="s">
        <v>68</v>
      </c>
      <c r="B1242" s="158" t="s">
        <v>157</v>
      </c>
      <c r="C1242" s="158" t="s">
        <v>158</v>
      </c>
      <c r="D1242" s="158" t="s">
        <v>90</v>
      </c>
      <c r="E1242" s="158" t="s">
        <v>91</v>
      </c>
      <c r="F1242" s="158" t="s">
        <v>93</v>
      </c>
      <c r="G1242" s="161" t="s">
        <v>94</v>
      </c>
      <c r="H1242" s="161" t="s">
        <v>160</v>
      </c>
    </row>
    <row r="1243" outlineLevel="1">
      <c r="A1243" s="414"/>
      <c r="B1243" s="308"/>
      <c r="C1243" s="308"/>
      <c r="D1243" s="308"/>
      <c r="E1243" s="308"/>
      <c r="F1243" s="308"/>
      <c r="G1243" s="308"/>
      <c r="H1243" s="308"/>
    </row>
    <row r="1244" outlineLevel="1">
      <c r="A1244" s="399" t="s">
        <v>92</v>
      </c>
      <c r="B1244" s="401">
        <v>153.0</v>
      </c>
      <c r="C1244" s="401">
        <v>149.0</v>
      </c>
      <c r="D1244" s="408">
        <f t="shared" ref="D1244:D1251" si="315">B1244-C1244</f>
        <v>4</v>
      </c>
      <c r="E1244" s="409">
        <f t="shared" ref="E1244:E1251" si="316">IFERROR(C1244/B1244,"")</f>
        <v>0.9738562092</v>
      </c>
      <c r="F1244" s="410">
        <v>0.0019444444444444444</v>
      </c>
      <c r="G1244" s="171">
        <f t="shared" ref="G1244:G1251" si="317">IFERROR((IF(E1244="",(0),IF(E1244&gt;=0.98,(5),IF(E1244&gt;=0.95,(4.5),IF(E1244&gt;=0.9,(4),IF(E1244&gt;=0.8,(3),IF(E1244&lt;=0.69,(1)))))))),"")</f>
        <v>4.5</v>
      </c>
      <c r="H1244" s="171">
        <f>ROUND(
IF(F1244="",
0,
MAX(1, 5 - MAX(0, (F1244 - TIME(0,4,0)) / TIME(0,1,0) * 0.5))
),
2
)
</f>
        <v>5</v>
      </c>
    </row>
    <row r="1245" outlineLevel="1">
      <c r="A1245" s="396" t="s">
        <v>61</v>
      </c>
      <c r="B1245" s="398">
        <v>94.0</v>
      </c>
      <c r="C1245" s="398">
        <v>91.0</v>
      </c>
      <c r="D1245" s="141">
        <f t="shared" si="315"/>
        <v>3</v>
      </c>
      <c r="E1245" s="406">
        <f t="shared" si="316"/>
        <v>0.9680851064</v>
      </c>
      <c r="F1245" s="407">
        <v>0.003611111111111111</v>
      </c>
      <c r="G1245" s="171">
        <f t="shared" si="317"/>
        <v>4.5</v>
      </c>
      <c r="H1245" s="171">
        <f>ROUND(
IF(F1245="",
0,
MAX(1, 5 - MAX(0, (F1245 - TIME(0,5,0)) / TIME(0,1,0) * 0.5))
),
2
)
</f>
        <v>4.9</v>
      </c>
    </row>
    <row r="1246" outlineLevel="1">
      <c r="A1246" s="399" t="s">
        <v>21</v>
      </c>
      <c r="B1246" s="401">
        <v>196.0</v>
      </c>
      <c r="C1246" s="401">
        <v>188.0</v>
      </c>
      <c r="D1246" s="408">
        <f t="shared" si="315"/>
        <v>8</v>
      </c>
      <c r="E1246" s="409">
        <f t="shared" si="316"/>
        <v>0.9591836735</v>
      </c>
      <c r="F1246" s="410">
        <v>0.003449074074074074</v>
      </c>
      <c r="G1246" s="171">
        <f t="shared" si="317"/>
        <v>4.5</v>
      </c>
      <c r="H1246" s="171">
        <f>ROUND(
IF(F1246="",
0,
MAX(1, 5 - MAX(0, (F1246 - TIME(0,4,0)) / TIME(0,1,0) * 0.5))
),
2
)
</f>
        <v>4.52</v>
      </c>
    </row>
    <row r="1247" outlineLevel="1">
      <c r="A1247" s="422" t="s">
        <v>74</v>
      </c>
      <c r="B1247" s="398">
        <v>110.0</v>
      </c>
      <c r="C1247" s="398">
        <v>106.0</v>
      </c>
      <c r="D1247" s="141">
        <f t="shared" si="315"/>
        <v>4</v>
      </c>
      <c r="E1247" s="406">
        <f t="shared" si="316"/>
        <v>0.9636363636</v>
      </c>
      <c r="F1247" s="407">
        <v>0.0033912037037037036</v>
      </c>
      <c r="G1247" s="171">
        <f t="shared" si="317"/>
        <v>4.5</v>
      </c>
      <c r="H1247" s="171">
        <f>ROUND(
IF(F1247="",
0,
MAX(1, 5 - MAX(0, (F1247 - TIME(0,5,0)) / TIME(0,1,0) * 0.5))
),
2
)
</f>
        <v>5</v>
      </c>
    </row>
    <row r="1248" outlineLevel="1">
      <c r="A1248" s="423" t="s">
        <v>53</v>
      </c>
      <c r="B1248" s="401">
        <v>136.0</v>
      </c>
      <c r="C1248" s="401">
        <v>130.0</v>
      </c>
      <c r="D1248" s="408">
        <f t="shared" si="315"/>
        <v>6</v>
      </c>
      <c r="E1248" s="409">
        <f t="shared" si="316"/>
        <v>0.9558823529</v>
      </c>
      <c r="F1248" s="410">
        <v>0.002523148148148148</v>
      </c>
      <c r="G1248" s="171">
        <f t="shared" si="317"/>
        <v>4.5</v>
      </c>
      <c r="H1248" s="171">
        <f>ROUND(
IF(F1248="",
0,
MAX(1, 5 - MAX(0, (F1248 - TIME(0,4,0)) / TIME(0,1,0) * 0.5))
),
2
)
</f>
        <v>5</v>
      </c>
    </row>
    <row r="1249" outlineLevel="1">
      <c r="A1249" s="241" t="s">
        <v>85</v>
      </c>
      <c r="B1249" s="398">
        <v>195.0</v>
      </c>
      <c r="C1249" s="398">
        <v>158.0</v>
      </c>
      <c r="D1249" s="141">
        <f t="shared" si="315"/>
        <v>37</v>
      </c>
      <c r="E1249" s="406">
        <f t="shared" si="316"/>
        <v>0.8102564103</v>
      </c>
      <c r="F1249" s="407">
        <v>0.0043287037037037035</v>
      </c>
      <c r="G1249" s="171">
        <f t="shared" si="317"/>
        <v>3</v>
      </c>
      <c r="H1249" s="171">
        <f t="shared" ref="H1249:H1251" si="318">ROUND(
IF(F1249="",
0,
MAX(1, 5 - MAX(0, (F1249 - TIME(0,5,0)) / TIME(0,1,0) * 0.5))
),
2
)
</f>
        <v>4.38</v>
      </c>
    </row>
    <row r="1250" outlineLevel="1">
      <c r="A1250" s="424" t="s">
        <v>7</v>
      </c>
      <c r="B1250" s="401">
        <v>151.0</v>
      </c>
      <c r="C1250" s="401">
        <v>147.0</v>
      </c>
      <c r="D1250" s="408">
        <f t="shared" si="315"/>
        <v>4</v>
      </c>
      <c r="E1250" s="409">
        <f t="shared" si="316"/>
        <v>0.9735099338</v>
      </c>
      <c r="F1250" s="410">
        <v>0.003703703703703704</v>
      </c>
      <c r="G1250" s="171">
        <f t="shared" si="317"/>
        <v>4.5</v>
      </c>
      <c r="H1250" s="171">
        <f t="shared" si="318"/>
        <v>4.83</v>
      </c>
    </row>
    <row r="1251" outlineLevel="1">
      <c r="A1251" s="241" t="s">
        <v>514</v>
      </c>
      <c r="B1251" s="398">
        <v>101.0</v>
      </c>
      <c r="C1251" s="398">
        <v>100.0</v>
      </c>
      <c r="D1251" s="141">
        <f t="shared" si="315"/>
        <v>1</v>
      </c>
      <c r="E1251" s="406">
        <f t="shared" si="316"/>
        <v>0.9900990099</v>
      </c>
      <c r="F1251" s="407">
        <v>0.004363425925925926</v>
      </c>
      <c r="G1251" s="171">
        <f t="shared" si="317"/>
        <v>5</v>
      </c>
      <c r="H1251" s="171">
        <f t="shared" si="318"/>
        <v>4.36</v>
      </c>
    </row>
    <row r="1252" outlineLevel="1"/>
    <row r="1253" outlineLevel="1">
      <c r="A1253" s="55" t="s">
        <v>195</v>
      </c>
    </row>
    <row r="1254" outlineLevel="1">
      <c r="A1254" s="192" t="s">
        <v>196</v>
      </c>
      <c r="B1254" s="193" t="s">
        <v>198</v>
      </c>
      <c r="C1254" s="195" t="s">
        <v>199</v>
      </c>
      <c r="D1254" s="195" t="s">
        <v>200</v>
      </c>
      <c r="E1254" s="197" t="s">
        <v>201</v>
      </c>
      <c r="F1254" s="199" t="s">
        <v>202</v>
      </c>
      <c r="G1254" s="201"/>
    </row>
    <row r="1255" outlineLevel="1">
      <c r="A1255" s="220" t="s">
        <v>4</v>
      </c>
      <c r="B1255" s="223">
        <f t="shared" ref="B1255:B1262" si="319">(C1255*0.3)+(D1255*0.1)</f>
        <v>0.4</v>
      </c>
      <c r="C1255" s="210">
        <v>1.0</v>
      </c>
      <c r="D1255" s="210">
        <v>1.0</v>
      </c>
      <c r="E1255" s="226">
        <f t="shared" ref="E1255:E1262" si="320">(L1232+G1244+H1244)/15*0.3</f>
        <v>0.29</v>
      </c>
      <c r="F1255" s="218">
        <f t="shared" ref="F1255:F1262" si="321">(E1255/30%)*10</f>
        <v>9.666666667</v>
      </c>
      <c r="G1255" s="201"/>
      <c r="H1255" s="201"/>
      <c r="I1255" s="201"/>
      <c r="J1255" s="201"/>
    </row>
    <row r="1256" outlineLevel="1">
      <c r="A1256" s="227" t="s">
        <v>57</v>
      </c>
      <c r="B1256" s="229">
        <f t="shared" si="319"/>
        <v>0.4</v>
      </c>
      <c r="C1256" s="210">
        <v>1.0</v>
      </c>
      <c r="D1256" s="210">
        <v>1.0</v>
      </c>
      <c r="E1256" s="232">
        <f t="shared" si="320"/>
        <v>0.288</v>
      </c>
      <c r="F1256" s="218">
        <f t="shared" si="321"/>
        <v>9.6</v>
      </c>
      <c r="G1256" s="201"/>
      <c r="H1256" s="201"/>
      <c r="I1256" s="201"/>
      <c r="J1256" s="201"/>
    </row>
    <row r="1257" outlineLevel="1">
      <c r="A1257" s="220" t="s">
        <v>21</v>
      </c>
      <c r="B1257" s="223">
        <f t="shared" si="319"/>
        <v>0.4</v>
      </c>
      <c r="C1257" s="210">
        <v>1.0</v>
      </c>
      <c r="D1257" s="210">
        <v>1.0</v>
      </c>
      <c r="E1257" s="226">
        <f t="shared" si="320"/>
        <v>0.2204</v>
      </c>
      <c r="F1257" s="218">
        <f t="shared" si="321"/>
        <v>7.346666667</v>
      </c>
      <c r="G1257" s="201"/>
      <c r="H1257" s="201"/>
      <c r="I1257" s="201"/>
      <c r="J1257" s="201"/>
    </row>
    <row r="1258" outlineLevel="1">
      <c r="A1258" s="227" t="s">
        <v>32</v>
      </c>
      <c r="B1258" s="229">
        <f t="shared" si="319"/>
        <v>0.39633</v>
      </c>
      <c r="C1258" s="210">
        <v>1.0</v>
      </c>
      <c r="D1258" s="210">
        <v>0.9633</v>
      </c>
      <c r="E1258" s="232">
        <f t="shared" si="320"/>
        <v>0.21</v>
      </c>
      <c r="F1258" s="218">
        <f t="shared" si="321"/>
        <v>7</v>
      </c>
      <c r="G1258" s="201"/>
      <c r="H1258" s="201"/>
      <c r="I1258" s="201"/>
      <c r="J1258" s="201"/>
    </row>
    <row r="1259" outlineLevel="1">
      <c r="A1259" s="272" t="s">
        <v>58</v>
      </c>
      <c r="B1259" s="223">
        <f t="shared" si="319"/>
        <v>0.31</v>
      </c>
      <c r="C1259" s="210">
        <v>0.7</v>
      </c>
      <c r="D1259" s="210">
        <v>1.0</v>
      </c>
      <c r="E1259" s="226">
        <f t="shared" si="320"/>
        <v>0.23</v>
      </c>
      <c r="F1259" s="218">
        <f t="shared" si="321"/>
        <v>7.666666667</v>
      </c>
      <c r="G1259" s="201"/>
      <c r="H1259" s="201"/>
      <c r="I1259" s="201"/>
      <c r="J1259" s="201"/>
    </row>
    <row r="1260" outlineLevel="1">
      <c r="A1260" s="245" t="s">
        <v>85</v>
      </c>
      <c r="B1260" s="229">
        <f t="shared" si="319"/>
        <v>0.4</v>
      </c>
      <c r="C1260" s="210">
        <v>1.0</v>
      </c>
      <c r="D1260" s="210">
        <v>1.0</v>
      </c>
      <c r="E1260" s="232">
        <f t="shared" si="320"/>
        <v>0.2476</v>
      </c>
      <c r="F1260" s="218">
        <f t="shared" si="321"/>
        <v>8.253333333</v>
      </c>
      <c r="G1260" s="201"/>
      <c r="H1260" s="201"/>
      <c r="I1260" s="201"/>
      <c r="J1260" s="201"/>
    </row>
    <row r="1261" outlineLevel="1">
      <c r="A1261" s="241" t="s">
        <v>7</v>
      </c>
      <c r="B1261" s="223">
        <f t="shared" si="319"/>
        <v>0.4</v>
      </c>
      <c r="C1261" s="210">
        <v>1.0</v>
      </c>
      <c r="D1261" s="210">
        <v>1.0</v>
      </c>
      <c r="E1261" s="226">
        <f t="shared" si="320"/>
        <v>0.2866</v>
      </c>
      <c r="F1261" s="218">
        <f t="shared" si="321"/>
        <v>9.553333333</v>
      </c>
      <c r="G1261" s="201"/>
      <c r="H1261" s="201"/>
      <c r="I1261" s="201"/>
      <c r="J1261" s="201"/>
    </row>
    <row r="1262" outlineLevel="1">
      <c r="A1262" s="245" t="s">
        <v>514</v>
      </c>
      <c r="B1262" s="229">
        <f t="shared" si="319"/>
        <v>0.4</v>
      </c>
      <c r="C1262" s="210">
        <v>1.0</v>
      </c>
      <c r="D1262" s="210">
        <v>1.0</v>
      </c>
      <c r="E1262" s="232">
        <f t="shared" si="320"/>
        <v>0.2272</v>
      </c>
      <c r="F1262" s="218">
        <f t="shared" si="321"/>
        <v>7.573333333</v>
      </c>
      <c r="G1262" s="201"/>
      <c r="H1262" s="201"/>
      <c r="I1262" s="201"/>
      <c r="J1262" s="201"/>
    </row>
    <row r="1263" outlineLevel="1">
      <c r="A1263" s="251"/>
      <c r="B1263" s="251"/>
      <c r="C1263" s="252"/>
      <c r="D1263" s="253"/>
      <c r="E1263" s="254"/>
      <c r="F1263" s="201"/>
      <c r="G1263" s="201"/>
      <c r="H1263" s="201"/>
      <c r="I1263" s="201"/>
      <c r="J1263" s="201"/>
    </row>
    <row r="1264">
      <c r="A1264" s="307"/>
      <c r="B1264" s="309"/>
      <c r="C1264" s="477"/>
      <c r="D1264" s="477"/>
      <c r="E1264" s="478"/>
      <c r="F1264" s="477"/>
      <c r="G1264" s="478"/>
      <c r="H1264" s="478"/>
      <c r="I1264" s="477"/>
    </row>
    <row r="1265">
      <c r="A1265" s="250"/>
      <c r="B1265" s="309"/>
      <c r="C1265" s="310"/>
      <c r="D1265" s="310"/>
      <c r="E1265" s="311"/>
      <c r="F1265" s="310"/>
      <c r="G1265" s="311"/>
      <c r="H1265" s="311"/>
      <c r="I1265" s="310"/>
    </row>
    <row r="1266">
      <c r="A1266" s="307"/>
      <c r="B1266" s="309"/>
      <c r="C1266" s="477"/>
      <c r="D1266" s="477"/>
      <c r="E1266" s="478"/>
      <c r="F1266" s="477"/>
      <c r="G1266" s="478"/>
      <c r="H1266" s="478"/>
      <c r="I1266" s="477"/>
    </row>
    <row r="1267">
      <c r="A1267" s="250"/>
      <c r="B1267" s="309"/>
      <c r="C1267" s="310"/>
      <c r="D1267" s="310"/>
      <c r="E1267" s="311"/>
      <c r="F1267" s="310"/>
      <c r="G1267" s="311"/>
      <c r="H1267" s="311"/>
      <c r="I1267" s="310"/>
    </row>
    <row r="1268">
      <c r="A1268" s="307"/>
      <c r="B1268" s="309"/>
      <c r="C1268" s="477"/>
      <c r="D1268" s="477"/>
      <c r="E1268" s="478"/>
      <c r="F1268" s="477"/>
      <c r="G1268" s="478"/>
      <c r="H1268" s="478"/>
      <c r="I1268" s="477"/>
    </row>
    <row r="1269">
      <c r="A1269" s="250"/>
      <c r="B1269" s="309"/>
      <c r="C1269" s="310"/>
      <c r="D1269" s="310"/>
      <c r="E1269" s="311"/>
      <c r="F1269" s="310"/>
      <c r="G1269" s="311"/>
      <c r="H1269" s="311"/>
      <c r="I1269" s="310"/>
    </row>
    <row r="1270">
      <c r="A1270" s="307"/>
      <c r="B1270" s="309"/>
      <c r="C1270" s="477"/>
      <c r="D1270" s="477"/>
      <c r="E1270" s="478"/>
      <c r="F1270" s="477"/>
      <c r="G1270" s="478"/>
      <c r="H1270" s="478"/>
      <c r="I1270" s="477"/>
    </row>
    <row r="1271">
      <c r="A1271" s="250"/>
      <c r="B1271" s="309"/>
      <c r="C1271" s="310"/>
      <c r="D1271" s="310"/>
      <c r="E1271" s="311"/>
      <c r="F1271" s="310"/>
      <c r="G1271" s="311"/>
      <c r="H1271" s="311"/>
      <c r="I1271" s="310"/>
    </row>
    <row r="1272">
      <c r="A1272" s="307"/>
      <c r="B1272" s="309"/>
      <c r="C1272" s="477"/>
      <c r="D1272" s="477"/>
      <c r="E1272" s="478"/>
      <c r="F1272" s="477"/>
      <c r="G1272" s="478"/>
      <c r="H1272" s="478"/>
      <c r="I1272" s="477"/>
    </row>
    <row r="1273">
      <c r="A1273" s="250"/>
      <c r="B1273" s="309"/>
      <c r="C1273" s="310"/>
      <c r="D1273" s="310"/>
      <c r="E1273" s="311"/>
      <c r="F1273" s="310"/>
      <c r="G1273" s="311"/>
      <c r="H1273" s="311"/>
      <c r="I1273" s="310"/>
    </row>
    <row r="1274">
      <c r="A1274" s="307"/>
      <c r="B1274" s="309"/>
      <c r="C1274" s="477"/>
      <c r="D1274" s="477"/>
      <c r="E1274" s="478"/>
      <c r="F1274" s="477"/>
      <c r="G1274" s="478"/>
      <c r="H1274" s="478"/>
      <c r="I1274" s="477"/>
    </row>
    <row r="1275">
      <c r="A1275" s="250"/>
      <c r="B1275" s="309"/>
      <c r="C1275" s="310"/>
      <c r="D1275" s="310"/>
      <c r="E1275" s="311"/>
      <c r="F1275" s="310"/>
      <c r="G1275" s="311"/>
      <c r="H1275" s="311"/>
      <c r="I1275" s="310"/>
    </row>
    <row r="1276">
      <c r="A1276" s="307"/>
      <c r="B1276" s="309"/>
      <c r="C1276" s="477"/>
      <c r="D1276" s="477"/>
      <c r="E1276" s="478"/>
      <c r="F1276" s="477"/>
      <c r="G1276" s="478"/>
      <c r="H1276" s="478"/>
      <c r="I1276" s="477"/>
    </row>
    <row r="1277">
      <c r="A1277" s="250"/>
      <c r="B1277" s="309"/>
      <c r="C1277" s="310"/>
      <c r="D1277" s="310"/>
      <c r="E1277" s="311"/>
      <c r="F1277" s="310"/>
      <c r="G1277" s="311"/>
      <c r="H1277" s="311"/>
      <c r="I1277" s="310"/>
    </row>
    <row r="1278">
      <c r="A1278" s="307"/>
      <c r="B1278" s="309"/>
      <c r="C1278" s="477"/>
      <c r="D1278" s="477"/>
      <c r="E1278" s="478"/>
      <c r="F1278" s="477"/>
      <c r="G1278" s="478"/>
      <c r="H1278" s="478"/>
      <c r="I1278" s="477"/>
    </row>
    <row r="1279">
      <c r="A1279" s="250"/>
      <c r="B1279" s="309"/>
      <c r="C1279" s="310"/>
      <c r="D1279" s="310"/>
      <c r="E1279" s="311"/>
      <c r="F1279" s="310"/>
      <c r="G1279" s="311"/>
      <c r="H1279" s="311"/>
      <c r="I1279" s="310"/>
    </row>
    <row r="1280">
      <c r="A1280" s="307"/>
      <c r="B1280" s="309"/>
      <c r="C1280" s="477"/>
      <c r="D1280" s="477"/>
      <c r="E1280" s="478"/>
      <c r="F1280" s="477"/>
      <c r="G1280" s="478"/>
      <c r="H1280" s="478"/>
      <c r="I1280" s="477"/>
    </row>
    <row r="1281">
      <c r="A1281" s="250"/>
      <c r="B1281" s="309"/>
      <c r="C1281" s="310"/>
      <c r="D1281" s="310"/>
      <c r="E1281" s="311"/>
      <c r="F1281" s="310"/>
      <c r="G1281" s="311"/>
      <c r="H1281" s="311"/>
      <c r="I1281" s="310"/>
    </row>
    <row r="1282">
      <c r="A1282" s="307"/>
      <c r="B1282" s="309"/>
      <c r="C1282" s="477"/>
      <c r="D1282" s="477"/>
      <c r="E1282" s="478"/>
      <c r="F1282" s="477"/>
      <c r="G1282" s="478"/>
      <c r="H1282" s="478"/>
      <c r="I1282" s="477"/>
    </row>
    <row r="1283">
      <c r="A1283" s="250"/>
      <c r="B1283" s="309"/>
      <c r="C1283" s="310"/>
      <c r="D1283" s="310"/>
      <c r="E1283" s="311"/>
      <c r="F1283" s="310"/>
      <c r="G1283" s="311"/>
      <c r="H1283" s="311"/>
      <c r="I1283" s="310"/>
    </row>
    <row r="1284">
      <c r="A1284" s="307"/>
      <c r="B1284" s="309"/>
      <c r="C1284" s="477"/>
      <c r="D1284" s="477"/>
      <c r="E1284" s="478"/>
      <c r="F1284" s="477"/>
      <c r="G1284" s="478"/>
      <c r="H1284" s="478"/>
      <c r="I1284" s="477"/>
    </row>
    <row r="1285">
      <c r="A1285" s="250"/>
      <c r="B1285" s="309"/>
      <c r="C1285" s="310"/>
      <c r="D1285" s="310"/>
      <c r="E1285" s="311"/>
      <c r="F1285" s="310"/>
      <c r="G1285" s="311"/>
      <c r="H1285" s="311"/>
      <c r="I1285" s="310"/>
    </row>
    <row r="1286">
      <c r="A1286" s="307"/>
      <c r="B1286" s="309"/>
      <c r="C1286" s="477"/>
      <c r="D1286" s="477"/>
      <c r="E1286" s="478"/>
      <c r="F1286" s="477"/>
      <c r="G1286" s="478"/>
      <c r="H1286" s="478"/>
      <c r="I1286" s="477"/>
    </row>
    <row r="1287">
      <c r="A1287" s="250"/>
      <c r="B1287" s="309"/>
      <c r="C1287" s="310"/>
      <c r="D1287" s="310"/>
      <c r="E1287" s="311"/>
      <c r="F1287" s="310"/>
      <c r="G1287" s="311"/>
      <c r="H1287" s="311"/>
      <c r="I1287" s="310"/>
    </row>
    <row r="1288">
      <c r="A1288" s="307"/>
      <c r="B1288" s="309"/>
      <c r="C1288" s="477"/>
      <c r="D1288" s="477"/>
      <c r="E1288" s="478"/>
      <c r="F1288" s="477"/>
      <c r="G1288" s="478"/>
      <c r="H1288" s="478"/>
      <c r="I1288" s="477"/>
    </row>
    <row r="1289">
      <c r="A1289" s="250"/>
      <c r="B1289" s="309"/>
      <c r="C1289" s="310"/>
      <c r="D1289" s="310"/>
      <c r="E1289" s="311"/>
      <c r="F1289" s="310"/>
      <c r="G1289" s="311"/>
      <c r="H1289" s="311"/>
      <c r="I1289" s="310"/>
    </row>
    <row r="1290">
      <c r="A1290" s="307"/>
      <c r="B1290" s="309"/>
      <c r="C1290" s="477"/>
      <c r="D1290" s="477"/>
      <c r="E1290" s="478"/>
      <c r="F1290" s="477"/>
      <c r="G1290" s="478"/>
      <c r="H1290" s="478"/>
      <c r="I1290" s="477"/>
    </row>
    <row r="1291">
      <c r="A1291" s="250"/>
      <c r="B1291" s="309"/>
      <c r="C1291" s="310"/>
      <c r="D1291" s="310"/>
      <c r="E1291" s="311"/>
      <c r="F1291" s="310"/>
      <c r="G1291" s="311"/>
      <c r="H1291" s="311"/>
      <c r="I1291" s="310"/>
    </row>
    <row r="1292">
      <c r="A1292" s="307"/>
      <c r="B1292" s="309"/>
      <c r="C1292" s="477"/>
      <c r="D1292" s="477"/>
      <c r="E1292" s="478"/>
      <c r="F1292" s="477"/>
      <c r="G1292" s="478"/>
      <c r="H1292" s="478"/>
      <c r="I1292" s="477"/>
    </row>
    <row r="1293">
      <c r="A1293" s="250"/>
      <c r="B1293" s="309"/>
      <c r="C1293" s="310"/>
      <c r="D1293" s="310"/>
      <c r="E1293" s="311"/>
      <c r="F1293" s="310"/>
      <c r="G1293" s="311"/>
      <c r="H1293" s="311"/>
      <c r="I1293" s="310"/>
    </row>
    <row r="1294">
      <c r="A1294" s="307"/>
      <c r="B1294" s="309"/>
      <c r="C1294" s="477"/>
      <c r="D1294" s="477"/>
      <c r="E1294" s="478"/>
      <c r="F1294" s="477"/>
      <c r="G1294" s="478"/>
      <c r="H1294" s="478"/>
      <c r="I1294" s="477"/>
    </row>
    <row r="1295">
      <c r="A1295" s="250"/>
      <c r="B1295" s="309"/>
      <c r="C1295" s="310"/>
      <c r="D1295" s="310"/>
      <c r="E1295" s="311"/>
      <c r="F1295" s="310"/>
      <c r="G1295" s="311"/>
      <c r="H1295" s="311"/>
      <c r="I1295" s="310"/>
    </row>
    <row r="1296">
      <c r="A1296" s="307"/>
      <c r="B1296" s="309"/>
      <c r="C1296" s="477"/>
      <c r="D1296" s="477"/>
      <c r="E1296" s="478"/>
      <c r="F1296" s="477"/>
      <c r="G1296" s="478"/>
      <c r="H1296" s="478"/>
      <c r="I1296" s="477"/>
    </row>
    <row r="1297">
      <c r="A1297" s="250"/>
      <c r="B1297" s="309"/>
      <c r="C1297" s="310"/>
      <c r="D1297" s="310"/>
      <c r="E1297" s="311"/>
      <c r="F1297" s="310"/>
      <c r="G1297" s="311"/>
      <c r="H1297" s="311"/>
      <c r="I1297" s="310"/>
    </row>
    <row r="1298">
      <c r="A1298" s="307"/>
      <c r="B1298" s="309"/>
      <c r="C1298" s="477"/>
      <c r="D1298" s="477"/>
      <c r="E1298" s="478"/>
      <c r="F1298" s="477"/>
      <c r="G1298" s="478"/>
      <c r="H1298" s="478"/>
      <c r="I1298" s="477"/>
    </row>
    <row r="1299">
      <c r="A1299" s="250"/>
      <c r="B1299" s="309"/>
      <c r="C1299" s="310"/>
      <c r="D1299" s="310"/>
      <c r="E1299" s="311"/>
      <c r="F1299" s="310"/>
      <c r="G1299" s="311"/>
      <c r="H1299" s="311"/>
      <c r="I1299" s="310"/>
    </row>
    <row r="1300">
      <c r="A1300" s="307"/>
      <c r="B1300" s="309"/>
      <c r="C1300" s="477"/>
      <c r="D1300" s="477"/>
      <c r="E1300" s="478"/>
      <c r="F1300" s="477"/>
      <c r="G1300" s="478"/>
      <c r="H1300" s="478"/>
      <c r="I1300" s="477"/>
    </row>
    <row r="1301">
      <c r="A1301" s="250"/>
      <c r="B1301" s="309"/>
      <c r="C1301" s="310"/>
      <c r="D1301" s="310"/>
      <c r="E1301" s="311"/>
      <c r="F1301" s="310"/>
      <c r="G1301" s="311"/>
      <c r="H1301" s="311"/>
      <c r="I1301" s="310"/>
    </row>
    <row r="1302">
      <c r="A1302" s="307"/>
      <c r="B1302" s="309"/>
      <c r="C1302" s="477"/>
      <c r="D1302" s="477"/>
      <c r="E1302" s="478"/>
      <c r="F1302" s="477"/>
      <c r="G1302" s="478"/>
      <c r="H1302" s="478"/>
      <c r="I1302" s="477"/>
    </row>
    <row r="1303">
      <c r="A1303" s="250"/>
      <c r="B1303" s="309"/>
      <c r="C1303" s="310"/>
      <c r="D1303" s="310"/>
      <c r="E1303" s="311"/>
      <c r="F1303" s="310"/>
      <c r="G1303" s="311"/>
      <c r="H1303" s="311"/>
      <c r="I1303" s="310"/>
    </row>
    <row r="1304">
      <c r="A1304" s="307"/>
      <c r="B1304" s="309"/>
      <c r="C1304" s="477"/>
      <c r="D1304" s="477"/>
      <c r="E1304" s="478"/>
      <c r="F1304" s="477"/>
      <c r="G1304" s="478"/>
      <c r="H1304" s="478"/>
      <c r="I1304" s="477"/>
    </row>
    <row r="1305">
      <c r="A1305" s="250"/>
      <c r="B1305" s="309"/>
      <c r="C1305" s="310"/>
      <c r="D1305" s="310"/>
      <c r="E1305" s="311"/>
      <c r="F1305" s="310"/>
      <c r="G1305" s="311"/>
      <c r="H1305" s="311"/>
      <c r="I1305" s="310"/>
    </row>
    <row r="1306">
      <c r="A1306" s="307"/>
      <c r="B1306" s="309"/>
      <c r="C1306" s="477"/>
      <c r="D1306" s="477"/>
      <c r="E1306" s="478"/>
      <c r="F1306" s="477"/>
      <c r="G1306" s="478"/>
      <c r="H1306" s="478"/>
      <c r="I1306" s="477"/>
    </row>
    <row r="1307">
      <c r="A1307" s="250"/>
      <c r="B1307" s="309"/>
      <c r="C1307" s="310"/>
      <c r="D1307" s="310"/>
      <c r="E1307" s="311"/>
      <c r="F1307" s="310"/>
      <c r="G1307" s="311"/>
      <c r="H1307" s="311"/>
      <c r="I1307" s="310"/>
    </row>
    <row r="1308">
      <c r="A1308" s="307"/>
      <c r="B1308" s="309"/>
      <c r="C1308" s="477"/>
      <c r="D1308" s="477"/>
      <c r="E1308" s="478"/>
      <c r="F1308" s="477"/>
      <c r="G1308" s="478"/>
      <c r="H1308" s="478"/>
      <c r="I1308" s="477"/>
    </row>
    <row r="1309">
      <c r="A1309" s="250"/>
      <c r="B1309" s="309"/>
      <c r="C1309" s="310"/>
      <c r="D1309" s="310"/>
      <c r="E1309" s="311"/>
      <c r="F1309" s="310"/>
      <c r="G1309" s="311"/>
      <c r="H1309" s="311"/>
      <c r="I1309" s="310"/>
    </row>
    <row r="1310">
      <c r="A1310" s="307"/>
      <c r="B1310" s="309"/>
      <c r="C1310" s="477"/>
      <c r="D1310" s="477"/>
      <c r="E1310" s="478"/>
      <c r="F1310" s="477"/>
      <c r="G1310" s="478"/>
      <c r="H1310" s="478"/>
      <c r="I1310" s="477"/>
    </row>
    <row r="1311">
      <c r="A1311" s="250"/>
      <c r="B1311" s="309"/>
      <c r="C1311" s="310"/>
      <c r="D1311" s="310"/>
      <c r="E1311" s="311"/>
      <c r="F1311" s="310"/>
      <c r="G1311" s="311"/>
      <c r="H1311" s="311"/>
      <c r="I1311" s="310"/>
    </row>
    <row r="1312">
      <c r="A1312" s="307"/>
      <c r="B1312" s="309"/>
      <c r="C1312" s="477"/>
      <c r="D1312" s="477"/>
      <c r="E1312" s="478"/>
      <c r="F1312" s="477"/>
      <c r="G1312" s="478"/>
      <c r="H1312" s="478"/>
      <c r="I1312" s="477"/>
    </row>
    <row r="1313">
      <c r="A1313" s="250"/>
      <c r="B1313" s="309"/>
      <c r="C1313" s="310"/>
      <c r="D1313" s="310"/>
      <c r="E1313" s="311"/>
      <c r="F1313" s="310"/>
      <c r="G1313" s="311"/>
      <c r="H1313" s="311"/>
      <c r="I1313" s="310"/>
    </row>
    <row r="1314">
      <c r="A1314" s="307"/>
      <c r="B1314" s="309"/>
      <c r="C1314" s="477"/>
      <c r="D1314" s="477"/>
      <c r="E1314" s="478"/>
      <c r="F1314" s="477"/>
      <c r="G1314" s="478"/>
      <c r="H1314" s="478"/>
      <c r="I1314" s="477"/>
    </row>
    <row r="1315">
      <c r="A1315" s="250"/>
      <c r="B1315" s="309"/>
      <c r="C1315" s="310"/>
      <c r="D1315" s="310"/>
      <c r="E1315" s="311"/>
      <c r="F1315" s="310"/>
      <c r="G1315" s="311"/>
      <c r="H1315" s="311"/>
      <c r="I1315" s="310"/>
    </row>
    <row r="1316">
      <c r="A1316" s="307"/>
      <c r="B1316" s="309"/>
      <c r="C1316" s="477"/>
      <c r="D1316" s="477"/>
      <c r="E1316" s="478"/>
      <c r="F1316" s="477"/>
      <c r="G1316" s="478"/>
      <c r="H1316" s="478"/>
      <c r="I1316" s="477"/>
    </row>
    <row r="1317">
      <c r="A1317" s="250"/>
      <c r="B1317" s="309"/>
      <c r="C1317" s="310"/>
      <c r="D1317" s="310"/>
      <c r="E1317" s="311"/>
      <c r="F1317" s="310"/>
      <c r="G1317" s="311"/>
      <c r="H1317" s="311"/>
      <c r="I1317" s="310"/>
    </row>
    <row r="1318">
      <c r="A1318" s="307"/>
      <c r="B1318" s="309"/>
      <c r="C1318" s="477"/>
      <c r="D1318" s="477"/>
      <c r="E1318" s="478"/>
      <c r="F1318" s="477"/>
      <c r="G1318" s="478"/>
      <c r="H1318" s="478"/>
      <c r="I1318" s="477"/>
    </row>
    <row r="1319">
      <c r="A1319" s="250"/>
      <c r="B1319" s="309"/>
      <c r="C1319" s="310"/>
      <c r="D1319" s="310"/>
      <c r="E1319" s="311"/>
      <c r="F1319" s="310"/>
      <c r="G1319" s="311"/>
      <c r="H1319" s="311"/>
      <c r="I1319" s="310"/>
    </row>
    <row r="1320">
      <c r="A1320" s="307"/>
      <c r="B1320" s="309"/>
      <c r="C1320" s="477"/>
      <c r="D1320" s="477"/>
      <c r="E1320" s="478"/>
      <c r="F1320" s="477"/>
      <c r="G1320" s="478"/>
      <c r="H1320" s="478"/>
      <c r="I1320" s="477"/>
    </row>
    <row r="1321">
      <c r="A1321" s="250"/>
      <c r="B1321" s="309"/>
      <c r="C1321" s="310"/>
      <c r="D1321" s="310"/>
      <c r="E1321" s="311"/>
      <c r="F1321" s="310"/>
      <c r="G1321" s="311"/>
      <c r="H1321" s="311"/>
      <c r="I1321" s="310"/>
    </row>
    <row r="1322">
      <c r="A1322" s="307"/>
      <c r="B1322" s="309"/>
      <c r="C1322" s="477"/>
      <c r="D1322" s="477"/>
      <c r="E1322" s="478"/>
      <c r="F1322" s="477"/>
      <c r="G1322" s="478"/>
      <c r="H1322" s="478"/>
      <c r="I1322" s="477"/>
    </row>
    <row r="1323">
      <c r="A1323" s="250"/>
      <c r="B1323" s="309"/>
      <c r="C1323" s="310"/>
      <c r="D1323" s="310"/>
      <c r="E1323" s="311"/>
      <c r="F1323" s="310"/>
      <c r="G1323" s="311"/>
      <c r="H1323" s="311"/>
      <c r="I1323" s="310"/>
    </row>
    <row r="1324">
      <c r="A1324" s="307"/>
      <c r="B1324" s="309"/>
      <c r="C1324" s="477"/>
      <c r="D1324" s="477"/>
      <c r="E1324" s="478"/>
      <c r="F1324" s="477"/>
      <c r="G1324" s="478"/>
      <c r="H1324" s="478"/>
      <c r="I1324" s="477"/>
    </row>
    <row r="1325">
      <c r="A1325" s="250"/>
      <c r="B1325" s="309"/>
      <c r="C1325" s="310"/>
      <c r="D1325" s="310"/>
      <c r="E1325" s="311"/>
      <c r="F1325" s="310"/>
      <c r="G1325" s="311"/>
      <c r="H1325" s="311"/>
      <c r="I1325" s="310"/>
    </row>
    <row r="1326">
      <c r="A1326" s="307"/>
      <c r="B1326" s="309"/>
      <c r="C1326" s="477"/>
      <c r="D1326" s="477"/>
      <c r="E1326" s="478"/>
      <c r="F1326" s="477"/>
      <c r="G1326" s="478"/>
      <c r="H1326" s="478"/>
      <c r="I1326" s="477"/>
    </row>
    <row r="1327">
      <c r="A1327" s="250"/>
      <c r="B1327" s="309"/>
      <c r="C1327" s="310"/>
      <c r="D1327" s="310"/>
      <c r="E1327" s="311"/>
      <c r="F1327" s="310"/>
      <c r="G1327" s="311"/>
      <c r="H1327" s="311"/>
      <c r="I1327" s="310"/>
    </row>
    <row r="1328">
      <c r="A1328" s="307"/>
      <c r="B1328" s="309"/>
      <c r="C1328" s="477"/>
      <c r="D1328" s="477"/>
      <c r="E1328" s="478"/>
      <c r="F1328" s="477"/>
      <c r="G1328" s="478"/>
      <c r="H1328" s="478"/>
      <c r="I1328" s="477"/>
    </row>
    <row r="1329">
      <c r="A1329" s="250"/>
      <c r="B1329" s="309"/>
      <c r="C1329" s="310"/>
      <c r="D1329" s="310"/>
      <c r="E1329" s="311"/>
      <c r="F1329" s="310"/>
      <c r="G1329" s="311"/>
      <c r="H1329" s="311"/>
      <c r="I1329" s="310"/>
    </row>
    <row r="1330">
      <c r="A1330" s="307"/>
      <c r="B1330" s="309"/>
      <c r="C1330" s="477"/>
      <c r="D1330" s="477"/>
      <c r="E1330" s="478"/>
      <c r="F1330" s="477"/>
      <c r="G1330" s="478"/>
      <c r="H1330" s="478"/>
      <c r="I1330" s="477"/>
    </row>
    <row r="1331">
      <c r="A1331" s="250"/>
      <c r="B1331" s="309"/>
      <c r="C1331" s="310"/>
      <c r="D1331" s="310"/>
      <c r="E1331" s="311"/>
      <c r="F1331" s="310"/>
      <c r="G1331" s="311"/>
      <c r="H1331" s="311"/>
      <c r="I1331" s="310"/>
    </row>
    <row r="1332">
      <c r="A1332" s="307"/>
      <c r="B1332" s="309"/>
      <c r="C1332" s="477"/>
      <c r="D1332" s="477"/>
      <c r="E1332" s="478"/>
      <c r="F1332" s="477"/>
      <c r="G1332" s="478"/>
      <c r="H1332" s="478"/>
      <c r="I1332" s="477"/>
    </row>
    <row r="1333">
      <c r="A1333" s="250"/>
      <c r="B1333" s="309"/>
      <c r="C1333" s="310"/>
      <c r="D1333" s="310"/>
      <c r="E1333" s="311"/>
      <c r="F1333" s="310"/>
      <c r="G1333" s="311"/>
      <c r="H1333" s="311"/>
      <c r="I1333" s="310"/>
    </row>
    <row r="1334">
      <c r="A1334" s="307"/>
      <c r="B1334" s="309"/>
      <c r="C1334" s="477"/>
      <c r="D1334" s="477"/>
      <c r="E1334" s="478"/>
      <c r="F1334" s="477"/>
      <c r="G1334" s="478"/>
      <c r="H1334" s="478"/>
      <c r="I1334" s="477"/>
    </row>
    <row r="1335">
      <c r="A1335" s="250"/>
      <c r="B1335" s="309"/>
      <c r="C1335" s="310"/>
      <c r="D1335" s="310"/>
      <c r="E1335" s="311"/>
      <c r="F1335" s="310"/>
      <c r="G1335" s="311"/>
      <c r="H1335" s="311"/>
      <c r="I1335" s="310"/>
    </row>
    <row r="1336">
      <c r="A1336" s="307"/>
      <c r="B1336" s="309"/>
      <c r="C1336" s="477"/>
      <c r="D1336" s="477"/>
      <c r="E1336" s="478"/>
      <c r="F1336" s="477"/>
      <c r="G1336" s="478"/>
      <c r="H1336" s="478"/>
      <c r="I1336" s="477"/>
    </row>
    <row r="1337">
      <c r="A1337" s="250"/>
      <c r="B1337" s="309"/>
      <c r="C1337" s="310"/>
      <c r="D1337" s="310"/>
      <c r="E1337" s="311"/>
      <c r="F1337" s="310"/>
      <c r="G1337" s="311"/>
      <c r="H1337" s="311"/>
      <c r="I1337" s="310"/>
    </row>
    <row r="1338">
      <c r="A1338" s="307"/>
      <c r="B1338" s="309"/>
      <c r="C1338" s="477"/>
      <c r="D1338" s="477"/>
      <c r="E1338" s="478"/>
      <c r="F1338" s="477"/>
      <c r="G1338" s="478"/>
      <c r="H1338" s="478"/>
      <c r="I1338" s="477"/>
    </row>
    <row r="1339">
      <c r="A1339" s="250"/>
      <c r="B1339" s="309"/>
      <c r="C1339" s="310"/>
      <c r="D1339" s="310"/>
      <c r="E1339" s="311"/>
      <c r="F1339" s="310"/>
      <c r="G1339" s="311"/>
      <c r="H1339" s="311"/>
      <c r="I1339" s="310"/>
    </row>
    <row r="1340">
      <c r="A1340" s="307"/>
      <c r="B1340" s="309"/>
      <c r="C1340" s="477"/>
      <c r="D1340" s="477"/>
      <c r="E1340" s="478"/>
      <c r="F1340" s="477"/>
      <c r="G1340" s="478"/>
      <c r="H1340" s="478"/>
      <c r="I1340" s="477"/>
    </row>
    <row r="1341">
      <c r="A1341" s="250"/>
      <c r="B1341" s="309"/>
      <c r="C1341" s="310"/>
      <c r="D1341" s="310"/>
      <c r="E1341" s="311"/>
      <c r="F1341" s="310"/>
      <c r="G1341" s="311"/>
      <c r="H1341" s="311"/>
      <c r="I1341" s="310"/>
    </row>
    <row r="1342">
      <c r="A1342" s="307"/>
      <c r="B1342" s="309"/>
      <c r="C1342" s="477"/>
      <c r="D1342" s="477"/>
      <c r="E1342" s="478"/>
      <c r="F1342" s="477"/>
      <c r="G1342" s="478"/>
      <c r="H1342" s="478"/>
      <c r="I1342" s="477"/>
    </row>
    <row r="1343">
      <c r="A1343" s="250"/>
      <c r="B1343" s="309"/>
      <c r="C1343" s="310"/>
      <c r="D1343" s="310"/>
      <c r="E1343" s="311"/>
      <c r="F1343" s="310"/>
      <c r="G1343" s="311"/>
      <c r="H1343" s="311"/>
      <c r="I1343" s="310"/>
    </row>
    <row r="1344">
      <c r="A1344" s="307"/>
      <c r="B1344" s="309"/>
      <c r="C1344" s="477"/>
      <c r="D1344" s="477"/>
      <c r="E1344" s="478"/>
      <c r="F1344" s="477"/>
      <c r="G1344" s="478"/>
      <c r="H1344" s="478"/>
      <c r="I1344" s="477"/>
    </row>
    <row r="1345">
      <c r="A1345" s="250"/>
      <c r="B1345" s="309"/>
      <c r="C1345" s="310"/>
      <c r="D1345" s="310"/>
      <c r="E1345" s="311"/>
      <c r="F1345" s="310"/>
      <c r="G1345" s="311"/>
      <c r="H1345" s="311"/>
      <c r="I1345" s="310"/>
    </row>
    <row r="1346">
      <c r="A1346" s="307"/>
      <c r="B1346" s="309"/>
      <c r="C1346" s="477"/>
      <c r="D1346" s="477"/>
      <c r="E1346" s="478"/>
      <c r="F1346" s="477"/>
      <c r="G1346" s="478"/>
      <c r="H1346" s="478"/>
      <c r="I1346" s="477"/>
    </row>
    <row r="1347">
      <c r="A1347" s="250"/>
      <c r="B1347" s="309"/>
      <c r="C1347" s="310"/>
      <c r="D1347" s="310"/>
      <c r="E1347" s="311"/>
      <c r="F1347" s="310"/>
      <c r="G1347" s="311"/>
      <c r="H1347" s="311"/>
      <c r="I1347" s="310"/>
    </row>
    <row r="1348">
      <c r="A1348" s="307"/>
      <c r="B1348" s="309"/>
      <c r="C1348" s="477"/>
      <c r="D1348" s="477"/>
      <c r="E1348" s="478"/>
      <c r="F1348" s="477"/>
      <c r="G1348" s="478"/>
      <c r="H1348" s="478"/>
      <c r="I1348" s="477"/>
    </row>
    <row r="1349">
      <c r="A1349" s="250"/>
      <c r="B1349" s="309"/>
      <c r="C1349" s="310"/>
      <c r="D1349" s="310"/>
      <c r="E1349" s="311"/>
      <c r="F1349" s="310"/>
      <c r="G1349" s="311"/>
      <c r="H1349" s="311"/>
      <c r="I1349" s="310"/>
    </row>
    <row r="1350">
      <c r="A1350" s="307"/>
      <c r="B1350" s="309"/>
      <c r="C1350" s="477"/>
      <c r="D1350" s="477"/>
      <c r="E1350" s="478"/>
      <c r="F1350" s="477"/>
      <c r="G1350" s="478"/>
      <c r="H1350" s="478"/>
      <c r="I1350" s="477"/>
    </row>
    <row r="1351">
      <c r="A1351" s="250"/>
      <c r="B1351" s="309"/>
      <c r="C1351" s="310"/>
      <c r="D1351" s="310"/>
      <c r="E1351" s="311"/>
      <c r="F1351" s="310"/>
      <c r="G1351" s="311"/>
      <c r="H1351" s="311"/>
      <c r="I1351" s="310"/>
    </row>
    <row r="1352">
      <c r="A1352" s="307"/>
      <c r="B1352" s="309"/>
      <c r="C1352" s="477"/>
      <c r="D1352" s="477"/>
      <c r="E1352" s="478"/>
      <c r="F1352" s="477"/>
      <c r="G1352" s="478"/>
      <c r="H1352" s="478"/>
      <c r="I1352" s="477"/>
    </row>
    <row r="1353">
      <c r="A1353" s="250"/>
      <c r="B1353" s="309"/>
      <c r="C1353" s="310"/>
      <c r="D1353" s="310"/>
      <c r="E1353" s="311"/>
      <c r="F1353" s="310"/>
      <c r="G1353" s="311"/>
      <c r="H1353" s="311"/>
      <c r="I1353" s="310"/>
    </row>
    <row r="1354">
      <c r="A1354" s="307"/>
      <c r="B1354" s="309"/>
      <c r="C1354" s="477"/>
      <c r="D1354" s="477"/>
      <c r="E1354" s="478"/>
      <c r="F1354" s="477"/>
      <c r="G1354" s="478"/>
      <c r="H1354" s="478"/>
      <c r="I1354" s="477"/>
    </row>
    <row r="1355">
      <c r="A1355" s="250"/>
      <c r="B1355" s="309"/>
      <c r="C1355" s="310"/>
      <c r="D1355" s="310"/>
      <c r="E1355" s="311"/>
      <c r="F1355" s="310"/>
      <c r="G1355" s="311"/>
      <c r="H1355" s="311"/>
      <c r="I1355" s="310"/>
    </row>
    <row r="1356">
      <c r="A1356" s="307"/>
      <c r="B1356" s="309"/>
      <c r="C1356" s="477"/>
      <c r="D1356" s="477"/>
      <c r="E1356" s="478"/>
      <c r="F1356" s="477"/>
      <c r="G1356" s="478"/>
      <c r="H1356" s="478"/>
      <c r="I1356" s="477"/>
    </row>
    <row r="1357">
      <c r="A1357" s="250"/>
      <c r="B1357" s="309"/>
      <c r="C1357" s="310"/>
      <c r="D1357" s="310"/>
      <c r="E1357" s="311"/>
      <c r="F1357" s="310"/>
      <c r="G1357" s="311"/>
      <c r="H1357" s="311"/>
      <c r="I1357" s="310"/>
    </row>
    <row r="1358">
      <c r="A1358" s="307"/>
      <c r="B1358" s="309"/>
      <c r="C1358" s="477"/>
      <c r="D1358" s="477"/>
      <c r="E1358" s="478"/>
      <c r="F1358" s="477"/>
      <c r="G1358" s="478"/>
      <c r="H1358" s="478"/>
      <c r="I1358" s="477"/>
    </row>
    <row r="1359">
      <c r="A1359" s="250"/>
      <c r="B1359" s="309"/>
      <c r="C1359" s="310"/>
      <c r="D1359" s="310"/>
      <c r="E1359" s="311"/>
      <c r="F1359" s="310"/>
      <c r="G1359" s="311"/>
      <c r="H1359" s="311"/>
      <c r="I1359" s="310"/>
    </row>
    <row r="1360">
      <c r="A1360" s="307"/>
      <c r="B1360" s="309"/>
      <c r="C1360" s="477"/>
      <c r="D1360" s="477"/>
      <c r="E1360" s="478"/>
      <c r="F1360" s="477"/>
      <c r="G1360" s="478"/>
      <c r="H1360" s="478"/>
      <c r="I1360" s="477"/>
    </row>
    <row r="1361">
      <c r="A1361" s="250"/>
      <c r="B1361" s="309"/>
      <c r="C1361" s="310"/>
      <c r="D1361" s="310"/>
      <c r="E1361" s="311"/>
      <c r="F1361" s="310"/>
      <c r="G1361" s="311"/>
      <c r="H1361" s="311"/>
      <c r="I1361" s="310"/>
    </row>
    <row r="1362">
      <c r="A1362" s="307"/>
      <c r="B1362" s="309"/>
      <c r="C1362" s="477"/>
      <c r="D1362" s="477"/>
      <c r="E1362" s="478"/>
      <c r="F1362" s="477"/>
      <c r="G1362" s="478"/>
      <c r="H1362" s="478"/>
      <c r="I1362" s="477"/>
    </row>
    <row r="1363">
      <c r="A1363" s="250"/>
      <c r="B1363" s="309"/>
      <c r="C1363" s="310"/>
      <c r="D1363" s="310"/>
      <c r="E1363" s="311"/>
      <c r="F1363" s="310"/>
      <c r="G1363" s="311"/>
      <c r="H1363" s="311"/>
      <c r="I1363" s="310"/>
    </row>
    <row r="1364">
      <c r="A1364" s="307"/>
      <c r="B1364" s="309"/>
      <c r="C1364" s="477"/>
      <c r="D1364" s="477"/>
      <c r="E1364" s="478"/>
      <c r="F1364" s="477"/>
      <c r="G1364" s="478"/>
      <c r="H1364" s="478"/>
      <c r="I1364" s="477"/>
    </row>
    <row r="1365">
      <c r="A1365" s="250"/>
      <c r="B1365" s="309"/>
      <c r="C1365" s="310"/>
      <c r="D1365" s="310"/>
      <c r="E1365" s="311"/>
      <c r="F1365" s="310"/>
      <c r="G1365" s="311"/>
      <c r="H1365" s="311"/>
      <c r="I1365" s="310"/>
    </row>
    <row r="1366">
      <c r="A1366" s="307"/>
      <c r="B1366" s="309"/>
      <c r="C1366" s="477"/>
      <c r="D1366" s="477"/>
      <c r="E1366" s="478"/>
      <c r="F1366" s="477"/>
      <c r="G1366" s="478"/>
      <c r="H1366" s="478"/>
      <c r="I1366" s="477"/>
    </row>
    <row r="1367">
      <c r="A1367" s="250"/>
      <c r="B1367" s="309"/>
      <c r="C1367" s="310"/>
      <c r="D1367" s="310"/>
      <c r="E1367" s="311"/>
      <c r="F1367" s="310"/>
      <c r="G1367" s="311"/>
      <c r="H1367" s="311"/>
      <c r="I1367" s="310"/>
    </row>
    <row r="1368">
      <c r="A1368" s="307"/>
      <c r="B1368" s="309"/>
      <c r="C1368" s="477"/>
      <c r="D1368" s="477"/>
      <c r="E1368" s="478"/>
      <c r="F1368" s="477"/>
      <c r="G1368" s="478"/>
      <c r="H1368" s="478"/>
      <c r="I1368" s="477"/>
    </row>
    <row r="1369">
      <c r="A1369" s="250"/>
      <c r="B1369" s="309"/>
      <c r="C1369" s="310"/>
      <c r="D1369" s="310"/>
      <c r="E1369" s="311"/>
      <c r="F1369" s="310"/>
      <c r="G1369" s="311"/>
      <c r="H1369" s="311"/>
      <c r="I1369" s="310"/>
    </row>
    <row r="1370">
      <c r="A1370" s="307"/>
      <c r="B1370" s="309"/>
      <c r="C1370" s="477"/>
      <c r="D1370" s="477"/>
      <c r="E1370" s="478"/>
      <c r="F1370" s="477"/>
      <c r="G1370" s="478"/>
      <c r="H1370" s="478"/>
      <c r="I1370" s="477"/>
    </row>
    <row r="1371">
      <c r="A1371" s="250"/>
      <c r="B1371" s="309"/>
      <c r="C1371" s="310"/>
      <c r="D1371" s="310"/>
      <c r="E1371" s="311"/>
      <c r="F1371" s="310"/>
      <c r="G1371" s="311"/>
      <c r="H1371" s="311"/>
      <c r="I1371" s="310"/>
    </row>
    <row r="1372">
      <c r="A1372" s="307"/>
      <c r="B1372" s="309"/>
      <c r="C1372" s="477"/>
      <c r="D1372" s="477"/>
      <c r="E1372" s="478"/>
      <c r="F1372" s="477"/>
      <c r="G1372" s="478"/>
      <c r="H1372" s="478"/>
      <c r="I1372" s="477"/>
    </row>
    <row r="1373">
      <c r="A1373" s="250"/>
      <c r="B1373" s="309"/>
      <c r="C1373" s="310"/>
      <c r="D1373" s="310"/>
      <c r="E1373" s="311"/>
      <c r="F1373" s="310"/>
      <c r="G1373" s="311"/>
      <c r="H1373" s="311"/>
      <c r="I1373" s="310"/>
    </row>
    <row r="1374">
      <c r="A1374" s="307"/>
      <c r="B1374" s="309"/>
      <c r="C1374" s="477"/>
      <c r="D1374" s="477"/>
      <c r="E1374" s="478"/>
      <c r="F1374" s="477"/>
      <c r="G1374" s="478"/>
      <c r="H1374" s="478"/>
      <c r="I1374" s="477"/>
    </row>
    <row r="1375">
      <c r="A1375" s="250"/>
      <c r="B1375" s="309"/>
      <c r="C1375" s="310"/>
      <c r="D1375" s="310"/>
      <c r="E1375" s="311"/>
      <c r="F1375" s="310"/>
      <c r="G1375" s="311"/>
      <c r="H1375" s="311"/>
      <c r="I1375" s="310"/>
    </row>
    <row r="1376">
      <c r="A1376" s="307"/>
      <c r="B1376" s="309"/>
      <c r="C1376" s="477"/>
      <c r="D1376" s="477"/>
      <c r="E1376" s="478"/>
      <c r="F1376" s="477"/>
      <c r="G1376" s="478"/>
      <c r="H1376" s="478"/>
      <c r="I1376" s="477"/>
    </row>
    <row r="1377">
      <c r="A1377" s="250"/>
      <c r="B1377" s="309"/>
      <c r="C1377" s="310"/>
      <c r="D1377" s="310"/>
      <c r="E1377" s="311"/>
      <c r="F1377" s="310"/>
      <c r="G1377" s="311"/>
      <c r="H1377" s="311"/>
      <c r="I1377" s="310"/>
    </row>
    <row r="1378">
      <c r="A1378" s="307"/>
      <c r="B1378" s="309"/>
      <c r="C1378" s="477"/>
      <c r="D1378" s="477"/>
      <c r="E1378" s="478"/>
      <c r="F1378" s="477"/>
      <c r="G1378" s="478"/>
      <c r="H1378" s="478"/>
      <c r="I1378" s="477"/>
    </row>
    <row r="1379">
      <c r="A1379" s="250"/>
      <c r="B1379" s="309"/>
      <c r="C1379" s="310"/>
      <c r="D1379" s="310"/>
      <c r="E1379" s="311"/>
      <c r="F1379" s="310"/>
      <c r="G1379" s="311"/>
      <c r="H1379" s="311"/>
      <c r="I1379" s="310"/>
    </row>
    <row r="1380">
      <c r="A1380" s="307"/>
      <c r="B1380" s="309"/>
      <c r="C1380" s="477"/>
      <c r="D1380" s="477"/>
      <c r="E1380" s="478"/>
      <c r="F1380" s="477"/>
      <c r="G1380" s="478"/>
      <c r="H1380" s="478"/>
      <c r="I1380" s="477"/>
    </row>
    <row r="1381">
      <c r="A1381" s="250"/>
      <c r="B1381" s="309"/>
      <c r="C1381" s="310"/>
      <c r="D1381" s="310"/>
      <c r="E1381" s="311"/>
      <c r="F1381" s="310"/>
      <c r="G1381" s="311"/>
      <c r="H1381" s="311"/>
      <c r="I1381" s="310"/>
    </row>
    <row r="1382">
      <c r="A1382" s="307"/>
      <c r="B1382" s="309"/>
      <c r="C1382" s="477"/>
      <c r="D1382" s="477"/>
      <c r="E1382" s="478"/>
      <c r="F1382" s="477"/>
      <c r="G1382" s="478"/>
      <c r="H1382" s="478"/>
      <c r="I1382" s="477"/>
    </row>
    <row r="1383">
      <c r="A1383" s="250"/>
      <c r="B1383" s="309"/>
      <c r="C1383" s="310"/>
      <c r="D1383" s="310"/>
      <c r="E1383" s="311"/>
      <c r="F1383" s="310"/>
      <c r="G1383" s="311"/>
      <c r="H1383" s="311"/>
      <c r="I1383" s="310"/>
    </row>
    <row r="1384">
      <c r="A1384" s="307"/>
      <c r="B1384" s="309"/>
      <c r="C1384" s="477"/>
      <c r="D1384" s="477"/>
      <c r="E1384" s="478"/>
      <c r="F1384" s="477"/>
      <c r="G1384" s="478"/>
      <c r="H1384" s="478"/>
      <c r="I1384" s="477"/>
    </row>
    <row r="1385">
      <c r="A1385" s="250"/>
      <c r="B1385" s="309"/>
      <c r="C1385" s="310"/>
      <c r="D1385" s="310"/>
      <c r="E1385" s="311"/>
      <c r="F1385" s="310"/>
      <c r="G1385" s="311"/>
      <c r="H1385" s="311"/>
      <c r="I1385" s="310"/>
    </row>
    <row r="1386">
      <c r="A1386" s="307"/>
      <c r="B1386" s="309"/>
      <c r="C1386" s="477"/>
      <c r="D1386" s="477"/>
      <c r="E1386" s="478"/>
      <c r="F1386" s="477"/>
      <c r="G1386" s="478"/>
      <c r="H1386" s="478"/>
      <c r="I1386" s="477"/>
    </row>
    <row r="1387">
      <c r="A1387" s="250"/>
      <c r="B1387" s="309"/>
      <c r="C1387" s="310"/>
      <c r="D1387" s="310"/>
      <c r="E1387" s="311"/>
      <c r="F1387" s="310"/>
      <c r="G1387" s="311"/>
      <c r="H1387" s="311"/>
      <c r="I1387" s="310"/>
    </row>
    <row r="1388">
      <c r="A1388" s="307"/>
      <c r="B1388" s="309"/>
      <c r="C1388" s="477"/>
      <c r="D1388" s="477"/>
      <c r="E1388" s="478"/>
      <c r="F1388" s="477"/>
      <c r="G1388" s="478"/>
      <c r="H1388" s="478"/>
      <c r="I1388" s="477"/>
    </row>
    <row r="1389">
      <c r="A1389" s="250"/>
      <c r="B1389" s="309"/>
      <c r="C1389" s="310"/>
      <c r="D1389" s="310"/>
      <c r="E1389" s="311"/>
      <c r="F1389" s="310"/>
      <c r="G1389" s="311"/>
      <c r="H1389" s="311"/>
      <c r="I1389" s="310"/>
    </row>
    <row r="1390">
      <c r="A1390" s="307"/>
      <c r="B1390" s="309"/>
      <c r="C1390" s="477"/>
      <c r="D1390" s="477"/>
      <c r="E1390" s="478"/>
      <c r="F1390" s="477"/>
      <c r="G1390" s="478"/>
      <c r="H1390" s="478"/>
      <c r="I1390" s="477"/>
    </row>
    <row r="1391">
      <c r="A1391" s="250"/>
      <c r="B1391" s="309"/>
      <c r="C1391" s="310"/>
      <c r="D1391" s="310"/>
      <c r="E1391" s="311"/>
      <c r="F1391" s="310"/>
      <c r="G1391" s="311"/>
      <c r="H1391" s="311"/>
      <c r="I1391" s="310"/>
    </row>
    <row r="1392">
      <c r="A1392" s="307"/>
      <c r="B1392" s="309"/>
      <c r="C1392" s="477"/>
      <c r="D1392" s="477"/>
      <c r="E1392" s="478"/>
      <c r="F1392" s="477"/>
      <c r="G1392" s="478"/>
      <c r="H1392" s="478"/>
      <c r="I1392" s="477"/>
    </row>
    <row r="1393">
      <c r="A1393" s="250"/>
      <c r="B1393" s="309"/>
      <c r="C1393" s="310"/>
      <c r="D1393" s="310"/>
      <c r="E1393" s="311"/>
      <c r="F1393" s="310"/>
      <c r="G1393" s="311"/>
      <c r="H1393" s="311"/>
      <c r="I1393" s="310"/>
    </row>
    <row r="1394">
      <c r="A1394" s="307"/>
      <c r="B1394" s="309"/>
      <c r="C1394" s="477"/>
      <c r="D1394" s="477"/>
      <c r="E1394" s="478"/>
      <c r="F1394" s="477"/>
      <c r="G1394" s="478"/>
      <c r="H1394" s="478"/>
      <c r="I1394" s="477"/>
    </row>
    <row r="1395">
      <c r="A1395" s="250"/>
      <c r="B1395" s="309"/>
      <c r="C1395" s="310"/>
      <c r="D1395" s="310"/>
      <c r="E1395" s="311"/>
      <c r="F1395" s="310"/>
      <c r="G1395" s="311"/>
      <c r="H1395" s="311"/>
      <c r="I1395" s="310"/>
    </row>
    <row r="1396">
      <c r="A1396" s="307"/>
      <c r="B1396" s="309"/>
      <c r="C1396" s="477"/>
      <c r="D1396" s="477"/>
      <c r="E1396" s="478"/>
      <c r="F1396" s="477"/>
      <c r="G1396" s="478"/>
      <c r="H1396" s="478"/>
      <c r="I1396" s="477"/>
    </row>
    <row r="1397">
      <c r="A1397" s="250"/>
      <c r="B1397" s="309"/>
      <c r="C1397" s="310"/>
      <c r="D1397" s="310"/>
      <c r="E1397" s="311"/>
      <c r="F1397" s="310"/>
      <c r="G1397" s="311"/>
      <c r="H1397" s="311"/>
      <c r="I1397" s="310"/>
    </row>
    <row r="1398">
      <c r="A1398" s="307"/>
      <c r="B1398" s="309"/>
      <c r="C1398" s="477"/>
      <c r="D1398" s="477"/>
      <c r="E1398" s="478"/>
      <c r="F1398" s="477"/>
      <c r="G1398" s="478"/>
      <c r="H1398" s="478"/>
      <c r="I1398" s="477"/>
    </row>
    <row r="1399">
      <c r="A1399" s="250"/>
      <c r="B1399" s="309"/>
      <c r="C1399" s="310"/>
      <c r="D1399" s="310"/>
      <c r="E1399" s="311"/>
      <c r="F1399" s="310"/>
      <c r="G1399" s="311"/>
      <c r="H1399" s="311"/>
      <c r="I1399" s="310"/>
    </row>
    <row r="1400">
      <c r="A1400" s="307"/>
      <c r="B1400" s="309"/>
      <c r="C1400" s="477"/>
      <c r="D1400" s="477"/>
      <c r="E1400" s="478"/>
      <c r="F1400" s="477"/>
      <c r="G1400" s="478"/>
      <c r="H1400" s="478"/>
      <c r="I1400" s="477"/>
    </row>
    <row r="1401">
      <c r="A1401" s="250"/>
      <c r="B1401" s="309"/>
      <c r="C1401" s="310"/>
      <c r="D1401" s="310"/>
      <c r="E1401" s="311"/>
      <c r="F1401" s="310"/>
      <c r="G1401" s="311"/>
      <c r="H1401" s="311"/>
      <c r="I1401" s="310"/>
    </row>
    <row r="1402">
      <c r="A1402" s="307"/>
      <c r="B1402" s="309"/>
      <c r="C1402" s="477"/>
      <c r="D1402" s="477"/>
      <c r="E1402" s="478"/>
      <c r="F1402" s="477"/>
      <c r="G1402" s="478"/>
      <c r="H1402" s="478"/>
      <c r="I1402" s="477"/>
    </row>
    <row r="1403">
      <c r="A1403" s="250"/>
      <c r="B1403" s="309"/>
      <c r="C1403" s="310"/>
      <c r="D1403" s="310"/>
      <c r="E1403" s="311"/>
      <c r="F1403" s="310"/>
      <c r="G1403" s="311"/>
      <c r="H1403" s="311"/>
      <c r="I1403" s="310"/>
    </row>
    <row r="1404">
      <c r="A1404" s="307"/>
      <c r="B1404" s="309"/>
      <c r="C1404" s="477"/>
      <c r="D1404" s="477"/>
      <c r="E1404" s="478"/>
      <c r="F1404" s="477"/>
      <c r="G1404" s="478"/>
      <c r="H1404" s="478"/>
      <c r="I1404" s="477"/>
    </row>
    <row r="1405">
      <c r="A1405" s="250"/>
      <c r="B1405" s="309"/>
      <c r="C1405" s="310"/>
      <c r="D1405" s="310"/>
      <c r="E1405" s="311"/>
      <c r="F1405" s="310"/>
      <c r="G1405" s="311"/>
      <c r="H1405" s="311"/>
      <c r="I1405" s="310"/>
    </row>
    <row r="1406">
      <c r="A1406" s="307"/>
      <c r="B1406" s="309"/>
      <c r="C1406" s="477"/>
      <c r="D1406" s="477"/>
      <c r="E1406" s="478"/>
      <c r="F1406" s="477"/>
      <c r="G1406" s="478"/>
      <c r="H1406" s="478"/>
      <c r="I1406" s="477"/>
    </row>
    <row r="1407">
      <c r="A1407" s="250"/>
      <c r="B1407" s="309"/>
      <c r="C1407" s="310"/>
      <c r="D1407" s="310"/>
      <c r="E1407" s="311"/>
      <c r="F1407" s="310"/>
      <c r="G1407" s="311"/>
      <c r="H1407" s="311"/>
      <c r="I1407" s="310"/>
    </row>
    <row r="1408">
      <c r="A1408" s="307"/>
      <c r="B1408" s="309"/>
      <c r="C1408" s="477"/>
      <c r="D1408" s="477"/>
      <c r="E1408" s="478"/>
      <c r="F1408" s="477"/>
      <c r="G1408" s="478"/>
      <c r="H1408" s="478"/>
      <c r="I1408" s="477"/>
    </row>
    <row r="1409">
      <c r="A1409" s="250"/>
      <c r="B1409" s="309"/>
      <c r="C1409" s="310"/>
      <c r="D1409" s="310"/>
      <c r="E1409" s="311"/>
      <c r="F1409" s="310"/>
      <c r="G1409" s="311"/>
      <c r="H1409" s="311"/>
      <c r="I1409" s="310"/>
    </row>
    <row r="1410">
      <c r="A1410" s="307"/>
      <c r="B1410" s="309"/>
      <c r="C1410" s="477"/>
      <c r="D1410" s="477"/>
      <c r="E1410" s="478"/>
      <c r="F1410" s="477"/>
      <c r="G1410" s="478"/>
      <c r="H1410" s="478"/>
      <c r="I1410" s="477"/>
    </row>
    <row r="1411">
      <c r="A1411" s="250"/>
      <c r="B1411" s="309"/>
      <c r="C1411" s="310"/>
      <c r="D1411" s="310"/>
      <c r="E1411" s="311"/>
      <c r="F1411" s="310"/>
      <c r="G1411" s="311"/>
      <c r="H1411" s="311"/>
      <c r="I1411" s="310"/>
    </row>
    <row r="1412">
      <c r="A1412" s="307"/>
      <c r="B1412" s="309"/>
      <c r="C1412" s="477"/>
      <c r="D1412" s="477"/>
      <c r="E1412" s="478"/>
      <c r="F1412" s="477"/>
      <c r="G1412" s="478"/>
      <c r="H1412" s="478"/>
      <c r="I1412" s="477"/>
    </row>
    <row r="1413">
      <c r="A1413" s="250"/>
      <c r="B1413" s="309"/>
      <c r="C1413" s="310"/>
      <c r="D1413" s="310"/>
      <c r="E1413" s="311"/>
      <c r="F1413" s="310"/>
      <c r="G1413" s="311"/>
      <c r="H1413" s="311"/>
      <c r="I1413" s="310"/>
    </row>
    <row r="1414">
      <c r="A1414" s="307"/>
      <c r="B1414" s="309"/>
      <c r="C1414" s="477"/>
      <c r="D1414" s="477"/>
      <c r="E1414" s="478"/>
      <c r="F1414" s="477"/>
      <c r="G1414" s="478"/>
      <c r="H1414" s="478"/>
      <c r="I1414" s="477"/>
    </row>
    <row r="1415">
      <c r="A1415" s="250"/>
      <c r="B1415" s="309"/>
      <c r="C1415" s="310"/>
      <c r="D1415" s="310"/>
      <c r="E1415" s="311"/>
      <c r="F1415" s="310"/>
      <c r="G1415" s="311"/>
      <c r="H1415" s="311"/>
      <c r="I1415" s="310"/>
    </row>
    <row r="1416">
      <c r="A1416" s="307"/>
      <c r="B1416" s="309"/>
      <c r="C1416" s="477"/>
      <c r="D1416" s="477"/>
      <c r="E1416" s="478"/>
      <c r="F1416" s="477"/>
      <c r="G1416" s="478"/>
      <c r="H1416" s="478"/>
      <c r="I1416" s="477"/>
    </row>
    <row r="1417">
      <c r="A1417" s="250"/>
      <c r="B1417" s="309"/>
      <c r="C1417" s="310"/>
      <c r="D1417" s="310"/>
      <c r="E1417" s="311"/>
      <c r="F1417" s="310"/>
      <c r="G1417" s="311"/>
      <c r="H1417" s="311"/>
      <c r="I1417" s="310"/>
    </row>
    <row r="1418">
      <c r="A1418" s="307"/>
      <c r="B1418" s="309"/>
      <c r="C1418" s="477"/>
      <c r="D1418" s="477"/>
      <c r="E1418" s="478"/>
      <c r="F1418" s="477"/>
      <c r="G1418" s="478"/>
      <c r="H1418" s="478"/>
      <c r="I1418" s="477"/>
    </row>
    <row r="1419">
      <c r="A1419" s="250"/>
      <c r="B1419" s="309"/>
      <c r="C1419" s="310"/>
      <c r="D1419" s="310"/>
      <c r="E1419" s="311"/>
      <c r="F1419" s="310"/>
      <c r="G1419" s="311"/>
      <c r="H1419" s="311"/>
      <c r="I1419" s="310"/>
    </row>
    <row r="1420">
      <c r="A1420" s="307"/>
      <c r="B1420" s="309"/>
      <c r="C1420" s="477"/>
      <c r="D1420" s="477"/>
      <c r="E1420" s="478"/>
      <c r="F1420" s="477"/>
      <c r="G1420" s="478"/>
      <c r="H1420" s="478"/>
      <c r="I1420" s="477"/>
    </row>
    <row r="1421">
      <c r="A1421" s="250"/>
      <c r="B1421" s="309"/>
      <c r="C1421" s="310"/>
      <c r="D1421" s="310"/>
      <c r="E1421" s="311"/>
      <c r="F1421" s="310"/>
      <c r="G1421" s="311"/>
      <c r="H1421" s="311"/>
      <c r="I1421" s="310"/>
    </row>
    <row r="1422">
      <c r="A1422" s="307"/>
      <c r="B1422" s="309"/>
      <c r="C1422" s="477"/>
      <c r="D1422" s="477"/>
      <c r="E1422" s="478"/>
      <c r="F1422" s="477"/>
      <c r="G1422" s="478"/>
      <c r="H1422" s="478"/>
      <c r="I1422" s="477"/>
    </row>
    <row r="1423">
      <c r="A1423" s="250"/>
      <c r="B1423" s="309"/>
      <c r="C1423" s="310"/>
      <c r="D1423" s="310"/>
      <c r="E1423" s="311"/>
      <c r="F1423" s="310"/>
      <c r="G1423" s="311"/>
      <c r="H1423" s="311"/>
      <c r="I1423" s="310"/>
    </row>
    <row r="1424">
      <c r="A1424" s="307"/>
      <c r="B1424" s="309"/>
      <c r="C1424" s="477"/>
      <c r="D1424" s="477"/>
      <c r="E1424" s="478"/>
      <c r="F1424" s="477"/>
      <c r="G1424" s="478"/>
      <c r="H1424" s="478"/>
      <c r="I1424" s="477"/>
    </row>
    <row r="1425">
      <c r="A1425" s="250"/>
      <c r="B1425" s="309"/>
      <c r="C1425" s="310"/>
      <c r="D1425" s="310"/>
      <c r="E1425" s="311"/>
      <c r="F1425" s="310"/>
      <c r="G1425" s="311"/>
      <c r="H1425" s="311"/>
      <c r="I1425" s="310"/>
    </row>
    <row r="1426">
      <c r="A1426" s="307"/>
      <c r="B1426" s="309"/>
      <c r="C1426" s="477"/>
      <c r="D1426" s="477"/>
      <c r="E1426" s="478"/>
      <c r="F1426" s="477"/>
      <c r="G1426" s="478"/>
      <c r="H1426" s="478"/>
      <c r="I1426" s="477"/>
    </row>
    <row r="1427">
      <c r="A1427" s="250"/>
      <c r="B1427" s="309"/>
      <c r="C1427" s="310"/>
      <c r="D1427" s="310"/>
      <c r="E1427" s="311"/>
      <c r="F1427" s="310"/>
      <c r="G1427" s="311"/>
      <c r="H1427" s="311"/>
      <c r="I1427" s="310"/>
    </row>
    <row r="1428">
      <c r="A1428" s="307"/>
      <c r="B1428" s="309"/>
      <c r="C1428" s="477"/>
      <c r="D1428" s="477"/>
      <c r="E1428" s="478"/>
      <c r="F1428" s="477"/>
      <c r="G1428" s="478"/>
      <c r="H1428" s="478"/>
      <c r="I1428" s="477"/>
    </row>
    <row r="1429">
      <c r="A1429" s="250"/>
      <c r="B1429" s="309"/>
      <c r="C1429" s="310"/>
      <c r="D1429" s="310"/>
      <c r="E1429" s="311"/>
      <c r="F1429" s="310"/>
      <c r="G1429" s="311"/>
      <c r="H1429" s="311"/>
      <c r="I1429" s="310"/>
    </row>
    <row r="1430">
      <c r="A1430" s="307"/>
      <c r="B1430" s="309"/>
      <c r="C1430" s="477"/>
      <c r="D1430" s="477"/>
      <c r="E1430" s="478"/>
      <c r="F1430" s="477"/>
      <c r="G1430" s="478"/>
      <c r="H1430" s="478"/>
      <c r="I1430" s="477"/>
    </row>
    <row r="1431">
      <c r="A1431" s="250"/>
      <c r="B1431" s="309"/>
      <c r="C1431" s="310"/>
      <c r="D1431" s="310"/>
      <c r="E1431" s="311"/>
      <c r="F1431" s="310"/>
      <c r="G1431" s="311"/>
      <c r="H1431" s="311"/>
      <c r="I1431" s="310"/>
    </row>
    <row r="1432">
      <c r="A1432" s="307"/>
      <c r="B1432" s="309"/>
      <c r="C1432" s="477"/>
      <c r="D1432" s="477"/>
      <c r="E1432" s="478"/>
      <c r="F1432" s="477"/>
      <c r="G1432" s="478"/>
      <c r="H1432" s="478"/>
      <c r="I1432" s="477"/>
    </row>
    <row r="1433">
      <c r="A1433" s="250"/>
      <c r="B1433" s="309"/>
      <c r="C1433" s="310"/>
      <c r="D1433" s="310"/>
      <c r="E1433" s="311"/>
      <c r="F1433" s="310"/>
      <c r="G1433" s="311"/>
      <c r="H1433" s="311"/>
      <c r="I1433" s="310"/>
    </row>
    <row r="1434">
      <c r="A1434" s="307"/>
      <c r="B1434" s="309"/>
      <c r="C1434" s="477"/>
      <c r="D1434" s="477"/>
      <c r="E1434" s="478"/>
      <c r="F1434" s="477"/>
      <c r="G1434" s="478"/>
      <c r="H1434" s="478"/>
      <c r="I1434" s="477"/>
    </row>
    <row r="1435">
      <c r="A1435" s="250"/>
      <c r="B1435" s="309"/>
      <c r="C1435" s="310"/>
      <c r="D1435" s="310"/>
      <c r="E1435" s="311"/>
      <c r="F1435" s="310"/>
      <c r="G1435" s="311"/>
      <c r="H1435" s="311"/>
      <c r="I1435" s="310"/>
    </row>
    <row r="1436">
      <c r="A1436" s="307"/>
      <c r="B1436" s="309"/>
      <c r="C1436" s="477"/>
      <c r="D1436" s="477"/>
      <c r="E1436" s="478"/>
      <c r="F1436" s="477"/>
      <c r="G1436" s="478"/>
      <c r="H1436" s="478"/>
      <c r="I1436" s="477"/>
    </row>
    <row r="1437">
      <c r="A1437" s="250"/>
      <c r="B1437" s="309"/>
      <c r="C1437" s="310"/>
      <c r="D1437" s="310"/>
      <c r="E1437" s="311"/>
      <c r="F1437" s="310"/>
      <c r="G1437" s="311"/>
      <c r="H1437" s="311"/>
      <c r="I1437" s="310"/>
    </row>
    <row r="1438">
      <c r="A1438" s="307"/>
      <c r="B1438" s="309"/>
      <c r="C1438" s="477"/>
      <c r="D1438" s="477"/>
      <c r="E1438" s="478"/>
      <c r="F1438" s="477"/>
      <c r="G1438" s="478"/>
      <c r="H1438" s="478"/>
      <c r="I1438" s="477"/>
    </row>
    <row r="1439">
      <c r="A1439" s="250"/>
      <c r="B1439" s="309"/>
      <c r="C1439" s="310"/>
      <c r="D1439" s="310"/>
      <c r="E1439" s="311"/>
      <c r="F1439" s="310"/>
      <c r="G1439" s="311"/>
      <c r="H1439" s="311"/>
      <c r="I1439" s="310"/>
    </row>
    <row r="1440">
      <c r="A1440" s="307"/>
      <c r="B1440" s="309"/>
      <c r="C1440" s="477"/>
      <c r="D1440" s="477"/>
      <c r="E1440" s="478"/>
      <c r="F1440" s="477"/>
      <c r="G1440" s="478"/>
      <c r="H1440" s="478"/>
      <c r="I1440" s="477"/>
    </row>
    <row r="1441">
      <c r="A1441" s="250"/>
      <c r="B1441" s="309"/>
      <c r="C1441" s="310"/>
      <c r="D1441" s="310"/>
      <c r="E1441" s="311"/>
      <c r="F1441" s="310"/>
      <c r="G1441" s="311"/>
      <c r="H1441" s="311"/>
      <c r="I1441" s="310"/>
    </row>
    <row r="1442">
      <c r="A1442" s="307"/>
      <c r="B1442" s="309"/>
      <c r="C1442" s="477"/>
      <c r="D1442" s="477"/>
      <c r="E1442" s="478"/>
      <c r="F1442" s="477"/>
      <c r="G1442" s="478"/>
      <c r="H1442" s="478"/>
      <c r="I1442" s="477"/>
    </row>
    <row r="1443">
      <c r="A1443" s="250"/>
      <c r="B1443" s="309"/>
      <c r="C1443" s="310"/>
      <c r="D1443" s="310"/>
      <c r="E1443" s="311"/>
      <c r="F1443" s="310"/>
      <c r="G1443" s="311"/>
      <c r="H1443" s="311"/>
      <c r="I1443" s="310"/>
    </row>
    <row r="1444">
      <c r="A1444" s="307"/>
      <c r="B1444" s="309"/>
      <c r="C1444" s="477"/>
      <c r="D1444" s="477"/>
      <c r="E1444" s="478"/>
      <c r="F1444" s="477"/>
      <c r="G1444" s="478"/>
      <c r="H1444" s="478"/>
      <c r="I1444" s="477"/>
    </row>
    <row r="1445">
      <c r="A1445" s="250"/>
      <c r="B1445" s="309"/>
      <c r="C1445" s="310"/>
      <c r="D1445" s="310"/>
      <c r="E1445" s="311"/>
      <c r="F1445" s="310"/>
      <c r="G1445" s="311"/>
      <c r="H1445" s="311"/>
      <c r="I1445" s="310"/>
    </row>
    <row r="1446">
      <c r="A1446" s="307"/>
      <c r="B1446" s="309"/>
      <c r="C1446" s="477"/>
      <c r="D1446" s="477"/>
      <c r="E1446" s="478"/>
      <c r="F1446" s="477"/>
      <c r="G1446" s="478"/>
      <c r="H1446" s="478"/>
      <c r="I1446" s="477"/>
    </row>
    <row r="1447">
      <c r="A1447" s="250"/>
      <c r="B1447" s="309"/>
      <c r="C1447" s="310"/>
      <c r="D1447" s="310"/>
      <c r="E1447" s="311"/>
      <c r="F1447" s="310"/>
      <c r="G1447" s="311"/>
      <c r="H1447" s="311"/>
      <c r="I1447" s="310"/>
    </row>
    <row r="1448">
      <c r="A1448" s="307"/>
      <c r="B1448" s="309"/>
      <c r="C1448" s="477"/>
      <c r="D1448" s="477"/>
      <c r="E1448" s="478"/>
      <c r="F1448" s="477"/>
      <c r="G1448" s="478"/>
      <c r="H1448" s="478"/>
      <c r="I1448" s="477"/>
    </row>
    <row r="1449">
      <c r="A1449" s="250"/>
      <c r="B1449" s="309"/>
      <c r="C1449" s="310"/>
      <c r="D1449" s="310"/>
      <c r="E1449" s="311"/>
      <c r="F1449" s="310"/>
      <c r="G1449" s="311"/>
      <c r="H1449" s="311"/>
      <c r="I1449" s="310"/>
    </row>
    <row r="1450">
      <c r="A1450" s="307"/>
      <c r="B1450" s="309"/>
      <c r="C1450" s="477"/>
      <c r="D1450" s="477"/>
      <c r="E1450" s="478"/>
      <c r="F1450" s="477"/>
      <c r="G1450" s="478"/>
      <c r="H1450" s="478"/>
      <c r="I1450" s="477"/>
    </row>
    <row r="1451">
      <c r="A1451" s="250"/>
      <c r="B1451" s="309"/>
      <c r="C1451" s="310"/>
      <c r="D1451" s="310"/>
      <c r="E1451" s="311"/>
      <c r="F1451" s="310"/>
      <c r="G1451" s="311"/>
      <c r="H1451" s="311"/>
      <c r="I1451" s="310"/>
    </row>
    <row r="1452">
      <c r="A1452" s="307"/>
      <c r="B1452" s="309"/>
      <c r="C1452" s="477"/>
      <c r="D1452" s="477"/>
      <c r="E1452" s="478"/>
      <c r="F1452" s="477"/>
      <c r="G1452" s="478"/>
      <c r="H1452" s="478"/>
      <c r="I1452" s="477"/>
    </row>
    <row r="1453">
      <c r="A1453" s="250"/>
      <c r="B1453" s="309"/>
      <c r="C1453" s="310"/>
      <c r="D1453" s="310"/>
      <c r="E1453" s="311"/>
      <c r="F1453" s="310"/>
      <c r="G1453" s="311"/>
      <c r="H1453" s="311"/>
      <c r="I1453" s="310"/>
    </row>
    <row r="1454">
      <c r="A1454" s="307"/>
      <c r="B1454" s="309"/>
      <c r="C1454" s="477"/>
      <c r="D1454" s="477"/>
      <c r="E1454" s="478"/>
      <c r="F1454" s="477"/>
      <c r="G1454" s="478"/>
      <c r="H1454" s="478"/>
      <c r="I1454" s="477"/>
    </row>
    <row r="1455">
      <c r="A1455" s="250"/>
      <c r="B1455" s="309"/>
      <c r="C1455" s="310"/>
      <c r="D1455" s="310"/>
      <c r="E1455" s="311"/>
      <c r="F1455" s="310"/>
      <c r="G1455" s="311"/>
      <c r="H1455" s="311"/>
      <c r="I1455" s="310"/>
    </row>
    <row r="1456">
      <c r="A1456" s="307"/>
      <c r="B1456" s="309"/>
      <c r="C1456" s="477"/>
      <c r="D1456" s="477"/>
      <c r="E1456" s="478"/>
      <c r="F1456" s="477"/>
      <c r="G1456" s="478"/>
      <c r="H1456" s="478"/>
      <c r="I1456" s="477"/>
    </row>
    <row r="1457">
      <c r="A1457" s="250"/>
      <c r="B1457" s="309"/>
      <c r="C1457" s="310"/>
      <c r="D1457" s="310"/>
      <c r="E1457" s="311"/>
      <c r="F1457" s="310"/>
      <c r="G1457" s="311"/>
      <c r="H1457" s="311"/>
      <c r="I1457" s="310"/>
    </row>
    <row r="1458">
      <c r="A1458" s="307"/>
      <c r="B1458" s="309"/>
      <c r="C1458" s="477"/>
      <c r="D1458" s="477"/>
      <c r="E1458" s="478"/>
      <c r="F1458" s="477"/>
      <c r="G1458" s="478"/>
      <c r="H1458" s="478"/>
      <c r="I1458" s="477"/>
    </row>
    <row r="1459">
      <c r="A1459" s="250"/>
      <c r="B1459" s="309"/>
      <c r="C1459" s="310"/>
      <c r="D1459" s="310"/>
      <c r="E1459" s="311"/>
      <c r="F1459" s="310"/>
      <c r="G1459" s="311"/>
      <c r="H1459" s="311"/>
      <c r="I1459" s="310"/>
    </row>
    <row r="1460">
      <c r="A1460" s="307"/>
      <c r="B1460" s="309"/>
      <c r="C1460" s="477"/>
      <c r="D1460" s="477"/>
      <c r="E1460" s="478"/>
      <c r="F1460" s="477"/>
      <c r="G1460" s="478"/>
      <c r="H1460" s="478"/>
      <c r="I1460" s="477"/>
    </row>
    <row r="1461">
      <c r="A1461" s="250"/>
      <c r="B1461" s="309"/>
      <c r="C1461" s="310"/>
      <c r="D1461" s="310"/>
      <c r="E1461" s="311"/>
      <c r="F1461" s="310"/>
      <c r="G1461" s="311"/>
      <c r="H1461" s="311"/>
      <c r="I1461" s="310"/>
    </row>
    <row r="1462">
      <c r="A1462" s="307"/>
      <c r="B1462" s="309"/>
      <c r="C1462" s="477"/>
      <c r="D1462" s="477"/>
      <c r="E1462" s="478"/>
      <c r="F1462" s="477"/>
      <c r="G1462" s="478"/>
      <c r="H1462" s="478"/>
      <c r="I1462" s="477"/>
    </row>
    <row r="1463">
      <c r="A1463" s="250"/>
      <c r="B1463" s="309"/>
      <c r="C1463" s="310"/>
      <c r="D1463" s="310"/>
      <c r="E1463" s="311"/>
      <c r="F1463" s="310"/>
      <c r="G1463" s="311"/>
      <c r="H1463" s="311"/>
      <c r="I1463" s="310"/>
    </row>
    <row r="1464">
      <c r="A1464" s="307"/>
      <c r="B1464" s="309"/>
      <c r="C1464" s="477"/>
      <c r="D1464" s="477"/>
      <c r="E1464" s="478"/>
      <c r="F1464" s="477"/>
      <c r="G1464" s="478"/>
      <c r="H1464" s="478"/>
      <c r="I1464" s="477"/>
    </row>
    <row r="1465">
      <c r="A1465" s="250"/>
      <c r="B1465" s="309"/>
      <c r="C1465" s="310"/>
      <c r="D1465" s="310"/>
      <c r="E1465" s="311"/>
      <c r="F1465" s="310"/>
      <c r="G1465" s="311"/>
      <c r="H1465" s="311"/>
      <c r="I1465" s="310"/>
    </row>
    <row r="1466">
      <c r="A1466" s="307"/>
      <c r="B1466" s="309"/>
      <c r="C1466" s="477"/>
      <c r="D1466" s="477"/>
      <c r="E1466" s="478"/>
      <c r="F1466" s="477"/>
      <c r="G1466" s="478"/>
      <c r="H1466" s="478"/>
      <c r="I1466" s="477"/>
    </row>
    <row r="1467">
      <c r="A1467" s="250"/>
      <c r="B1467" s="309"/>
      <c r="C1467" s="310"/>
      <c r="D1467" s="310"/>
      <c r="E1467" s="311"/>
      <c r="F1467" s="310"/>
      <c r="G1467" s="311"/>
      <c r="H1467" s="311"/>
      <c r="I1467" s="310"/>
    </row>
    <row r="1468">
      <c r="A1468" s="307"/>
      <c r="B1468" s="309"/>
      <c r="C1468" s="477"/>
      <c r="D1468" s="477"/>
      <c r="E1468" s="478"/>
      <c r="F1468" s="477"/>
      <c r="G1468" s="478"/>
      <c r="H1468" s="478"/>
      <c r="I1468" s="477"/>
    </row>
    <row r="1469">
      <c r="A1469" s="250"/>
      <c r="B1469" s="309"/>
      <c r="C1469" s="310"/>
      <c r="D1469" s="310"/>
      <c r="E1469" s="311"/>
      <c r="F1469" s="310"/>
      <c r="G1469" s="311"/>
      <c r="H1469" s="311"/>
      <c r="I1469" s="310"/>
    </row>
    <row r="1470">
      <c r="A1470" s="307"/>
      <c r="B1470" s="309"/>
      <c r="C1470" s="477"/>
      <c r="D1470" s="477"/>
      <c r="E1470" s="478"/>
      <c r="F1470" s="477"/>
      <c r="G1470" s="478"/>
      <c r="H1470" s="478"/>
      <c r="I1470" s="477"/>
    </row>
    <row r="1471">
      <c r="A1471" s="250"/>
      <c r="B1471" s="309"/>
      <c r="C1471" s="310"/>
      <c r="D1471" s="310"/>
      <c r="E1471" s="311"/>
      <c r="F1471" s="310"/>
      <c r="G1471" s="311"/>
      <c r="H1471" s="311"/>
      <c r="I1471" s="310"/>
    </row>
    <row r="1472">
      <c r="A1472" s="307"/>
      <c r="B1472" s="309"/>
      <c r="C1472" s="477"/>
      <c r="D1472" s="477"/>
      <c r="E1472" s="478"/>
      <c r="F1472" s="477"/>
      <c r="G1472" s="478"/>
      <c r="H1472" s="478"/>
      <c r="I1472" s="477"/>
    </row>
    <row r="1473">
      <c r="A1473" s="250"/>
      <c r="B1473" s="309"/>
      <c r="C1473" s="310"/>
      <c r="D1473" s="310"/>
      <c r="E1473" s="311"/>
      <c r="F1473" s="310"/>
      <c r="G1473" s="311"/>
      <c r="H1473" s="311"/>
      <c r="I1473" s="310"/>
    </row>
    <row r="1474">
      <c r="A1474" s="307"/>
      <c r="B1474" s="309"/>
      <c r="C1474" s="477"/>
      <c r="D1474" s="477"/>
      <c r="E1474" s="478"/>
      <c r="F1474" s="477"/>
      <c r="G1474" s="478"/>
      <c r="H1474" s="478"/>
      <c r="I1474" s="477"/>
    </row>
    <row r="1475">
      <c r="A1475" s="250"/>
      <c r="B1475" s="309"/>
      <c r="C1475" s="310"/>
      <c r="D1475" s="310"/>
      <c r="E1475" s="311"/>
      <c r="F1475" s="310"/>
      <c r="G1475" s="311"/>
      <c r="H1475" s="311"/>
      <c r="I1475" s="310"/>
    </row>
    <row r="1476">
      <c r="A1476" s="307"/>
      <c r="B1476" s="309"/>
      <c r="C1476" s="477"/>
      <c r="D1476" s="477"/>
      <c r="E1476" s="478"/>
      <c r="F1476" s="477"/>
      <c r="G1476" s="478"/>
      <c r="H1476" s="478"/>
      <c r="I1476" s="477"/>
    </row>
    <row r="1477">
      <c r="A1477" s="250"/>
      <c r="B1477" s="309"/>
      <c r="C1477" s="310"/>
      <c r="D1477" s="310"/>
      <c r="E1477" s="311"/>
      <c r="F1477" s="310"/>
      <c r="G1477" s="311"/>
      <c r="H1477" s="311"/>
      <c r="I1477" s="310"/>
    </row>
    <row r="1478">
      <c r="A1478" s="307"/>
      <c r="B1478" s="309"/>
      <c r="C1478" s="477"/>
      <c r="D1478" s="477"/>
      <c r="E1478" s="478"/>
      <c r="F1478" s="477"/>
      <c r="G1478" s="478"/>
      <c r="H1478" s="478"/>
      <c r="I1478" s="477"/>
    </row>
    <row r="1479">
      <c r="A1479" s="250"/>
      <c r="B1479" s="309"/>
      <c r="C1479" s="310"/>
      <c r="D1479" s="310"/>
      <c r="E1479" s="311"/>
      <c r="F1479" s="310"/>
      <c r="G1479" s="311"/>
      <c r="H1479" s="311"/>
      <c r="I1479" s="310"/>
    </row>
    <row r="1480">
      <c r="A1480" s="307"/>
      <c r="B1480" s="309"/>
      <c r="C1480" s="477"/>
      <c r="D1480" s="477"/>
      <c r="E1480" s="478"/>
      <c r="F1480" s="477"/>
      <c r="G1480" s="478"/>
      <c r="H1480" s="478"/>
      <c r="I1480" s="477"/>
    </row>
    <row r="1481">
      <c r="A1481" s="250"/>
      <c r="B1481" s="309"/>
      <c r="C1481" s="310"/>
      <c r="D1481" s="310"/>
      <c r="E1481" s="311"/>
      <c r="F1481" s="310"/>
      <c r="G1481" s="311"/>
      <c r="H1481" s="311"/>
      <c r="I1481" s="310"/>
    </row>
    <row r="1482">
      <c r="A1482" s="307"/>
      <c r="B1482" s="309"/>
      <c r="C1482" s="477"/>
      <c r="D1482" s="477"/>
      <c r="E1482" s="478"/>
      <c r="F1482" s="477"/>
      <c r="G1482" s="478"/>
      <c r="H1482" s="478"/>
      <c r="I1482" s="477"/>
    </row>
    <row r="1483">
      <c r="A1483" s="250"/>
      <c r="B1483" s="309"/>
      <c r="C1483" s="310"/>
      <c r="D1483" s="310"/>
      <c r="E1483" s="311"/>
      <c r="F1483" s="310"/>
      <c r="G1483" s="311"/>
      <c r="H1483" s="311"/>
      <c r="I1483" s="310"/>
    </row>
    <row r="1484">
      <c r="A1484" s="307"/>
      <c r="B1484" s="309"/>
      <c r="C1484" s="477"/>
      <c r="D1484" s="477"/>
      <c r="E1484" s="478"/>
      <c r="F1484" s="477"/>
      <c r="G1484" s="478"/>
      <c r="H1484" s="478"/>
      <c r="I1484" s="477"/>
    </row>
    <row r="1485">
      <c r="A1485" s="250"/>
      <c r="B1485" s="309"/>
      <c r="C1485" s="310"/>
      <c r="D1485" s="310"/>
      <c r="E1485" s="311"/>
      <c r="F1485" s="310"/>
      <c r="G1485" s="311"/>
      <c r="H1485" s="311"/>
      <c r="I1485" s="310"/>
    </row>
    <row r="1486">
      <c r="A1486" s="307"/>
      <c r="B1486" s="309"/>
      <c r="C1486" s="477"/>
      <c r="D1486" s="477"/>
      <c r="E1486" s="478"/>
      <c r="F1486" s="477"/>
      <c r="G1486" s="478"/>
      <c r="H1486" s="478"/>
      <c r="I1486" s="477"/>
    </row>
    <row r="1487">
      <c r="A1487" s="250"/>
      <c r="B1487" s="309"/>
      <c r="C1487" s="310"/>
      <c r="D1487" s="310"/>
      <c r="E1487" s="311"/>
      <c r="F1487" s="310"/>
      <c r="G1487" s="311"/>
      <c r="H1487" s="311"/>
      <c r="I1487" s="310"/>
    </row>
    <row r="1488">
      <c r="A1488" s="307"/>
      <c r="B1488" s="309"/>
      <c r="C1488" s="477"/>
      <c r="D1488" s="477"/>
      <c r="E1488" s="478"/>
      <c r="F1488" s="477"/>
      <c r="G1488" s="478"/>
      <c r="H1488" s="478"/>
      <c r="I1488" s="477"/>
    </row>
    <row r="1489">
      <c r="A1489" s="250"/>
      <c r="B1489" s="309"/>
      <c r="C1489" s="310"/>
      <c r="D1489" s="310"/>
      <c r="E1489" s="311"/>
      <c r="F1489" s="310"/>
      <c r="G1489" s="311"/>
      <c r="H1489" s="311"/>
      <c r="I1489" s="310"/>
    </row>
    <row r="1490">
      <c r="A1490" s="307"/>
      <c r="B1490" s="309"/>
      <c r="C1490" s="477"/>
      <c r="D1490" s="477"/>
      <c r="E1490" s="478"/>
      <c r="F1490" s="477"/>
      <c r="G1490" s="478"/>
      <c r="H1490" s="478"/>
      <c r="I1490" s="477"/>
    </row>
    <row r="1491">
      <c r="A1491" s="250"/>
      <c r="B1491" s="309"/>
      <c r="C1491" s="310"/>
      <c r="D1491" s="310"/>
      <c r="E1491" s="311"/>
      <c r="F1491" s="310"/>
      <c r="G1491" s="311"/>
      <c r="H1491" s="311"/>
      <c r="I1491" s="310"/>
    </row>
    <row r="1492">
      <c r="A1492" s="307"/>
      <c r="B1492" s="309"/>
      <c r="C1492" s="477"/>
      <c r="D1492" s="477"/>
      <c r="E1492" s="478"/>
      <c r="F1492" s="477"/>
      <c r="G1492" s="478"/>
      <c r="H1492" s="478"/>
      <c r="I1492" s="477"/>
    </row>
    <row r="1493">
      <c r="A1493" s="250"/>
      <c r="B1493" s="309"/>
      <c r="C1493" s="310"/>
      <c r="D1493" s="310"/>
      <c r="E1493" s="311"/>
      <c r="F1493" s="310"/>
      <c r="G1493" s="311"/>
      <c r="H1493" s="311"/>
      <c r="I1493" s="310"/>
    </row>
    <row r="1494">
      <c r="A1494" s="307"/>
      <c r="B1494" s="309"/>
      <c r="C1494" s="477"/>
      <c r="D1494" s="477"/>
      <c r="E1494" s="478"/>
      <c r="F1494" s="477"/>
      <c r="G1494" s="478"/>
      <c r="H1494" s="478"/>
      <c r="I1494" s="477"/>
    </row>
    <row r="1495">
      <c r="A1495" s="250"/>
      <c r="B1495" s="309"/>
      <c r="C1495" s="310"/>
      <c r="D1495" s="310"/>
      <c r="E1495" s="311"/>
      <c r="F1495" s="310"/>
      <c r="G1495" s="311"/>
      <c r="H1495" s="311"/>
      <c r="I1495" s="310"/>
    </row>
    <row r="1496">
      <c r="A1496" s="307"/>
      <c r="B1496" s="309"/>
      <c r="C1496" s="477"/>
      <c r="D1496" s="477"/>
      <c r="E1496" s="478"/>
      <c r="F1496" s="477"/>
      <c r="G1496" s="478"/>
      <c r="H1496" s="478"/>
      <c r="I1496" s="477"/>
    </row>
    <row r="1497">
      <c r="A1497" s="250"/>
      <c r="B1497" s="309"/>
      <c r="C1497" s="310"/>
      <c r="D1497" s="310"/>
      <c r="E1497" s="311"/>
      <c r="F1497" s="310"/>
      <c r="G1497" s="311"/>
      <c r="H1497" s="311"/>
      <c r="I1497" s="310"/>
    </row>
    <row r="1498">
      <c r="A1498" s="307"/>
      <c r="B1498" s="309"/>
      <c r="C1498" s="477"/>
      <c r="D1498" s="477"/>
      <c r="E1498" s="478"/>
      <c r="F1498" s="477"/>
      <c r="G1498" s="478"/>
      <c r="H1498" s="478"/>
      <c r="I1498" s="477"/>
    </row>
    <row r="1499">
      <c r="A1499" s="250"/>
      <c r="B1499" s="309"/>
      <c r="C1499" s="310"/>
      <c r="D1499" s="310"/>
      <c r="E1499" s="311"/>
      <c r="F1499" s="310"/>
      <c r="G1499" s="311"/>
      <c r="H1499" s="311"/>
      <c r="I1499" s="310"/>
    </row>
    <row r="1500">
      <c r="A1500" s="307"/>
      <c r="B1500" s="309"/>
      <c r="C1500" s="477"/>
      <c r="D1500" s="477"/>
      <c r="E1500" s="478"/>
      <c r="F1500" s="477"/>
      <c r="G1500" s="478"/>
      <c r="H1500" s="478"/>
      <c r="I1500" s="477"/>
    </row>
    <row r="1501">
      <c r="A1501" s="250"/>
      <c r="B1501" s="309"/>
      <c r="C1501" s="310"/>
      <c r="D1501" s="310"/>
      <c r="E1501" s="311"/>
      <c r="F1501" s="310"/>
      <c r="G1501" s="311"/>
      <c r="H1501" s="311"/>
      <c r="I1501" s="310"/>
    </row>
    <row r="1502">
      <c r="A1502" s="307"/>
      <c r="B1502" s="309"/>
      <c r="C1502" s="477"/>
      <c r="D1502" s="477"/>
      <c r="E1502" s="478"/>
      <c r="F1502" s="477"/>
      <c r="G1502" s="478"/>
      <c r="H1502" s="478"/>
      <c r="I1502" s="477"/>
    </row>
    <row r="1503">
      <c r="A1503" s="250"/>
      <c r="B1503" s="309"/>
      <c r="C1503" s="310"/>
      <c r="D1503" s="310"/>
      <c r="E1503" s="311"/>
      <c r="F1503" s="310"/>
      <c r="G1503" s="311"/>
      <c r="H1503" s="311"/>
      <c r="I1503" s="310"/>
    </row>
    <row r="1504">
      <c r="A1504" s="307"/>
      <c r="B1504" s="309"/>
      <c r="C1504" s="477"/>
      <c r="D1504" s="477"/>
      <c r="E1504" s="478"/>
      <c r="F1504" s="477"/>
      <c r="G1504" s="478"/>
      <c r="H1504" s="478"/>
      <c r="I1504" s="477"/>
    </row>
    <row r="1505">
      <c r="A1505" s="250"/>
      <c r="B1505" s="309"/>
      <c r="C1505" s="310"/>
      <c r="D1505" s="310"/>
      <c r="E1505" s="311"/>
      <c r="F1505" s="310"/>
      <c r="G1505" s="311"/>
      <c r="H1505" s="311"/>
      <c r="I1505" s="310"/>
    </row>
    <row r="1506">
      <c r="A1506" s="307"/>
      <c r="B1506" s="309"/>
      <c r="C1506" s="477"/>
      <c r="D1506" s="477"/>
      <c r="E1506" s="478"/>
      <c r="F1506" s="477"/>
      <c r="G1506" s="478"/>
      <c r="H1506" s="478"/>
      <c r="I1506" s="477"/>
    </row>
    <row r="1507">
      <c r="A1507" s="250"/>
      <c r="B1507" s="309"/>
      <c r="C1507" s="310"/>
      <c r="D1507" s="310"/>
      <c r="E1507" s="311"/>
      <c r="F1507" s="310"/>
      <c r="G1507" s="311"/>
      <c r="H1507" s="311"/>
      <c r="I1507" s="310"/>
    </row>
    <row r="1508">
      <c r="A1508" s="307"/>
      <c r="B1508" s="309"/>
      <c r="C1508" s="477"/>
      <c r="D1508" s="477"/>
      <c r="E1508" s="478"/>
      <c r="F1508" s="477"/>
      <c r="G1508" s="478"/>
      <c r="H1508" s="478"/>
      <c r="I1508" s="477"/>
    </row>
    <row r="1509">
      <c r="A1509" s="250"/>
      <c r="B1509" s="309"/>
      <c r="C1509" s="310"/>
      <c r="D1509" s="310"/>
      <c r="E1509" s="311"/>
      <c r="F1509" s="310"/>
      <c r="G1509" s="311"/>
      <c r="H1509" s="311"/>
      <c r="I1509" s="310"/>
    </row>
    <row r="1510">
      <c r="A1510" s="307"/>
      <c r="B1510" s="309"/>
      <c r="C1510" s="477"/>
      <c r="D1510" s="477"/>
      <c r="E1510" s="478"/>
      <c r="F1510" s="477"/>
      <c r="G1510" s="478"/>
      <c r="H1510" s="478"/>
      <c r="I1510" s="477"/>
    </row>
    <row r="1511">
      <c r="A1511" s="250"/>
      <c r="B1511" s="309"/>
      <c r="C1511" s="310"/>
      <c r="D1511" s="310"/>
      <c r="E1511" s="311"/>
      <c r="F1511" s="310"/>
      <c r="G1511" s="311"/>
      <c r="H1511" s="311"/>
      <c r="I1511" s="310"/>
    </row>
    <row r="1512">
      <c r="A1512" s="307"/>
      <c r="B1512" s="309"/>
      <c r="C1512" s="477"/>
      <c r="D1512" s="477"/>
      <c r="E1512" s="478"/>
      <c r="F1512" s="477"/>
      <c r="G1512" s="478"/>
      <c r="H1512" s="478"/>
      <c r="I1512" s="477"/>
    </row>
    <row r="1513">
      <c r="A1513" s="250"/>
      <c r="B1513" s="309"/>
      <c r="C1513" s="310"/>
      <c r="D1513" s="310"/>
      <c r="E1513" s="311"/>
      <c r="F1513" s="310"/>
      <c r="G1513" s="311"/>
      <c r="H1513" s="311"/>
      <c r="I1513" s="310"/>
    </row>
    <row r="1514">
      <c r="A1514" s="307"/>
      <c r="B1514" s="309"/>
      <c r="C1514" s="477"/>
      <c r="D1514" s="477"/>
      <c r="E1514" s="478"/>
      <c r="F1514" s="477"/>
      <c r="G1514" s="478"/>
      <c r="H1514" s="478"/>
      <c r="I1514" s="477"/>
    </row>
    <row r="1515">
      <c r="A1515" s="250"/>
      <c r="B1515" s="309"/>
      <c r="C1515" s="310"/>
      <c r="D1515" s="310"/>
      <c r="E1515" s="311"/>
      <c r="F1515" s="310"/>
      <c r="G1515" s="311"/>
      <c r="H1515" s="311"/>
      <c r="I1515" s="310"/>
    </row>
    <row r="1516">
      <c r="A1516" s="307"/>
      <c r="B1516" s="309"/>
      <c r="C1516" s="477"/>
      <c r="D1516" s="477"/>
      <c r="E1516" s="478"/>
      <c r="F1516" s="477"/>
      <c r="G1516" s="478"/>
      <c r="H1516" s="478"/>
      <c r="I1516" s="477"/>
    </row>
    <row r="1517">
      <c r="A1517" s="250"/>
      <c r="B1517" s="309"/>
      <c r="C1517" s="310"/>
      <c r="D1517" s="310"/>
      <c r="E1517" s="311"/>
      <c r="F1517" s="310"/>
      <c r="G1517" s="311"/>
      <c r="H1517" s="311"/>
      <c r="I1517" s="310"/>
    </row>
    <row r="1518">
      <c r="A1518" s="307"/>
      <c r="B1518" s="309"/>
      <c r="C1518" s="477"/>
      <c r="D1518" s="477"/>
      <c r="E1518" s="478"/>
      <c r="F1518" s="477"/>
      <c r="G1518" s="478"/>
      <c r="H1518" s="478"/>
      <c r="I1518" s="477"/>
    </row>
    <row r="1519">
      <c r="A1519" s="250"/>
      <c r="B1519" s="309"/>
      <c r="C1519" s="310"/>
      <c r="D1519" s="310"/>
      <c r="E1519" s="311"/>
      <c r="F1519" s="310"/>
      <c r="G1519" s="311"/>
      <c r="H1519" s="311"/>
      <c r="I1519" s="310"/>
    </row>
    <row r="1520">
      <c r="A1520" s="307"/>
      <c r="B1520" s="309"/>
      <c r="C1520" s="477"/>
      <c r="D1520" s="477"/>
      <c r="E1520" s="478"/>
      <c r="F1520" s="477"/>
      <c r="G1520" s="478"/>
      <c r="H1520" s="478"/>
      <c r="I1520" s="477"/>
    </row>
    <row r="1521">
      <c r="A1521" s="250"/>
      <c r="B1521" s="309"/>
      <c r="C1521" s="310"/>
      <c r="D1521" s="310"/>
      <c r="E1521" s="311"/>
      <c r="F1521" s="310"/>
      <c r="G1521" s="311"/>
      <c r="H1521" s="311"/>
      <c r="I1521" s="310"/>
    </row>
    <row r="1522">
      <c r="A1522" s="307"/>
      <c r="B1522" s="309"/>
      <c r="C1522" s="477"/>
      <c r="D1522" s="477"/>
      <c r="E1522" s="478"/>
      <c r="F1522" s="477"/>
      <c r="G1522" s="478"/>
      <c r="H1522" s="478"/>
      <c r="I1522" s="477"/>
    </row>
    <row r="1523">
      <c r="A1523" s="250"/>
      <c r="B1523" s="309"/>
      <c r="C1523" s="310"/>
      <c r="D1523" s="310"/>
      <c r="E1523" s="311"/>
      <c r="F1523" s="310"/>
      <c r="G1523" s="311"/>
      <c r="H1523" s="311"/>
      <c r="I1523" s="310"/>
    </row>
    <row r="1524">
      <c r="A1524" s="307"/>
      <c r="B1524" s="309"/>
      <c r="C1524" s="477"/>
      <c r="D1524" s="477"/>
      <c r="E1524" s="478"/>
      <c r="F1524" s="477"/>
      <c r="G1524" s="478"/>
      <c r="H1524" s="478"/>
      <c r="I1524" s="477"/>
    </row>
    <row r="1525">
      <c r="A1525" s="250"/>
      <c r="B1525" s="309"/>
      <c r="C1525" s="310"/>
      <c r="D1525" s="310"/>
      <c r="E1525" s="311"/>
      <c r="F1525" s="310"/>
      <c r="G1525" s="311"/>
      <c r="H1525" s="311"/>
      <c r="I1525" s="310"/>
    </row>
    <row r="1526">
      <c r="A1526" s="307"/>
      <c r="B1526" s="309"/>
      <c r="C1526" s="477"/>
      <c r="D1526" s="477"/>
      <c r="E1526" s="478"/>
      <c r="F1526" s="477"/>
      <c r="G1526" s="478"/>
      <c r="H1526" s="478"/>
      <c r="I1526" s="477"/>
    </row>
    <row r="1527">
      <c r="A1527" s="250"/>
      <c r="B1527" s="309"/>
      <c r="C1527" s="310"/>
      <c r="D1527" s="310"/>
      <c r="E1527" s="311"/>
      <c r="F1527" s="310"/>
      <c r="G1527" s="311"/>
      <c r="H1527" s="311"/>
      <c r="I1527" s="310"/>
    </row>
    <row r="1528">
      <c r="A1528" s="307"/>
      <c r="B1528" s="309"/>
      <c r="C1528" s="477"/>
      <c r="D1528" s="477"/>
      <c r="E1528" s="478"/>
      <c r="F1528" s="477"/>
      <c r="G1528" s="478"/>
      <c r="H1528" s="478"/>
      <c r="I1528" s="477"/>
    </row>
    <row r="1529">
      <c r="A1529" s="250"/>
      <c r="B1529" s="309"/>
      <c r="C1529" s="310"/>
      <c r="D1529" s="310"/>
      <c r="E1529" s="311"/>
      <c r="F1529" s="310"/>
      <c r="G1529" s="311"/>
      <c r="H1529" s="311"/>
      <c r="I1529" s="310"/>
    </row>
    <row r="1530">
      <c r="A1530" s="307"/>
      <c r="B1530" s="309"/>
      <c r="C1530" s="477"/>
      <c r="D1530" s="477"/>
      <c r="E1530" s="478"/>
      <c r="F1530" s="477"/>
      <c r="G1530" s="478"/>
      <c r="H1530" s="478"/>
      <c r="I1530" s="477"/>
    </row>
    <row r="1531">
      <c r="A1531" s="250"/>
      <c r="B1531" s="309"/>
      <c r="C1531" s="310"/>
      <c r="D1531" s="310"/>
      <c r="E1531" s="311"/>
      <c r="F1531" s="310"/>
      <c r="G1531" s="311"/>
      <c r="H1531" s="311"/>
      <c r="I1531" s="310"/>
    </row>
    <row r="1532">
      <c r="A1532" s="307"/>
      <c r="B1532" s="309"/>
      <c r="C1532" s="477"/>
      <c r="D1532" s="477"/>
      <c r="E1532" s="478"/>
      <c r="F1532" s="477"/>
      <c r="G1532" s="478"/>
      <c r="H1532" s="478"/>
      <c r="I1532" s="477"/>
    </row>
    <row r="1533">
      <c r="A1533" s="250"/>
      <c r="B1533" s="309"/>
      <c r="C1533" s="310"/>
      <c r="D1533" s="310"/>
      <c r="E1533" s="311"/>
      <c r="F1533" s="310"/>
      <c r="G1533" s="311"/>
      <c r="H1533" s="311"/>
      <c r="I1533" s="310"/>
    </row>
    <row r="1534">
      <c r="A1534" s="307"/>
      <c r="B1534" s="309"/>
      <c r="C1534" s="477"/>
      <c r="D1534" s="477"/>
      <c r="E1534" s="478"/>
      <c r="F1534" s="477"/>
      <c r="G1534" s="478"/>
      <c r="H1534" s="478"/>
      <c r="I1534" s="477"/>
    </row>
    <row r="1535">
      <c r="A1535" s="250"/>
      <c r="B1535" s="309"/>
      <c r="C1535" s="310"/>
      <c r="D1535" s="310"/>
      <c r="E1535" s="311"/>
      <c r="F1535" s="310"/>
      <c r="G1535" s="311"/>
      <c r="H1535" s="311"/>
      <c r="I1535" s="310"/>
    </row>
    <row r="1536">
      <c r="A1536" s="307"/>
      <c r="B1536" s="309"/>
      <c r="C1536" s="477"/>
      <c r="D1536" s="477"/>
      <c r="E1536" s="478"/>
      <c r="F1536" s="477"/>
      <c r="G1536" s="478"/>
      <c r="H1536" s="478"/>
      <c r="I1536" s="477"/>
    </row>
    <row r="1537">
      <c r="A1537" s="250"/>
      <c r="B1537" s="309"/>
      <c r="C1537" s="310"/>
      <c r="D1537" s="310"/>
      <c r="E1537" s="311"/>
      <c r="F1537" s="310"/>
      <c r="G1537" s="311"/>
      <c r="H1537" s="311"/>
      <c r="I1537" s="310"/>
    </row>
    <row r="1538">
      <c r="A1538" s="307"/>
      <c r="B1538" s="309"/>
      <c r="C1538" s="477"/>
      <c r="D1538" s="477"/>
      <c r="E1538" s="478"/>
      <c r="F1538" s="477"/>
      <c r="G1538" s="478"/>
      <c r="H1538" s="478"/>
      <c r="I1538" s="477"/>
    </row>
    <row r="1539">
      <c r="A1539" s="250"/>
      <c r="B1539" s="309"/>
      <c r="C1539" s="310"/>
      <c r="D1539" s="310"/>
      <c r="E1539" s="311"/>
      <c r="F1539" s="310"/>
      <c r="G1539" s="311"/>
      <c r="H1539" s="311"/>
      <c r="I1539" s="310"/>
    </row>
    <row r="1540">
      <c r="A1540" s="307"/>
      <c r="B1540" s="309"/>
      <c r="C1540" s="477"/>
      <c r="D1540" s="477"/>
      <c r="E1540" s="478"/>
      <c r="F1540" s="477"/>
      <c r="G1540" s="478"/>
      <c r="H1540" s="478"/>
      <c r="I1540" s="477"/>
    </row>
    <row r="1541">
      <c r="A1541" s="250"/>
      <c r="B1541" s="309"/>
      <c r="C1541" s="310"/>
      <c r="D1541" s="310"/>
      <c r="E1541" s="311"/>
      <c r="F1541" s="310"/>
      <c r="G1541" s="311"/>
      <c r="H1541" s="311"/>
      <c r="I1541" s="310"/>
    </row>
    <row r="1542">
      <c r="A1542" s="307"/>
      <c r="B1542" s="309"/>
      <c r="C1542" s="477"/>
      <c r="D1542" s="477"/>
      <c r="E1542" s="478"/>
      <c r="F1542" s="477"/>
      <c r="G1542" s="478"/>
      <c r="H1542" s="478"/>
      <c r="I1542" s="477"/>
    </row>
    <row r="1543">
      <c r="A1543" s="250"/>
      <c r="B1543" s="309"/>
      <c r="C1543" s="310"/>
      <c r="D1543" s="310"/>
      <c r="E1543" s="311"/>
      <c r="F1543" s="310"/>
      <c r="G1543" s="311"/>
      <c r="H1543" s="311"/>
      <c r="I1543" s="310"/>
    </row>
    <row r="1544">
      <c r="A1544" s="307"/>
      <c r="B1544" s="309"/>
      <c r="C1544" s="477"/>
      <c r="D1544" s="477"/>
      <c r="E1544" s="478"/>
      <c r="F1544" s="477"/>
      <c r="G1544" s="478"/>
      <c r="H1544" s="478"/>
      <c r="I1544" s="477"/>
    </row>
    <row r="1545">
      <c r="A1545" s="250"/>
      <c r="B1545" s="309"/>
      <c r="C1545" s="310"/>
      <c r="D1545" s="310"/>
      <c r="E1545" s="311"/>
      <c r="F1545" s="310"/>
      <c r="G1545" s="311"/>
      <c r="H1545" s="311"/>
      <c r="I1545" s="310"/>
    </row>
    <row r="1546">
      <c r="A1546" s="307"/>
      <c r="B1546" s="309"/>
      <c r="C1546" s="477"/>
      <c r="D1546" s="477"/>
      <c r="E1546" s="478"/>
      <c r="F1546" s="477"/>
      <c r="G1546" s="478"/>
      <c r="H1546" s="478"/>
      <c r="I1546" s="477"/>
    </row>
    <row r="1547">
      <c r="A1547" s="250"/>
      <c r="B1547" s="309"/>
      <c r="C1547" s="310"/>
      <c r="D1547" s="310"/>
      <c r="E1547" s="311"/>
      <c r="F1547" s="310"/>
      <c r="G1547" s="311"/>
      <c r="H1547" s="311"/>
      <c r="I1547" s="310"/>
    </row>
    <row r="1548">
      <c r="A1548" s="307"/>
      <c r="B1548" s="309"/>
      <c r="C1548" s="477"/>
      <c r="D1548" s="477"/>
      <c r="E1548" s="478"/>
      <c r="F1548" s="477"/>
      <c r="G1548" s="478"/>
      <c r="H1548" s="478"/>
      <c r="I1548" s="477"/>
    </row>
    <row r="1549">
      <c r="A1549" s="250"/>
      <c r="B1549" s="309"/>
      <c r="C1549" s="310"/>
      <c r="D1549" s="310"/>
      <c r="E1549" s="311"/>
      <c r="F1549" s="310"/>
      <c r="G1549" s="311"/>
      <c r="H1549" s="311"/>
      <c r="I1549" s="310"/>
    </row>
    <row r="1550">
      <c r="A1550" s="307"/>
      <c r="B1550" s="309"/>
      <c r="C1550" s="477"/>
      <c r="D1550" s="477"/>
      <c r="E1550" s="478"/>
      <c r="F1550" s="477"/>
      <c r="G1550" s="478"/>
      <c r="H1550" s="478"/>
      <c r="I1550" s="477"/>
    </row>
    <row r="1551">
      <c r="A1551" s="250"/>
      <c r="B1551" s="309"/>
      <c r="C1551" s="310"/>
      <c r="D1551" s="310"/>
      <c r="E1551" s="311"/>
      <c r="F1551" s="310"/>
      <c r="G1551" s="311"/>
      <c r="H1551" s="311"/>
      <c r="I1551" s="310"/>
    </row>
    <row r="1552">
      <c r="A1552" s="307"/>
      <c r="B1552" s="309"/>
      <c r="C1552" s="477"/>
      <c r="D1552" s="477"/>
      <c r="E1552" s="478"/>
      <c r="F1552" s="477"/>
      <c r="G1552" s="478"/>
      <c r="H1552" s="478"/>
      <c r="I1552" s="477"/>
    </row>
    <row r="1553">
      <c r="A1553" s="250"/>
      <c r="B1553" s="309"/>
      <c r="C1553" s="310"/>
      <c r="D1553" s="310"/>
      <c r="E1553" s="311"/>
      <c r="F1553" s="310"/>
      <c r="G1553" s="311"/>
      <c r="H1553" s="311"/>
      <c r="I1553" s="310"/>
    </row>
    <row r="1554">
      <c r="A1554" s="307"/>
      <c r="B1554" s="309"/>
      <c r="C1554" s="477"/>
      <c r="D1554" s="477"/>
      <c r="E1554" s="478"/>
      <c r="F1554" s="477"/>
      <c r="G1554" s="478"/>
      <c r="H1554" s="478"/>
      <c r="I1554" s="477"/>
    </row>
    <row r="1555">
      <c r="A1555" s="250"/>
      <c r="B1555" s="309"/>
      <c r="C1555" s="310"/>
      <c r="D1555" s="310"/>
      <c r="E1555" s="311"/>
      <c r="F1555" s="310"/>
      <c r="G1555" s="311"/>
      <c r="H1555" s="311"/>
      <c r="I1555" s="310"/>
    </row>
    <row r="1556">
      <c r="A1556" s="307"/>
      <c r="B1556" s="309"/>
      <c r="C1556" s="477"/>
      <c r="D1556" s="477"/>
      <c r="E1556" s="478"/>
      <c r="F1556" s="477"/>
      <c r="G1556" s="478"/>
      <c r="H1556" s="478"/>
      <c r="I1556" s="477"/>
    </row>
    <row r="1557">
      <c r="A1557" s="250"/>
      <c r="B1557" s="309"/>
      <c r="C1557" s="310"/>
      <c r="D1557" s="310"/>
      <c r="E1557" s="311"/>
      <c r="F1557" s="310"/>
      <c r="G1557" s="311"/>
      <c r="H1557" s="311"/>
      <c r="I1557" s="310"/>
    </row>
    <row r="1558">
      <c r="A1558" s="307"/>
      <c r="B1558" s="309"/>
      <c r="C1558" s="477"/>
      <c r="D1558" s="477"/>
      <c r="E1558" s="478"/>
      <c r="F1558" s="477"/>
      <c r="G1558" s="478"/>
      <c r="H1558" s="478"/>
      <c r="I1558" s="477"/>
    </row>
    <row r="1559">
      <c r="A1559" s="250"/>
      <c r="B1559" s="309"/>
      <c r="C1559" s="310"/>
      <c r="D1559" s="310"/>
      <c r="E1559" s="311"/>
      <c r="F1559" s="310"/>
      <c r="G1559" s="311"/>
      <c r="H1559" s="311"/>
      <c r="I1559" s="310"/>
    </row>
    <row r="1560">
      <c r="A1560" s="307"/>
      <c r="B1560" s="309"/>
      <c r="C1560" s="477"/>
      <c r="D1560" s="477"/>
      <c r="E1560" s="478"/>
      <c r="F1560" s="477"/>
      <c r="G1560" s="478"/>
      <c r="H1560" s="478"/>
      <c r="I1560" s="477"/>
    </row>
    <row r="1561">
      <c r="A1561" s="250"/>
      <c r="B1561" s="309"/>
      <c r="C1561" s="310"/>
      <c r="D1561" s="310"/>
      <c r="E1561" s="311"/>
      <c r="F1561" s="310"/>
      <c r="G1561" s="311"/>
      <c r="H1561" s="311"/>
      <c r="I1561" s="310"/>
    </row>
    <row r="1562">
      <c r="A1562" s="307"/>
      <c r="B1562" s="309"/>
      <c r="C1562" s="477"/>
      <c r="D1562" s="477"/>
      <c r="E1562" s="478"/>
      <c r="F1562" s="477"/>
      <c r="G1562" s="478"/>
      <c r="H1562" s="478"/>
      <c r="I1562" s="477"/>
    </row>
    <row r="1563">
      <c r="A1563" s="250"/>
      <c r="B1563" s="309"/>
      <c r="C1563" s="310"/>
      <c r="D1563" s="310"/>
      <c r="E1563" s="311"/>
      <c r="F1563" s="310"/>
      <c r="G1563" s="311"/>
      <c r="H1563" s="311"/>
      <c r="I1563" s="310"/>
    </row>
    <row r="1564">
      <c r="A1564" s="307"/>
      <c r="B1564" s="309"/>
      <c r="C1564" s="477"/>
      <c r="D1564" s="477"/>
      <c r="E1564" s="478"/>
      <c r="F1564" s="477"/>
      <c r="G1564" s="478"/>
      <c r="H1564" s="478"/>
      <c r="I1564" s="477"/>
    </row>
    <row r="1565">
      <c r="A1565" s="250"/>
      <c r="B1565" s="309"/>
      <c r="C1565" s="310"/>
      <c r="D1565" s="310"/>
      <c r="E1565" s="311"/>
      <c r="F1565" s="310"/>
      <c r="G1565" s="311"/>
      <c r="H1565" s="311"/>
      <c r="I1565" s="310"/>
    </row>
    <row r="1566">
      <c r="A1566" s="307"/>
      <c r="B1566" s="309"/>
      <c r="C1566" s="477"/>
      <c r="D1566" s="477"/>
      <c r="E1566" s="478"/>
      <c r="F1566" s="477"/>
      <c r="G1566" s="478"/>
      <c r="H1566" s="478"/>
      <c r="I1566" s="477"/>
    </row>
    <row r="1567">
      <c r="A1567" s="250"/>
      <c r="B1567" s="309"/>
      <c r="C1567" s="310"/>
      <c r="D1567" s="310"/>
      <c r="E1567" s="311"/>
      <c r="F1567" s="310"/>
      <c r="G1567" s="311"/>
      <c r="H1567" s="311"/>
      <c r="I1567" s="310"/>
    </row>
    <row r="1568">
      <c r="A1568" s="307"/>
      <c r="B1568" s="309"/>
      <c r="C1568" s="477"/>
      <c r="D1568" s="477"/>
      <c r="E1568" s="478"/>
      <c r="F1568" s="477"/>
      <c r="G1568" s="478"/>
      <c r="H1568" s="478"/>
      <c r="I1568" s="477"/>
    </row>
    <row r="1569">
      <c r="A1569" s="250"/>
      <c r="B1569" s="309"/>
      <c r="C1569" s="310"/>
      <c r="D1569" s="310"/>
      <c r="E1569" s="311"/>
      <c r="F1569" s="310"/>
      <c r="G1569" s="311"/>
      <c r="H1569" s="311"/>
      <c r="I1569" s="310"/>
    </row>
    <row r="1570">
      <c r="A1570" s="307"/>
      <c r="B1570" s="309"/>
      <c r="C1570" s="477"/>
      <c r="D1570" s="477"/>
      <c r="E1570" s="478"/>
      <c r="F1570" s="477"/>
      <c r="G1570" s="478"/>
      <c r="H1570" s="478"/>
      <c r="I1570" s="477"/>
    </row>
    <row r="1571">
      <c r="A1571" s="250"/>
      <c r="B1571" s="309"/>
      <c r="C1571" s="310"/>
      <c r="D1571" s="310"/>
      <c r="E1571" s="311"/>
      <c r="F1571" s="310"/>
      <c r="G1571" s="311"/>
      <c r="H1571" s="311"/>
      <c r="I1571" s="310"/>
    </row>
    <row r="1572">
      <c r="A1572" s="307"/>
      <c r="B1572" s="309"/>
      <c r="C1572" s="477"/>
      <c r="D1572" s="477"/>
      <c r="E1572" s="478"/>
      <c r="F1572" s="477"/>
      <c r="G1572" s="478"/>
      <c r="H1572" s="478"/>
      <c r="I1572" s="477"/>
    </row>
    <row r="1573">
      <c r="A1573" s="250"/>
      <c r="B1573" s="309"/>
      <c r="C1573" s="310"/>
      <c r="D1573" s="310"/>
      <c r="E1573" s="311"/>
      <c r="F1573" s="310"/>
      <c r="G1573" s="311"/>
      <c r="H1573" s="311"/>
      <c r="I1573" s="310"/>
    </row>
    <row r="1574">
      <c r="A1574" s="307"/>
      <c r="B1574" s="309"/>
      <c r="C1574" s="477"/>
      <c r="D1574" s="477"/>
      <c r="E1574" s="478"/>
      <c r="F1574" s="477"/>
      <c r="G1574" s="478"/>
      <c r="H1574" s="478"/>
      <c r="I1574" s="477"/>
    </row>
    <row r="1575">
      <c r="A1575" s="250"/>
      <c r="B1575" s="309"/>
      <c r="C1575" s="310"/>
      <c r="D1575" s="310"/>
      <c r="E1575" s="311"/>
      <c r="F1575" s="310"/>
      <c r="G1575" s="311"/>
      <c r="H1575" s="311"/>
      <c r="I1575" s="310"/>
    </row>
    <row r="1576">
      <c r="A1576" s="307"/>
      <c r="B1576" s="309"/>
      <c r="C1576" s="477"/>
      <c r="D1576" s="477"/>
      <c r="E1576" s="478"/>
      <c r="F1576" s="477"/>
      <c r="G1576" s="478"/>
      <c r="H1576" s="478"/>
      <c r="I1576" s="477"/>
    </row>
    <row r="1577">
      <c r="A1577" s="250"/>
      <c r="B1577" s="309"/>
      <c r="C1577" s="310"/>
      <c r="D1577" s="310"/>
      <c r="E1577" s="311"/>
      <c r="F1577" s="310"/>
      <c r="G1577" s="311"/>
      <c r="H1577" s="311"/>
      <c r="I1577" s="310"/>
    </row>
    <row r="1578">
      <c r="A1578" s="307"/>
      <c r="B1578" s="309"/>
      <c r="C1578" s="477"/>
      <c r="D1578" s="477"/>
      <c r="E1578" s="478"/>
      <c r="F1578" s="477"/>
      <c r="G1578" s="478"/>
      <c r="H1578" s="478"/>
      <c r="I1578" s="477"/>
    </row>
    <row r="1579">
      <c r="A1579" s="250"/>
      <c r="B1579" s="309"/>
      <c r="C1579" s="310"/>
      <c r="D1579" s="310"/>
      <c r="E1579" s="311"/>
      <c r="F1579" s="310"/>
      <c r="G1579" s="311"/>
      <c r="H1579" s="311"/>
      <c r="I1579" s="310"/>
    </row>
    <row r="1580">
      <c r="A1580" s="307"/>
      <c r="B1580" s="309"/>
      <c r="C1580" s="477"/>
      <c r="D1580" s="477"/>
      <c r="E1580" s="478"/>
      <c r="F1580" s="477"/>
      <c r="G1580" s="478"/>
      <c r="H1580" s="478"/>
      <c r="I1580" s="477"/>
    </row>
    <row r="1581">
      <c r="A1581" s="250"/>
      <c r="B1581" s="309"/>
      <c r="C1581" s="310"/>
      <c r="D1581" s="310"/>
      <c r="E1581" s="311"/>
      <c r="F1581" s="310"/>
      <c r="G1581" s="311"/>
      <c r="H1581" s="311"/>
      <c r="I1581" s="310"/>
    </row>
    <row r="1582">
      <c r="A1582" s="307"/>
      <c r="B1582" s="309"/>
      <c r="C1582" s="477"/>
      <c r="D1582" s="477"/>
      <c r="E1582" s="478"/>
      <c r="F1582" s="477"/>
      <c r="G1582" s="478"/>
      <c r="H1582" s="478"/>
      <c r="I1582" s="477"/>
    </row>
    <row r="1583">
      <c r="A1583" s="250"/>
      <c r="B1583" s="309"/>
      <c r="C1583" s="310"/>
      <c r="D1583" s="310"/>
      <c r="E1583" s="311"/>
      <c r="F1583" s="310"/>
      <c r="G1583" s="311"/>
      <c r="H1583" s="311"/>
      <c r="I1583" s="310"/>
    </row>
    <row r="1584">
      <c r="A1584" s="307"/>
      <c r="B1584" s="309"/>
      <c r="C1584" s="477"/>
      <c r="D1584" s="477"/>
      <c r="E1584" s="478"/>
      <c r="F1584" s="477"/>
      <c r="G1584" s="478"/>
      <c r="H1584" s="478"/>
      <c r="I1584" s="477"/>
    </row>
    <row r="1585">
      <c r="A1585" s="250"/>
      <c r="B1585" s="309"/>
      <c r="C1585" s="310"/>
      <c r="D1585" s="310"/>
      <c r="E1585" s="311"/>
      <c r="F1585" s="310"/>
      <c r="G1585" s="311"/>
      <c r="H1585" s="311"/>
      <c r="I1585" s="310"/>
    </row>
    <row r="1586">
      <c r="A1586" s="307"/>
      <c r="B1586" s="309"/>
      <c r="C1586" s="477"/>
      <c r="D1586" s="477"/>
      <c r="E1586" s="478"/>
      <c r="F1586" s="477"/>
      <c r="G1586" s="478"/>
      <c r="H1586" s="478"/>
      <c r="I1586" s="477"/>
    </row>
    <row r="1587">
      <c r="A1587" s="250"/>
      <c r="B1587" s="309"/>
      <c r="C1587" s="310"/>
      <c r="D1587" s="310"/>
      <c r="E1587" s="311"/>
      <c r="F1587" s="310"/>
      <c r="G1587" s="311"/>
      <c r="H1587" s="311"/>
      <c r="I1587" s="310"/>
    </row>
    <row r="1588">
      <c r="A1588" s="307"/>
      <c r="B1588" s="309"/>
      <c r="C1588" s="477"/>
      <c r="D1588" s="477"/>
      <c r="E1588" s="478"/>
      <c r="F1588" s="477"/>
      <c r="G1588" s="478"/>
      <c r="H1588" s="478"/>
      <c r="I1588" s="477"/>
    </row>
    <row r="1589">
      <c r="A1589" s="250"/>
      <c r="B1589" s="309"/>
      <c r="C1589" s="310"/>
      <c r="D1589" s="310"/>
      <c r="E1589" s="311"/>
      <c r="F1589" s="310"/>
      <c r="G1589" s="311"/>
      <c r="H1589" s="311"/>
      <c r="I1589" s="310"/>
    </row>
    <row r="1590">
      <c r="A1590" s="307"/>
      <c r="B1590" s="309"/>
      <c r="C1590" s="477"/>
      <c r="D1590" s="477"/>
      <c r="E1590" s="478"/>
      <c r="F1590" s="477"/>
      <c r="G1590" s="478"/>
      <c r="H1590" s="478"/>
      <c r="I1590" s="477"/>
    </row>
    <row r="1591">
      <c r="A1591" s="250"/>
      <c r="B1591" s="309"/>
      <c r="C1591" s="310"/>
      <c r="D1591" s="310"/>
      <c r="E1591" s="311"/>
      <c r="F1591" s="310"/>
      <c r="G1591" s="311"/>
      <c r="H1591" s="311"/>
      <c r="I1591" s="310"/>
    </row>
    <row r="1592">
      <c r="A1592" s="307"/>
      <c r="B1592" s="309"/>
      <c r="C1592" s="477"/>
      <c r="D1592" s="477"/>
      <c r="E1592" s="478"/>
      <c r="F1592" s="477"/>
      <c r="G1592" s="478"/>
      <c r="H1592" s="478"/>
      <c r="I1592" s="477"/>
    </row>
    <row r="1593">
      <c r="A1593" s="250"/>
      <c r="B1593" s="309"/>
      <c r="C1593" s="310"/>
      <c r="D1593" s="310"/>
      <c r="E1593" s="311"/>
      <c r="F1593" s="310"/>
      <c r="G1593" s="311"/>
      <c r="H1593" s="311"/>
      <c r="I1593" s="310"/>
    </row>
    <row r="1594">
      <c r="A1594" s="307"/>
      <c r="B1594" s="309"/>
      <c r="C1594" s="477"/>
      <c r="D1594" s="477"/>
      <c r="E1594" s="478"/>
      <c r="F1594" s="477"/>
      <c r="G1594" s="478"/>
      <c r="H1594" s="478"/>
      <c r="I1594" s="477"/>
    </row>
    <row r="1595">
      <c r="A1595" s="250"/>
      <c r="B1595" s="309"/>
      <c r="C1595" s="310"/>
      <c r="D1595" s="310"/>
      <c r="E1595" s="311"/>
      <c r="F1595" s="310"/>
      <c r="G1595" s="311"/>
      <c r="H1595" s="311"/>
      <c r="I1595" s="310"/>
    </row>
    <row r="1596">
      <c r="A1596" s="307"/>
      <c r="B1596" s="309"/>
      <c r="C1596" s="477"/>
      <c r="D1596" s="477"/>
      <c r="E1596" s="478"/>
      <c r="F1596" s="477"/>
      <c r="G1596" s="478"/>
      <c r="H1596" s="478"/>
      <c r="I1596" s="477"/>
    </row>
    <row r="1597">
      <c r="A1597" s="250"/>
      <c r="B1597" s="309"/>
      <c r="C1597" s="310"/>
      <c r="D1597" s="310"/>
      <c r="E1597" s="311"/>
      <c r="F1597" s="310"/>
      <c r="G1597" s="311"/>
      <c r="H1597" s="311"/>
      <c r="I1597" s="310"/>
    </row>
    <row r="1598">
      <c r="A1598" s="307"/>
      <c r="B1598" s="309"/>
      <c r="C1598" s="477"/>
      <c r="D1598" s="477"/>
      <c r="E1598" s="478"/>
      <c r="F1598" s="477"/>
      <c r="G1598" s="478"/>
      <c r="H1598" s="478"/>
      <c r="I1598" s="477"/>
    </row>
    <row r="1599">
      <c r="A1599" s="250"/>
      <c r="B1599" s="309"/>
      <c r="C1599" s="310"/>
      <c r="D1599" s="310"/>
      <c r="E1599" s="311"/>
      <c r="F1599" s="310"/>
      <c r="G1599" s="311"/>
      <c r="H1599" s="311"/>
      <c r="I1599" s="310"/>
    </row>
    <row r="1600">
      <c r="A1600" s="307"/>
      <c r="B1600" s="309"/>
      <c r="C1600" s="477"/>
      <c r="D1600" s="477"/>
      <c r="E1600" s="478"/>
      <c r="F1600" s="477"/>
      <c r="G1600" s="478"/>
      <c r="H1600" s="478"/>
      <c r="I1600" s="477"/>
    </row>
    <row r="1601">
      <c r="A1601" s="250"/>
      <c r="B1601" s="309"/>
      <c r="C1601" s="310"/>
      <c r="D1601" s="310"/>
      <c r="E1601" s="311"/>
      <c r="F1601" s="310"/>
      <c r="G1601" s="311"/>
      <c r="H1601" s="311"/>
      <c r="I1601" s="310"/>
    </row>
    <row r="1602">
      <c r="A1602" s="307"/>
      <c r="B1602" s="309"/>
      <c r="C1602" s="477"/>
      <c r="D1602" s="477"/>
      <c r="E1602" s="478"/>
      <c r="F1602" s="477"/>
      <c r="G1602" s="478"/>
      <c r="H1602" s="478"/>
      <c r="I1602" s="477"/>
    </row>
    <row r="1603">
      <c r="A1603" s="250"/>
      <c r="B1603" s="309"/>
      <c r="C1603" s="310"/>
      <c r="D1603" s="310"/>
      <c r="E1603" s="311"/>
      <c r="F1603" s="310"/>
      <c r="G1603" s="311"/>
      <c r="H1603" s="311"/>
      <c r="I1603" s="310"/>
    </row>
    <row r="1604">
      <c r="A1604" s="307"/>
      <c r="B1604" s="309"/>
      <c r="C1604" s="477"/>
      <c r="D1604" s="477"/>
      <c r="E1604" s="478"/>
      <c r="F1604" s="477"/>
      <c r="G1604" s="478"/>
      <c r="H1604" s="478"/>
      <c r="I1604" s="477"/>
    </row>
    <row r="1605">
      <c r="A1605" s="250"/>
      <c r="B1605" s="309"/>
      <c r="C1605" s="310"/>
      <c r="D1605" s="310"/>
      <c r="E1605" s="311"/>
      <c r="F1605" s="310"/>
      <c r="G1605" s="311"/>
      <c r="H1605" s="311"/>
      <c r="I1605" s="310"/>
    </row>
    <row r="1606">
      <c r="A1606" s="307"/>
      <c r="B1606" s="309"/>
      <c r="C1606" s="477"/>
      <c r="D1606" s="477"/>
      <c r="E1606" s="478"/>
      <c r="F1606" s="477"/>
      <c r="G1606" s="478"/>
      <c r="H1606" s="478"/>
      <c r="I1606" s="477"/>
    </row>
    <row r="1607">
      <c r="A1607" s="250"/>
      <c r="B1607" s="309"/>
      <c r="C1607" s="310"/>
      <c r="D1607" s="310"/>
      <c r="E1607" s="311"/>
      <c r="F1607" s="310"/>
      <c r="G1607" s="311"/>
      <c r="H1607" s="311"/>
      <c r="I1607" s="310"/>
    </row>
    <row r="1608">
      <c r="A1608" s="307"/>
      <c r="B1608" s="309"/>
      <c r="C1608" s="477"/>
      <c r="D1608" s="477"/>
      <c r="E1608" s="478"/>
      <c r="F1608" s="477"/>
      <c r="G1608" s="478"/>
      <c r="H1608" s="478"/>
      <c r="I1608" s="477"/>
    </row>
    <row r="1609">
      <c r="A1609" s="250"/>
      <c r="B1609" s="309"/>
      <c r="C1609" s="310"/>
      <c r="D1609" s="310"/>
      <c r="E1609" s="311"/>
      <c r="F1609" s="310"/>
      <c r="G1609" s="311"/>
      <c r="H1609" s="311"/>
      <c r="I1609" s="310"/>
    </row>
    <row r="1610">
      <c r="A1610" s="307"/>
      <c r="B1610" s="309"/>
      <c r="C1610" s="477"/>
      <c r="D1610" s="477"/>
      <c r="E1610" s="478"/>
      <c r="F1610" s="477"/>
      <c r="G1610" s="478"/>
      <c r="H1610" s="478"/>
      <c r="I1610" s="477"/>
    </row>
    <row r="1611">
      <c r="A1611" s="250"/>
      <c r="B1611" s="309"/>
      <c r="C1611" s="310"/>
      <c r="D1611" s="310"/>
      <c r="E1611" s="311"/>
      <c r="F1611" s="310"/>
      <c r="G1611" s="311"/>
      <c r="H1611" s="311"/>
      <c r="I1611" s="310"/>
    </row>
    <row r="1612">
      <c r="A1612" s="307"/>
      <c r="B1612" s="309"/>
      <c r="C1612" s="477"/>
      <c r="D1612" s="477"/>
      <c r="E1612" s="478"/>
      <c r="F1612" s="477"/>
      <c r="G1612" s="478"/>
      <c r="H1612" s="478"/>
      <c r="I1612" s="477"/>
    </row>
    <row r="1613">
      <c r="A1613" s="250"/>
      <c r="B1613" s="309"/>
      <c r="C1613" s="310"/>
      <c r="D1613" s="310"/>
      <c r="E1613" s="311"/>
      <c r="F1613" s="310"/>
      <c r="G1613" s="311"/>
      <c r="H1613" s="311"/>
      <c r="I1613" s="310"/>
    </row>
    <row r="1614">
      <c r="A1614" s="307"/>
      <c r="B1614" s="309"/>
      <c r="C1614" s="477"/>
      <c r="D1614" s="477"/>
      <c r="E1614" s="478"/>
      <c r="F1614" s="477"/>
      <c r="G1614" s="478"/>
      <c r="H1614" s="478"/>
      <c r="I1614" s="477"/>
    </row>
    <row r="1615">
      <c r="A1615" s="250"/>
      <c r="B1615" s="309"/>
      <c r="C1615" s="310"/>
      <c r="D1615" s="310"/>
      <c r="E1615" s="311"/>
      <c r="F1615" s="310"/>
      <c r="G1615" s="311"/>
      <c r="H1615" s="311"/>
      <c r="I1615" s="310"/>
    </row>
    <row r="1616">
      <c r="A1616" s="307"/>
      <c r="B1616" s="309"/>
      <c r="C1616" s="477"/>
      <c r="D1616" s="477"/>
      <c r="E1616" s="478"/>
      <c r="F1616" s="477"/>
      <c r="G1616" s="478"/>
      <c r="H1616" s="478"/>
      <c r="I1616" s="477"/>
    </row>
    <row r="1617">
      <c r="A1617" s="250"/>
      <c r="B1617" s="309"/>
      <c r="C1617" s="310"/>
      <c r="D1617" s="310"/>
      <c r="E1617" s="311"/>
      <c r="F1617" s="310"/>
      <c r="G1617" s="311"/>
      <c r="H1617" s="311"/>
      <c r="I1617" s="310"/>
    </row>
    <row r="1618">
      <c r="A1618" s="307"/>
      <c r="B1618" s="309"/>
      <c r="C1618" s="477"/>
      <c r="D1618" s="477"/>
      <c r="E1618" s="478"/>
      <c r="F1618" s="477"/>
      <c r="G1618" s="478"/>
      <c r="H1618" s="478"/>
      <c r="I1618" s="477"/>
    </row>
    <row r="1619">
      <c r="A1619" s="250"/>
      <c r="B1619" s="309"/>
      <c r="C1619" s="310"/>
      <c r="D1619" s="310"/>
      <c r="E1619" s="311"/>
      <c r="F1619" s="310"/>
      <c r="G1619" s="311"/>
      <c r="H1619" s="311"/>
      <c r="I1619" s="310"/>
    </row>
    <row r="1620">
      <c r="A1620" s="307"/>
      <c r="B1620" s="309"/>
      <c r="C1620" s="477"/>
      <c r="D1620" s="477"/>
      <c r="E1620" s="478"/>
      <c r="F1620" s="477"/>
      <c r="G1620" s="478"/>
      <c r="H1620" s="478"/>
      <c r="I1620" s="477"/>
    </row>
    <row r="1621">
      <c r="A1621" s="250"/>
      <c r="B1621" s="309"/>
      <c r="C1621" s="310"/>
      <c r="D1621" s="310"/>
      <c r="E1621" s="311"/>
      <c r="F1621" s="310"/>
      <c r="G1621" s="311"/>
      <c r="H1621" s="311"/>
      <c r="I1621" s="310"/>
    </row>
    <row r="1622">
      <c r="A1622" s="307"/>
      <c r="B1622" s="309"/>
      <c r="C1622" s="477"/>
      <c r="D1622" s="477"/>
      <c r="E1622" s="478"/>
      <c r="F1622" s="477"/>
      <c r="G1622" s="478"/>
      <c r="H1622" s="478"/>
      <c r="I1622" s="477"/>
    </row>
    <row r="1623">
      <c r="A1623" s="250"/>
      <c r="B1623" s="309"/>
      <c r="C1623" s="310"/>
      <c r="D1623" s="310"/>
      <c r="E1623" s="311"/>
      <c r="F1623" s="310"/>
      <c r="G1623" s="311"/>
      <c r="H1623" s="311"/>
      <c r="I1623" s="310"/>
    </row>
    <row r="1624">
      <c r="A1624" s="307"/>
      <c r="B1624" s="309"/>
      <c r="C1624" s="477"/>
      <c r="D1624" s="477"/>
      <c r="E1624" s="478"/>
      <c r="F1624" s="477"/>
      <c r="G1624" s="478"/>
      <c r="H1624" s="478"/>
      <c r="I1624" s="477"/>
    </row>
    <row r="1625">
      <c r="A1625" s="250"/>
      <c r="B1625" s="309"/>
      <c r="C1625" s="310"/>
      <c r="D1625" s="310"/>
      <c r="E1625" s="311"/>
      <c r="F1625" s="310"/>
      <c r="G1625" s="311"/>
      <c r="H1625" s="311"/>
      <c r="I1625" s="310"/>
    </row>
    <row r="1626">
      <c r="A1626" s="307"/>
      <c r="B1626" s="309"/>
      <c r="C1626" s="477"/>
      <c r="D1626" s="477"/>
      <c r="E1626" s="478"/>
      <c r="F1626" s="477"/>
      <c r="G1626" s="478"/>
      <c r="H1626" s="478"/>
      <c r="I1626" s="477"/>
    </row>
    <row r="1627">
      <c r="A1627" s="250"/>
      <c r="B1627" s="309"/>
      <c r="C1627" s="310"/>
      <c r="D1627" s="310"/>
      <c r="E1627" s="311"/>
      <c r="F1627" s="310"/>
      <c r="G1627" s="311"/>
      <c r="H1627" s="311"/>
      <c r="I1627" s="310"/>
    </row>
    <row r="1628">
      <c r="A1628" s="307"/>
      <c r="B1628" s="309"/>
      <c r="C1628" s="477"/>
      <c r="D1628" s="477"/>
      <c r="E1628" s="478"/>
      <c r="F1628" s="477"/>
      <c r="G1628" s="478"/>
      <c r="H1628" s="478"/>
      <c r="I1628" s="477"/>
    </row>
    <row r="1629">
      <c r="A1629" s="250"/>
      <c r="B1629" s="309"/>
      <c r="C1629" s="310"/>
      <c r="D1629" s="310"/>
      <c r="E1629" s="311"/>
      <c r="F1629" s="310"/>
      <c r="G1629" s="311"/>
      <c r="H1629" s="311"/>
      <c r="I1629" s="310"/>
    </row>
    <row r="1630">
      <c r="A1630" s="307"/>
      <c r="B1630" s="309"/>
      <c r="C1630" s="477"/>
      <c r="D1630" s="477"/>
      <c r="E1630" s="478"/>
      <c r="F1630" s="477"/>
      <c r="G1630" s="478"/>
      <c r="H1630" s="478"/>
      <c r="I1630" s="477"/>
    </row>
    <row r="1631">
      <c r="A1631" s="250"/>
      <c r="B1631" s="309"/>
      <c r="C1631" s="310"/>
      <c r="D1631" s="310"/>
      <c r="E1631" s="311"/>
      <c r="F1631" s="310"/>
      <c r="G1631" s="311"/>
      <c r="H1631" s="311"/>
      <c r="I1631" s="310"/>
    </row>
    <row r="1632">
      <c r="A1632" s="307"/>
      <c r="B1632" s="309"/>
      <c r="C1632" s="477"/>
      <c r="D1632" s="477"/>
      <c r="E1632" s="478"/>
      <c r="F1632" s="477"/>
      <c r="G1632" s="478"/>
      <c r="H1632" s="478"/>
      <c r="I1632" s="477"/>
    </row>
    <row r="1633">
      <c r="A1633" s="250"/>
      <c r="B1633" s="309"/>
      <c r="C1633" s="310"/>
      <c r="D1633" s="310"/>
      <c r="E1633" s="311"/>
      <c r="F1633" s="310"/>
      <c r="G1633" s="311"/>
      <c r="H1633" s="311"/>
      <c r="I1633" s="310"/>
    </row>
    <row r="1634">
      <c r="A1634" s="307"/>
      <c r="B1634" s="309"/>
      <c r="C1634" s="477"/>
      <c r="D1634" s="477"/>
      <c r="E1634" s="478"/>
      <c r="F1634" s="477"/>
      <c r="G1634" s="478"/>
      <c r="H1634" s="478"/>
      <c r="I1634" s="477"/>
    </row>
    <row r="1635">
      <c r="A1635" s="250"/>
      <c r="B1635" s="309"/>
      <c r="C1635" s="310"/>
      <c r="D1635" s="310"/>
      <c r="E1635" s="311"/>
      <c r="F1635" s="310"/>
      <c r="G1635" s="311"/>
      <c r="H1635" s="311"/>
      <c r="I1635" s="310"/>
    </row>
    <row r="1636">
      <c r="A1636" s="307"/>
      <c r="B1636" s="309"/>
      <c r="C1636" s="477"/>
      <c r="D1636" s="477"/>
      <c r="E1636" s="478"/>
      <c r="F1636" s="477"/>
      <c r="G1636" s="478"/>
      <c r="H1636" s="478"/>
      <c r="I1636" s="477"/>
    </row>
    <row r="1637">
      <c r="A1637" s="250"/>
      <c r="B1637" s="309"/>
      <c r="C1637" s="310"/>
      <c r="D1637" s="310"/>
      <c r="E1637" s="311"/>
      <c r="F1637" s="310"/>
      <c r="G1637" s="311"/>
      <c r="H1637" s="311"/>
      <c r="I1637" s="310"/>
    </row>
    <row r="1638">
      <c r="A1638" s="307"/>
      <c r="B1638" s="309"/>
      <c r="C1638" s="477"/>
      <c r="D1638" s="477"/>
      <c r="E1638" s="478"/>
      <c r="F1638" s="477"/>
      <c r="G1638" s="478"/>
      <c r="H1638" s="478"/>
      <c r="I1638" s="477"/>
    </row>
    <row r="1639">
      <c r="A1639" s="250"/>
      <c r="B1639" s="309"/>
      <c r="C1639" s="310"/>
      <c r="D1639" s="310"/>
      <c r="E1639" s="311"/>
      <c r="F1639" s="310"/>
      <c r="G1639" s="311"/>
      <c r="H1639" s="311"/>
      <c r="I1639" s="310"/>
    </row>
    <row r="1640">
      <c r="A1640" s="307"/>
      <c r="B1640" s="309"/>
      <c r="C1640" s="477"/>
      <c r="D1640" s="477"/>
      <c r="E1640" s="478"/>
      <c r="F1640" s="477"/>
      <c r="G1640" s="478"/>
      <c r="H1640" s="478"/>
      <c r="I1640" s="477"/>
    </row>
    <row r="1641">
      <c r="A1641" s="250"/>
      <c r="B1641" s="309"/>
      <c r="C1641" s="310"/>
      <c r="D1641" s="310"/>
      <c r="E1641" s="311"/>
      <c r="F1641" s="310"/>
      <c r="G1641" s="311"/>
      <c r="H1641" s="311"/>
      <c r="I1641" s="310"/>
    </row>
    <row r="1642">
      <c r="A1642" s="307"/>
      <c r="B1642" s="309"/>
      <c r="C1642" s="477"/>
      <c r="D1642" s="477"/>
      <c r="E1642" s="478"/>
      <c r="F1642" s="477"/>
      <c r="G1642" s="478"/>
      <c r="H1642" s="478"/>
      <c r="I1642" s="477"/>
    </row>
    <row r="1643">
      <c r="A1643" s="250"/>
      <c r="B1643" s="309"/>
      <c r="C1643" s="310"/>
      <c r="D1643" s="310"/>
      <c r="E1643" s="311"/>
      <c r="F1643" s="310"/>
      <c r="G1643" s="311"/>
      <c r="H1643" s="311"/>
      <c r="I1643" s="310"/>
    </row>
    <row r="1644">
      <c r="A1644" s="307"/>
      <c r="B1644" s="309"/>
      <c r="C1644" s="477"/>
      <c r="D1644" s="477"/>
      <c r="E1644" s="478"/>
      <c r="F1644" s="477"/>
      <c r="G1644" s="478"/>
      <c r="H1644" s="478"/>
      <c r="I1644" s="477"/>
    </row>
    <row r="1645">
      <c r="A1645" s="250"/>
      <c r="B1645" s="309"/>
      <c r="C1645" s="310"/>
      <c r="D1645" s="310"/>
      <c r="E1645" s="311"/>
      <c r="F1645" s="310"/>
      <c r="G1645" s="311"/>
      <c r="H1645" s="311"/>
      <c r="I1645" s="310"/>
    </row>
    <row r="1646">
      <c r="A1646" s="307"/>
      <c r="B1646" s="309"/>
      <c r="C1646" s="477"/>
      <c r="D1646" s="477"/>
      <c r="E1646" s="478"/>
      <c r="F1646" s="477"/>
      <c r="G1646" s="478"/>
      <c r="H1646" s="478"/>
      <c r="I1646" s="477"/>
    </row>
    <row r="1647">
      <c r="A1647" s="250"/>
      <c r="B1647" s="309"/>
      <c r="C1647" s="310"/>
      <c r="D1647" s="310"/>
      <c r="E1647" s="311"/>
      <c r="F1647" s="310"/>
      <c r="G1647" s="311"/>
      <c r="H1647" s="311"/>
      <c r="I1647" s="310"/>
    </row>
    <row r="1648">
      <c r="A1648" s="307"/>
      <c r="B1648" s="309"/>
      <c r="C1648" s="477"/>
      <c r="D1648" s="477"/>
      <c r="E1648" s="478"/>
      <c r="F1648" s="477"/>
      <c r="G1648" s="478"/>
      <c r="H1648" s="478"/>
      <c r="I1648" s="477"/>
    </row>
    <row r="1649">
      <c r="A1649" s="250"/>
      <c r="B1649" s="309"/>
      <c r="C1649" s="310"/>
      <c r="D1649" s="310"/>
      <c r="E1649" s="311"/>
      <c r="F1649" s="310"/>
      <c r="G1649" s="311"/>
      <c r="H1649" s="311"/>
      <c r="I1649" s="310"/>
    </row>
    <row r="1650">
      <c r="A1650" s="307"/>
      <c r="B1650" s="309"/>
      <c r="C1650" s="477"/>
      <c r="D1650" s="477"/>
      <c r="E1650" s="478"/>
      <c r="F1650" s="477"/>
      <c r="G1650" s="478"/>
      <c r="H1650" s="478"/>
      <c r="I1650" s="477"/>
    </row>
    <row r="1651">
      <c r="A1651" s="250"/>
      <c r="B1651" s="309"/>
      <c r="C1651" s="310"/>
      <c r="D1651" s="310"/>
      <c r="E1651" s="311"/>
      <c r="F1651" s="310"/>
      <c r="G1651" s="311"/>
      <c r="H1651" s="311"/>
      <c r="I1651" s="310"/>
    </row>
    <row r="1652">
      <c r="A1652" s="307"/>
      <c r="B1652" s="309"/>
      <c r="C1652" s="477"/>
      <c r="D1652" s="477"/>
      <c r="E1652" s="478"/>
      <c r="F1652" s="477"/>
      <c r="G1652" s="478"/>
      <c r="H1652" s="478"/>
      <c r="I1652" s="477"/>
    </row>
    <row r="1653">
      <c r="A1653" s="250"/>
      <c r="B1653" s="309"/>
      <c r="C1653" s="310"/>
      <c r="D1653" s="310"/>
      <c r="E1653" s="311"/>
      <c r="F1653" s="310"/>
      <c r="G1653" s="311"/>
      <c r="H1653" s="311"/>
      <c r="I1653" s="310"/>
    </row>
    <row r="1654">
      <c r="A1654" s="307"/>
      <c r="B1654" s="309"/>
      <c r="C1654" s="477"/>
      <c r="D1654" s="477"/>
      <c r="E1654" s="478"/>
      <c r="F1654" s="477"/>
      <c r="G1654" s="478"/>
      <c r="H1654" s="478"/>
      <c r="I1654" s="477"/>
    </row>
    <row r="1655">
      <c r="A1655" s="250"/>
      <c r="B1655" s="309"/>
      <c r="C1655" s="310"/>
      <c r="D1655" s="310"/>
      <c r="E1655" s="311"/>
      <c r="F1655" s="310"/>
      <c r="G1655" s="311"/>
      <c r="H1655" s="311"/>
      <c r="I1655" s="310"/>
    </row>
    <row r="1656">
      <c r="A1656" s="307"/>
      <c r="B1656" s="309"/>
      <c r="C1656" s="477"/>
      <c r="D1656" s="477"/>
      <c r="E1656" s="478"/>
      <c r="F1656" s="477"/>
      <c r="G1656" s="478"/>
      <c r="H1656" s="478"/>
      <c r="I1656" s="477"/>
    </row>
    <row r="1657">
      <c r="A1657" s="250"/>
      <c r="B1657" s="309"/>
      <c r="C1657" s="310"/>
      <c r="D1657" s="310"/>
      <c r="E1657" s="311"/>
      <c r="F1657" s="310"/>
      <c r="G1657" s="311"/>
      <c r="H1657" s="311"/>
      <c r="I1657" s="310"/>
    </row>
    <row r="1658">
      <c r="A1658" s="307"/>
      <c r="B1658" s="309"/>
      <c r="C1658" s="477"/>
      <c r="D1658" s="477"/>
      <c r="E1658" s="478"/>
      <c r="F1658" s="477"/>
      <c r="G1658" s="478"/>
      <c r="H1658" s="478"/>
      <c r="I1658" s="477"/>
    </row>
    <row r="1659">
      <c r="A1659" s="250"/>
      <c r="B1659" s="309"/>
      <c r="C1659" s="310"/>
      <c r="D1659" s="310"/>
      <c r="E1659" s="311"/>
      <c r="F1659" s="310"/>
      <c r="G1659" s="311"/>
      <c r="H1659" s="311"/>
      <c r="I1659" s="310"/>
    </row>
    <row r="1660">
      <c r="A1660" s="307"/>
      <c r="B1660" s="309"/>
      <c r="C1660" s="477"/>
      <c r="D1660" s="477"/>
      <c r="E1660" s="478"/>
      <c r="F1660" s="477"/>
      <c r="G1660" s="478"/>
      <c r="H1660" s="478"/>
      <c r="I1660" s="477"/>
    </row>
    <row r="1661">
      <c r="A1661" s="250"/>
      <c r="B1661" s="309"/>
      <c r="C1661" s="310"/>
      <c r="D1661" s="310"/>
      <c r="E1661" s="311"/>
      <c r="F1661" s="310"/>
      <c r="G1661" s="311"/>
      <c r="H1661" s="311"/>
      <c r="I1661" s="310"/>
    </row>
    <row r="1662">
      <c r="A1662" s="307"/>
      <c r="B1662" s="309"/>
      <c r="C1662" s="477"/>
      <c r="D1662" s="477"/>
      <c r="E1662" s="478"/>
      <c r="F1662" s="477"/>
      <c r="G1662" s="478"/>
      <c r="H1662" s="478"/>
      <c r="I1662" s="477"/>
    </row>
    <row r="1663">
      <c r="A1663" s="250"/>
      <c r="B1663" s="309"/>
      <c r="C1663" s="310"/>
      <c r="D1663" s="310"/>
      <c r="E1663" s="311"/>
      <c r="F1663" s="310"/>
      <c r="G1663" s="311"/>
      <c r="H1663" s="311"/>
      <c r="I1663" s="310"/>
    </row>
    <row r="1664">
      <c r="A1664" s="307"/>
      <c r="B1664" s="309"/>
      <c r="C1664" s="477"/>
      <c r="D1664" s="477"/>
      <c r="E1664" s="478"/>
      <c r="F1664" s="477"/>
      <c r="G1664" s="478"/>
      <c r="H1664" s="478"/>
      <c r="I1664" s="477"/>
    </row>
    <row r="1665">
      <c r="A1665" s="250"/>
      <c r="B1665" s="309"/>
      <c r="C1665" s="310"/>
      <c r="D1665" s="310"/>
      <c r="E1665" s="311"/>
      <c r="F1665" s="310"/>
      <c r="G1665" s="311"/>
      <c r="H1665" s="311"/>
      <c r="I1665" s="310"/>
    </row>
    <row r="1666">
      <c r="A1666" s="307"/>
      <c r="B1666" s="309"/>
      <c r="C1666" s="477"/>
      <c r="D1666" s="477"/>
      <c r="E1666" s="478"/>
      <c r="F1666" s="477"/>
      <c r="G1666" s="478"/>
      <c r="H1666" s="478"/>
      <c r="I1666" s="477"/>
    </row>
    <row r="1667">
      <c r="A1667" s="250"/>
      <c r="B1667" s="309"/>
      <c r="C1667" s="310"/>
      <c r="D1667" s="310"/>
      <c r="E1667" s="311"/>
      <c r="F1667" s="310"/>
      <c r="G1667" s="311"/>
      <c r="H1667" s="311"/>
      <c r="I1667" s="310"/>
    </row>
    <row r="1668">
      <c r="A1668" s="307"/>
      <c r="B1668" s="309"/>
      <c r="C1668" s="477"/>
      <c r="D1668" s="477"/>
      <c r="E1668" s="478"/>
      <c r="F1668" s="477"/>
      <c r="G1668" s="478"/>
      <c r="H1668" s="478"/>
      <c r="I1668" s="477"/>
    </row>
    <row r="1669">
      <c r="A1669" s="250"/>
      <c r="B1669" s="309"/>
      <c r="C1669" s="310"/>
      <c r="D1669" s="310"/>
      <c r="E1669" s="311"/>
      <c r="F1669" s="310"/>
      <c r="G1669" s="311"/>
      <c r="H1669" s="311"/>
      <c r="I1669" s="310"/>
    </row>
    <row r="1670">
      <c r="A1670" s="307"/>
      <c r="B1670" s="309"/>
      <c r="C1670" s="477"/>
      <c r="D1670" s="477"/>
      <c r="E1670" s="478"/>
      <c r="F1670" s="477"/>
      <c r="G1670" s="478"/>
      <c r="H1670" s="478"/>
      <c r="I1670" s="477"/>
    </row>
    <row r="1671">
      <c r="A1671" s="250"/>
      <c r="B1671" s="309"/>
      <c r="C1671" s="310"/>
      <c r="D1671" s="310"/>
      <c r="E1671" s="311"/>
      <c r="F1671" s="310"/>
      <c r="G1671" s="311"/>
      <c r="H1671" s="311"/>
      <c r="I1671" s="310"/>
    </row>
    <row r="1672">
      <c r="A1672" s="307"/>
      <c r="B1672" s="309"/>
      <c r="C1672" s="477"/>
      <c r="D1672" s="477"/>
      <c r="E1672" s="478"/>
      <c r="F1672" s="477"/>
      <c r="G1672" s="478"/>
      <c r="H1672" s="478"/>
      <c r="I1672" s="477"/>
    </row>
    <row r="1673">
      <c r="A1673" s="250"/>
      <c r="B1673" s="309"/>
      <c r="C1673" s="310"/>
      <c r="D1673" s="310"/>
      <c r="E1673" s="311"/>
      <c r="F1673" s="310"/>
      <c r="G1673" s="311"/>
      <c r="H1673" s="311"/>
      <c r="I1673" s="310"/>
    </row>
    <row r="1674">
      <c r="A1674" s="307"/>
      <c r="B1674" s="309"/>
      <c r="C1674" s="477"/>
      <c r="D1674" s="477"/>
      <c r="E1674" s="478"/>
      <c r="F1674" s="477"/>
      <c r="G1674" s="478"/>
      <c r="H1674" s="478"/>
      <c r="I1674" s="477"/>
    </row>
    <row r="1675">
      <c r="A1675" s="250"/>
      <c r="B1675" s="309"/>
      <c r="C1675" s="310"/>
      <c r="D1675" s="310"/>
      <c r="E1675" s="311"/>
      <c r="F1675" s="310"/>
      <c r="G1675" s="311"/>
      <c r="H1675" s="311"/>
      <c r="I1675" s="310"/>
    </row>
    <row r="1676">
      <c r="A1676" s="307"/>
      <c r="B1676" s="309"/>
      <c r="C1676" s="477"/>
      <c r="D1676" s="477"/>
      <c r="E1676" s="478"/>
      <c r="F1676" s="477"/>
      <c r="G1676" s="478"/>
      <c r="H1676" s="478"/>
      <c r="I1676" s="477"/>
    </row>
    <row r="1677">
      <c r="A1677" s="250"/>
      <c r="B1677" s="309"/>
      <c r="C1677" s="310"/>
      <c r="D1677" s="310"/>
      <c r="E1677" s="311"/>
      <c r="F1677" s="310"/>
      <c r="G1677" s="311"/>
      <c r="H1677" s="311"/>
      <c r="I1677" s="310"/>
    </row>
    <row r="1678">
      <c r="A1678" s="307"/>
      <c r="B1678" s="309"/>
      <c r="C1678" s="477"/>
      <c r="D1678" s="477"/>
      <c r="E1678" s="478"/>
      <c r="F1678" s="477"/>
      <c r="G1678" s="478"/>
      <c r="H1678" s="478"/>
      <c r="I1678" s="477"/>
    </row>
    <row r="1679">
      <c r="A1679" s="250"/>
      <c r="B1679" s="309"/>
      <c r="C1679" s="310"/>
      <c r="D1679" s="310"/>
      <c r="E1679" s="311"/>
      <c r="F1679" s="310"/>
      <c r="G1679" s="311"/>
      <c r="H1679" s="311"/>
      <c r="I1679" s="310"/>
    </row>
    <row r="1680">
      <c r="A1680" s="307"/>
      <c r="B1680" s="309"/>
      <c r="C1680" s="477"/>
      <c r="D1680" s="477"/>
      <c r="E1680" s="478"/>
      <c r="F1680" s="477"/>
      <c r="G1680" s="478"/>
      <c r="H1680" s="478"/>
      <c r="I1680" s="477"/>
    </row>
    <row r="1681">
      <c r="A1681" s="250"/>
      <c r="B1681" s="309"/>
      <c r="C1681" s="310"/>
      <c r="D1681" s="310"/>
      <c r="E1681" s="311"/>
      <c r="F1681" s="310"/>
      <c r="G1681" s="311"/>
      <c r="H1681" s="311"/>
      <c r="I1681" s="310"/>
    </row>
    <row r="1682">
      <c r="A1682" s="307"/>
      <c r="B1682" s="309"/>
      <c r="C1682" s="477"/>
      <c r="D1682" s="477"/>
      <c r="E1682" s="478"/>
      <c r="F1682" s="477"/>
      <c r="G1682" s="478"/>
      <c r="H1682" s="478"/>
      <c r="I1682" s="477"/>
    </row>
    <row r="1683">
      <c r="A1683" s="250"/>
      <c r="B1683" s="309"/>
      <c r="C1683" s="310"/>
      <c r="D1683" s="310"/>
      <c r="E1683" s="311"/>
      <c r="F1683" s="310"/>
      <c r="G1683" s="311"/>
      <c r="H1683" s="311"/>
      <c r="I1683" s="310"/>
    </row>
    <row r="1684">
      <c r="A1684" s="307"/>
      <c r="B1684" s="309"/>
      <c r="C1684" s="477"/>
      <c r="D1684" s="477"/>
      <c r="E1684" s="478"/>
      <c r="F1684" s="477"/>
      <c r="G1684" s="478"/>
      <c r="H1684" s="478"/>
      <c r="I1684" s="477"/>
    </row>
    <row r="1685">
      <c r="A1685" s="250"/>
      <c r="B1685" s="309"/>
      <c r="C1685" s="310"/>
      <c r="D1685" s="310"/>
      <c r="E1685" s="311"/>
      <c r="F1685" s="310"/>
      <c r="G1685" s="311"/>
      <c r="H1685" s="311"/>
      <c r="I1685" s="310"/>
    </row>
    <row r="1686">
      <c r="A1686" s="307"/>
      <c r="B1686" s="309"/>
      <c r="C1686" s="477"/>
      <c r="D1686" s="477"/>
      <c r="E1686" s="478"/>
      <c r="F1686" s="477"/>
      <c r="G1686" s="478"/>
      <c r="H1686" s="478"/>
      <c r="I1686" s="477"/>
    </row>
    <row r="1687">
      <c r="A1687" s="250"/>
      <c r="B1687" s="309"/>
      <c r="C1687" s="310"/>
      <c r="D1687" s="310"/>
      <c r="E1687" s="311"/>
      <c r="F1687" s="310"/>
      <c r="G1687" s="311"/>
      <c r="H1687" s="311"/>
      <c r="I1687" s="310"/>
    </row>
    <row r="1688">
      <c r="A1688" s="307"/>
      <c r="B1688" s="309"/>
      <c r="C1688" s="477"/>
      <c r="D1688" s="477"/>
      <c r="E1688" s="478"/>
      <c r="F1688" s="477"/>
      <c r="G1688" s="478"/>
      <c r="H1688" s="478"/>
      <c r="I1688" s="477"/>
    </row>
    <row r="1689">
      <c r="A1689" s="250"/>
      <c r="B1689" s="309"/>
      <c r="C1689" s="310"/>
      <c r="D1689" s="310"/>
      <c r="E1689" s="311"/>
      <c r="F1689" s="310"/>
      <c r="G1689" s="311"/>
      <c r="H1689" s="311"/>
      <c r="I1689" s="310"/>
    </row>
    <row r="1690">
      <c r="A1690" s="307"/>
      <c r="B1690" s="309"/>
      <c r="C1690" s="477"/>
      <c r="D1690" s="477"/>
      <c r="E1690" s="478"/>
      <c r="F1690" s="477"/>
      <c r="G1690" s="478"/>
      <c r="H1690" s="478"/>
      <c r="I1690" s="477"/>
    </row>
    <row r="1691">
      <c r="A1691" s="250"/>
      <c r="B1691" s="309"/>
      <c r="C1691" s="310"/>
      <c r="D1691" s="310"/>
      <c r="E1691" s="311"/>
      <c r="F1691" s="310"/>
      <c r="G1691" s="311"/>
      <c r="H1691" s="311"/>
      <c r="I1691" s="310"/>
    </row>
    <row r="1692">
      <c r="A1692" s="307"/>
      <c r="B1692" s="309"/>
      <c r="C1692" s="477"/>
      <c r="D1692" s="477"/>
      <c r="E1692" s="478"/>
      <c r="F1692" s="477"/>
      <c r="G1692" s="478"/>
      <c r="H1692" s="478"/>
      <c r="I1692" s="477"/>
    </row>
    <row r="1693">
      <c r="A1693" s="250"/>
      <c r="B1693" s="309"/>
      <c r="C1693" s="310"/>
      <c r="D1693" s="310"/>
      <c r="E1693" s="311"/>
      <c r="F1693" s="310"/>
      <c r="G1693" s="311"/>
      <c r="H1693" s="311"/>
      <c r="I1693" s="310"/>
    </row>
    <row r="1694">
      <c r="A1694" s="307"/>
      <c r="B1694" s="309"/>
      <c r="C1694" s="477"/>
      <c r="D1694" s="477"/>
      <c r="E1694" s="478"/>
      <c r="F1694" s="477"/>
      <c r="G1694" s="478"/>
      <c r="H1694" s="478"/>
      <c r="I1694" s="477"/>
    </row>
    <row r="1695">
      <c r="A1695" s="250"/>
      <c r="B1695" s="309"/>
      <c r="C1695" s="310"/>
      <c r="D1695" s="310"/>
      <c r="E1695" s="311"/>
      <c r="F1695" s="310"/>
      <c r="G1695" s="311"/>
      <c r="H1695" s="311"/>
      <c r="I1695" s="310"/>
    </row>
    <row r="1696">
      <c r="A1696" s="307"/>
      <c r="B1696" s="309"/>
      <c r="C1696" s="477"/>
      <c r="D1696" s="477"/>
      <c r="E1696" s="478"/>
      <c r="F1696" s="477"/>
      <c r="G1696" s="478"/>
      <c r="H1696" s="478"/>
      <c r="I1696" s="477"/>
    </row>
    <row r="1697">
      <c r="A1697" s="250"/>
      <c r="B1697" s="309"/>
      <c r="C1697" s="310"/>
      <c r="D1697" s="310"/>
      <c r="E1697" s="311"/>
      <c r="F1697" s="310"/>
      <c r="G1697" s="311"/>
      <c r="H1697" s="311"/>
      <c r="I1697" s="310"/>
    </row>
    <row r="1698">
      <c r="A1698" s="307"/>
      <c r="B1698" s="309"/>
      <c r="C1698" s="477"/>
      <c r="D1698" s="477"/>
      <c r="E1698" s="478"/>
      <c r="F1698" s="477"/>
      <c r="G1698" s="478"/>
      <c r="H1698" s="478"/>
      <c r="I1698" s="477"/>
    </row>
    <row r="1699">
      <c r="A1699" s="250"/>
      <c r="B1699" s="309"/>
      <c r="C1699" s="310"/>
      <c r="D1699" s="310"/>
      <c r="E1699" s="311"/>
      <c r="F1699" s="310"/>
      <c r="G1699" s="311"/>
      <c r="H1699" s="311"/>
      <c r="I1699" s="310"/>
    </row>
    <row r="1700">
      <c r="A1700" s="307"/>
      <c r="B1700" s="309"/>
      <c r="C1700" s="477"/>
      <c r="D1700" s="477"/>
      <c r="E1700" s="478"/>
      <c r="F1700" s="477"/>
      <c r="G1700" s="478"/>
      <c r="H1700" s="478"/>
      <c r="I1700" s="477"/>
    </row>
    <row r="1701">
      <c r="A1701" s="250"/>
      <c r="B1701" s="309"/>
      <c r="C1701" s="310"/>
      <c r="D1701" s="310"/>
      <c r="E1701" s="311"/>
      <c r="F1701" s="310"/>
      <c r="G1701" s="311"/>
      <c r="H1701" s="311"/>
      <c r="I1701" s="310"/>
    </row>
    <row r="1702">
      <c r="A1702" s="307"/>
      <c r="B1702" s="309"/>
      <c r="C1702" s="477"/>
      <c r="D1702" s="477"/>
      <c r="E1702" s="478"/>
      <c r="F1702" s="477"/>
      <c r="G1702" s="478"/>
      <c r="H1702" s="478"/>
      <c r="I1702" s="477"/>
    </row>
    <row r="1703">
      <c r="A1703" s="250"/>
      <c r="B1703" s="309"/>
      <c r="C1703" s="310"/>
      <c r="D1703" s="310"/>
      <c r="E1703" s="311"/>
      <c r="F1703" s="310"/>
      <c r="G1703" s="311"/>
      <c r="H1703" s="311"/>
      <c r="I1703" s="310"/>
    </row>
    <row r="1704">
      <c r="A1704" s="307"/>
      <c r="B1704" s="309"/>
      <c r="C1704" s="477"/>
      <c r="D1704" s="477"/>
      <c r="E1704" s="478"/>
      <c r="F1704" s="477"/>
      <c r="G1704" s="478"/>
      <c r="H1704" s="478"/>
      <c r="I1704" s="477"/>
    </row>
    <row r="1705">
      <c r="A1705" s="250"/>
      <c r="B1705" s="309"/>
      <c r="C1705" s="310"/>
      <c r="D1705" s="310"/>
      <c r="E1705" s="311"/>
      <c r="F1705" s="310"/>
      <c r="G1705" s="311"/>
      <c r="H1705" s="311"/>
      <c r="I1705" s="310"/>
    </row>
    <row r="1706">
      <c r="A1706" s="307"/>
      <c r="B1706" s="309"/>
      <c r="C1706" s="477"/>
      <c r="D1706" s="477"/>
      <c r="E1706" s="478"/>
      <c r="F1706" s="477"/>
      <c r="G1706" s="478"/>
      <c r="H1706" s="478"/>
      <c r="I1706" s="477"/>
    </row>
    <row r="1707">
      <c r="A1707" s="250"/>
      <c r="B1707" s="309"/>
      <c r="C1707" s="310"/>
      <c r="D1707" s="310"/>
      <c r="E1707" s="311"/>
      <c r="F1707" s="310"/>
      <c r="G1707" s="311"/>
      <c r="H1707" s="311"/>
      <c r="I1707" s="310"/>
    </row>
    <row r="1708">
      <c r="A1708" s="307"/>
      <c r="B1708" s="309"/>
      <c r="C1708" s="477"/>
      <c r="D1708" s="477"/>
      <c r="E1708" s="478"/>
      <c r="F1708" s="477"/>
      <c r="G1708" s="478"/>
      <c r="H1708" s="478"/>
      <c r="I1708" s="477"/>
    </row>
    <row r="1709">
      <c r="A1709" s="250"/>
      <c r="B1709" s="309"/>
      <c r="C1709" s="310"/>
      <c r="D1709" s="310"/>
      <c r="E1709" s="311"/>
      <c r="F1709" s="310"/>
      <c r="G1709" s="311"/>
      <c r="H1709" s="311"/>
      <c r="I1709" s="310"/>
    </row>
    <row r="1710">
      <c r="A1710" s="307"/>
      <c r="B1710" s="309"/>
      <c r="C1710" s="477"/>
      <c r="D1710" s="477"/>
      <c r="E1710" s="478"/>
      <c r="F1710" s="477"/>
      <c r="G1710" s="478"/>
      <c r="H1710" s="478"/>
      <c r="I1710" s="477"/>
    </row>
    <row r="1711">
      <c r="A1711" s="250"/>
      <c r="B1711" s="309"/>
      <c r="C1711" s="310"/>
      <c r="D1711" s="310"/>
      <c r="E1711" s="311"/>
      <c r="F1711" s="310"/>
      <c r="G1711" s="311"/>
      <c r="H1711" s="311"/>
      <c r="I1711" s="310"/>
    </row>
    <row r="1712">
      <c r="A1712" s="307"/>
      <c r="B1712" s="309"/>
      <c r="C1712" s="477"/>
      <c r="D1712" s="477"/>
      <c r="E1712" s="478"/>
      <c r="F1712" s="477"/>
      <c r="G1712" s="478"/>
      <c r="H1712" s="478"/>
      <c r="I1712" s="477"/>
    </row>
    <row r="1713">
      <c r="A1713" s="250"/>
      <c r="B1713" s="309"/>
      <c r="C1713" s="310"/>
      <c r="D1713" s="310"/>
      <c r="E1713" s="311"/>
      <c r="F1713" s="310"/>
      <c r="G1713" s="311"/>
      <c r="H1713" s="311"/>
      <c r="I1713" s="310"/>
    </row>
    <row r="1714">
      <c r="A1714" s="307"/>
      <c r="B1714" s="309"/>
      <c r="C1714" s="477"/>
      <c r="D1714" s="477"/>
      <c r="E1714" s="478"/>
      <c r="F1714" s="477"/>
      <c r="G1714" s="478"/>
      <c r="H1714" s="478"/>
      <c r="I1714" s="477"/>
    </row>
    <row r="1715">
      <c r="A1715" s="250"/>
      <c r="B1715" s="309"/>
      <c r="C1715" s="310"/>
      <c r="D1715" s="310"/>
      <c r="E1715" s="311"/>
      <c r="F1715" s="310"/>
      <c r="G1715" s="311"/>
      <c r="H1715" s="311"/>
      <c r="I1715" s="310"/>
    </row>
    <row r="1716">
      <c r="A1716" s="307"/>
      <c r="B1716" s="309"/>
      <c r="C1716" s="477"/>
      <c r="D1716" s="477"/>
      <c r="E1716" s="478"/>
      <c r="F1716" s="477"/>
      <c r="G1716" s="478"/>
      <c r="H1716" s="478"/>
      <c r="I1716" s="477"/>
    </row>
    <row r="1717">
      <c r="A1717" s="250"/>
      <c r="B1717" s="309"/>
      <c r="C1717" s="310"/>
      <c r="D1717" s="310"/>
      <c r="E1717" s="311"/>
      <c r="F1717" s="310"/>
      <c r="G1717" s="311"/>
      <c r="H1717" s="311"/>
      <c r="I1717" s="310"/>
    </row>
    <row r="1718">
      <c r="A1718" s="307"/>
      <c r="B1718" s="309"/>
      <c r="C1718" s="477"/>
      <c r="D1718" s="477"/>
      <c r="E1718" s="478"/>
      <c r="F1718" s="477"/>
      <c r="G1718" s="478"/>
      <c r="H1718" s="478"/>
      <c r="I1718" s="477"/>
    </row>
    <row r="1719">
      <c r="A1719" s="250"/>
      <c r="B1719" s="309"/>
      <c r="C1719" s="310"/>
      <c r="D1719" s="310"/>
      <c r="E1719" s="311"/>
      <c r="F1719" s="310"/>
      <c r="G1719" s="311"/>
      <c r="H1719" s="311"/>
      <c r="I1719" s="310"/>
    </row>
    <row r="1720">
      <c r="A1720" s="307"/>
      <c r="B1720" s="309"/>
      <c r="C1720" s="477"/>
      <c r="D1720" s="477"/>
      <c r="E1720" s="478"/>
      <c r="F1720" s="477"/>
      <c r="G1720" s="478"/>
      <c r="H1720" s="478"/>
      <c r="I1720" s="477"/>
    </row>
    <row r="1721">
      <c r="A1721" s="250"/>
      <c r="B1721" s="309"/>
      <c r="C1721" s="310"/>
      <c r="D1721" s="310"/>
      <c r="E1721" s="311"/>
      <c r="F1721" s="310"/>
      <c r="G1721" s="311"/>
      <c r="H1721" s="311"/>
      <c r="I1721" s="310"/>
    </row>
    <row r="1722">
      <c r="A1722" s="307"/>
      <c r="B1722" s="309"/>
      <c r="C1722" s="477"/>
      <c r="D1722" s="477"/>
      <c r="E1722" s="478"/>
      <c r="F1722" s="477"/>
      <c r="G1722" s="478"/>
      <c r="H1722" s="478"/>
      <c r="I1722" s="477"/>
    </row>
    <row r="1723">
      <c r="A1723" s="250"/>
      <c r="B1723" s="309"/>
      <c r="C1723" s="310"/>
      <c r="D1723" s="310"/>
      <c r="E1723" s="311"/>
      <c r="F1723" s="310"/>
      <c r="G1723" s="311"/>
      <c r="H1723" s="311"/>
      <c r="I1723" s="310"/>
    </row>
    <row r="1724">
      <c r="A1724" s="307"/>
      <c r="B1724" s="309"/>
      <c r="C1724" s="477"/>
      <c r="D1724" s="477"/>
      <c r="E1724" s="478"/>
      <c r="F1724" s="477"/>
      <c r="G1724" s="478"/>
      <c r="H1724" s="478"/>
      <c r="I1724" s="477"/>
    </row>
    <row r="1725">
      <c r="A1725" s="250"/>
      <c r="B1725" s="309"/>
      <c r="C1725" s="310"/>
      <c r="D1725" s="310"/>
      <c r="E1725" s="311"/>
      <c r="F1725" s="310"/>
      <c r="G1725" s="311"/>
      <c r="H1725" s="311"/>
      <c r="I1725" s="310"/>
    </row>
    <row r="1726">
      <c r="A1726" s="307"/>
      <c r="B1726" s="309"/>
      <c r="C1726" s="477"/>
      <c r="D1726" s="477"/>
      <c r="E1726" s="478"/>
      <c r="F1726" s="477"/>
      <c r="G1726" s="478"/>
      <c r="H1726" s="478"/>
      <c r="I1726" s="477"/>
    </row>
    <row r="1727">
      <c r="A1727" s="250"/>
      <c r="B1727" s="309"/>
      <c r="C1727" s="310"/>
      <c r="D1727" s="310"/>
      <c r="E1727" s="311"/>
      <c r="F1727" s="310"/>
      <c r="G1727" s="311"/>
      <c r="H1727" s="311"/>
      <c r="I1727" s="310"/>
    </row>
    <row r="1728">
      <c r="A1728" s="307"/>
      <c r="B1728" s="309"/>
      <c r="C1728" s="477"/>
      <c r="D1728" s="477"/>
      <c r="E1728" s="478"/>
      <c r="F1728" s="477"/>
      <c r="G1728" s="478"/>
      <c r="H1728" s="478"/>
      <c r="I1728" s="477"/>
    </row>
    <row r="1729">
      <c r="A1729" s="250"/>
      <c r="B1729" s="309"/>
      <c r="C1729" s="310"/>
      <c r="D1729" s="310"/>
      <c r="E1729" s="311"/>
      <c r="F1729" s="310"/>
      <c r="G1729" s="311"/>
      <c r="H1729" s="311"/>
      <c r="I1729" s="310"/>
    </row>
    <row r="1730">
      <c r="A1730" s="307"/>
      <c r="B1730" s="309"/>
      <c r="C1730" s="477"/>
      <c r="D1730" s="477"/>
      <c r="E1730" s="478"/>
      <c r="F1730" s="477"/>
      <c r="G1730" s="478"/>
      <c r="H1730" s="478"/>
      <c r="I1730" s="477"/>
    </row>
    <row r="1731">
      <c r="A1731" s="250"/>
      <c r="B1731" s="309"/>
      <c r="C1731" s="310"/>
      <c r="D1731" s="310"/>
      <c r="E1731" s="311"/>
      <c r="F1731" s="310"/>
      <c r="G1731" s="311"/>
      <c r="H1731" s="311"/>
      <c r="I1731" s="310"/>
    </row>
    <row r="1732">
      <c r="A1732" s="307"/>
      <c r="B1732" s="309"/>
      <c r="C1732" s="477"/>
      <c r="D1732" s="477"/>
      <c r="E1732" s="478"/>
      <c r="F1732" s="477"/>
      <c r="G1732" s="478"/>
      <c r="H1732" s="478"/>
      <c r="I1732" s="477"/>
    </row>
    <row r="1733">
      <c r="A1733" s="250"/>
      <c r="B1733" s="309"/>
      <c r="C1733" s="310"/>
      <c r="D1733" s="310"/>
      <c r="E1733" s="311"/>
      <c r="F1733" s="310"/>
      <c r="G1733" s="311"/>
      <c r="H1733" s="311"/>
      <c r="I1733" s="310"/>
    </row>
    <row r="1734">
      <c r="A1734" s="307"/>
      <c r="B1734" s="309"/>
      <c r="C1734" s="477"/>
      <c r="D1734" s="477"/>
      <c r="E1734" s="478"/>
      <c r="F1734" s="477"/>
      <c r="G1734" s="478"/>
      <c r="H1734" s="478"/>
      <c r="I1734" s="477"/>
    </row>
    <row r="1735">
      <c r="A1735" s="250"/>
      <c r="B1735" s="309"/>
      <c r="C1735" s="310"/>
      <c r="D1735" s="310"/>
      <c r="E1735" s="311"/>
      <c r="F1735" s="310"/>
      <c r="G1735" s="311"/>
      <c r="H1735" s="311"/>
      <c r="I1735" s="310"/>
    </row>
    <row r="1736">
      <c r="A1736" s="307"/>
      <c r="B1736" s="309"/>
      <c r="C1736" s="477"/>
      <c r="D1736" s="477"/>
      <c r="E1736" s="478"/>
      <c r="F1736" s="477"/>
      <c r="G1736" s="478"/>
      <c r="H1736" s="478"/>
      <c r="I1736" s="477"/>
    </row>
    <row r="1737">
      <c r="A1737" s="250"/>
      <c r="B1737" s="309"/>
      <c r="C1737" s="310"/>
      <c r="D1737" s="310"/>
      <c r="E1737" s="311"/>
      <c r="F1737" s="310"/>
      <c r="G1737" s="311"/>
      <c r="H1737" s="311"/>
      <c r="I1737" s="310"/>
    </row>
    <row r="1738">
      <c r="A1738" s="307"/>
      <c r="B1738" s="309"/>
      <c r="C1738" s="477"/>
      <c r="D1738" s="477"/>
      <c r="E1738" s="478"/>
      <c r="F1738" s="477"/>
      <c r="G1738" s="478"/>
      <c r="H1738" s="478"/>
      <c r="I1738" s="477"/>
    </row>
    <row r="1739">
      <c r="A1739" s="250"/>
      <c r="B1739" s="309"/>
      <c r="C1739" s="310"/>
      <c r="D1739" s="310"/>
      <c r="E1739" s="311"/>
      <c r="F1739" s="310"/>
      <c r="G1739" s="311"/>
      <c r="H1739" s="311"/>
      <c r="I1739" s="310"/>
    </row>
    <row r="1740">
      <c r="A1740" s="307"/>
      <c r="B1740" s="309"/>
      <c r="C1740" s="477"/>
      <c r="D1740" s="477"/>
      <c r="E1740" s="478"/>
      <c r="F1740" s="477"/>
      <c r="G1740" s="478"/>
      <c r="H1740" s="478"/>
      <c r="I1740" s="477"/>
    </row>
    <row r="1741">
      <c r="A1741" s="250"/>
      <c r="B1741" s="309"/>
      <c r="C1741" s="310"/>
      <c r="D1741" s="310"/>
      <c r="E1741" s="311"/>
      <c r="F1741" s="310"/>
      <c r="G1741" s="311"/>
      <c r="H1741" s="311"/>
      <c r="I1741" s="310"/>
    </row>
    <row r="1742">
      <c r="A1742" s="307"/>
      <c r="B1742" s="309"/>
      <c r="C1742" s="477"/>
      <c r="D1742" s="477"/>
      <c r="E1742" s="478"/>
      <c r="F1742" s="477"/>
      <c r="G1742" s="478"/>
      <c r="H1742" s="478"/>
      <c r="I1742" s="477"/>
    </row>
    <row r="1743">
      <c r="A1743" s="250"/>
      <c r="B1743" s="309"/>
      <c r="C1743" s="310"/>
      <c r="D1743" s="310"/>
      <c r="E1743" s="311"/>
      <c r="F1743" s="310"/>
      <c r="G1743" s="311"/>
      <c r="H1743" s="311"/>
      <c r="I1743" s="310"/>
    </row>
    <row r="1744">
      <c r="A1744" s="307"/>
      <c r="B1744" s="309"/>
      <c r="C1744" s="477"/>
      <c r="D1744" s="477"/>
      <c r="E1744" s="478"/>
      <c r="F1744" s="477"/>
      <c r="G1744" s="478"/>
      <c r="H1744" s="478"/>
      <c r="I1744" s="477"/>
    </row>
    <row r="1745">
      <c r="A1745" s="250"/>
      <c r="B1745" s="309"/>
      <c r="C1745" s="310"/>
      <c r="D1745" s="310"/>
      <c r="E1745" s="311"/>
      <c r="F1745" s="310"/>
      <c r="G1745" s="311"/>
      <c r="H1745" s="311"/>
      <c r="I1745" s="310"/>
    </row>
    <row r="1746">
      <c r="A1746" s="307"/>
      <c r="B1746" s="309"/>
      <c r="C1746" s="477"/>
      <c r="D1746" s="477"/>
      <c r="E1746" s="478"/>
      <c r="F1746" s="477"/>
      <c r="G1746" s="478"/>
      <c r="H1746" s="478"/>
      <c r="I1746" s="477"/>
    </row>
    <row r="1747">
      <c r="A1747" s="250"/>
      <c r="B1747" s="309"/>
      <c r="C1747" s="310"/>
      <c r="D1747" s="310"/>
      <c r="E1747" s="311"/>
      <c r="F1747" s="310"/>
      <c r="G1747" s="311"/>
      <c r="H1747" s="311"/>
      <c r="I1747" s="310"/>
    </row>
    <row r="1748">
      <c r="A1748" s="307"/>
      <c r="B1748" s="309"/>
      <c r="C1748" s="477"/>
      <c r="D1748" s="477"/>
      <c r="E1748" s="478"/>
      <c r="F1748" s="477"/>
      <c r="G1748" s="478"/>
      <c r="H1748" s="478"/>
      <c r="I1748" s="477"/>
    </row>
    <row r="1749">
      <c r="A1749" s="250"/>
      <c r="B1749" s="309"/>
      <c r="C1749" s="310"/>
      <c r="D1749" s="310"/>
      <c r="E1749" s="311"/>
      <c r="F1749" s="310"/>
      <c r="G1749" s="311"/>
      <c r="H1749" s="311"/>
      <c r="I1749" s="310"/>
    </row>
    <row r="1750">
      <c r="A1750" s="307"/>
      <c r="B1750" s="309"/>
      <c r="C1750" s="477"/>
      <c r="D1750" s="477"/>
      <c r="E1750" s="478"/>
      <c r="F1750" s="477"/>
      <c r="G1750" s="478"/>
      <c r="H1750" s="478"/>
      <c r="I1750" s="477"/>
    </row>
    <row r="1751">
      <c r="A1751" s="250"/>
      <c r="B1751" s="309"/>
      <c r="C1751" s="310"/>
      <c r="D1751" s="310"/>
      <c r="E1751" s="311"/>
      <c r="F1751" s="310"/>
      <c r="G1751" s="311"/>
      <c r="H1751" s="311"/>
      <c r="I1751" s="310"/>
    </row>
    <row r="1752">
      <c r="A1752" s="307"/>
      <c r="B1752" s="309"/>
      <c r="C1752" s="477"/>
      <c r="D1752" s="477"/>
      <c r="E1752" s="478"/>
      <c r="F1752" s="477"/>
      <c r="G1752" s="478"/>
      <c r="H1752" s="478"/>
      <c r="I1752" s="477"/>
    </row>
    <row r="1753">
      <c r="A1753" s="250"/>
      <c r="B1753" s="309"/>
      <c r="C1753" s="310"/>
      <c r="D1753" s="310"/>
      <c r="E1753" s="311"/>
      <c r="F1753" s="310"/>
      <c r="G1753" s="311"/>
      <c r="H1753" s="311"/>
      <c r="I1753" s="310"/>
    </row>
    <row r="1754">
      <c r="A1754" s="307"/>
      <c r="B1754" s="309"/>
      <c r="C1754" s="477"/>
      <c r="D1754" s="477"/>
      <c r="E1754" s="478"/>
      <c r="F1754" s="477"/>
      <c r="G1754" s="478"/>
      <c r="H1754" s="478"/>
      <c r="I1754" s="477"/>
    </row>
    <row r="1755">
      <c r="A1755" s="250"/>
      <c r="B1755" s="309"/>
      <c r="C1755" s="310"/>
      <c r="D1755" s="310"/>
      <c r="E1755" s="311"/>
      <c r="F1755" s="310"/>
      <c r="G1755" s="311"/>
      <c r="H1755" s="311"/>
      <c r="I1755" s="310"/>
    </row>
    <row r="1756">
      <c r="A1756" s="307"/>
      <c r="B1756" s="309"/>
      <c r="C1756" s="477"/>
      <c r="D1756" s="477"/>
      <c r="E1756" s="478"/>
      <c r="F1756" s="477"/>
      <c r="G1756" s="478"/>
      <c r="H1756" s="478"/>
      <c r="I1756" s="477"/>
    </row>
    <row r="1757">
      <c r="A1757" s="250"/>
      <c r="B1757" s="309"/>
      <c r="C1757" s="310"/>
      <c r="D1757" s="310"/>
      <c r="E1757" s="311"/>
      <c r="F1757" s="310"/>
      <c r="G1757" s="311"/>
      <c r="H1757" s="311"/>
      <c r="I1757" s="310"/>
    </row>
    <row r="1758">
      <c r="A1758" s="307"/>
      <c r="B1758" s="309"/>
      <c r="C1758" s="477"/>
      <c r="D1758" s="477"/>
      <c r="E1758" s="478"/>
      <c r="F1758" s="477"/>
      <c r="G1758" s="478"/>
      <c r="H1758" s="478"/>
      <c r="I1758" s="477"/>
    </row>
    <row r="1759">
      <c r="A1759" s="250"/>
      <c r="B1759" s="309"/>
      <c r="C1759" s="310"/>
      <c r="D1759" s="310"/>
      <c r="E1759" s="311"/>
      <c r="F1759" s="310"/>
      <c r="G1759" s="311"/>
      <c r="H1759" s="311"/>
      <c r="I1759" s="310"/>
    </row>
    <row r="1760">
      <c r="A1760" s="307"/>
      <c r="B1760" s="309"/>
      <c r="C1760" s="477"/>
      <c r="D1760" s="477"/>
      <c r="E1760" s="478"/>
      <c r="F1760" s="477"/>
      <c r="G1760" s="478"/>
      <c r="H1760" s="478"/>
      <c r="I1760" s="477"/>
    </row>
    <row r="1761">
      <c r="A1761" s="250"/>
      <c r="B1761" s="309"/>
      <c r="C1761" s="310"/>
      <c r="D1761" s="310"/>
      <c r="E1761" s="311"/>
      <c r="F1761" s="310"/>
      <c r="G1761" s="311"/>
      <c r="H1761" s="311"/>
      <c r="I1761" s="310"/>
    </row>
    <row r="1762">
      <c r="A1762" s="307"/>
      <c r="B1762" s="309"/>
      <c r="C1762" s="477"/>
      <c r="D1762" s="477"/>
      <c r="E1762" s="478"/>
      <c r="F1762" s="477"/>
      <c r="G1762" s="478"/>
      <c r="H1762" s="478"/>
      <c r="I1762" s="477"/>
    </row>
    <row r="1763">
      <c r="A1763" s="250"/>
      <c r="B1763" s="309"/>
      <c r="C1763" s="310"/>
      <c r="D1763" s="310"/>
      <c r="E1763" s="311"/>
      <c r="F1763" s="310"/>
      <c r="G1763" s="311"/>
      <c r="H1763" s="311"/>
      <c r="I1763" s="310"/>
    </row>
    <row r="1764">
      <c r="A1764" s="307"/>
      <c r="B1764" s="309"/>
      <c r="C1764" s="477"/>
      <c r="D1764" s="477"/>
      <c r="E1764" s="478"/>
      <c r="F1764" s="477"/>
      <c r="G1764" s="478"/>
      <c r="H1764" s="478"/>
      <c r="I1764" s="477"/>
    </row>
    <row r="1765">
      <c r="A1765" s="250"/>
      <c r="B1765" s="309"/>
      <c r="C1765" s="310"/>
      <c r="D1765" s="310"/>
      <c r="E1765" s="311"/>
      <c r="F1765" s="310"/>
      <c r="G1765" s="311"/>
      <c r="H1765" s="311"/>
      <c r="I1765" s="310"/>
    </row>
    <row r="1766">
      <c r="A1766" s="307"/>
      <c r="B1766" s="309"/>
      <c r="C1766" s="477"/>
      <c r="D1766" s="477"/>
      <c r="E1766" s="478"/>
      <c r="F1766" s="477"/>
      <c r="G1766" s="478"/>
      <c r="H1766" s="478"/>
      <c r="I1766" s="477"/>
    </row>
    <row r="1767">
      <c r="A1767" s="250"/>
      <c r="B1767" s="309"/>
      <c r="C1767" s="310"/>
      <c r="D1767" s="310"/>
      <c r="E1767" s="311"/>
      <c r="F1767" s="310"/>
      <c r="G1767" s="311"/>
      <c r="H1767" s="311"/>
      <c r="I1767" s="310"/>
    </row>
    <row r="1768">
      <c r="A1768" s="307"/>
      <c r="B1768" s="309"/>
      <c r="C1768" s="477"/>
      <c r="D1768" s="477"/>
      <c r="E1768" s="478"/>
      <c r="F1768" s="477"/>
      <c r="G1768" s="478"/>
      <c r="H1768" s="478"/>
      <c r="I1768" s="477"/>
    </row>
    <row r="1769">
      <c r="A1769" s="250"/>
      <c r="B1769" s="309"/>
      <c r="C1769" s="310"/>
      <c r="D1769" s="310"/>
      <c r="E1769" s="311"/>
      <c r="F1769" s="310"/>
      <c r="G1769" s="311"/>
      <c r="H1769" s="311"/>
      <c r="I1769" s="310"/>
    </row>
    <row r="1770">
      <c r="A1770" s="307"/>
      <c r="B1770" s="309"/>
      <c r="C1770" s="477"/>
      <c r="D1770" s="477"/>
      <c r="E1770" s="478"/>
      <c r="F1770" s="477"/>
      <c r="G1770" s="478"/>
      <c r="H1770" s="478"/>
      <c r="I1770" s="477"/>
    </row>
    <row r="1771">
      <c r="A1771" s="250"/>
      <c r="B1771" s="309"/>
      <c r="C1771" s="310"/>
      <c r="D1771" s="310"/>
      <c r="E1771" s="311"/>
      <c r="F1771" s="310"/>
      <c r="G1771" s="311"/>
      <c r="H1771" s="311"/>
      <c r="I1771" s="310"/>
    </row>
    <row r="1772">
      <c r="A1772" s="307"/>
      <c r="B1772" s="309"/>
      <c r="C1772" s="477"/>
      <c r="D1772" s="477"/>
      <c r="E1772" s="478"/>
      <c r="F1772" s="477"/>
      <c r="G1772" s="478"/>
      <c r="H1772" s="478"/>
      <c r="I1772" s="477"/>
    </row>
    <row r="1773">
      <c r="A1773" s="250"/>
      <c r="B1773" s="309"/>
      <c r="C1773" s="310"/>
      <c r="D1773" s="310"/>
      <c r="E1773" s="311"/>
      <c r="F1773" s="310"/>
      <c r="G1773" s="311"/>
      <c r="H1773" s="311"/>
      <c r="I1773" s="310"/>
    </row>
    <row r="1774">
      <c r="A1774" s="307"/>
      <c r="B1774" s="309"/>
      <c r="C1774" s="477"/>
      <c r="D1774" s="477"/>
      <c r="E1774" s="478"/>
      <c r="F1774" s="477"/>
      <c r="G1774" s="478"/>
      <c r="H1774" s="478"/>
      <c r="I1774" s="477"/>
    </row>
    <row r="1775">
      <c r="A1775" s="250"/>
      <c r="B1775" s="309"/>
      <c r="C1775" s="310"/>
      <c r="D1775" s="310"/>
      <c r="E1775" s="311"/>
      <c r="F1775" s="310"/>
      <c r="G1775" s="311"/>
      <c r="H1775" s="311"/>
      <c r="I1775" s="310"/>
    </row>
    <row r="1776">
      <c r="A1776" s="307"/>
      <c r="B1776" s="309"/>
      <c r="C1776" s="477"/>
      <c r="D1776" s="477"/>
      <c r="E1776" s="478"/>
      <c r="F1776" s="477"/>
      <c r="G1776" s="478"/>
      <c r="H1776" s="478"/>
      <c r="I1776" s="477"/>
    </row>
    <row r="1777">
      <c r="A1777" s="250"/>
      <c r="B1777" s="309"/>
      <c r="C1777" s="310"/>
      <c r="D1777" s="310"/>
      <c r="E1777" s="311"/>
      <c r="F1777" s="310"/>
      <c r="G1777" s="311"/>
      <c r="H1777" s="311"/>
      <c r="I1777" s="310"/>
    </row>
    <row r="1778">
      <c r="A1778" s="307"/>
      <c r="B1778" s="309"/>
      <c r="C1778" s="477"/>
      <c r="D1778" s="477"/>
      <c r="E1778" s="478"/>
      <c r="F1778" s="477"/>
      <c r="G1778" s="478"/>
      <c r="H1778" s="478"/>
      <c r="I1778" s="477"/>
    </row>
    <row r="1779">
      <c r="A1779" s="250"/>
      <c r="B1779" s="309"/>
      <c r="C1779" s="310"/>
      <c r="D1779" s="310"/>
      <c r="E1779" s="311"/>
      <c r="F1779" s="310"/>
      <c r="G1779" s="311"/>
      <c r="H1779" s="311"/>
      <c r="I1779" s="310"/>
    </row>
    <row r="1780">
      <c r="A1780" s="307"/>
      <c r="B1780" s="309"/>
      <c r="C1780" s="477"/>
      <c r="D1780" s="477"/>
      <c r="E1780" s="478"/>
      <c r="F1780" s="477"/>
      <c r="G1780" s="478"/>
      <c r="H1780" s="478"/>
      <c r="I1780" s="477"/>
    </row>
    <row r="1781">
      <c r="A1781" s="250"/>
      <c r="B1781" s="309"/>
      <c r="C1781" s="310"/>
      <c r="D1781" s="310"/>
      <c r="E1781" s="311"/>
      <c r="F1781" s="310"/>
      <c r="G1781" s="311"/>
      <c r="H1781" s="311"/>
      <c r="I1781" s="310"/>
    </row>
    <row r="1782">
      <c r="A1782" s="307"/>
      <c r="B1782" s="309"/>
      <c r="C1782" s="477"/>
      <c r="D1782" s="477"/>
      <c r="E1782" s="478"/>
      <c r="F1782" s="477"/>
      <c r="G1782" s="478"/>
      <c r="H1782" s="478"/>
      <c r="I1782" s="477"/>
    </row>
    <row r="1783">
      <c r="A1783" s="250"/>
      <c r="B1783" s="309"/>
      <c r="C1783" s="310"/>
      <c r="D1783" s="310"/>
      <c r="E1783" s="311"/>
      <c r="F1783" s="310"/>
      <c r="G1783" s="311"/>
      <c r="H1783" s="311"/>
      <c r="I1783" s="310"/>
    </row>
    <row r="1784">
      <c r="A1784" s="307"/>
      <c r="B1784" s="309"/>
      <c r="C1784" s="477"/>
      <c r="D1784" s="477"/>
      <c r="E1784" s="478"/>
      <c r="F1784" s="477"/>
      <c r="G1784" s="478"/>
      <c r="H1784" s="478"/>
      <c r="I1784" s="477"/>
    </row>
    <row r="1785">
      <c r="A1785" s="250"/>
      <c r="B1785" s="309"/>
      <c r="C1785" s="310"/>
      <c r="D1785" s="310"/>
      <c r="E1785" s="311"/>
      <c r="F1785" s="310"/>
      <c r="G1785" s="311"/>
      <c r="H1785" s="311"/>
      <c r="I1785" s="310"/>
    </row>
    <row r="1786">
      <c r="A1786" s="307"/>
      <c r="B1786" s="309"/>
      <c r="C1786" s="477"/>
      <c r="D1786" s="477"/>
      <c r="E1786" s="478"/>
      <c r="F1786" s="477"/>
      <c r="G1786" s="478"/>
      <c r="H1786" s="478"/>
      <c r="I1786" s="477"/>
    </row>
    <row r="1787">
      <c r="A1787" s="250"/>
      <c r="B1787" s="309"/>
      <c r="C1787" s="310"/>
      <c r="D1787" s="310"/>
      <c r="E1787" s="311"/>
      <c r="F1787" s="310"/>
      <c r="G1787" s="311"/>
      <c r="H1787" s="311"/>
      <c r="I1787" s="310"/>
    </row>
    <row r="1788">
      <c r="A1788" s="307"/>
      <c r="B1788" s="309"/>
      <c r="C1788" s="477"/>
      <c r="D1788" s="477"/>
      <c r="E1788" s="478"/>
      <c r="F1788" s="477"/>
      <c r="G1788" s="478"/>
      <c r="H1788" s="478"/>
      <c r="I1788" s="477"/>
    </row>
    <row r="1789">
      <c r="A1789" s="250"/>
      <c r="B1789" s="309"/>
      <c r="C1789" s="310"/>
      <c r="D1789" s="310"/>
      <c r="E1789" s="311"/>
      <c r="F1789" s="310"/>
      <c r="G1789" s="311"/>
      <c r="H1789" s="311"/>
      <c r="I1789" s="310"/>
    </row>
    <row r="1790">
      <c r="A1790" s="307"/>
      <c r="B1790" s="309"/>
      <c r="C1790" s="477"/>
      <c r="D1790" s="477"/>
      <c r="E1790" s="478"/>
      <c r="F1790" s="477"/>
      <c r="G1790" s="478"/>
      <c r="H1790" s="478"/>
      <c r="I1790" s="477"/>
    </row>
    <row r="1791">
      <c r="A1791" s="250"/>
      <c r="B1791" s="309"/>
      <c r="C1791" s="310"/>
      <c r="D1791" s="310"/>
      <c r="E1791" s="311"/>
      <c r="F1791" s="310"/>
      <c r="G1791" s="311"/>
      <c r="H1791" s="311"/>
      <c r="I1791" s="310"/>
    </row>
    <row r="1792">
      <c r="A1792" s="307"/>
      <c r="B1792" s="309"/>
      <c r="C1792" s="477"/>
      <c r="D1792" s="477"/>
      <c r="E1792" s="478"/>
      <c r="F1792" s="477"/>
      <c r="G1792" s="478"/>
      <c r="H1792" s="478"/>
      <c r="I1792" s="477"/>
    </row>
    <row r="1793">
      <c r="A1793" s="250"/>
      <c r="B1793" s="309"/>
      <c r="C1793" s="310"/>
      <c r="D1793" s="310"/>
      <c r="E1793" s="311"/>
      <c r="F1793" s="310"/>
      <c r="G1793" s="311"/>
      <c r="H1793" s="311"/>
      <c r="I1793" s="310"/>
    </row>
    <row r="1794">
      <c r="A1794" s="307"/>
      <c r="B1794" s="309"/>
      <c r="C1794" s="477"/>
      <c r="D1794" s="477"/>
      <c r="E1794" s="478"/>
      <c r="F1794" s="477"/>
      <c r="G1794" s="478"/>
      <c r="H1794" s="478"/>
      <c r="I1794" s="477"/>
    </row>
    <row r="1795">
      <c r="A1795" s="250"/>
      <c r="B1795" s="309"/>
      <c r="C1795" s="310"/>
      <c r="D1795" s="310"/>
      <c r="E1795" s="311"/>
      <c r="F1795" s="310"/>
      <c r="G1795" s="311"/>
      <c r="H1795" s="311"/>
      <c r="I1795" s="310"/>
    </row>
    <row r="1796">
      <c r="A1796" s="307"/>
      <c r="B1796" s="309"/>
      <c r="C1796" s="477"/>
      <c r="D1796" s="477"/>
      <c r="E1796" s="478"/>
      <c r="F1796" s="477"/>
      <c r="G1796" s="478"/>
      <c r="H1796" s="478"/>
      <c r="I1796" s="477"/>
    </row>
    <row r="1797">
      <c r="A1797" s="250"/>
      <c r="B1797" s="309"/>
      <c r="C1797" s="310"/>
      <c r="D1797" s="310"/>
      <c r="E1797" s="311"/>
      <c r="F1797" s="310"/>
      <c r="G1797" s="311"/>
      <c r="H1797" s="311"/>
      <c r="I1797" s="310"/>
    </row>
    <row r="1798">
      <c r="A1798" s="307"/>
      <c r="B1798" s="309"/>
      <c r="C1798" s="477"/>
      <c r="D1798" s="477"/>
      <c r="E1798" s="478"/>
      <c r="F1798" s="477"/>
      <c r="G1798" s="478"/>
      <c r="H1798" s="478"/>
      <c r="I1798" s="477"/>
    </row>
    <row r="1799">
      <c r="A1799" s="250"/>
      <c r="B1799" s="309"/>
      <c r="C1799" s="310"/>
      <c r="D1799" s="310"/>
      <c r="E1799" s="311"/>
      <c r="F1799" s="310"/>
      <c r="G1799" s="311"/>
      <c r="H1799" s="311"/>
      <c r="I1799" s="310"/>
    </row>
    <row r="1800">
      <c r="A1800" s="307"/>
      <c r="B1800" s="309"/>
      <c r="C1800" s="477"/>
      <c r="D1800" s="477"/>
      <c r="E1800" s="478"/>
      <c r="F1800" s="477"/>
      <c r="G1800" s="478"/>
      <c r="H1800" s="478"/>
      <c r="I1800" s="477"/>
    </row>
    <row r="1801">
      <c r="A1801" s="250"/>
      <c r="B1801" s="309"/>
      <c r="C1801" s="310"/>
      <c r="D1801" s="310"/>
      <c r="E1801" s="311"/>
      <c r="F1801" s="310"/>
      <c r="G1801" s="311"/>
      <c r="H1801" s="311"/>
      <c r="I1801" s="310"/>
    </row>
    <row r="1802">
      <c r="A1802" s="307"/>
      <c r="B1802" s="309"/>
      <c r="C1802" s="477"/>
      <c r="D1802" s="477"/>
      <c r="E1802" s="478"/>
      <c r="F1802" s="477"/>
      <c r="G1802" s="478"/>
      <c r="H1802" s="478"/>
      <c r="I1802" s="477"/>
    </row>
    <row r="1803">
      <c r="A1803" s="250"/>
      <c r="B1803" s="309"/>
      <c r="C1803" s="310"/>
      <c r="D1803" s="310"/>
      <c r="E1803" s="311"/>
      <c r="F1803" s="310"/>
      <c r="G1803" s="311"/>
      <c r="H1803" s="311"/>
      <c r="I1803" s="310"/>
    </row>
    <row r="1804">
      <c r="A1804" s="307"/>
      <c r="B1804" s="309"/>
      <c r="C1804" s="477"/>
      <c r="D1804" s="477"/>
      <c r="E1804" s="478"/>
      <c r="F1804" s="477"/>
      <c r="G1804" s="478"/>
      <c r="H1804" s="478"/>
      <c r="I1804" s="477"/>
    </row>
    <row r="1805">
      <c r="A1805" s="250"/>
      <c r="B1805" s="309"/>
      <c r="C1805" s="310"/>
      <c r="D1805" s="310"/>
      <c r="E1805" s="311"/>
      <c r="F1805" s="310"/>
      <c r="G1805" s="311"/>
      <c r="H1805" s="311"/>
      <c r="I1805" s="310"/>
    </row>
    <row r="1806">
      <c r="A1806" s="307"/>
      <c r="B1806" s="309"/>
      <c r="C1806" s="477"/>
      <c r="D1806" s="477"/>
      <c r="E1806" s="478"/>
      <c r="F1806" s="477"/>
      <c r="G1806" s="478"/>
      <c r="H1806" s="478"/>
      <c r="I1806" s="477"/>
    </row>
    <row r="1807">
      <c r="A1807" s="250"/>
      <c r="B1807" s="309"/>
      <c r="C1807" s="310"/>
      <c r="D1807" s="310"/>
      <c r="E1807" s="311"/>
      <c r="F1807" s="310"/>
      <c r="G1807" s="311"/>
      <c r="H1807" s="311"/>
      <c r="I1807" s="310"/>
    </row>
    <row r="1808">
      <c r="A1808" s="307"/>
      <c r="B1808" s="309"/>
      <c r="C1808" s="477"/>
      <c r="D1808" s="477"/>
      <c r="E1808" s="478"/>
      <c r="F1808" s="477"/>
      <c r="G1808" s="478"/>
      <c r="H1808" s="478"/>
      <c r="I1808" s="477"/>
    </row>
    <row r="1809">
      <c r="A1809" s="250"/>
      <c r="B1809" s="309"/>
      <c r="C1809" s="310"/>
      <c r="D1809" s="310"/>
      <c r="E1809" s="311"/>
      <c r="F1809" s="310"/>
      <c r="G1809" s="311"/>
      <c r="H1809" s="311"/>
      <c r="I1809" s="310"/>
    </row>
    <row r="1810">
      <c r="A1810" s="307"/>
      <c r="B1810" s="309"/>
      <c r="C1810" s="477"/>
      <c r="D1810" s="477"/>
      <c r="E1810" s="478"/>
      <c r="F1810" s="477"/>
      <c r="G1810" s="478"/>
      <c r="H1810" s="478"/>
      <c r="I1810" s="477"/>
    </row>
    <row r="1811">
      <c r="A1811" s="250"/>
      <c r="B1811" s="309"/>
      <c r="C1811" s="310"/>
      <c r="D1811" s="310"/>
      <c r="E1811" s="311"/>
      <c r="F1811" s="310"/>
      <c r="G1811" s="311"/>
      <c r="H1811" s="311"/>
      <c r="I1811" s="310"/>
    </row>
    <row r="1812">
      <c r="A1812" s="307"/>
      <c r="B1812" s="309"/>
      <c r="C1812" s="477"/>
      <c r="D1812" s="477"/>
      <c r="E1812" s="478"/>
      <c r="F1812" s="477"/>
      <c r="G1812" s="478"/>
      <c r="H1812" s="478"/>
      <c r="I1812" s="477"/>
    </row>
    <row r="1813">
      <c r="A1813" s="250"/>
      <c r="B1813" s="309"/>
      <c r="C1813" s="310"/>
      <c r="D1813" s="310"/>
      <c r="E1813" s="311"/>
      <c r="F1813" s="310"/>
      <c r="G1813" s="311"/>
      <c r="H1813" s="311"/>
      <c r="I1813" s="310"/>
    </row>
    <row r="1814">
      <c r="A1814" s="307"/>
      <c r="B1814" s="309"/>
      <c r="C1814" s="477"/>
      <c r="D1814" s="477"/>
      <c r="E1814" s="478"/>
      <c r="F1814" s="477"/>
      <c r="G1814" s="478"/>
      <c r="H1814" s="478"/>
      <c r="I1814" s="477"/>
    </row>
    <row r="1815">
      <c r="A1815" s="250"/>
      <c r="B1815" s="309"/>
      <c r="C1815" s="310"/>
      <c r="D1815" s="310"/>
      <c r="E1815" s="311"/>
      <c r="F1815" s="310"/>
      <c r="G1815" s="311"/>
      <c r="H1815" s="311"/>
      <c r="I1815" s="310"/>
    </row>
    <row r="1816">
      <c r="A1816" s="307"/>
      <c r="B1816" s="309"/>
      <c r="C1816" s="477"/>
      <c r="D1816" s="477"/>
      <c r="E1816" s="478"/>
      <c r="F1816" s="477"/>
      <c r="G1816" s="478"/>
      <c r="H1816" s="478"/>
      <c r="I1816" s="477"/>
    </row>
    <row r="1817">
      <c r="A1817" s="250"/>
      <c r="B1817" s="309"/>
      <c r="C1817" s="310"/>
      <c r="D1817" s="310"/>
      <c r="E1817" s="311"/>
      <c r="F1817" s="310"/>
      <c r="G1817" s="311"/>
      <c r="H1817" s="311"/>
      <c r="I1817" s="310"/>
    </row>
    <row r="1818">
      <c r="A1818" s="307"/>
      <c r="B1818" s="309"/>
      <c r="C1818" s="477"/>
      <c r="D1818" s="477"/>
      <c r="E1818" s="478"/>
      <c r="F1818" s="477"/>
      <c r="G1818" s="478"/>
      <c r="H1818" s="478"/>
      <c r="I1818" s="477"/>
    </row>
    <row r="1819">
      <c r="A1819" s="250"/>
      <c r="B1819" s="309"/>
      <c r="C1819" s="310"/>
      <c r="D1819" s="310"/>
      <c r="E1819" s="311"/>
      <c r="F1819" s="310"/>
      <c r="G1819" s="311"/>
      <c r="H1819" s="311"/>
      <c r="I1819" s="310"/>
    </row>
    <row r="1820">
      <c r="A1820" s="307"/>
      <c r="B1820" s="309"/>
      <c r="C1820" s="477"/>
      <c r="D1820" s="477"/>
      <c r="E1820" s="478"/>
      <c r="F1820" s="477"/>
      <c r="G1820" s="478"/>
      <c r="H1820" s="478"/>
      <c r="I1820" s="477"/>
    </row>
    <row r="1821">
      <c r="A1821" s="250"/>
      <c r="B1821" s="309"/>
      <c r="C1821" s="310"/>
      <c r="D1821" s="310"/>
      <c r="E1821" s="311"/>
      <c r="F1821" s="310"/>
      <c r="G1821" s="311"/>
      <c r="H1821" s="311"/>
      <c r="I1821" s="310"/>
    </row>
    <row r="1822">
      <c r="A1822" s="307"/>
      <c r="B1822" s="309"/>
      <c r="C1822" s="477"/>
      <c r="D1822" s="477"/>
      <c r="E1822" s="478"/>
      <c r="F1822" s="477"/>
      <c r="G1822" s="478"/>
      <c r="H1822" s="478"/>
      <c r="I1822" s="477"/>
    </row>
    <row r="1823">
      <c r="A1823" s="250"/>
      <c r="B1823" s="309"/>
      <c r="C1823" s="310"/>
      <c r="D1823" s="310"/>
      <c r="E1823" s="311"/>
      <c r="F1823" s="310"/>
      <c r="G1823" s="311"/>
      <c r="H1823" s="311"/>
      <c r="I1823" s="310"/>
    </row>
    <row r="1824">
      <c r="A1824" s="307"/>
      <c r="B1824" s="309"/>
      <c r="C1824" s="477"/>
      <c r="D1824" s="477"/>
      <c r="E1824" s="478"/>
      <c r="F1824" s="477"/>
      <c r="G1824" s="478"/>
      <c r="H1824" s="478"/>
      <c r="I1824" s="477"/>
    </row>
    <row r="1825">
      <c r="A1825" s="250"/>
      <c r="B1825" s="309"/>
      <c r="C1825" s="310"/>
      <c r="D1825" s="310"/>
      <c r="E1825" s="311"/>
      <c r="F1825" s="310"/>
      <c r="G1825" s="311"/>
      <c r="H1825" s="311"/>
      <c r="I1825" s="310"/>
    </row>
    <row r="1826">
      <c r="A1826" s="307"/>
      <c r="B1826" s="309"/>
      <c r="C1826" s="477"/>
      <c r="D1826" s="477"/>
      <c r="E1826" s="478"/>
      <c r="F1826" s="477"/>
      <c r="G1826" s="478"/>
      <c r="H1826" s="478"/>
      <c r="I1826" s="477"/>
    </row>
    <row r="1827">
      <c r="A1827" s="250"/>
      <c r="B1827" s="309"/>
      <c r="C1827" s="310"/>
      <c r="D1827" s="310"/>
      <c r="E1827" s="311"/>
      <c r="F1827" s="310"/>
      <c r="G1827" s="311"/>
      <c r="H1827" s="311"/>
      <c r="I1827" s="310"/>
    </row>
    <row r="1828">
      <c r="A1828" s="307"/>
      <c r="B1828" s="309"/>
      <c r="C1828" s="477"/>
      <c r="D1828" s="477"/>
      <c r="E1828" s="478"/>
      <c r="F1828" s="477"/>
      <c r="G1828" s="478"/>
      <c r="H1828" s="478"/>
      <c r="I1828" s="477"/>
    </row>
    <row r="1829">
      <c r="A1829" s="250"/>
      <c r="B1829" s="309"/>
      <c r="C1829" s="310"/>
      <c r="D1829" s="310"/>
      <c r="E1829" s="311"/>
      <c r="F1829" s="310"/>
      <c r="G1829" s="311"/>
      <c r="H1829" s="311"/>
      <c r="I1829" s="310"/>
    </row>
    <row r="1830">
      <c r="A1830" s="307"/>
      <c r="B1830" s="309"/>
      <c r="C1830" s="477"/>
      <c r="D1830" s="477"/>
      <c r="E1830" s="478"/>
      <c r="F1830" s="477"/>
      <c r="G1830" s="478"/>
      <c r="H1830" s="478"/>
      <c r="I1830" s="477"/>
    </row>
    <row r="1831">
      <c r="A1831" s="250"/>
      <c r="B1831" s="309"/>
      <c r="C1831" s="310"/>
      <c r="D1831" s="310"/>
      <c r="E1831" s="311"/>
      <c r="F1831" s="310"/>
      <c r="G1831" s="311"/>
      <c r="H1831" s="311"/>
      <c r="I1831" s="310"/>
    </row>
    <row r="1832">
      <c r="A1832" s="307"/>
      <c r="B1832" s="309"/>
      <c r="C1832" s="477"/>
      <c r="D1832" s="477"/>
      <c r="E1832" s="478"/>
      <c r="F1832" s="477"/>
      <c r="G1832" s="478"/>
      <c r="H1832" s="478"/>
      <c r="I1832" s="477"/>
    </row>
    <row r="1833">
      <c r="A1833" s="250"/>
      <c r="B1833" s="309"/>
      <c r="C1833" s="310"/>
      <c r="D1833" s="310"/>
      <c r="E1833" s="311"/>
      <c r="F1833" s="310"/>
      <c r="G1833" s="311"/>
      <c r="H1833" s="311"/>
      <c r="I1833" s="310"/>
    </row>
    <row r="1834">
      <c r="A1834" s="307"/>
      <c r="B1834" s="309"/>
      <c r="C1834" s="477"/>
      <c r="D1834" s="477"/>
      <c r="E1834" s="478"/>
      <c r="F1834" s="477"/>
      <c r="G1834" s="478"/>
      <c r="H1834" s="478"/>
      <c r="I1834" s="477"/>
    </row>
    <row r="1835">
      <c r="A1835" s="250"/>
      <c r="B1835" s="309"/>
      <c r="C1835" s="310"/>
      <c r="D1835" s="310"/>
      <c r="E1835" s="311"/>
      <c r="F1835" s="310"/>
      <c r="G1835" s="311"/>
      <c r="H1835" s="311"/>
      <c r="I1835" s="310"/>
    </row>
    <row r="1836">
      <c r="A1836" s="307"/>
      <c r="B1836" s="309"/>
      <c r="C1836" s="477"/>
      <c r="D1836" s="477"/>
      <c r="E1836" s="478"/>
      <c r="F1836" s="477"/>
      <c r="G1836" s="478"/>
      <c r="H1836" s="478"/>
      <c r="I1836" s="477"/>
    </row>
    <row r="1837">
      <c r="A1837" s="250"/>
      <c r="B1837" s="309"/>
      <c r="C1837" s="310"/>
      <c r="D1837" s="310"/>
      <c r="E1837" s="311"/>
      <c r="F1837" s="310"/>
      <c r="G1837" s="311"/>
      <c r="H1837" s="311"/>
      <c r="I1837" s="310"/>
    </row>
    <row r="1838">
      <c r="A1838" s="307"/>
      <c r="B1838" s="309"/>
      <c r="C1838" s="477"/>
      <c r="D1838" s="477"/>
      <c r="E1838" s="478"/>
      <c r="F1838" s="477"/>
      <c r="G1838" s="478"/>
      <c r="H1838" s="478"/>
      <c r="I1838" s="477"/>
    </row>
    <row r="1839">
      <c r="A1839" s="250"/>
      <c r="B1839" s="309"/>
      <c r="C1839" s="310"/>
      <c r="D1839" s="310"/>
      <c r="E1839" s="311"/>
      <c r="F1839" s="310"/>
      <c r="G1839" s="311"/>
      <c r="H1839" s="311"/>
      <c r="I1839" s="310"/>
    </row>
    <row r="1840">
      <c r="A1840" s="307"/>
      <c r="B1840" s="309"/>
      <c r="C1840" s="477"/>
      <c r="D1840" s="477"/>
      <c r="E1840" s="478"/>
      <c r="F1840" s="477"/>
      <c r="G1840" s="478"/>
      <c r="H1840" s="478"/>
      <c r="I1840" s="477"/>
    </row>
    <row r="1841">
      <c r="A1841" s="250"/>
      <c r="B1841" s="309"/>
      <c r="C1841" s="310"/>
      <c r="D1841" s="310"/>
      <c r="E1841" s="311"/>
      <c r="F1841" s="310"/>
      <c r="G1841" s="311"/>
      <c r="H1841" s="311"/>
      <c r="I1841" s="310"/>
    </row>
    <row r="1842">
      <c r="A1842" s="307"/>
      <c r="B1842" s="309"/>
      <c r="C1842" s="477"/>
      <c r="D1842" s="477"/>
      <c r="E1842" s="478"/>
      <c r="F1842" s="477"/>
      <c r="G1842" s="478"/>
      <c r="H1842" s="478"/>
      <c r="I1842" s="477"/>
    </row>
    <row r="1843">
      <c r="A1843" s="250"/>
      <c r="B1843" s="309"/>
      <c r="C1843" s="310"/>
      <c r="D1843" s="310"/>
      <c r="E1843" s="311"/>
      <c r="F1843" s="310"/>
      <c r="G1843" s="311"/>
      <c r="H1843" s="311"/>
      <c r="I1843" s="310"/>
    </row>
    <row r="1844">
      <c r="A1844" s="307"/>
      <c r="B1844" s="309"/>
      <c r="C1844" s="477"/>
      <c r="D1844" s="477"/>
      <c r="E1844" s="478"/>
      <c r="F1844" s="477"/>
      <c r="G1844" s="478"/>
      <c r="H1844" s="478"/>
      <c r="I1844" s="477"/>
    </row>
    <row r="1845">
      <c r="A1845" s="250"/>
      <c r="B1845" s="309"/>
      <c r="C1845" s="310"/>
      <c r="D1845" s="310"/>
      <c r="E1845" s="311"/>
      <c r="F1845" s="310"/>
      <c r="G1845" s="311"/>
      <c r="H1845" s="311"/>
      <c r="I1845" s="310"/>
    </row>
    <row r="1846">
      <c r="A1846" s="307"/>
      <c r="B1846" s="309"/>
      <c r="C1846" s="477"/>
      <c r="D1846" s="477"/>
      <c r="E1846" s="478"/>
      <c r="F1846" s="477"/>
      <c r="G1846" s="478"/>
      <c r="H1846" s="478"/>
      <c r="I1846" s="477"/>
    </row>
    <row r="1847">
      <c r="A1847" s="250"/>
      <c r="B1847" s="309"/>
      <c r="C1847" s="310"/>
      <c r="D1847" s="310"/>
      <c r="E1847" s="311"/>
      <c r="F1847" s="310"/>
      <c r="G1847" s="311"/>
      <c r="H1847" s="311"/>
      <c r="I1847" s="310"/>
    </row>
    <row r="1848">
      <c r="A1848" s="307"/>
      <c r="B1848" s="309"/>
      <c r="C1848" s="477"/>
      <c r="D1848" s="477"/>
      <c r="E1848" s="478"/>
      <c r="F1848" s="477"/>
      <c r="G1848" s="478"/>
      <c r="H1848" s="478"/>
      <c r="I1848" s="477"/>
    </row>
    <row r="1849">
      <c r="A1849" s="250"/>
      <c r="B1849" s="309"/>
      <c r="C1849" s="310"/>
      <c r="D1849" s="310"/>
      <c r="E1849" s="311"/>
      <c r="F1849" s="310"/>
      <c r="G1849" s="311"/>
      <c r="H1849" s="311"/>
      <c r="I1849" s="310"/>
    </row>
    <row r="1850">
      <c r="A1850" s="307"/>
      <c r="B1850" s="309"/>
      <c r="C1850" s="477"/>
      <c r="D1850" s="477"/>
      <c r="E1850" s="478"/>
      <c r="F1850" s="477"/>
      <c r="G1850" s="478"/>
      <c r="H1850" s="478"/>
      <c r="I1850" s="477"/>
    </row>
    <row r="1851">
      <c r="A1851" s="250"/>
      <c r="B1851" s="309"/>
      <c r="C1851" s="310"/>
      <c r="D1851" s="310"/>
      <c r="E1851" s="311"/>
      <c r="F1851" s="310"/>
      <c r="G1851" s="311"/>
      <c r="H1851" s="311"/>
      <c r="I1851" s="310"/>
    </row>
    <row r="1852">
      <c r="A1852" s="307"/>
      <c r="B1852" s="309"/>
      <c r="C1852" s="477"/>
      <c r="D1852" s="477"/>
      <c r="E1852" s="478"/>
      <c r="F1852" s="477"/>
      <c r="G1852" s="478"/>
      <c r="H1852" s="478"/>
      <c r="I1852" s="477"/>
    </row>
    <row r="1853">
      <c r="A1853" s="250"/>
      <c r="B1853" s="309"/>
      <c r="C1853" s="310"/>
      <c r="D1853" s="310"/>
      <c r="E1853" s="311"/>
      <c r="F1853" s="310"/>
      <c r="G1853" s="311"/>
      <c r="H1853" s="311"/>
      <c r="I1853" s="310"/>
    </row>
    <row r="1854">
      <c r="A1854" s="307"/>
      <c r="B1854" s="309"/>
      <c r="C1854" s="477"/>
      <c r="D1854" s="477"/>
      <c r="E1854" s="478"/>
      <c r="F1854" s="477"/>
      <c r="G1854" s="478"/>
      <c r="H1854" s="478"/>
      <c r="I1854" s="477"/>
    </row>
    <row r="1855">
      <c r="A1855" s="250"/>
      <c r="B1855" s="309"/>
      <c r="C1855" s="310"/>
      <c r="D1855" s="310"/>
      <c r="E1855" s="311"/>
      <c r="F1855" s="310"/>
      <c r="G1855" s="311"/>
      <c r="H1855" s="311"/>
      <c r="I1855" s="310"/>
    </row>
    <row r="1856">
      <c r="A1856" s="307"/>
      <c r="B1856" s="309"/>
      <c r="C1856" s="477"/>
      <c r="D1856" s="477"/>
      <c r="E1856" s="478"/>
      <c r="F1856" s="477"/>
      <c r="G1856" s="478"/>
      <c r="H1856" s="478"/>
      <c r="I1856" s="477"/>
    </row>
    <row r="1857">
      <c r="A1857" s="250"/>
      <c r="B1857" s="309"/>
      <c r="C1857" s="310"/>
      <c r="D1857" s="310"/>
      <c r="E1857" s="311"/>
      <c r="F1857" s="310"/>
      <c r="G1857" s="311"/>
      <c r="H1857" s="311"/>
      <c r="I1857" s="310"/>
    </row>
    <row r="1858">
      <c r="A1858" s="307"/>
      <c r="B1858" s="309"/>
      <c r="C1858" s="477"/>
      <c r="D1858" s="477"/>
      <c r="E1858" s="478"/>
      <c r="F1858" s="477"/>
      <c r="G1858" s="478"/>
      <c r="H1858" s="478"/>
      <c r="I1858" s="477"/>
    </row>
    <row r="1859">
      <c r="A1859" s="250"/>
      <c r="B1859" s="309"/>
      <c r="C1859" s="310"/>
      <c r="D1859" s="310"/>
      <c r="E1859" s="311"/>
      <c r="F1859" s="310"/>
      <c r="G1859" s="311"/>
      <c r="H1859" s="311"/>
      <c r="I1859" s="310"/>
    </row>
    <row r="1860">
      <c r="A1860" s="307"/>
      <c r="B1860" s="309"/>
      <c r="C1860" s="477"/>
      <c r="D1860" s="477"/>
      <c r="E1860" s="478"/>
      <c r="F1860" s="477"/>
      <c r="G1860" s="478"/>
      <c r="H1860" s="478"/>
      <c r="I1860" s="477"/>
    </row>
    <row r="1861">
      <c r="A1861" s="250"/>
      <c r="B1861" s="309"/>
      <c r="C1861" s="310"/>
      <c r="D1861" s="310"/>
      <c r="E1861" s="311"/>
      <c r="F1861" s="310"/>
      <c r="G1861" s="311"/>
      <c r="H1861" s="311"/>
      <c r="I1861" s="310"/>
    </row>
    <row r="1862">
      <c r="A1862" s="307"/>
      <c r="B1862" s="309"/>
      <c r="C1862" s="477"/>
      <c r="D1862" s="477"/>
      <c r="E1862" s="478"/>
      <c r="F1862" s="477"/>
      <c r="G1862" s="478"/>
      <c r="H1862" s="478"/>
      <c r="I1862" s="477"/>
    </row>
    <row r="1863">
      <c r="A1863" s="250"/>
      <c r="B1863" s="309"/>
      <c r="C1863" s="310"/>
      <c r="D1863" s="310"/>
      <c r="E1863" s="311"/>
      <c r="F1863" s="310"/>
      <c r="G1863" s="311"/>
      <c r="H1863" s="311"/>
      <c r="I1863" s="310"/>
    </row>
    <row r="1864">
      <c r="A1864" s="307"/>
      <c r="B1864" s="309"/>
      <c r="C1864" s="477"/>
      <c r="D1864" s="477"/>
      <c r="E1864" s="478"/>
      <c r="F1864" s="477"/>
      <c r="G1864" s="478"/>
      <c r="H1864" s="478"/>
      <c r="I1864" s="477"/>
    </row>
    <row r="1865">
      <c r="A1865" s="250"/>
      <c r="B1865" s="309"/>
      <c r="C1865" s="310"/>
      <c r="D1865" s="310"/>
      <c r="E1865" s="311"/>
      <c r="F1865" s="310"/>
      <c r="G1865" s="311"/>
      <c r="H1865" s="311"/>
      <c r="I1865" s="310"/>
    </row>
    <row r="1866">
      <c r="A1866" s="307"/>
      <c r="B1866" s="309"/>
      <c r="C1866" s="477"/>
      <c r="D1866" s="477"/>
      <c r="E1866" s="478"/>
      <c r="F1866" s="477"/>
      <c r="G1866" s="478"/>
      <c r="H1866" s="478"/>
      <c r="I1866" s="477"/>
    </row>
    <row r="1867">
      <c r="A1867" s="250"/>
      <c r="B1867" s="309"/>
      <c r="C1867" s="310"/>
      <c r="D1867" s="310"/>
      <c r="E1867" s="311"/>
      <c r="F1867" s="310"/>
      <c r="G1867" s="311"/>
      <c r="H1867" s="311"/>
      <c r="I1867" s="310"/>
    </row>
    <row r="1868">
      <c r="A1868" s="307"/>
      <c r="B1868" s="309"/>
      <c r="C1868" s="477"/>
      <c r="D1868" s="477"/>
      <c r="E1868" s="478"/>
      <c r="F1868" s="477"/>
      <c r="G1868" s="478"/>
      <c r="H1868" s="478"/>
      <c r="I1868" s="477"/>
    </row>
    <row r="1869">
      <c r="A1869" s="250"/>
      <c r="B1869" s="309"/>
      <c r="C1869" s="310"/>
      <c r="D1869" s="310"/>
      <c r="E1869" s="311"/>
      <c r="F1869" s="310"/>
      <c r="G1869" s="311"/>
      <c r="H1869" s="311"/>
      <c r="I1869" s="310"/>
    </row>
    <row r="1870">
      <c r="A1870" s="307"/>
      <c r="B1870" s="309"/>
      <c r="C1870" s="477"/>
      <c r="D1870" s="477"/>
      <c r="E1870" s="478"/>
      <c r="F1870" s="477"/>
      <c r="G1870" s="478"/>
      <c r="H1870" s="478"/>
      <c r="I1870" s="477"/>
    </row>
    <row r="1871">
      <c r="A1871" s="250"/>
      <c r="B1871" s="309"/>
      <c r="C1871" s="310"/>
      <c r="D1871" s="310"/>
      <c r="E1871" s="311"/>
      <c r="F1871" s="310"/>
      <c r="G1871" s="311"/>
      <c r="H1871" s="311"/>
      <c r="I1871" s="310"/>
    </row>
    <row r="1872">
      <c r="A1872" s="307"/>
      <c r="B1872" s="309"/>
      <c r="C1872" s="477"/>
      <c r="D1872" s="477"/>
      <c r="E1872" s="478"/>
      <c r="F1872" s="477"/>
      <c r="G1872" s="478"/>
      <c r="H1872" s="478"/>
      <c r="I1872" s="477"/>
    </row>
    <row r="1873">
      <c r="A1873" s="250"/>
      <c r="B1873" s="309"/>
      <c r="C1873" s="310"/>
      <c r="D1873" s="310"/>
      <c r="E1873" s="311"/>
      <c r="F1873" s="310"/>
      <c r="G1873" s="311"/>
      <c r="H1873" s="311"/>
      <c r="I1873" s="310"/>
    </row>
    <row r="1874">
      <c r="A1874" s="307"/>
      <c r="B1874" s="309"/>
      <c r="C1874" s="477"/>
      <c r="D1874" s="477"/>
      <c r="E1874" s="478"/>
      <c r="F1874" s="477"/>
      <c r="G1874" s="478"/>
      <c r="H1874" s="478"/>
      <c r="I1874" s="477"/>
    </row>
    <row r="1875">
      <c r="A1875" s="250"/>
      <c r="B1875" s="309"/>
      <c r="C1875" s="310"/>
      <c r="D1875" s="310"/>
      <c r="E1875" s="311"/>
      <c r="F1875" s="310"/>
      <c r="G1875" s="311"/>
      <c r="H1875" s="311"/>
      <c r="I1875" s="310"/>
    </row>
    <row r="1876">
      <c r="A1876" s="307"/>
      <c r="B1876" s="309"/>
      <c r="C1876" s="477"/>
      <c r="D1876" s="477"/>
      <c r="E1876" s="478"/>
      <c r="F1876" s="477"/>
      <c r="G1876" s="478"/>
      <c r="H1876" s="478"/>
      <c r="I1876" s="477"/>
    </row>
    <row r="1877">
      <c r="A1877" s="250"/>
      <c r="B1877" s="309"/>
      <c r="C1877" s="310"/>
      <c r="D1877" s="310"/>
      <c r="E1877" s="311"/>
      <c r="F1877" s="310"/>
      <c r="G1877" s="311"/>
      <c r="H1877" s="311"/>
      <c r="I1877" s="310"/>
    </row>
    <row r="1878">
      <c r="A1878" s="307"/>
      <c r="B1878" s="309"/>
      <c r="C1878" s="477"/>
      <c r="D1878" s="477"/>
      <c r="E1878" s="478"/>
      <c r="F1878" s="477"/>
      <c r="G1878" s="478"/>
      <c r="H1878" s="478"/>
      <c r="I1878" s="477"/>
    </row>
    <row r="1879">
      <c r="A1879" s="250"/>
      <c r="B1879" s="309"/>
      <c r="C1879" s="310"/>
      <c r="D1879" s="310"/>
      <c r="E1879" s="311"/>
      <c r="F1879" s="310"/>
      <c r="G1879" s="311"/>
      <c r="H1879" s="311"/>
      <c r="I1879" s="310"/>
    </row>
    <row r="1880">
      <c r="A1880" s="307"/>
      <c r="B1880" s="309"/>
      <c r="C1880" s="477"/>
      <c r="D1880" s="477"/>
      <c r="E1880" s="478"/>
      <c r="F1880" s="477"/>
      <c r="G1880" s="478"/>
      <c r="H1880" s="478"/>
      <c r="I1880" s="477"/>
    </row>
    <row r="1881">
      <c r="A1881" s="250"/>
      <c r="B1881" s="309"/>
      <c r="C1881" s="310"/>
      <c r="D1881" s="310"/>
      <c r="E1881" s="311"/>
      <c r="F1881" s="310"/>
      <c r="G1881" s="311"/>
      <c r="H1881" s="311"/>
      <c r="I1881" s="310"/>
    </row>
    <row r="1882">
      <c r="A1882" s="307"/>
      <c r="B1882" s="309"/>
      <c r="C1882" s="477"/>
      <c r="D1882" s="477"/>
      <c r="E1882" s="478"/>
      <c r="F1882" s="477"/>
      <c r="G1882" s="478"/>
      <c r="H1882" s="478"/>
      <c r="I1882" s="477"/>
    </row>
    <row r="1883">
      <c r="A1883" s="250"/>
      <c r="B1883" s="309"/>
      <c r="C1883" s="310"/>
      <c r="D1883" s="310"/>
      <c r="E1883" s="311"/>
      <c r="F1883" s="310"/>
      <c r="G1883" s="311"/>
      <c r="H1883" s="311"/>
      <c r="I1883" s="310"/>
    </row>
    <row r="1884">
      <c r="A1884" s="307"/>
      <c r="B1884" s="309"/>
      <c r="C1884" s="477"/>
      <c r="D1884" s="477"/>
      <c r="E1884" s="478"/>
      <c r="F1884" s="477"/>
      <c r="G1884" s="478"/>
      <c r="H1884" s="478"/>
      <c r="I1884" s="477"/>
    </row>
    <row r="1885">
      <c r="A1885" s="250"/>
      <c r="B1885" s="309"/>
      <c r="C1885" s="310"/>
      <c r="D1885" s="310"/>
      <c r="E1885" s="311"/>
      <c r="F1885" s="310"/>
      <c r="G1885" s="311"/>
      <c r="H1885" s="311"/>
      <c r="I1885" s="310"/>
    </row>
    <row r="1886">
      <c r="A1886" s="307"/>
      <c r="B1886" s="309"/>
      <c r="C1886" s="477"/>
      <c r="D1886" s="477"/>
      <c r="E1886" s="478"/>
      <c r="F1886" s="477"/>
      <c r="G1886" s="478"/>
      <c r="H1886" s="478"/>
      <c r="I1886" s="477"/>
    </row>
    <row r="1887">
      <c r="A1887" s="250"/>
      <c r="B1887" s="309"/>
      <c r="C1887" s="310"/>
      <c r="D1887" s="310"/>
      <c r="E1887" s="311"/>
      <c r="F1887" s="310"/>
      <c r="G1887" s="311"/>
      <c r="H1887" s="311"/>
      <c r="I1887" s="310"/>
    </row>
    <row r="1888">
      <c r="A1888" s="307"/>
      <c r="B1888" s="309"/>
      <c r="C1888" s="477"/>
      <c r="D1888" s="477"/>
      <c r="E1888" s="478"/>
      <c r="F1888" s="477"/>
      <c r="G1888" s="478"/>
      <c r="H1888" s="478"/>
      <c r="I1888" s="477"/>
    </row>
    <row r="1889">
      <c r="A1889" s="250"/>
      <c r="B1889" s="309"/>
      <c r="C1889" s="310"/>
      <c r="D1889" s="310"/>
      <c r="E1889" s="311"/>
      <c r="F1889" s="310"/>
      <c r="G1889" s="311"/>
      <c r="H1889" s="311"/>
      <c r="I1889" s="310"/>
    </row>
    <row r="1890">
      <c r="A1890" s="307"/>
      <c r="B1890" s="309"/>
      <c r="C1890" s="477"/>
      <c r="D1890" s="477"/>
      <c r="E1890" s="478"/>
      <c r="F1890" s="477"/>
      <c r="G1890" s="478"/>
      <c r="H1890" s="478"/>
      <c r="I1890" s="477"/>
    </row>
    <row r="1891">
      <c r="A1891" s="250"/>
      <c r="B1891" s="309"/>
      <c r="C1891" s="310"/>
      <c r="D1891" s="310"/>
      <c r="E1891" s="311"/>
      <c r="F1891" s="310"/>
      <c r="G1891" s="311"/>
      <c r="H1891" s="311"/>
      <c r="I1891" s="310"/>
    </row>
    <row r="1892">
      <c r="A1892" s="307"/>
      <c r="B1892" s="309"/>
      <c r="C1892" s="477"/>
      <c r="D1892" s="477"/>
      <c r="E1892" s="478"/>
      <c r="F1892" s="477"/>
      <c r="G1892" s="478"/>
      <c r="H1892" s="478"/>
      <c r="I1892" s="477"/>
    </row>
    <row r="1893">
      <c r="A1893" s="250"/>
      <c r="B1893" s="309"/>
      <c r="C1893" s="310"/>
      <c r="D1893" s="310"/>
      <c r="E1893" s="311"/>
      <c r="F1893" s="310"/>
      <c r="G1893" s="311"/>
      <c r="H1893" s="311"/>
      <c r="I1893" s="310"/>
    </row>
    <row r="1894">
      <c r="A1894" s="307"/>
      <c r="B1894" s="309"/>
      <c r="C1894" s="477"/>
      <c r="D1894" s="477"/>
      <c r="E1894" s="478"/>
      <c r="F1894" s="477"/>
      <c r="G1894" s="478"/>
      <c r="H1894" s="478"/>
      <c r="I1894" s="477"/>
    </row>
    <row r="1895">
      <c r="A1895" s="250"/>
      <c r="B1895" s="309"/>
      <c r="C1895" s="310"/>
      <c r="D1895" s="310"/>
      <c r="E1895" s="311"/>
      <c r="F1895" s="310"/>
      <c r="G1895" s="311"/>
      <c r="H1895" s="311"/>
      <c r="I1895" s="310"/>
    </row>
    <row r="1896">
      <c r="A1896" s="307"/>
      <c r="B1896" s="309"/>
      <c r="C1896" s="477"/>
      <c r="D1896" s="477"/>
      <c r="E1896" s="478"/>
      <c r="F1896" s="477"/>
      <c r="G1896" s="478"/>
      <c r="H1896" s="478"/>
      <c r="I1896" s="477"/>
    </row>
    <row r="1897">
      <c r="A1897" s="250"/>
      <c r="B1897" s="309"/>
      <c r="C1897" s="310"/>
      <c r="D1897" s="310"/>
      <c r="E1897" s="311"/>
      <c r="F1897" s="310"/>
      <c r="G1897" s="311"/>
      <c r="H1897" s="311"/>
      <c r="I1897" s="310"/>
    </row>
    <row r="1898">
      <c r="A1898" s="307"/>
      <c r="B1898" s="309"/>
      <c r="C1898" s="477"/>
      <c r="D1898" s="477"/>
      <c r="E1898" s="478"/>
      <c r="F1898" s="477"/>
      <c r="G1898" s="478"/>
      <c r="H1898" s="478"/>
      <c r="I1898" s="477"/>
    </row>
    <row r="1899">
      <c r="A1899" s="250"/>
      <c r="B1899" s="309"/>
      <c r="C1899" s="310"/>
      <c r="D1899" s="310"/>
      <c r="E1899" s="311"/>
      <c r="F1899" s="310"/>
      <c r="G1899" s="311"/>
      <c r="H1899" s="311"/>
      <c r="I1899" s="310"/>
    </row>
    <row r="1900">
      <c r="A1900" s="307"/>
      <c r="B1900" s="309"/>
      <c r="C1900" s="477"/>
      <c r="D1900" s="477"/>
      <c r="E1900" s="478"/>
      <c r="F1900" s="477"/>
      <c r="G1900" s="478"/>
      <c r="H1900" s="478"/>
      <c r="I1900" s="477"/>
    </row>
    <row r="1901">
      <c r="A1901" s="250"/>
      <c r="B1901" s="309"/>
      <c r="C1901" s="310"/>
      <c r="D1901" s="310"/>
      <c r="E1901" s="311"/>
      <c r="F1901" s="310"/>
      <c r="G1901" s="311"/>
      <c r="H1901" s="311"/>
      <c r="I1901" s="310"/>
    </row>
    <row r="1902">
      <c r="A1902" s="307"/>
      <c r="B1902" s="309"/>
      <c r="C1902" s="477"/>
      <c r="D1902" s="477"/>
      <c r="E1902" s="478"/>
      <c r="F1902" s="477"/>
      <c r="G1902" s="478"/>
      <c r="H1902" s="478"/>
      <c r="I1902" s="477"/>
    </row>
    <row r="1903">
      <c r="A1903" s="250"/>
      <c r="B1903" s="309"/>
      <c r="C1903" s="310"/>
      <c r="D1903" s="310"/>
      <c r="E1903" s="311"/>
      <c r="F1903" s="310"/>
      <c r="G1903" s="311"/>
      <c r="H1903" s="311"/>
      <c r="I1903" s="310"/>
    </row>
    <row r="1904">
      <c r="A1904" s="307"/>
      <c r="B1904" s="309"/>
      <c r="C1904" s="477"/>
      <c r="D1904" s="477"/>
      <c r="E1904" s="478"/>
      <c r="F1904" s="477"/>
      <c r="G1904" s="478"/>
      <c r="H1904" s="478"/>
      <c r="I1904" s="477"/>
    </row>
    <row r="1905">
      <c r="A1905" s="250"/>
      <c r="B1905" s="309"/>
      <c r="C1905" s="310"/>
      <c r="D1905" s="310"/>
      <c r="E1905" s="311"/>
      <c r="F1905" s="310"/>
      <c r="G1905" s="311"/>
      <c r="H1905" s="311"/>
      <c r="I1905" s="310"/>
    </row>
    <row r="1906">
      <c r="A1906" s="307"/>
      <c r="B1906" s="309"/>
      <c r="C1906" s="477"/>
      <c r="D1906" s="477"/>
      <c r="E1906" s="478"/>
      <c r="F1906" s="477"/>
      <c r="G1906" s="478"/>
      <c r="H1906" s="478"/>
      <c r="I1906" s="477"/>
    </row>
    <row r="1907">
      <c r="A1907" s="250"/>
      <c r="B1907" s="309"/>
      <c r="C1907" s="310"/>
      <c r="D1907" s="310"/>
      <c r="E1907" s="311"/>
      <c r="F1907" s="310"/>
      <c r="G1907" s="311"/>
      <c r="H1907" s="311"/>
      <c r="I1907" s="310"/>
    </row>
    <row r="1908">
      <c r="A1908" s="307"/>
      <c r="B1908" s="309"/>
      <c r="C1908" s="477"/>
      <c r="D1908" s="477"/>
      <c r="E1908" s="478"/>
      <c r="F1908" s="477"/>
      <c r="G1908" s="478"/>
      <c r="H1908" s="478"/>
      <c r="I1908" s="477"/>
    </row>
    <row r="1909">
      <c r="A1909" s="250"/>
      <c r="B1909" s="309"/>
      <c r="C1909" s="310"/>
      <c r="D1909" s="310"/>
      <c r="E1909" s="311"/>
      <c r="F1909" s="310"/>
      <c r="G1909" s="311"/>
      <c r="H1909" s="311"/>
      <c r="I1909" s="310"/>
    </row>
    <row r="1910">
      <c r="A1910" s="307"/>
      <c r="B1910" s="309"/>
      <c r="C1910" s="477"/>
      <c r="D1910" s="477"/>
      <c r="E1910" s="478"/>
      <c r="F1910" s="477"/>
      <c r="G1910" s="478"/>
      <c r="H1910" s="478"/>
      <c r="I1910" s="477"/>
    </row>
    <row r="1911">
      <c r="A1911" s="250"/>
      <c r="B1911" s="309"/>
      <c r="C1911" s="310"/>
      <c r="D1911" s="310"/>
      <c r="E1911" s="311"/>
      <c r="F1911" s="310"/>
      <c r="G1911" s="311"/>
      <c r="H1911" s="311"/>
      <c r="I1911" s="310"/>
    </row>
    <row r="1912">
      <c r="A1912" s="307"/>
      <c r="B1912" s="309"/>
      <c r="C1912" s="477"/>
      <c r="D1912" s="477"/>
      <c r="E1912" s="478"/>
      <c r="F1912" s="477"/>
      <c r="G1912" s="478"/>
      <c r="H1912" s="478"/>
      <c r="I1912" s="477"/>
    </row>
    <row r="1913">
      <c r="A1913" s="250"/>
      <c r="B1913" s="309"/>
      <c r="C1913" s="310"/>
      <c r="D1913" s="310"/>
      <c r="E1913" s="311"/>
      <c r="F1913" s="310"/>
      <c r="G1913" s="311"/>
      <c r="H1913" s="311"/>
      <c r="I1913" s="310"/>
    </row>
    <row r="1914">
      <c r="A1914" s="307"/>
      <c r="B1914" s="309"/>
      <c r="C1914" s="477"/>
      <c r="D1914" s="477"/>
      <c r="E1914" s="478"/>
      <c r="F1914" s="477"/>
      <c r="G1914" s="478"/>
      <c r="H1914" s="478"/>
      <c r="I1914" s="477"/>
    </row>
    <row r="1915">
      <c r="A1915" s="250"/>
      <c r="B1915" s="309"/>
      <c r="C1915" s="310"/>
      <c r="D1915" s="310"/>
      <c r="E1915" s="311"/>
      <c r="F1915" s="310"/>
      <c r="G1915" s="311"/>
      <c r="H1915" s="311"/>
      <c r="I1915" s="310"/>
    </row>
    <row r="1916">
      <c r="A1916" s="307"/>
      <c r="B1916" s="309"/>
      <c r="C1916" s="477"/>
      <c r="D1916" s="477"/>
      <c r="E1916" s="478"/>
      <c r="F1916" s="477"/>
      <c r="G1916" s="478"/>
      <c r="H1916" s="478"/>
      <c r="I1916" s="477"/>
    </row>
    <row r="1917">
      <c r="A1917" s="250"/>
      <c r="B1917" s="309"/>
      <c r="C1917" s="310"/>
      <c r="D1917" s="310"/>
      <c r="E1917" s="311"/>
      <c r="F1917" s="310"/>
      <c r="G1917" s="311"/>
      <c r="H1917" s="311"/>
      <c r="I1917" s="310"/>
    </row>
    <row r="1918">
      <c r="A1918" s="307"/>
      <c r="B1918" s="309"/>
      <c r="C1918" s="477"/>
      <c r="D1918" s="477"/>
      <c r="E1918" s="478"/>
      <c r="F1918" s="477"/>
      <c r="G1918" s="478"/>
      <c r="H1918" s="478"/>
      <c r="I1918" s="477"/>
    </row>
    <row r="1919">
      <c r="A1919" s="250"/>
      <c r="B1919" s="309"/>
      <c r="C1919" s="310"/>
      <c r="D1919" s="310"/>
      <c r="E1919" s="311"/>
      <c r="F1919" s="310"/>
      <c r="G1919" s="311"/>
      <c r="H1919" s="311"/>
      <c r="I1919" s="310"/>
    </row>
    <row r="1920">
      <c r="A1920" s="307"/>
      <c r="B1920" s="309"/>
      <c r="C1920" s="477"/>
      <c r="D1920" s="477"/>
      <c r="E1920" s="478"/>
      <c r="F1920" s="477"/>
      <c r="G1920" s="478"/>
      <c r="H1920" s="478"/>
      <c r="I1920" s="477"/>
    </row>
    <row r="1921">
      <c r="A1921" s="250"/>
      <c r="B1921" s="309"/>
      <c r="C1921" s="310"/>
      <c r="D1921" s="310"/>
      <c r="E1921" s="311"/>
      <c r="F1921" s="310"/>
      <c r="G1921" s="311"/>
      <c r="H1921" s="311"/>
      <c r="I1921" s="310"/>
    </row>
    <row r="1922">
      <c r="A1922" s="307"/>
      <c r="B1922" s="309"/>
      <c r="C1922" s="477"/>
      <c r="D1922" s="477"/>
      <c r="E1922" s="478"/>
      <c r="F1922" s="477"/>
      <c r="G1922" s="478"/>
      <c r="H1922" s="478"/>
      <c r="I1922" s="477"/>
    </row>
    <row r="1923">
      <c r="A1923" s="250"/>
      <c r="B1923" s="309"/>
      <c r="C1923" s="310"/>
      <c r="D1923" s="310"/>
      <c r="E1923" s="311"/>
      <c r="F1923" s="310"/>
      <c r="G1923" s="311"/>
      <c r="H1923" s="311"/>
      <c r="I1923" s="310"/>
    </row>
    <row r="1924">
      <c r="A1924" s="307"/>
      <c r="B1924" s="309"/>
      <c r="C1924" s="477"/>
      <c r="D1924" s="477"/>
      <c r="E1924" s="478"/>
      <c r="F1924" s="477"/>
      <c r="G1924" s="478"/>
      <c r="H1924" s="478"/>
      <c r="I1924" s="477"/>
    </row>
    <row r="1925">
      <c r="A1925" s="250"/>
      <c r="B1925" s="309"/>
      <c r="C1925" s="310"/>
      <c r="D1925" s="310"/>
      <c r="E1925" s="311"/>
      <c r="F1925" s="310"/>
      <c r="G1925" s="311"/>
      <c r="H1925" s="311"/>
      <c r="I1925" s="310"/>
    </row>
    <row r="1926">
      <c r="A1926" s="307"/>
      <c r="B1926" s="309"/>
      <c r="C1926" s="477"/>
      <c r="D1926" s="477"/>
      <c r="E1926" s="478"/>
      <c r="F1926" s="477"/>
      <c r="G1926" s="478"/>
      <c r="H1926" s="478"/>
      <c r="I1926" s="477"/>
    </row>
    <row r="1927">
      <c r="A1927" s="250"/>
      <c r="B1927" s="309"/>
      <c r="C1927" s="310"/>
      <c r="D1927" s="310"/>
      <c r="E1927" s="311"/>
      <c r="F1927" s="310"/>
      <c r="G1927" s="311"/>
      <c r="H1927" s="311"/>
      <c r="I1927" s="310"/>
    </row>
    <row r="1928">
      <c r="A1928" s="307"/>
      <c r="B1928" s="309"/>
      <c r="C1928" s="477"/>
      <c r="D1928" s="477"/>
      <c r="E1928" s="478"/>
      <c r="F1928" s="477"/>
      <c r="G1928" s="478"/>
      <c r="H1928" s="478"/>
      <c r="I1928" s="477"/>
    </row>
    <row r="1929">
      <c r="A1929" s="250"/>
      <c r="B1929" s="309"/>
      <c r="C1929" s="310"/>
      <c r="D1929" s="310"/>
      <c r="E1929" s="311"/>
      <c r="F1929" s="310"/>
      <c r="G1929" s="311"/>
      <c r="H1929" s="311"/>
      <c r="I1929" s="310"/>
    </row>
    <row r="1930">
      <c r="A1930" s="307"/>
      <c r="B1930" s="309"/>
      <c r="C1930" s="477"/>
      <c r="D1930" s="477"/>
      <c r="E1930" s="478"/>
      <c r="F1930" s="477"/>
      <c r="G1930" s="478"/>
      <c r="H1930" s="478"/>
      <c r="I1930" s="477"/>
    </row>
    <row r="1931">
      <c r="A1931" s="250"/>
      <c r="B1931" s="309"/>
      <c r="C1931" s="310"/>
      <c r="D1931" s="310"/>
      <c r="E1931" s="311"/>
      <c r="F1931" s="310"/>
      <c r="G1931" s="311"/>
      <c r="H1931" s="311"/>
      <c r="I1931" s="310"/>
    </row>
    <row r="1932">
      <c r="A1932" s="307"/>
      <c r="B1932" s="309"/>
      <c r="C1932" s="477"/>
      <c r="D1932" s="477"/>
      <c r="E1932" s="478"/>
      <c r="F1932" s="477"/>
      <c r="G1932" s="478"/>
      <c r="H1932" s="478"/>
      <c r="I1932" s="477"/>
    </row>
    <row r="1933">
      <c r="A1933" s="250"/>
      <c r="B1933" s="309"/>
      <c r="C1933" s="310"/>
      <c r="D1933" s="310"/>
      <c r="E1933" s="311"/>
      <c r="F1933" s="310"/>
      <c r="G1933" s="311"/>
      <c r="H1933" s="311"/>
      <c r="I1933" s="310"/>
    </row>
    <row r="1934">
      <c r="A1934" s="307"/>
      <c r="B1934" s="309"/>
      <c r="C1934" s="477"/>
      <c r="D1934" s="477"/>
      <c r="E1934" s="478"/>
      <c r="F1934" s="477"/>
      <c r="G1934" s="478"/>
      <c r="H1934" s="478"/>
      <c r="I1934" s="477"/>
    </row>
    <row r="1935">
      <c r="A1935" s="250"/>
      <c r="B1935" s="309"/>
      <c r="C1935" s="310"/>
      <c r="D1935" s="310"/>
      <c r="E1935" s="311"/>
      <c r="F1935" s="310"/>
      <c r="G1935" s="311"/>
      <c r="H1935" s="311"/>
      <c r="I1935" s="310"/>
    </row>
    <row r="1936">
      <c r="A1936" s="307"/>
      <c r="B1936" s="309"/>
      <c r="C1936" s="477"/>
      <c r="D1936" s="477"/>
      <c r="E1936" s="478"/>
      <c r="F1936" s="477"/>
      <c r="G1936" s="478"/>
      <c r="H1936" s="478"/>
      <c r="I1936" s="477"/>
    </row>
    <row r="1937">
      <c r="A1937" s="250"/>
      <c r="B1937" s="309"/>
      <c r="C1937" s="310"/>
      <c r="D1937" s="310"/>
      <c r="E1937" s="311"/>
      <c r="F1937" s="310"/>
      <c r="G1937" s="311"/>
      <c r="H1937" s="311"/>
      <c r="I1937" s="310"/>
    </row>
    <row r="1938">
      <c r="A1938" s="307"/>
      <c r="B1938" s="309"/>
      <c r="C1938" s="477"/>
      <c r="D1938" s="477"/>
      <c r="E1938" s="478"/>
      <c r="F1938" s="477"/>
      <c r="G1938" s="478"/>
      <c r="H1938" s="478"/>
      <c r="I1938" s="477"/>
    </row>
    <row r="1939">
      <c r="A1939" s="250"/>
      <c r="B1939" s="309"/>
      <c r="C1939" s="310"/>
      <c r="D1939" s="310"/>
      <c r="E1939" s="311"/>
      <c r="F1939" s="310"/>
      <c r="G1939" s="311"/>
      <c r="H1939" s="311"/>
      <c r="I1939" s="310"/>
    </row>
    <row r="1940">
      <c r="A1940" s="307"/>
      <c r="B1940" s="309"/>
      <c r="C1940" s="477"/>
      <c r="D1940" s="477"/>
      <c r="E1940" s="478"/>
      <c r="F1940" s="477"/>
      <c r="G1940" s="478"/>
      <c r="H1940" s="478"/>
      <c r="I1940" s="477"/>
    </row>
    <row r="1941">
      <c r="A1941" s="250"/>
      <c r="B1941" s="309"/>
      <c r="C1941" s="310"/>
      <c r="D1941" s="310"/>
      <c r="E1941" s="311"/>
      <c r="F1941" s="310"/>
      <c r="G1941" s="311"/>
      <c r="H1941" s="311"/>
      <c r="I1941" s="310"/>
    </row>
    <row r="1942">
      <c r="A1942" s="307"/>
      <c r="B1942" s="309"/>
      <c r="C1942" s="477"/>
      <c r="D1942" s="477"/>
      <c r="E1942" s="478"/>
      <c r="F1942" s="477"/>
      <c r="G1942" s="478"/>
      <c r="H1942" s="478"/>
      <c r="I1942" s="477"/>
    </row>
    <row r="1943">
      <c r="A1943" s="250"/>
      <c r="B1943" s="309"/>
      <c r="C1943" s="310"/>
      <c r="D1943" s="310"/>
      <c r="E1943" s="311"/>
      <c r="F1943" s="310"/>
      <c r="G1943" s="311"/>
      <c r="H1943" s="311"/>
      <c r="I1943" s="310"/>
    </row>
    <row r="1944">
      <c r="A1944" s="307"/>
      <c r="B1944" s="309"/>
      <c r="C1944" s="477"/>
      <c r="D1944" s="477"/>
      <c r="E1944" s="478"/>
      <c r="F1944" s="477"/>
      <c r="G1944" s="478"/>
      <c r="H1944" s="478"/>
      <c r="I1944" s="477"/>
    </row>
    <row r="1945">
      <c r="A1945" s="250"/>
      <c r="B1945" s="309"/>
      <c r="C1945" s="310"/>
      <c r="D1945" s="310"/>
      <c r="E1945" s="311"/>
      <c r="F1945" s="310"/>
      <c r="G1945" s="311"/>
      <c r="H1945" s="311"/>
      <c r="I1945" s="310"/>
    </row>
    <row r="1946">
      <c r="A1946" s="307"/>
      <c r="B1946" s="309"/>
      <c r="C1946" s="477"/>
      <c r="D1946" s="477"/>
      <c r="E1946" s="478"/>
      <c r="F1946" s="477"/>
      <c r="G1946" s="478"/>
      <c r="H1946" s="478"/>
      <c r="I1946" s="477"/>
    </row>
    <row r="1947">
      <c r="A1947" s="250"/>
      <c r="B1947" s="309"/>
      <c r="C1947" s="310"/>
      <c r="D1947" s="310"/>
      <c r="E1947" s="311"/>
      <c r="F1947" s="310"/>
      <c r="G1947" s="311"/>
      <c r="H1947" s="311"/>
      <c r="I1947" s="310"/>
    </row>
    <row r="1948">
      <c r="A1948" s="307"/>
      <c r="B1948" s="309"/>
      <c r="C1948" s="477"/>
      <c r="D1948" s="477"/>
      <c r="E1948" s="478"/>
      <c r="F1948" s="477"/>
      <c r="G1948" s="478"/>
      <c r="H1948" s="478"/>
      <c r="I1948" s="477"/>
    </row>
    <row r="1949">
      <c r="A1949" s="250"/>
      <c r="B1949" s="309"/>
      <c r="C1949" s="310"/>
      <c r="D1949" s="310"/>
      <c r="E1949" s="311"/>
      <c r="F1949" s="310"/>
      <c r="G1949" s="311"/>
      <c r="H1949" s="311"/>
      <c r="I1949" s="310"/>
    </row>
    <row r="1950">
      <c r="A1950" s="307"/>
      <c r="B1950" s="309"/>
      <c r="C1950" s="477"/>
      <c r="D1950" s="477"/>
      <c r="E1950" s="478"/>
      <c r="F1950" s="477"/>
      <c r="G1950" s="478"/>
      <c r="H1950" s="478"/>
      <c r="I1950" s="477"/>
    </row>
    <row r="1951">
      <c r="A1951" s="250"/>
      <c r="B1951" s="309"/>
      <c r="C1951" s="310"/>
      <c r="D1951" s="310"/>
      <c r="E1951" s="311"/>
      <c r="F1951" s="310"/>
      <c r="G1951" s="311"/>
      <c r="H1951" s="311"/>
      <c r="I1951" s="310"/>
    </row>
    <row r="1952">
      <c r="A1952" s="307"/>
      <c r="B1952" s="309"/>
      <c r="C1952" s="477"/>
      <c r="D1952" s="477"/>
      <c r="E1952" s="478"/>
      <c r="F1952" s="477"/>
      <c r="G1952" s="478"/>
      <c r="H1952" s="478"/>
      <c r="I1952" s="477"/>
    </row>
    <row r="1953">
      <c r="A1953" s="250"/>
      <c r="B1953" s="309"/>
      <c r="C1953" s="310"/>
      <c r="D1953" s="310"/>
      <c r="E1953" s="311"/>
      <c r="F1953" s="310"/>
      <c r="G1953" s="311"/>
      <c r="H1953" s="311"/>
      <c r="I1953" s="310"/>
    </row>
    <row r="1954">
      <c r="A1954" s="307"/>
      <c r="B1954" s="309"/>
      <c r="C1954" s="477"/>
      <c r="D1954" s="477"/>
      <c r="E1954" s="478"/>
      <c r="F1954" s="477"/>
      <c r="G1954" s="478"/>
      <c r="H1954" s="478"/>
      <c r="I1954" s="477"/>
    </row>
    <row r="1955">
      <c r="A1955" s="250"/>
      <c r="B1955" s="309"/>
      <c r="C1955" s="310"/>
      <c r="D1955" s="310"/>
      <c r="E1955" s="311"/>
      <c r="F1955" s="310"/>
      <c r="G1955" s="311"/>
      <c r="H1955" s="311"/>
      <c r="I1955" s="310"/>
    </row>
    <row r="1956">
      <c r="A1956" s="307"/>
      <c r="B1956" s="309"/>
      <c r="C1956" s="477"/>
      <c r="D1956" s="477"/>
      <c r="E1956" s="478"/>
      <c r="F1956" s="477"/>
      <c r="G1956" s="478"/>
      <c r="H1956" s="478"/>
      <c r="I1956" s="477"/>
    </row>
    <row r="1957">
      <c r="A1957" s="250"/>
      <c r="B1957" s="309"/>
      <c r="C1957" s="310"/>
      <c r="D1957" s="310"/>
      <c r="E1957" s="311"/>
      <c r="F1957" s="310"/>
      <c r="G1957" s="311"/>
      <c r="H1957" s="311"/>
      <c r="I1957" s="310"/>
    </row>
    <row r="1958">
      <c r="A1958" s="307"/>
      <c r="B1958" s="309"/>
      <c r="C1958" s="477"/>
      <c r="D1958" s="477"/>
      <c r="E1958" s="478"/>
      <c r="F1958" s="477"/>
      <c r="G1958" s="478"/>
      <c r="H1958" s="478"/>
      <c r="I1958" s="477"/>
    </row>
    <row r="1959">
      <c r="A1959" s="250"/>
      <c r="B1959" s="309"/>
      <c r="C1959" s="310"/>
      <c r="D1959" s="310"/>
      <c r="E1959" s="311"/>
      <c r="F1959" s="310"/>
      <c r="G1959" s="311"/>
      <c r="H1959" s="311"/>
      <c r="I1959" s="310"/>
    </row>
    <row r="1960">
      <c r="A1960" s="307"/>
      <c r="B1960" s="309"/>
      <c r="C1960" s="477"/>
      <c r="D1960" s="477"/>
      <c r="E1960" s="478"/>
      <c r="F1960" s="477"/>
      <c r="G1960" s="478"/>
      <c r="H1960" s="478"/>
      <c r="I1960" s="477"/>
    </row>
    <row r="1961">
      <c r="A1961" s="250"/>
      <c r="B1961" s="309"/>
      <c r="C1961" s="310"/>
      <c r="D1961" s="310"/>
      <c r="E1961" s="311"/>
      <c r="F1961" s="310"/>
      <c r="G1961" s="311"/>
      <c r="H1961" s="311"/>
      <c r="I1961" s="310"/>
    </row>
    <row r="1962">
      <c r="A1962" s="307"/>
      <c r="B1962" s="309"/>
      <c r="C1962" s="477"/>
      <c r="D1962" s="477"/>
      <c r="E1962" s="478"/>
      <c r="F1962" s="477"/>
      <c r="G1962" s="478"/>
      <c r="H1962" s="478"/>
      <c r="I1962" s="477"/>
    </row>
    <row r="1963">
      <c r="A1963" s="250"/>
      <c r="B1963" s="309"/>
      <c r="C1963" s="310"/>
      <c r="D1963" s="310"/>
      <c r="E1963" s="311"/>
      <c r="F1963" s="310"/>
      <c r="G1963" s="311"/>
      <c r="H1963" s="311"/>
      <c r="I1963" s="310"/>
    </row>
    <row r="1964">
      <c r="A1964" s="307"/>
      <c r="B1964" s="309"/>
      <c r="C1964" s="477"/>
      <c r="D1964" s="477"/>
      <c r="E1964" s="478"/>
      <c r="F1964" s="477"/>
      <c r="G1964" s="478"/>
      <c r="H1964" s="478"/>
      <c r="I1964" s="477"/>
    </row>
    <row r="1965">
      <c r="A1965" s="250"/>
      <c r="B1965" s="309"/>
      <c r="C1965" s="310"/>
      <c r="D1965" s="310"/>
      <c r="E1965" s="311"/>
      <c r="F1965" s="310"/>
      <c r="G1965" s="311"/>
      <c r="H1965" s="311"/>
      <c r="I1965" s="310"/>
    </row>
    <row r="1966">
      <c r="A1966" s="307"/>
      <c r="B1966" s="309"/>
      <c r="C1966" s="477"/>
      <c r="D1966" s="477"/>
      <c r="E1966" s="478"/>
      <c r="F1966" s="477"/>
      <c r="G1966" s="478"/>
      <c r="H1966" s="478"/>
      <c r="I1966" s="477"/>
    </row>
    <row r="1967">
      <c r="A1967" s="250"/>
      <c r="B1967" s="309"/>
      <c r="C1967" s="310"/>
      <c r="D1967" s="310"/>
      <c r="E1967" s="311"/>
      <c r="F1967" s="310"/>
      <c r="G1967" s="311"/>
      <c r="H1967" s="311"/>
      <c r="I1967" s="310"/>
    </row>
    <row r="1968">
      <c r="A1968" s="307"/>
      <c r="B1968" s="309"/>
      <c r="C1968" s="477"/>
      <c r="D1968" s="477"/>
      <c r="E1968" s="478"/>
      <c r="F1968" s="477"/>
      <c r="G1968" s="478"/>
      <c r="H1968" s="478"/>
      <c r="I1968" s="477"/>
    </row>
    <row r="1969">
      <c r="A1969" s="250"/>
      <c r="B1969" s="309"/>
      <c r="C1969" s="310"/>
      <c r="D1969" s="310"/>
      <c r="E1969" s="311"/>
      <c r="F1969" s="310"/>
      <c r="G1969" s="311"/>
      <c r="H1969" s="311"/>
      <c r="I1969" s="310"/>
    </row>
    <row r="1970">
      <c r="A1970" s="307"/>
      <c r="B1970" s="309"/>
      <c r="C1970" s="477"/>
      <c r="D1970" s="477"/>
      <c r="E1970" s="478"/>
      <c r="F1970" s="477"/>
      <c r="G1970" s="478"/>
      <c r="H1970" s="478"/>
      <c r="I1970" s="477"/>
    </row>
    <row r="1971">
      <c r="A1971" s="250"/>
      <c r="B1971" s="309"/>
      <c r="C1971" s="310"/>
      <c r="D1971" s="310"/>
      <c r="E1971" s="311"/>
      <c r="F1971" s="310"/>
      <c r="G1971" s="311"/>
      <c r="H1971" s="311"/>
      <c r="I1971" s="310"/>
    </row>
    <row r="1972">
      <c r="A1972" s="307"/>
      <c r="B1972" s="309"/>
      <c r="C1972" s="477"/>
      <c r="D1972" s="477"/>
      <c r="E1972" s="478"/>
      <c r="F1972" s="477"/>
      <c r="G1972" s="478"/>
      <c r="H1972" s="478"/>
      <c r="I1972" s="477"/>
    </row>
    <row r="1973">
      <c r="A1973" s="250"/>
      <c r="B1973" s="309"/>
      <c r="C1973" s="310"/>
      <c r="D1973" s="310"/>
      <c r="E1973" s="311"/>
      <c r="F1973" s="310"/>
      <c r="G1973" s="311"/>
      <c r="H1973" s="311"/>
      <c r="I1973" s="310"/>
    </row>
    <row r="1974">
      <c r="A1974" s="307"/>
      <c r="B1974" s="309"/>
      <c r="C1974" s="477"/>
      <c r="D1974" s="477"/>
      <c r="E1974" s="478"/>
      <c r="F1974" s="477"/>
      <c r="G1974" s="478"/>
      <c r="H1974" s="478"/>
      <c r="I1974" s="477"/>
    </row>
    <row r="1975">
      <c r="A1975" s="250"/>
      <c r="B1975" s="309"/>
      <c r="C1975" s="310"/>
      <c r="D1975" s="310"/>
      <c r="E1975" s="311"/>
      <c r="F1975" s="310"/>
      <c r="G1975" s="311"/>
      <c r="H1975" s="311"/>
      <c r="I1975" s="310"/>
    </row>
    <row r="1976">
      <c r="A1976" s="307"/>
      <c r="B1976" s="309"/>
      <c r="C1976" s="477"/>
      <c r="D1976" s="477"/>
      <c r="E1976" s="478"/>
      <c r="F1976" s="477"/>
      <c r="G1976" s="478"/>
      <c r="H1976" s="478"/>
      <c r="I1976" s="477"/>
    </row>
    <row r="1977">
      <c r="A1977" s="250"/>
      <c r="B1977" s="309"/>
      <c r="C1977" s="310"/>
      <c r="D1977" s="310"/>
      <c r="E1977" s="311"/>
      <c r="F1977" s="310"/>
      <c r="G1977" s="311"/>
      <c r="H1977" s="311"/>
      <c r="I1977" s="310"/>
    </row>
    <row r="1978">
      <c r="A1978" s="307"/>
      <c r="B1978" s="309"/>
      <c r="C1978" s="477"/>
      <c r="D1978" s="477"/>
      <c r="E1978" s="478"/>
      <c r="F1978" s="477"/>
      <c r="G1978" s="478"/>
      <c r="H1978" s="478"/>
      <c r="I1978" s="477"/>
    </row>
    <row r="1979">
      <c r="A1979" s="250"/>
      <c r="B1979" s="309"/>
      <c r="C1979" s="310"/>
      <c r="D1979" s="310"/>
      <c r="E1979" s="311"/>
      <c r="F1979" s="310"/>
      <c r="G1979" s="311"/>
      <c r="H1979" s="311"/>
      <c r="I1979" s="310"/>
    </row>
    <row r="1980">
      <c r="A1980" s="307"/>
      <c r="B1980" s="309"/>
      <c r="C1980" s="477"/>
      <c r="D1980" s="477"/>
      <c r="E1980" s="478"/>
      <c r="F1980" s="477"/>
      <c r="G1980" s="478"/>
      <c r="H1980" s="478"/>
      <c r="I1980" s="477"/>
    </row>
    <row r="1981">
      <c r="A1981" s="250"/>
      <c r="B1981" s="309"/>
      <c r="C1981" s="310"/>
      <c r="D1981" s="310"/>
      <c r="E1981" s="311"/>
      <c r="F1981" s="310"/>
      <c r="G1981" s="311"/>
      <c r="H1981" s="311"/>
      <c r="I1981" s="310"/>
    </row>
    <row r="1982">
      <c r="A1982" s="307"/>
      <c r="B1982" s="309"/>
      <c r="C1982" s="477"/>
      <c r="D1982" s="477"/>
      <c r="E1982" s="478"/>
      <c r="F1982" s="477"/>
      <c r="G1982" s="478"/>
      <c r="H1982" s="478"/>
      <c r="I1982" s="477"/>
    </row>
    <row r="1983">
      <c r="A1983" s="250"/>
      <c r="B1983" s="309"/>
      <c r="C1983" s="310"/>
      <c r="D1983" s="310"/>
      <c r="E1983" s="311"/>
      <c r="F1983" s="310"/>
      <c r="G1983" s="311"/>
      <c r="H1983" s="311"/>
      <c r="I1983" s="310"/>
    </row>
    <row r="1984">
      <c r="A1984" s="307"/>
      <c r="B1984" s="309"/>
      <c r="C1984" s="477"/>
      <c r="D1984" s="477"/>
      <c r="E1984" s="478"/>
      <c r="F1984" s="477"/>
      <c r="G1984" s="478"/>
      <c r="H1984" s="478"/>
      <c r="I1984" s="477"/>
    </row>
    <row r="1985">
      <c r="A1985" s="250"/>
      <c r="B1985" s="309"/>
      <c r="C1985" s="310"/>
      <c r="D1985" s="310"/>
      <c r="E1985" s="311"/>
      <c r="F1985" s="310"/>
      <c r="G1985" s="311"/>
      <c r="H1985" s="311"/>
      <c r="I1985" s="310"/>
    </row>
    <row r="1986">
      <c r="A1986" s="307"/>
      <c r="B1986" s="309"/>
      <c r="C1986" s="477"/>
      <c r="D1986" s="477"/>
      <c r="E1986" s="478"/>
      <c r="F1986" s="477"/>
      <c r="G1986" s="478"/>
      <c r="H1986" s="478"/>
      <c r="I1986" s="477"/>
    </row>
    <row r="1987">
      <c r="A1987" s="250"/>
      <c r="B1987" s="309"/>
      <c r="C1987" s="310"/>
      <c r="D1987" s="310"/>
      <c r="E1987" s="311"/>
      <c r="F1987" s="310"/>
      <c r="G1987" s="311"/>
      <c r="H1987" s="311"/>
      <c r="I1987" s="310"/>
    </row>
    <row r="1988">
      <c r="A1988" s="307"/>
      <c r="B1988" s="309"/>
      <c r="C1988" s="477"/>
      <c r="D1988" s="477"/>
      <c r="E1988" s="478"/>
      <c r="F1988" s="477"/>
      <c r="G1988" s="478"/>
      <c r="H1988" s="478"/>
      <c r="I1988" s="477"/>
    </row>
    <row r="1989">
      <c r="A1989" s="250"/>
      <c r="B1989" s="309"/>
      <c r="C1989" s="310"/>
      <c r="D1989" s="310"/>
      <c r="E1989" s="311"/>
      <c r="F1989" s="310"/>
      <c r="G1989" s="311"/>
      <c r="H1989" s="311"/>
      <c r="I1989" s="310"/>
    </row>
    <row r="1990">
      <c r="A1990" s="307"/>
      <c r="B1990" s="309"/>
      <c r="C1990" s="477"/>
      <c r="D1990" s="477"/>
      <c r="E1990" s="478"/>
      <c r="F1990" s="477"/>
      <c r="G1990" s="478"/>
      <c r="H1990" s="478"/>
      <c r="I1990" s="477"/>
    </row>
    <row r="1991">
      <c r="A1991" s="250"/>
      <c r="B1991" s="309"/>
      <c r="C1991" s="310"/>
      <c r="D1991" s="310"/>
      <c r="E1991" s="311"/>
      <c r="F1991" s="310"/>
      <c r="G1991" s="311"/>
      <c r="H1991" s="311"/>
      <c r="I1991" s="310"/>
    </row>
    <row r="1992">
      <c r="A1992" s="307"/>
      <c r="B1992" s="309"/>
      <c r="C1992" s="477"/>
      <c r="D1992" s="477"/>
      <c r="E1992" s="478"/>
      <c r="F1992" s="477"/>
      <c r="G1992" s="478"/>
      <c r="H1992" s="478"/>
      <c r="I1992" s="477"/>
    </row>
    <row r="1993">
      <c r="A1993" s="250"/>
      <c r="B1993" s="309"/>
      <c r="C1993" s="310"/>
      <c r="D1993" s="310"/>
      <c r="E1993" s="311"/>
      <c r="F1993" s="310"/>
      <c r="G1993" s="311"/>
      <c r="H1993" s="311"/>
      <c r="I1993" s="310"/>
    </row>
    <row r="1994">
      <c r="A1994" s="307"/>
      <c r="B1994" s="309"/>
      <c r="C1994" s="477"/>
      <c r="D1994" s="477"/>
      <c r="E1994" s="478"/>
      <c r="F1994" s="477"/>
      <c r="G1994" s="478"/>
      <c r="H1994" s="478"/>
      <c r="I1994" s="477"/>
    </row>
    <row r="1995">
      <c r="A1995" s="250"/>
      <c r="B1995" s="309"/>
      <c r="C1995" s="310"/>
      <c r="D1995" s="310"/>
      <c r="E1995" s="311"/>
      <c r="F1995" s="310"/>
      <c r="G1995" s="311"/>
      <c r="H1995" s="311"/>
      <c r="I1995" s="310"/>
    </row>
    <row r="1996">
      <c r="A1996" s="307"/>
      <c r="B1996" s="309"/>
      <c r="C1996" s="477"/>
      <c r="D1996" s="477"/>
      <c r="E1996" s="478"/>
      <c r="F1996" s="477"/>
      <c r="G1996" s="478"/>
      <c r="H1996" s="478"/>
      <c r="I1996" s="477"/>
    </row>
    <row r="1997">
      <c r="A1997" s="250"/>
      <c r="B1997" s="309"/>
      <c r="C1997" s="310"/>
      <c r="D1997" s="310"/>
      <c r="E1997" s="311"/>
      <c r="F1997" s="310"/>
      <c r="G1997" s="311"/>
      <c r="H1997" s="311"/>
      <c r="I1997" s="310"/>
    </row>
    <row r="1998">
      <c r="A1998" s="307"/>
      <c r="B1998" s="309"/>
      <c r="C1998" s="477"/>
      <c r="D1998" s="477"/>
      <c r="E1998" s="478"/>
      <c r="F1998" s="477"/>
      <c r="G1998" s="478"/>
      <c r="H1998" s="478"/>
      <c r="I1998" s="477"/>
    </row>
    <row r="1999">
      <c r="A1999" s="250"/>
      <c r="B1999" s="309"/>
      <c r="C1999" s="310"/>
      <c r="D1999" s="310"/>
      <c r="E1999" s="311"/>
      <c r="F1999" s="310"/>
      <c r="G1999" s="311"/>
      <c r="H1999" s="311"/>
      <c r="I1999" s="310"/>
    </row>
    <row r="2000">
      <c r="A2000" s="307"/>
      <c r="B2000" s="309"/>
      <c r="C2000" s="477"/>
      <c r="D2000" s="477"/>
      <c r="E2000" s="478"/>
      <c r="F2000" s="477"/>
      <c r="G2000" s="478"/>
      <c r="H2000" s="478"/>
      <c r="I2000" s="477"/>
    </row>
    <row r="2001">
      <c r="A2001" s="250"/>
      <c r="B2001" s="309"/>
      <c r="C2001" s="310"/>
      <c r="D2001" s="310"/>
      <c r="E2001" s="311"/>
      <c r="F2001" s="310"/>
      <c r="G2001" s="311"/>
      <c r="H2001" s="311"/>
      <c r="I2001" s="310"/>
    </row>
    <row r="2002">
      <c r="A2002" s="307"/>
      <c r="B2002" s="309"/>
      <c r="C2002" s="477"/>
      <c r="D2002" s="477"/>
      <c r="E2002" s="478"/>
      <c r="F2002" s="477"/>
      <c r="G2002" s="478"/>
      <c r="H2002" s="478"/>
      <c r="I2002" s="477"/>
    </row>
    <row r="2003">
      <c r="A2003" s="250"/>
      <c r="B2003" s="309"/>
      <c r="C2003" s="310"/>
      <c r="D2003" s="310"/>
      <c r="E2003" s="311"/>
      <c r="F2003" s="310"/>
      <c r="G2003" s="311"/>
      <c r="H2003" s="311"/>
      <c r="I2003" s="310"/>
    </row>
    <row r="2004">
      <c r="A2004" s="307"/>
      <c r="B2004" s="309"/>
      <c r="C2004" s="477"/>
      <c r="D2004" s="477"/>
      <c r="E2004" s="478"/>
      <c r="F2004" s="477"/>
      <c r="G2004" s="478"/>
      <c r="H2004" s="478"/>
      <c r="I2004" s="477"/>
    </row>
    <row r="2005">
      <c r="A2005" s="250"/>
      <c r="B2005" s="309"/>
      <c r="C2005" s="310"/>
      <c r="D2005" s="310"/>
      <c r="E2005" s="311"/>
      <c r="F2005" s="310"/>
      <c r="G2005" s="311"/>
      <c r="H2005" s="311"/>
      <c r="I2005" s="310"/>
    </row>
    <row r="2006">
      <c r="A2006" s="307"/>
      <c r="B2006" s="309"/>
      <c r="C2006" s="477"/>
      <c r="D2006" s="477"/>
      <c r="E2006" s="478"/>
      <c r="F2006" s="477"/>
      <c r="G2006" s="478"/>
      <c r="H2006" s="478"/>
      <c r="I2006" s="477"/>
    </row>
    <row r="2007">
      <c r="A2007" s="250"/>
      <c r="B2007" s="309"/>
      <c r="C2007" s="310"/>
      <c r="D2007" s="310"/>
      <c r="E2007" s="311"/>
      <c r="F2007" s="310"/>
      <c r="G2007" s="311"/>
      <c r="H2007" s="311"/>
      <c r="I2007" s="310"/>
    </row>
    <row r="2008">
      <c r="A2008" s="307"/>
      <c r="B2008" s="309"/>
      <c r="C2008" s="477"/>
      <c r="D2008" s="477"/>
      <c r="E2008" s="478"/>
      <c r="F2008" s="477"/>
      <c r="G2008" s="478"/>
      <c r="H2008" s="478"/>
      <c r="I2008" s="477"/>
    </row>
    <row r="2009">
      <c r="A2009" s="250"/>
      <c r="B2009" s="309"/>
      <c r="C2009" s="310"/>
      <c r="D2009" s="310"/>
      <c r="E2009" s="311"/>
      <c r="F2009" s="310"/>
      <c r="G2009" s="311"/>
      <c r="H2009" s="311"/>
      <c r="I2009" s="310"/>
    </row>
    <row r="2010">
      <c r="A2010" s="307"/>
      <c r="B2010" s="309"/>
      <c r="C2010" s="477"/>
      <c r="D2010" s="477"/>
      <c r="E2010" s="478"/>
      <c r="F2010" s="477"/>
      <c r="G2010" s="478"/>
      <c r="H2010" s="478"/>
      <c r="I2010" s="477"/>
    </row>
    <row r="2011">
      <c r="A2011" s="250"/>
      <c r="B2011" s="309"/>
      <c r="C2011" s="310"/>
      <c r="D2011" s="310"/>
      <c r="E2011" s="311"/>
      <c r="F2011" s="310"/>
      <c r="G2011" s="311"/>
      <c r="H2011" s="311"/>
      <c r="I2011" s="310"/>
    </row>
    <row r="2012">
      <c r="A2012" s="307"/>
      <c r="B2012" s="309"/>
      <c r="C2012" s="477"/>
      <c r="D2012" s="477"/>
      <c r="E2012" s="478"/>
      <c r="F2012" s="477"/>
      <c r="G2012" s="478"/>
      <c r="H2012" s="478"/>
      <c r="I2012" s="477"/>
    </row>
    <row r="2013">
      <c r="A2013" s="250"/>
      <c r="B2013" s="309"/>
      <c r="C2013" s="310"/>
      <c r="D2013" s="310"/>
      <c r="E2013" s="311"/>
      <c r="F2013" s="310"/>
      <c r="G2013" s="311"/>
      <c r="H2013" s="311"/>
      <c r="I2013" s="310"/>
    </row>
    <row r="2014">
      <c r="A2014" s="307"/>
      <c r="B2014" s="309"/>
      <c r="C2014" s="477"/>
      <c r="D2014" s="477"/>
      <c r="E2014" s="478"/>
      <c r="F2014" s="477"/>
      <c r="G2014" s="478"/>
      <c r="H2014" s="478"/>
      <c r="I2014" s="477"/>
    </row>
    <row r="2015">
      <c r="A2015" s="250"/>
      <c r="B2015" s="309"/>
      <c r="C2015" s="310"/>
      <c r="D2015" s="310"/>
      <c r="E2015" s="311"/>
      <c r="F2015" s="310"/>
      <c r="G2015" s="311"/>
      <c r="H2015" s="311"/>
      <c r="I2015" s="310"/>
    </row>
    <row r="2016">
      <c r="A2016" s="307"/>
      <c r="B2016" s="309"/>
      <c r="C2016" s="477"/>
      <c r="D2016" s="477"/>
      <c r="E2016" s="478"/>
      <c r="F2016" s="477"/>
      <c r="G2016" s="478"/>
      <c r="H2016" s="478"/>
      <c r="I2016" s="477"/>
    </row>
    <row r="2017">
      <c r="A2017" s="250"/>
      <c r="B2017" s="309"/>
      <c r="C2017" s="310"/>
      <c r="D2017" s="310"/>
      <c r="E2017" s="311"/>
      <c r="F2017" s="310"/>
      <c r="G2017" s="311"/>
      <c r="H2017" s="311"/>
      <c r="I2017" s="310"/>
    </row>
    <row r="2018">
      <c r="A2018" s="307"/>
      <c r="B2018" s="309"/>
      <c r="C2018" s="477"/>
      <c r="D2018" s="477"/>
      <c r="E2018" s="478"/>
      <c r="F2018" s="477"/>
      <c r="G2018" s="478"/>
      <c r="H2018" s="478"/>
      <c r="I2018" s="477"/>
    </row>
    <row r="2019">
      <c r="A2019" s="250"/>
      <c r="B2019" s="309"/>
      <c r="C2019" s="310"/>
      <c r="D2019" s="310"/>
      <c r="E2019" s="311"/>
      <c r="F2019" s="310"/>
      <c r="G2019" s="311"/>
      <c r="H2019" s="311"/>
      <c r="I2019" s="310"/>
    </row>
    <row r="2020">
      <c r="A2020" s="307"/>
      <c r="B2020" s="309"/>
      <c r="C2020" s="477"/>
      <c r="D2020" s="477"/>
      <c r="E2020" s="478"/>
      <c r="F2020" s="477"/>
      <c r="G2020" s="478"/>
      <c r="H2020" s="478"/>
      <c r="I2020" s="477"/>
    </row>
    <row r="2021">
      <c r="A2021" s="250"/>
      <c r="B2021" s="309"/>
      <c r="C2021" s="310"/>
      <c r="D2021" s="310"/>
      <c r="E2021" s="311"/>
      <c r="F2021" s="310"/>
      <c r="G2021" s="311"/>
      <c r="H2021" s="311"/>
      <c r="I2021" s="310"/>
    </row>
    <row r="2022">
      <c r="A2022" s="307"/>
      <c r="B2022" s="309"/>
      <c r="C2022" s="477"/>
      <c r="D2022" s="477"/>
      <c r="E2022" s="478"/>
      <c r="F2022" s="477"/>
      <c r="G2022" s="478"/>
      <c r="H2022" s="478"/>
      <c r="I2022" s="477"/>
    </row>
    <row r="2023">
      <c r="A2023" s="250"/>
      <c r="B2023" s="309"/>
      <c r="C2023" s="310"/>
      <c r="D2023" s="310"/>
      <c r="E2023" s="311"/>
      <c r="F2023" s="310"/>
      <c r="G2023" s="311"/>
      <c r="H2023" s="311"/>
      <c r="I2023" s="310"/>
    </row>
    <row r="2024">
      <c r="A2024" s="307"/>
      <c r="B2024" s="309"/>
      <c r="C2024" s="477"/>
      <c r="D2024" s="477"/>
      <c r="E2024" s="478"/>
      <c r="F2024" s="477"/>
      <c r="G2024" s="478"/>
      <c r="H2024" s="478"/>
      <c r="I2024" s="477"/>
    </row>
    <row r="2025">
      <c r="A2025" s="250"/>
      <c r="B2025" s="309"/>
      <c r="C2025" s="310"/>
      <c r="D2025" s="310"/>
      <c r="E2025" s="311"/>
      <c r="F2025" s="310"/>
      <c r="G2025" s="311"/>
      <c r="H2025" s="311"/>
      <c r="I2025" s="310"/>
    </row>
    <row r="2026">
      <c r="A2026" s="307"/>
      <c r="B2026" s="309"/>
      <c r="C2026" s="477"/>
      <c r="D2026" s="477"/>
      <c r="E2026" s="478"/>
      <c r="F2026" s="477"/>
      <c r="G2026" s="478"/>
      <c r="H2026" s="478"/>
      <c r="I2026" s="477"/>
    </row>
    <row r="2027">
      <c r="A2027" s="250"/>
      <c r="B2027" s="309"/>
      <c r="C2027" s="310"/>
      <c r="D2027" s="310"/>
      <c r="E2027" s="311"/>
      <c r="F2027" s="310"/>
      <c r="G2027" s="311"/>
      <c r="H2027" s="311"/>
      <c r="I2027" s="310"/>
    </row>
    <row r="2028">
      <c r="A2028" s="307"/>
      <c r="B2028" s="309"/>
      <c r="C2028" s="477"/>
      <c r="D2028" s="477"/>
      <c r="E2028" s="478"/>
      <c r="F2028" s="477"/>
      <c r="G2028" s="478"/>
      <c r="H2028" s="478"/>
      <c r="I2028" s="477"/>
    </row>
    <row r="2029">
      <c r="A2029" s="250"/>
      <c r="B2029" s="309"/>
      <c r="C2029" s="310"/>
      <c r="D2029" s="310"/>
      <c r="E2029" s="311"/>
      <c r="F2029" s="310"/>
      <c r="G2029" s="311"/>
      <c r="H2029" s="311"/>
      <c r="I2029" s="310"/>
    </row>
    <row r="2030">
      <c r="A2030" s="307"/>
      <c r="B2030" s="309"/>
      <c r="C2030" s="477"/>
      <c r="D2030" s="477"/>
      <c r="E2030" s="478"/>
      <c r="F2030" s="477"/>
      <c r="G2030" s="478"/>
      <c r="H2030" s="478"/>
      <c r="I2030" s="477"/>
    </row>
    <row r="2031">
      <c r="A2031" s="250"/>
      <c r="B2031" s="309"/>
      <c r="C2031" s="310"/>
      <c r="D2031" s="310"/>
      <c r="E2031" s="311"/>
      <c r="F2031" s="310"/>
      <c r="G2031" s="311"/>
      <c r="H2031" s="311"/>
      <c r="I2031" s="310"/>
    </row>
    <row r="2032">
      <c r="A2032" s="307"/>
      <c r="B2032" s="309"/>
      <c r="C2032" s="477"/>
      <c r="D2032" s="477"/>
      <c r="E2032" s="478"/>
      <c r="F2032" s="477"/>
      <c r="G2032" s="478"/>
      <c r="H2032" s="478"/>
      <c r="I2032" s="477"/>
    </row>
    <row r="2033">
      <c r="A2033" s="250"/>
      <c r="B2033" s="309"/>
      <c r="C2033" s="310"/>
      <c r="D2033" s="310"/>
      <c r="E2033" s="311"/>
      <c r="F2033" s="310"/>
      <c r="G2033" s="311"/>
      <c r="H2033" s="311"/>
      <c r="I2033" s="310"/>
    </row>
    <row r="2034">
      <c r="A2034" s="307"/>
      <c r="B2034" s="309"/>
      <c r="C2034" s="477"/>
      <c r="D2034" s="477"/>
      <c r="E2034" s="478"/>
      <c r="F2034" s="477"/>
      <c r="G2034" s="478"/>
      <c r="H2034" s="478"/>
      <c r="I2034" s="477"/>
    </row>
    <row r="2035">
      <c r="A2035" s="250"/>
      <c r="B2035" s="309"/>
      <c r="C2035" s="310"/>
      <c r="D2035" s="310"/>
      <c r="E2035" s="311"/>
      <c r="F2035" s="310"/>
      <c r="G2035" s="311"/>
      <c r="H2035" s="311"/>
      <c r="I2035" s="310"/>
    </row>
    <row r="2036">
      <c r="A2036" s="307"/>
      <c r="B2036" s="309"/>
      <c r="C2036" s="477"/>
      <c r="D2036" s="477"/>
      <c r="E2036" s="478"/>
      <c r="F2036" s="477"/>
      <c r="G2036" s="478"/>
      <c r="H2036" s="478"/>
      <c r="I2036" s="477"/>
    </row>
    <row r="2037">
      <c r="A2037" s="250"/>
      <c r="B2037" s="309"/>
      <c r="C2037" s="310"/>
      <c r="D2037" s="310"/>
      <c r="E2037" s="311"/>
      <c r="F2037" s="310"/>
      <c r="G2037" s="311"/>
      <c r="H2037" s="311"/>
      <c r="I2037" s="310"/>
    </row>
    <row r="2038">
      <c r="A2038" s="307"/>
      <c r="B2038" s="309"/>
      <c r="C2038" s="477"/>
      <c r="D2038" s="477"/>
      <c r="E2038" s="478"/>
      <c r="F2038" s="477"/>
      <c r="G2038" s="478"/>
      <c r="H2038" s="478"/>
      <c r="I2038" s="477"/>
    </row>
    <row r="2039">
      <c r="A2039" s="250"/>
      <c r="B2039" s="309"/>
      <c r="C2039" s="310"/>
      <c r="D2039" s="310"/>
      <c r="E2039" s="311"/>
      <c r="F2039" s="310"/>
      <c r="G2039" s="311"/>
      <c r="H2039" s="311"/>
      <c r="I2039" s="310"/>
    </row>
    <row r="2040">
      <c r="A2040" s="307"/>
      <c r="B2040" s="309"/>
      <c r="C2040" s="477"/>
      <c r="D2040" s="477"/>
      <c r="E2040" s="478"/>
      <c r="F2040" s="477"/>
      <c r="G2040" s="478"/>
      <c r="H2040" s="478"/>
      <c r="I2040" s="477"/>
    </row>
  </sheetData>
  <mergeCells count="434">
    <mergeCell ref="F348:F349"/>
    <mergeCell ref="G348:G349"/>
    <mergeCell ref="A371:A372"/>
    <mergeCell ref="B371:B372"/>
    <mergeCell ref="A382:L382"/>
    <mergeCell ref="A384:A385"/>
    <mergeCell ref="B384:B385"/>
    <mergeCell ref="L384:L385"/>
    <mergeCell ref="C384:C385"/>
    <mergeCell ref="K384:K385"/>
    <mergeCell ref="A396:A397"/>
    <mergeCell ref="B396:B397"/>
    <mergeCell ref="C396:C397"/>
    <mergeCell ref="D396:D397"/>
    <mergeCell ref="E396:E397"/>
    <mergeCell ref="H396:H397"/>
    <mergeCell ref="A156:A157"/>
    <mergeCell ref="A178:A179"/>
    <mergeCell ref="B178:B179"/>
    <mergeCell ref="A189:L189"/>
    <mergeCell ref="A190:L190"/>
    <mergeCell ref="A192:A193"/>
    <mergeCell ref="B192:B193"/>
    <mergeCell ref="L192:L193"/>
    <mergeCell ref="C192:C193"/>
    <mergeCell ref="K192:K193"/>
    <mergeCell ref="A204:A205"/>
    <mergeCell ref="B204:B205"/>
    <mergeCell ref="C204:C205"/>
    <mergeCell ref="D204:D205"/>
    <mergeCell ref="E204:E205"/>
    <mergeCell ref="H204:H205"/>
    <mergeCell ref="F204:F205"/>
    <mergeCell ref="G204:G205"/>
    <mergeCell ref="A227:A228"/>
    <mergeCell ref="B227:B228"/>
    <mergeCell ref="A238:L238"/>
    <mergeCell ref="A240:A241"/>
    <mergeCell ref="B240:B241"/>
    <mergeCell ref="L240:L241"/>
    <mergeCell ref="C240:C241"/>
    <mergeCell ref="K240:K241"/>
    <mergeCell ref="A252:A253"/>
    <mergeCell ref="B252:B253"/>
    <mergeCell ref="C252:C253"/>
    <mergeCell ref="D252:D253"/>
    <mergeCell ref="E252:E253"/>
    <mergeCell ref="H252:H253"/>
    <mergeCell ref="F252:F253"/>
    <mergeCell ref="G252:G253"/>
    <mergeCell ref="A275:A276"/>
    <mergeCell ref="B275:B276"/>
    <mergeCell ref="A286:L286"/>
    <mergeCell ref="A288:A289"/>
    <mergeCell ref="B288:B289"/>
    <mergeCell ref="L288:L289"/>
    <mergeCell ref="C288:C289"/>
    <mergeCell ref="K288:K289"/>
    <mergeCell ref="A300:A301"/>
    <mergeCell ref="B300:B301"/>
    <mergeCell ref="C300:C301"/>
    <mergeCell ref="D300:D301"/>
    <mergeCell ref="E300:E301"/>
    <mergeCell ref="H300:H301"/>
    <mergeCell ref="A468:A469"/>
    <mergeCell ref="B468:B469"/>
    <mergeCell ref="A479:L479"/>
    <mergeCell ref="B481:B482"/>
    <mergeCell ref="C481:C482"/>
    <mergeCell ref="K481:K482"/>
    <mergeCell ref="L481:L482"/>
    <mergeCell ref="A60:A61"/>
    <mergeCell ref="A83:A84"/>
    <mergeCell ref="B83:B84"/>
    <mergeCell ref="A95:L95"/>
    <mergeCell ref="A97:A98"/>
    <mergeCell ref="B97:B98"/>
    <mergeCell ref="C97:C98"/>
    <mergeCell ref="B109:B110"/>
    <mergeCell ref="C109:C110"/>
    <mergeCell ref="D109:D110"/>
    <mergeCell ref="E109:E110"/>
    <mergeCell ref="F109:F110"/>
    <mergeCell ref="G109:G110"/>
    <mergeCell ref="H109:H110"/>
    <mergeCell ref="K145:K146"/>
    <mergeCell ref="L145:L146"/>
    <mergeCell ref="A109:A110"/>
    <mergeCell ref="A132:A133"/>
    <mergeCell ref="B132:B133"/>
    <mergeCell ref="A143:L143"/>
    <mergeCell ref="A145:A146"/>
    <mergeCell ref="B145:B146"/>
    <mergeCell ref="C145:C146"/>
    <mergeCell ref="A1:L1"/>
    <mergeCell ref="A2:L2"/>
    <mergeCell ref="A4:A5"/>
    <mergeCell ref="B4:B5"/>
    <mergeCell ref="C4:C5"/>
    <mergeCell ref="K4:K5"/>
    <mergeCell ref="L4:L5"/>
    <mergeCell ref="B15:B16"/>
    <mergeCell ref="C15:C16"/>
    <mergeCell ref="D15:D16"/>
    <mergeCell ref="E15:E16"/>
    <mergeCell ref="F15:F16"/>
    <mergeCell ref="G15:G16"/>
    <mergeCell ref="H15:H16"/>
    <mergeCell ref="K48:K49"/>
    <mergeCell ref="L48:L49"/>
    <mergeCell ref="A15:A16"/>
    <mergeCell ref="A37:A38"/>
    <mergeCell ref="B37:B38"/>
    <mergeCell ref="A46:L46"/>
    <mergeCell ref="A48:A49"/>
    <mergeCell ref="B48:B49"/>
    <mergeCell ref="C48:C49"/>
    <mergeCell ref="B60:B61"/>
    <mergeCell ref="C60:C61"/>
    <mergeCell ref="D60:D61"/>
    <mergeCell ref="E60:E61"/>
    <mergeCell ref="F60:F61"/>
    <mergeCell ref="G60:G61"/>
    <mergeCell ref="H60:H61"/>
    <mergeCell ref="K97:K98"/>
    <mergeCell ref="L97:L98"/>
    <mergeCell ref="B156:B157"/>
    <mergeCell ref="C156:C157"/>
    <mergeCell ref="D156:D157"/>
    <mergeCell ref="E156:E157"/>
    <mergeCell ref="F156:F157"/>
    <mergeCell ref="G156:G157"/>
    <mergeCell ref="H156:H157"/>
    <mergeCell ref="F300:F301"/>
    <mergeCell ref="G300:G301"/>
    <mergeCell ref="A323:A324"/>
    <mergeCell ref="B323:B324"/>
    <mergeCell ref="A334:L334"/>
    <mergeCell ref="A336:A337"/>
    <mergeCell ref="B336:B337"/>
    <mergeCell ref="L336:L337"/>
    <mergeCell ref="C336:C337"/>
    <mergeCell ref="K336:K337"/>
    <mergeCell ref="A348:A349"/>
    <mergeCell ref="B348:B349"/>
    <mergeCell ref="C348:C349"/>
    <mergeCell ref="D348:D349"/>
    <mergeCell ref="E348:E349"/>
    <mergeCell ref="H348:H349"/>
    <mergeCell ref="K433:K434"/>
    <mergeCell ref="L433:L434"/>
    <mergeCell ref="F396:F397"/>
    <mergeCell ref="G396:G397"/>
    <mergeCell ref="A419:A420"/>
    <mergeCell ref="B419:B420"/>
    <mergeCell ref="A430:L430"/>
    <mergeCell ref="A431:L431"/>
    <mergeCell ref="A433:A434"/>
    <mergeCell ref="F445:F446"/>
    <mergeCell ref="G445:G446"/>
    <mergeCell ref="H445:H446"/>
    <mergeCell ref="B433:B434"/>
    <mergeCell ref="C433:C434"/>
    <mergeCell ref="A445:A446"/>
    <mergeCell ref="B445:B446"/>
    <mergeCell ref="C445:C446"/>
    <mergeCell ref="D445:D446"/>
    <mergeCell ref="E445:E446"/>
    <mergeCell ref="G589:G590"/>
    <mergeCell ref="H589:H590"/>
    <mergeCell ref="A577:A578"/>
    <mergeCell ref="A589:A590"/>
    <mergeCell ref="B589:B590"/>
    <mergeCell ref="C589:C590"/>
    <mergeCell ref="D589:D590"/>
    <mergeCell ref="E589:E590"/>
    <mergeCell ref="F589:F590"/>
    <mergeCell ref="B1018:B1019"/>
    <mergeCell ref="C1018:C1019"/>
    <mergeCell ref="D1018:D1019"/>
    <mergeCell ref="E1018:E1019"/>
    <mergeCell ref="F1018:F1019"/>
    <mergeCell ref="G1018:G1019"/>
    <mergeCell ref="H1018:H1019"/>
    <mergeCell ref="A1018:A1019"/>
    <mergeCell ref="A1041:A1042"/>
    <mergeCell ref="B1041:B1042"/>
    <mergeCell ref="A1051:L1051"/>
    <mergeCell ref="A1053:A1054"/>
    <mergeCell ref="B1053:B1054"/>
    <mergeCell ref="C1053:C1054"/>
    <mergeCell ref="K1053:K1054"/>
    <mergeCell ref="L1053:L1054"/>
    <mergeCell ref="A1065:A1066"/>
    <mergeCell ref="B1065:B1066"/>
    <mergeCell ref="C1065:C1066"/>
    <mergeCell ref="D1065:D1066"/>
    <mergeCell ref="E1065:E1066"/>
    <mergeCell ref="H1065:H1066"/>
    <mergeCell ref="F1065:F1066"/>
    <mergeCell ref="G1065:G1066"/>
    <mergeCell ref="A1088:A1089"/>
    <mergeCell ref="B1088:B1089"/>
    <mergeCell ref="A1098:L1098"/>
    <mergeCell ref="A1100:A1101"/>
    <mergeCell ref="B1100:B1101"/>
    <mergeCell ref="L1100:L1101"/>
    <mergeCell ref="F1112:F1113"/>
    <mergeCell ref="G1112:G1113"/>
    <mergeCell ref="A1135:A1136"/>
    <mergeCell ref="B1135:B1136"/>
    <mergeCell ref="A1145:L1145"/>
    <mergeCell ref="A1147:A1148"/>
    <mergeCell ref="B1147:B1148"/>
    <mergeCell ref="L1147:L1148"/>
    <mergeCell ref="C1147:C1148"/>
    <mergeCell ref="K1147:K1148"/>
    <mergeCell ref="A1159:A1160"/>
    <mergeCell ref="B1159:B1160"/>
    <mergeCell ref="C1159:C1160"/>
    <mergeCell ref="D1159:D1160"/>
    <mergeCell ref="E1159:E1160"/>
    <mergeCell ref="H1159:H1160"/>
    <mergeCell ref="F1159:F1160"/>
    <mergeCell ref="G1159:G1160"/>
    <mergeCell ref="A1182:A1183"/>
    <mergeCell ref="B1182:B1183"/>
    <mergeCell ref="A1192:L1192"/>
    <mergeCell ref="A1194:A1195"/>
    <mergeCell ref="B1194:B1195"/>
    <mergeCell ref="L1194:L1195"/>
    <mergeCell ref="F1206:F1207"/>
    <mergeCell ref="G1206:G1207"/>
    <mergeCell ref="C1194:C1195"/>
    <mergeCell ref="K1194:K1195"/>
    <mergeCell ref="A1206:A1207"/>
    <mergeCell ref="B1206:B1207"/>
    <mergeCell ref="C1206:C1207"/>
    <mergeCell ref="D1206:D1207"/>
    <mergeCell ref="E1206:E1207"/>
    <mergeCell ref="A1242:A1243"/>
    <mergeCell ref="B1242:B1243"/>
    <mergeCell ref="C1242:C1243"/>
    <mergeCell ref="D1242:D1243"/>
    <mergeCell ref="E1242:E1243"/>
    <mergeCell ref="F1242:F1243"/>
    <mergeCell ref="G1242:G1243"/>
    <mergeCell ref="H1242:H1243"/>
    <mergeCell ref="H1206:H1207"/>
    <mergeCell ref="A1228:L1228"/>
    <mergeCell ref="A1230:A1231"/>
    <mergeCell ref="B1230:B1231"/>
    <mergeCell ref="C1230:C1231"/>
    <mergeCell ref="K1230:K1231"/>
    <mergeCell ref="L1230:L1231"/>
    <mergeCell ref="G876:G877"/>
    <mergeCell ref="H876:H877"/>
    <mergeCell ref="A864:A865"/>
    <mergeCell ref="A876:A877"/>
    <mergeCell ref="B876:B877"/>
    <mergeCell ref="C876:C877"/>
    <mergeCell ref="D876:D877"/>
    <mergeCell ref="E876:E877"/>
    <mergeCell ref="F876:F877"/>
    <mergeCell ref="A899:A900"/>
    <mergeCell ref="B899:B900"/>
    <mergeCell ref="A909:L909"/>
    <mergeCell ref="B911:B912"/>
    <mergeCell ref="C911:C912"/>
    <mergeCell ref="K911:K912"/>
    <mergeCell ref="L911:L912"/>
    <mergeCell ref="G923:G924"/>
    <mergeCell ref="H923:H924"/>
    <mergeCell ref="A911:A912"/>
    <mergeCell ref="A923:A924"/>
    <mergeCell ref="B923:B924"/>
    <mergeCell ref="C923:C924"/>
    <mergeCell ref="D923:D924"/>
    <mergeCell ref="E923:E924"/>
    <mergeCell ref="F923:F924"/>
    <mergeCell ref="A946:A947"/>
    <mergeCell ref="B946:B947"/>
    <mergeCell ref="A956:L956"/>
    <mergeCell ref="B958:B959"/>
    <mergeCell ref="C958:C959"/>
    <mergeCell ref="K958:K959"/>
    <mergeCell ref="L958:L959"/>
    <mergeCell ref="C1100:C1101"/>
    <mergeCell ref="K1100:K1101"/>
    <mergeCell ref="A1112:A1113"/>
    <mergeCell ref="B1112:B1113"/>
    <mergeCell ref="C1112:C1113"/>
    <mergeCell ref="D1112:D1113"/>
    <mergeCell ref="E1112:E1113"/>
    <mergeCell ref="H1112:H1113"/>
    <mergeCell ref="K626:K627"/>
    <mergeCell ref="L626:L627"/>
    <mergeCell ref="A612:A613"/>
    <mergeCell ref="B612:B613"/>
    <mergeCell ref="A623:L623"/>
    <mergeCell ref="A624:L624"/>
    <mergeCell ref="A626:A627"/>
    <mergeCell ref="B626:B627"/>
    <mergeCell ref="C626:C627"/>
    <mergeCell ref="B638:B639"/>
    <mergeCell ref="C638:C639"/>
    <mergeCell ref="D638:D639"/>
    <mergeCell ref="E638:E639"/>
    <mergeCell ref="F638:F639"/>
    <mergeCell ref="G638:G639"/>
    <mergeCell ref="H638:H639"/>
    <mergeCell ref="A638:A639"/>
    <mergeCell ref="A661:A662"/>
    <mergeCell ref="B661:B662"/>
    <mergeCell ref="A672:L672"/>
    <mergeCell ref="A674:A675"/>
    <mergeCell ref="B674:B675"/>
    <mergeCell ref="C674:C675"/>
    <mergeCell ref="K674:K675"/>
    <mergeCell ref="L674:L675"/>
    <mergeCell ref="A686:A687"/>
    <mergeCell ref="B686:B687"/>
    <mergeCell ref="C686:C687"/>
    <mergeCell ref="D686:D687"/>
    <mergeCell ref="E686:E687"/>
    <mergeCell ref="H686:H687"/>
    <mergeCell ref="F686:F687"/>
    <mergeCell ref="G686:G687"/>
    <mergeCell ref="A709:A710"/>
    <mergeCell ref="B709:B710"/>
    <mergeCell ref="A720:L720"/>
    <mergeCell ref="A722:A723"/>
    <mergeCell ref="B722:B723"/>
    <mergeCell ref="L722:L723"/>
    <mergeCell ref="G493:G494"/>
    <mergeCell ref="H493:H494"/>
    <mergeCell ref="A481:A482"/>
    <mergeCell ref="A493:A494"/>
    <mergeCell ref="B493:B494"/>
    <mergeCell ref="C493:C494"/>
    <mergeCell ref="D493:D494"/>
    <mergeCell ref="E493:E494"/>
    <mergeCell ref="F493:F494"/>
    <mergeCell ref="A516:A517"/>
    <mergeCell ref="B516:B517"/>
    <mergeCell ref="A527:L527"/>
    <mergeCell ref="B529:B530"/>
    <mergeCell ref="C529:C530"/>
    <mergeCell ref="K529:K530"/>
    <mergeCell ref="L529:L530"/>
    <mergeCell ref="G541:G542"/>
    <mergeCell ref="H541:H542"/>
    <mergeCell ref="A529:A530"/>
    <mergeCell ref="A541:A542"/>
    <mergeCell ref="B541:B542"/>
    <mergeCell ref="C541:C542"/>
    <mergeCell ref="D541:D542"/>
    <mergeCell ref="E541:E542"/>
    <mergeCell ref="F541:F542"/>
    <mergeCell ref="A564:A565"/>
    <mergeCell ref="B564:B565"/>
    <mergeCell ref="A575:L575"/>
    <mergeCell ref="B577:B578"/>
    <mergeCell ref="C577:C578"/>
    <mergeCell ref="K577:K578"/>
    <mergeCell ref="L577:L578"/>
    <mergeCell ref="C722:C723"/>
    <mergeCell ref="K722:K723"/>
    <mergeCell ref="A734:A735"/>
    <mergeCell ref="B734:B735"/>
    <mergeCell ref="C734:C735"/>
    <mergeCell ref="D734:D735"/>
    <mergeCell ref="E734:E735"/>
    <mergeCell ref="H734:H735"/>
    <mergeCell ref="F734:F735"/>
    <mergeCell ref="G734:G735"/>
    <mergeCell ref="A757:A758"/>
    <mergeCell ref="B757:B758"/>
    <mergeCell ref="A767:L767"/>
    <mergeCell ref="A769:A770"/>
    <mergeCell ref="B769:B770"/>
    <mergeCell ref="L769:L770"/>
    <mergeCell ref="C769:C770"/>
    <mergeCell ref="K769:K770"/>
    <mergeCell ref="A781:A782"/>
    <mergeCell ref="B781:B782"/>
    <mergeCell ref="C781:C782"/>
    <mergeCell ref="D781:D782"/>
    <mergeCell ref="E781:E782"/>
    <mergeCell ref="H781:H782"/>
    <mergeCell ref="K817:K818"/>
    <mergeCell ref="L817:L818"/>
    <mergeCell ref="F781:F782"/>
    <mergeCell ref="G781:G782"/>
    <mergeCell ref="A804:A805"/>
    <mergeCell ref="B804:B805"/>
    <mergeCell ref="A814:L814"/>
    <mergeCell ref="A815:L815"/>
    <mergeCell ref="A817:A818"/>
    <mergeCell ref="F829:F830"/>
    <mergeCell ref="G829:G830"/>
    <mergeCell ref="H829:H830"/>
    <mergeCell ref="B817:B818"/>
    <mergeCell ref="C817:C818"/>
    <mergeCell ref="A829:A830"/>
    <mergeCell ref="B829:B830"/>
    <mergeCell ref="C829:C830"/>
    <mergeCell ref="D829:D830"/>
    <mergeCell ref="E829:E830"/>
    <mergeCell ref="A852:A853"/>
    <mergeCell ref="B852:B853"/>
    <mergeCell ref="A862:L862"/>
    <mergeCell ref="B864:B865"/>
    <mergeCell ref="C864:C865"/>
    <mergeCell ref="K864:K865"/>
    <mergeCell ref="L864:L865"/>
    <mergeCell ref="G970:G971"/>
    <mergeCell ref="H970:H971"/>
    <mergeCell ref="A958:A959"/>
    <mergeCell ref="A970:A971"/>
    <mergeCell ref="B970:B971"/>
    <mergeCell ref="C970:C971"/>
    <mergeCell ref="D970:D971"/>
    <mergeCell ref="E970:E971"/>
    <mergeCell ref="F970:F971"/>
    <mergeCell ref="K1006:K1007"/>
    <mergeCell ref="L1006:L1007"/>
    <mergeCell ref="A993:A994"/>
    <mergeCell ref="B993:B994"/>
    <mergeCell ref="A1003:L1003"/>
    <mergeCell ref="A1004:L1004"/>
    <mergeCell ref="A1006:A1007"/>
    <mergeCell ref="B1006:B1007"/>
    <mergeCell ref="C1006:C1007"/>
  </mergeCells>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11" priority="1" operator="equal">
      <formula>"OFF"</formula>
    </cfRule>
  </conditionalFormatting>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9" priority="2" operator="equal">
      <formula>"A"</formula>
    </cfRule>
  </conditionalFormatting>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12" priority="3" operator="equal">
      <formula>"LWOP"</formula>
    </cfRule>
  </conditionalFormatting>
  <drawing r:id="rId2"/>
  <legacyDrawing r:id="rId3"/>
  <tableParts count="43">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31.13"/>
  </cols>
  <sheetData>
    <row r="1">
      <c r="A1" s="5"/>
      <c r="B1" s="6" t="s">
        <v>8</v>
      </c>
    </row>
    <row r="2" outlineLevel="1">
      <c r="B2" s="6" t="s">
        <v>9</v>
      </c>
    </row>
    <row r="3" outlineLevel="1">
      <c r="A3" s="7" t="s">
        <v>10</v>
      </c>
      <c r="B3" s="7" t="s">
        <v>11</v>
      </c>
      <c r="C3" s="7" t="s">
        <v>12</v>
      </c>
      <c r="D3" s="8">
        <v>46237.0</v>
      </c>
      <c r="E3" s="8">
        <v>46238.0</v>
      </c>
      <c r="F3" s="8">
        <v>46239.0</v>
      </c>
      <c r="G3" s="8">
        <v>46240.0</v>
      </c>
      <c r="H3" s="8">
        <v>46241.0</v>
      </c>
      <c r="I3" s="8">
        <v>46242.0</v>
      </c>
      <c r="J3" s="9">
        <v>46243.0</v>
      </c>
      <c r="K3" s="10" t="s">
        <v>13</v>
      </c>
      <c r="L3" s="10" t="s">
        <v>14</v>
      </c>
    </row>
    <row r="4" outlineLevel="1">
      <c r="A4" s="11"/>
      <c r="B4" s="11"/>
      <c r="C4" s="11"/>
      <c r="D4" s="12" t="str">
        <f t="shared" ref="D4:J4" si="1">text(D3,"ddd")</f>
        <v>Mon</v>
      </c>
      <c r="E4" s="12" t="str">
        <f t="shared" si="1"/>
        <v>Tue</v>
      </c>
      <c r="F4" s="12" t="str">
        <f t="shared" si="1"/>
        <v>Wed</v>
      </c>
      <c r="G4" s="12" t="str">
        <f t="shared" si="1"/>
        <v>Thu</v>
      </c>
      <c r="H4" s="12" t="str">
        <f t="shared" si="1"/>
        <v>Fri</v>
      </c>
      <c r="I4" s="12" t="str">
        <f t="shared" si="1"/>
        <v>Sat</v>
      </c>
      <c r="J4" s="12" t="str">
        <f t="shared" si="1"/>
        <v>Sun</v>
      </c>
      <c r="K4" s="11"/>
      <c r="L4" s="11"/>
    </row>
    <row r="5" outlineLevel="1">
      <c r="A5" s="16" t="s">
        <v>27</v>
      </c>
      <c r="B5" s="18">
        <f t="shared" ref="B5:B12" si="2">30*5</f>
        <v>150</v>
      </c>
      <c r="C5" s="18">
        <f t="shared" ref="C5:C12" si="3">SUM(D5:J5)</f>
        <v>152</v>
      </c>
      <c r="D5" s="28">
        <v>24.0</v>
      </c>
      <c r="E5" s="28">
        <v>31.0</v>
      </c>
      <c r="F5" s="28">
        <v>28.0</v>
      </c>
      <c r="G5" s="28">
        <v>25.0</v>
      </c>
      <c r="H5" s="28">
        <v>44.0</v>
      </c>
      <c r="I5" s="29" t="s">
        <v>51</v>
      </c>
      <c r="J5" s="29" t="s">
        <v>51</v>
      </c>
      <c r="K5" s="30">
        <f t="shared" ref="K5:K12" si="4">iferror(C5/B5,"-")</f>
        <v>1.013333333</v>
      </c>
      <c r="L5" s="43">
        <f t="shared" ref="L5:L12" si="5">(IF(K5="",(0),IF(K5&gt;=1,(5),IF(K5&gt;=0.9,(4),IF(K5&gt;=0.8,(3),IF(K5&gt;=0.69,(2),IF(K5&lt;=0.69,(1))))))))</f>
        <v>5</v>
      </c>
    </row>
    <row r="6" outlineLevel="1">
      <c r="A6" s="16" t="s">
        <v>61</v>
      </c>
      <c r="B6" s="18">
        <f t="shared" si="2"/>
        <v>150</v>
      </c>
      <c r="C6" s="18">
        <f t="shared" si="3"/>
        <v>116</v>
      </c>
      <c r="D6" s="28">
        <v>29.0</v>
      </c>
      <c r="E6" s="28">
        <v>21.0</v>
      </c>
      <c r="F6" s="28">
        <v>24.0</v>
      </c>
      <c r="G6" s="28">
        <v>14.0</v>
      </c>
      <c r="H6" s="28">
        <v>28.0</v>
      </c>
      <c r="I6" s="29" t="s">
        <v>51</v>
      </c>
      <c r="J6" s="29" t="s">
        <v>51</v>
      </c>
      <c r="K6" s="30">
        <f t="shared" si="4"/>
        <v>0.7733333333</v>
      </c>
      <c r="L6" s="43">
        <f t="shared" si="5"/>
        <v>2</v>
      </c>
    </row>
    <row r="7" outlineLevel="1">
      <c r="A7" s="16" t="s">
        <v>21</v>
      </c>
      <c r="B7" s="18">
        <f t="shared" si="2"/>
        <v>150</v>
      </c>
      <c r="C7" s="18">
        <f t="shared" si="3"/>
        <v>135</v>
      </c>
      <c r="D7" s="28">
        <v>33.0</v>
      </c>
      <c r="E7" s="28">
        <v>28.0</v>
      </c>
      <c r="F7" s="29" t="s">
        <v>51</v>
      </c>
      <c r="G7" s="28">
        <v>36.0</v>
      </c>
      <c r="H7" s="28">
        <v>38.0</v>
      </c>
      <c r="I7" s="65"/>
      <c r="J7" s="29" t="s">
        <v>51</v>
      </c>
      <c r="K7" s="30">
        <f t="shared" si="4"/>
        <v>0.9</v>
      </c>
      <c r="L7" s="43">
        <f t="shared" si="5"/>
        <v>4</v>
      </c>
    </row>
    <row r="8" outlineLevel="1">
      <c r="A8" s="16" t="s">
        <v>74</v>
      </c>
      <c r="B8" s="18">
        <f t="shared" si="2"/>
        <v>150</v>
      </c>
      <c r="C8" s="18">
        <f t="shared" si="3"/>
        <v>80</v>
      </c>
      <c r="D8" s="28">
        <v>26.0</v>
      </c>
      <c r="E8" s="28">
        <v>23.0</v>
      </c>
      <c r="F8" s="28">
        <v>18.0</v>
      </c>
      <c r="G8" s="28">
        <v>13.0</v>
      </c>
      <c r="H8" s="29" t="s">
        <v>51</v>
      </c>
      <c r="I8" s="65"/>
      <c r="J8" s="65"/>
      <c r="K8" s="30">
        <f t="shared" si="4"/>
        <v>0.5333333333</v>
      </c>
      <c r="L8" s="43">
        <f t="shared" si="5"/>
        <v>1</v>
      </c>
    </row>
    <row r="9" outlineLevel="1">
      <c r="A9" s="16" t="s">
        <v>53</v>
      </c>
      <c r="B9" s="18">
        <f t="shared" si="2"/>
        <v>150</v>
      </c>
      <c r="C9" s="18">
        <f t="shared" si="3"/>
        <v>93</v>
      </c>
      <c r="D9" s="28">
        <v>34.0</v>
      </c>
      <c r="E9" s="28">
        <v>24.0</v>
      </c>
      <c r="F9" s="28">
        <v>27.0</v>
      </c>
      <c r="G9" s="28">
        <v>8.0</v>
      </c>
      <c r="H9" s="29" t="s">
        <v>51</v>
      </c>
      <c r="I9" s="65"/>
      <c r="J9" s="65"/>
      <c r="K9" s="30">
        <f t="shared" si="4"/>
        <v>0.62</v>
      </c>
      <c r="L9" s="43">
        <f t="shared" si="5"/>
        <v>1</v>
      </c>
    </row>
    <row r="10" outlineLevel="1">
      <c r="A10" s="16" t="s">
        <v>85</v>
      </c>
      <c r="B10" s="18">
        <f t="shared" si="2"/>
        <v>150</v>
      </c>
      <c r="C10" s="18">
        <f t="shared" si="3"/>
        <v>169</v>
      </c>
      <c r="D10" s="28">
        <v>33.0</v>
      </c>
      <c r="E10" s="28">
        <v>36.0</v>
      </c>
      <c r="F10" s="28">
        <v>32.0</v>
      </c>
      <c r="G10" s="28">
        <v>41.0</v>
      </c>
      <c r="H10" s="28">
        <v>27.0</v>
      </c>
      <c r="I10" s="29" t="s">
        <v>51</v>
      </c>
      <c r="J10" s="29" t="s">
        <v>51</v>
      </c>
      <c r="K10" s="30">
        <f t="shared" si="4"/>
        <v>1.126666667</v>
      </c>
      <c r="L10" s="43">
        <f t="shared" si="5"/>
        <v>5</v>
      </c>
    </row>
    <row r="11" outlineLevel="1">
      <c r="A11" s="16" t="s">
        <v>7</v>
      </c>
      <c r="B11" s="18">
        <f t="shared" si="2"/>
        <v>150</v>
      </c>
      <c r="C11" s="18">
        <f t="shared" si="3"/>
        <v>162</v>
      </c>
      <c r="D11" s="28">
        <v>39.0</v>
      </c>
      <c r="E11" s="28">
        <v>27.0</v>
      </c>
      <c r="F11" s="28">
        <v>42.0</v>
      </c>
      <c r="G11" s="28">
        <v>28.0</v>
      </c>
      <c r="H11" s="28">
        <v>26.0</v>
      </c>
      <c r="I11" s="29" t="s">
        <v>51</v>
      </c>
      <c r="J11" s="29" t="s">
        <v>51</v>
      </c>
      <c r="K11" s="30">
        <f t="shared" si="4"/>
        <v>1.08</v>
      </c>
      <c r="L11" s="43">
        <f t="shared" si="5"/>
        <v>5</v>
      </c>
    </row>
    <row r="12" outlineLevel="1">
      <c r="A12" s="16" t="s">
        <v>72</v>
      </c>
      <c r="B12" s="18">
        <f t="shared" si="2"/>
        <v>150</v>
      </c>
      <c r="C12" s="18">
        <f t="shared" si="3"/>
        <v>87</v>
      </c>
      <c r="D12" s="28">
        <v>18.0</v>
      </c>
      <c r="E12" s="28">
        <v>14.0</v>
      </c>
      <c r="F12" s="29" t="s">
        <v>51</v>
      </c>
      <c r="G12" s="28">
        <v>26.0</v>
      </c>
      <c r="H12" s="28">
        <v>29.0</v>
      </c>
      <c r="I12" s="65"/>
      <c r="J12" s="65"/>
      <c r="K12" s="30">
        <f t="shared" si="4"/>
        <v>0.58</v>
      </c>
      <c r="L12" s="43">
        <f t="shared" si="5"/>
        <v>1</v>
      </c>
    </row>
    <row r="13" outlineLevel="1"/>
    <row r="14" outlineLevel="1">
      <c r="B14" s="6" t="s">
        <v>87</v>
      </c>
    </row>
    <row r="15" outlineLevel="1">
      <c r="A15" s="7" t="s">
        <v>10</v>
      </c>
      <c r="B15" s="7" t="s">
        <v>88</v>
      </c>
      <c r="C15" s="7" t="s">
        <v>89</v>
      </c>
      <c r="D15" s="7" t="s">
        <v>90</v>
      </c>
      <c r="E15" s="7" t="s">
        <v>91</v>
      </c>
      <c r="F15" s="7" t="s">
        <v>93</v>
      </c>
      <c r="G15" s="7" t="s">
        <v>94</v>
      </c>
      <c r="H15" s="7" t="s">
        <v>95</v>
      </c>
    </row>
    <row r="16" outlineLevel="1">
      <c r="A16" s="11"/>
      <c r="B16" s="11"/>
      <c r="C16" s="11"/>
      <c r="D16" s="11"/>
      <c r="E16" s="11"/>
      <c r="F16" s="11"/>
      <c r="G16" s="11"/>
      <c r="H16" s="11"/>
    </row>
    <row r="17" outlineLevel="1">
      <c r="A17" s="16" t="s">
        <v>27</v>
      </c>
      <c r="B17" s="98"/>
      <c r="C17" s="98"/>
      <c r="D17" s="98"/>
      <c r="E17" s="103"/>
      <c r="F17" s="104"/>
      <c r="G17" s="116">
        <f t="shared" ref="G17:G24" si="6">IFERROR((IF(E17="",(0),IF(E17&gt;=0.98,(5),IF(E17&gt;=0.95,(4.5),IF(E17&gt;=0.9,(4),IF(E17&gt;=0.8,(3),IF(E17&lt;=0.69,(1)))))))),"")</f>
        <v>0</v>
      </c>
      <c r="H17" s="116">
        <f t="shared" ref="H17:H24" si="7">ROUND(
IF(F17="",
0,
MAX(1, 5 - MAX(0, (F17 - TIME(0,4,0)) / TIME(0,1,0) * 0.5))
),
2
)
</f>
        <v>0</v>
      </c>
    </row>
    <row r="18" outlineLevel="1">
      <c r="A18" s="16" t="s">
        <v>61</v>
      </c>
      <c r="B18" s="98"/>
      <c r="C18" s="98"/>
      <c r="D18" s="98"/>
      <c r="E18" s="117"/>
      <c r="F18" s="98"/>
      <c r="G18" s="116">
        <f t="shared" si="6"/>
        <v>0</v>
      </c>
      <c r="H18" s="116">
        <f t="shared" si="7"/>
        <v>0</v>
      </c>
    </row>
    <row r="19" outlineLevel="1">
      <c r="A19" s="16" t="s">
        <v>21</v>
      </c>
      <c r="B19" s="98"/>
      <c r="C19" s="98"/>
      <c r="D19" s="98"/>
      <c r="E19" s="117"/>
      <c r="F19" s="98"/>
      <c r="G19" s="116">
        <f t="shared" si="6"/>
        <v>0</v>
      </c>
      <c r="H19" s="116">
        <f t="shared" si="7"/>
        <v>0</v>
      </c>
    </row>
    <row r="20" outlineLevel="1">
      <c r="A20" s="16" t="s">
        <v>74</v>
      </c>
      <c r="B20" s="98"/>
      <c r="C20" s="98"/>
      <c r="D20" s="98"/>
      <c r="E20" s="117"/>
      <c r="F20" s="98"/>
      <c r="G20" s="116">
        <f t="shared" si="6"/>
        <v>0</v>
      </c>
      <c r="H20" s="116">
        <f t="shared" si="7"/>
        <v>0</v>
      </c>
    </row>
    <row r="21" outlineLevel="1">
      <c r="A21" s="16" t="s">
        <v>53</v>
      </c>
      <c r="B21" s="98"/>
      <c r="C21" s="98"/>
      <c r="D21" s="98"/>
      <c r="E21" s="117"/>
      <c r="F21" s="98"/>
      <c r="G21" s="116">
        <f t="shared" si="6"/>
        <v>0</v>
      </c>
      <c r="H21" s="116">
        <f t="shared" si="7"/>
        <v>0</v>
      </c>
    </row>
    <row r="22" outlineLevel="1">
      <c r="A22" s="16" t="s">
        <v>85</v>
      </c>
      <c r="B22" s="98"/>
      <c r="C22" s="98"/>
      <c r="D22" s="98"/>
      <c r="E22" s="117"/>
      <c r="F22" s="98"/>
      <c r="G22" s="116">
        <f t="shared" si="6"/>
        <v>0</v>
      </c>
      <c r="H22" s="116">
        <f t="shared" si="7"/>
        <v>0</v>
      </c>
    </row>
    <row r="23" outlineLevel="1">
      <c r="A23" s="16" t="s">
        <v>7</v>
      </c>
      <c r="B23" s="98"/>
      <c r="C23" s="98"/>
      <c r="D23" s="98"/>
      <c r="E23" s="117"/>
      <c r="F23" s="98"/>
      <c r="G23" s="116">
        <f t="shared" si="6"/>
        <v>0</v>
      </c>
      <c r="H23" s="116">
        <f t="shared" si="7"/>
        <v>0</v>
      </c>
    </row>
    <row r="24" outlineLevel="1">
      <c r="A24" s="16" t="s">
        <v>72</v>
      </c>
      <c r="B24" s="98"/>
      <c r="C24" s="98"/>
      <c r="D24" s="98"/>
      <c r="E24" s="117"/>
      <c r="F24" s="98"/>
      <c r="G24" s="116">
        <f t="shared" si="6"/>
        <v>0</v>
      </c>
      <c r="H24" s="116">
        <f t="shared" si="7"/>
        <v>0</v>
      </c>
    </row>
    <row r="25" outlineLevel="1"/>
    <row r="26" outlineLevel="1"/>
    <row r="27" outlineLevel="1">
      <c r="B27" s="6" t="s">
        <v>121</v>
      </c>
      <c r="H27" s="5" t="s">
        <v>122</v>
      </c>
    </row>
    <row r="28" outlineLevel="1">
      <c r="A28" s="7" t="s">
        <v>10</v>
      </c>
      <c r="B28" s="7" t="s">
        <v>123</v>
      </c>
      <c r="C28" s="7" t="s">
        <v>124</v>
      </c>
      <c r="D28" s="7" t="s">
        <v>125</v>
      </c>
      <c r="E28" s="7" t="s">
        <v>126</v>
      </c>
      <c r="F28" s="7" t="s">
        <v>127</v>
      </c>
      <c r="H28" s="135" t="s">
        <v>128</v>
      </c>
    </row>
    <row r="29" ht="19.5" customHeight="1" outlineLevel="1">
      <c r="A29" s="11"/>
      <c r="B29" s="11"/>
      <c r="C29" s="11"/>
      <c r="D29" s="11"/>
      <c r="E29" s="11"/>
      <c r="F29" s="11"/>
      <c r="H29" s="135" t="s">
        <v>130</v>
      </c>
    </row>
    <row r="30" outlineLevel="1">
      <c r="A30" s="16" t="s">
        <v>27</v>
      </c>
      <c r="B30" s="138">
        <v>1.0</v>
      </c>
      <c r="C30" s="138">
        <v>1.0</v>
      </c>
      <c r="D30" s="142">
        <f t="shared" ref="D30:D37" si="8">(B30*0.3)+(C30*0.1)</f>
        <v>0.4</v>
      </c>
      <c r="E30" s="142">
        <f t="shared" ref="E30:E37" si="9">(L5+G17+H17)/15*0.3</f>
        <v>0.1</v>
      </c>
      <c r="F30" s="145">
        <f t="shared" ref="F30:F37" si="10">(E30/30%)*10</f>
        <v>3.333333333</v>
      </c>
      <c r="H30" s="135" t="s">
        <v>144</v>
      </c>
    </row>
    <row r="31" outlineLevel="1">
      <c r="A31" s="16" t="s">
        <v>61</v>
      </c>
      <c r="B31" s="146"/>
      <c r="C31" s="146"/>
      <c r="D31" s="142">
        <f t="shared" si="8"/>
        <v>0</v>
      </c>
      <c r="E31" s="142">
        <f t="shared" si="9"/>
        <v>0.04</v>
      </c>
      <c r="F31" s="145">
        <f t="shared" si="10"/>
        <v>1.333333333</v>
      </c>
    </row>
    <row r="32" outlineLevel="1">
      <c r="A32" s="16" t="s">
        <v>21</v>
      </c>
      <c r="B32" s="146"/>
      <c r="C32" s="146"/>
      <c r="D32" s="142">
        <f t="shared" si="8"/>
        <v>0</v>
      </c>
      <c r="E32" s="142">
        <f t="shared" si="9"/>
        <v>0.08</v>
      </c>
      <c r="F32" s="145">
        <f t="shared" si="10"/>
        <v>2.666666667</v>
      </c>
      <c r="H32" s="5" t="s">
        <v>147</v>
      </c>
    </row>
    <row r="33" outlineLevel="1">
      <c r="A33" s="16" t="s">
        <v>74</v>
      </c>
      <c r="B33" s="146"/>
      <c r="C33" s="146"/>
      <c r="D33" s="142">
        <f t="shared" si="8"/>
        <v>0</v>
      </c>
      <c r="E33" s="142">
        <f t="shared" si="9"/>
        <v>0.02</v>
      </c>
      <c r="F33" s="145">
        <f t="shared" si="10"/>
        <v>0.6666666667</v>
      </c>
      <c r="H33" s="149" t="s">
        <v>150</v>
      </c>
      <c r="J33" s="150" t="s">
        <v>151</v>
      </c>
    </row>
    <row r="34" outlineLevel="1">
      <c r="A34" s="16" t="s">
        <v>53</v>
      </c>
      <c r="B34" s="146"/>
      <c r="C34" s="146"/>
      <c r="D34" s="142">
        <f t="shared" si="8"/>
        <v>0</v>
      </c>
      <c r="E34" s="142">
        <f t="shared" si="9"/>
        <v>0.02</v>
      </c>
      <c r="F34" s="145">
        <f t="shared" si="10"/>
        <v>0.6666666667</v>
      </c>
      <c r="H34" s="149" t="s">
        <v>152</v>
      </c>
      <c r="J34" s="150" t="s">
        <v>153</v>
      </c>
    </row>
    <row r="35" outlineLevel="1">
      <c r="A35" s="16" t="s">
        <v>85</v>
      </c>
      <c r="B35" s="146"/>
      <c r="C35" s="146"/>
      <c r="D35" s="142">
        <f t="shared" si="8"/>
        <v>0</v>
      </c>
      <c r="E35" s="142">
        <f t="shared" si="9"/>
        <v>0.1</v>
      </c>
      <c r="F35" s="145">
        <f t="shared" si="10"/>
        <v>3.333333333</v>
      </c>
    </row>
    <row r="36" outlineLevel="1">
      <c r="A36" s="16" t="s">
        <v>7</v>
      </c>
      <c r="B36" s="146"/>
      <c r="C36" s="146"/>
      <c r="D36" s="142">
        <f t="shared" si="8"/>
        <v>0</v>
      </c>
      <c r="E36" s="142">
        <f t="shared" si="9"/>
        <v>0.1</v>
      </c>
      <c r="F36" s="145">
        <f t="shared" si="10"/>
        <v>3.333333333</v>
      </c>
    </row>
    <row r="37" outlineLevel="1">
      <c r="A37" s="16" t="s">
        <v>72</v>
      </c>
      <c r="B37" s="146"/>
      <c r="C37" s="146"/>
      <c r="D37" s="142">
        <f t="shared" si="8"/>
        <v>0</v>
      </c>
      <c r="E37" s="142">
        <f t="shared" si="9"/>
        <v>0.02</v>
      </c>
      <c r="F37" s="145">
        <f t="shared" si="10"/>
        <v>0.6666666667</v>
      </c>
    </row>
  </sheetData>
  <mergeCells count="30">
    <mergeCell ref="B1:N1"/>
    <mergeCell ref="B2:L2"/>
    <mergeCell ref="B3:B4"/>
    <mergeCell ref="C3:C4"/>
    <mergeCell ref="K3:K4"/>
    <mergeCell ref="L3:L4"/>
    <mergeCell ref="B14:H14"/>
    <mergeCell ref="G15:G16"/>
    <mergeCell ref="H15:H16"/>
    <mergeCell ref="H27:J27"/>
    <mergeCell ref="H28:J28"/>
    <mergeCell ref="H29:J29"/>
    <mergeCell ref="H30:J30"/>
    <mergeCell ref="H33:I33"/>
    <mergeCell ref="H34:I34"/>
    <mergeCell ref="B27:F27"/>
    <mergeCell ref="A28:A29"/>
    <mergeCell ref="B28:B29"/>
    <mergeCell ref="C28:C29"/>
    <mergeCell ref="D28:D29"/>
    <mergeCell ref="E28:E29"/>
    <mergeCell ref="F28:F29"/>
    <mergeCell ref="H32:N32"/>
    <mergeCell ref="A3:A4"/>
    <mergeCell ref="A15:A16"/>
    <mergeCell ref="B15:B16"/>
    <mergeCell ref="C15:C16"/>
    <mergeCell ref="D15:D16"/>
    <mergeCell ref="E15:E16"/>
    <mergeCell ref="F15:F16"/>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22.88"/>
    <col customWidth="1" min="4" max="4" width="11.13"/>
    <col customWidth="1" min="7" max="7" width="13.0"/>
  </cols>
  <sheetData>
    <row r="1" collapsed="1">
      <c r="A1" s="32"/>
      <c r="B1" s="33" t="s">
        <v>55</v>
      </c>
      <c r="C1" s="34"/>
      <c r="D1" s="34"/>
      <c r="E1" s="34"/>
      <c r="F1" s="34"/>
      <c r="G1" s="34"/>
      <c r="H1" s="35"/>
      <c r="I1" s="36"/>
    </row>
    <row r="2" hidden="1" outlineLevel="1">
      <c r="A2" s="37"/>
      <c r="B2" s="38" t="s">
        <v>56</v>
      </c>
      <c r="C2" s="39" t="s">
        <v>57</v>
      </c>
      <c r="D2" s="39" t="s">
        <v>21</v>
      </c>
      <c r="E2" s="39" t="s">
        <v>32</v>
      </c>
      <c r="F2" s="39" t="s">
        <v>58</v>
      </c>
      <c r="G2" s="40" t="s">
        <v>59</v>
      </c>
      <c r="H2" s="41"/>
      <c r="I2" s="42"/>
    </row>
    <row r="3" hidden="1" outlineLevel="1">
      <c r="A3" s="44" t="s">
        <v>60</v>
      </c>
      <c r="B3" s="45" t="s">
        <v>62</v>
      </c>
      <c r="C3" s="46"/>
      <c r="D3" s="46"/>
      <c r="E3" s="46"/>
      <c r="F3" s="46"/>
      <c r="G3" s="47"/>
      <c r="H3" s="48"/>
      <c r="I3" s="48"/>
    </row>
    <row r="4" hidden="1" outlineLevel="1">
      <c r="A4" s="51" t="s">
        <v>64</v>
      </c>
      <c r="B4" s="53"/>
      <c r="C4" s="54"/>
      <c r="D4" s="54"/>
      <c r="E4" s="54"/>
      <c r="F4" s="54"/>
      <c r="G4" s="56"/>
      <c r="H4" s="48"/>
      <c r="I4" s="48"/>
    </row>
    <row r="5" hidden="1" outlineLevel="1">
      <c r="A5" s="58" t="s">
        <v>69</v>
      </c>
      <c r="B5" s="60">
        <v>47.24</v>
      </c>
      <c r="C5" s="61">
        <v>44.0</v>
      </c>
      <c r="D5" s="61">
        <v>46.0</v>
      </c>
      <c r="E5" s="61">
        <v>51.93</v>
      </c>
      <c r="F5" s="61">
        <v>43.54</v>
      </c>
      <c r="G5" s="64">
        <v>52.44</v>
      </c>
      <c r="H5" s="66"/>
      <c r="I5" s="67"/>
    </row>
    <row r="6" hidden="1" outlineLevel="1">
      <c r="A6" s="68" t="s">
        <v>75</v>
      </c>
      <c r="B6" s="69">
        <v>40.0</v>
      </c>
      <c r="C6" s="70">
        <v>40.0</v>
      </c>
      <c r="D6" s="70">
        <v>40.0</v>
      </c>
      <c r="E6" s="70">
        <v>40.0</v>
      </c>
      <c r="F6" s="70">
        <v>40.0</v>
      </c>
      <c r="G6" s="70">
        <v>40.0</v>
      </c>
      <c r="H6" s="71"/>
      <c r="I6" s="72"/>
    </row>
    <row r="7" hidden="1" outlineLevel="1">
      <c r="A7" s="73" t="s">
        <v>76</v>
      </c>
      <c r="B7" s="74">
        <f t="shared" ref="B7:G7" si="1">B5/B6</f>
        <v>1.181</v>
      </c>
      <c r="C7" s="75">
        <f t="shared" si="1"/>
        <v>1.1</v>
      </c>
      <c r="D7" s="75">
        <f t="shared" si="1"/>
        <v>1.15</v>
      </c>
      <c r="E7" s="75">
        <f t="shared" si="1"/>
        <v>1.29825</v>
      </c>
      <c r="F7" s="75">
        <f t="shared" si="1"/>
        <v>1.0885</v>
      </c>
      <c r="G7" s="75">
        <f t="shared" si="1"/>
        <v>1.311</v>
      </c>
      <c r="H7" s="77"/>
      <c r="I7" s="79"/>
    </row>
    <row r="8" hidden="1" outlineLevel="1">
      <c r="A8" s="51" t="s">
        <v>79</v>
      </c>
      <c r="B8" s="53"/>
      <c r="C8" s="54"/>
      <c r="D8" s="54"/>
      <c r="E8" s="54"/>
      <c r="F8" s="54"/>
      <c r="G8" s="56"/>
      <c r="H8" s="48"/>
      <c r="I8" s="48"/>
    </row>
    <row r="9" hidden="1" outlineLevel="1">
      <c r="A9" s="83" t="s">
        <v>81</v>
      </c>
      <c r="B9" s="84" t="s">
        <v>82</v>
      </c>
      <c r="C9" s="85" t="s">
        <v>83</v>
      </c>
      <c r="D9" s="85" t="s">
        <v>84</v>
      </c>
      <c r="E9" s="85" t="s">
        <v>82</v>
      </c>
      <c r="F9" s="85" t="s">
        <v>82</v>
      </c>
      <c r="G9" s="85" t="s">
        <v>82</v>
      </c>
      <c r="H9" s="86"/>
      <c r="I9" s="87"/>
    </row>
    <row r="10" hidden="1" outlineLevel="1">
      <c r="A10" s="88" t="s">
        <v>86</v>
      </c>
      <c r="B10" s="90">
        <v>40.0</v>
      </c>
      <c r="C10" s="93">
        <v>40.0</v>
      </c>
      <c r="D10" s="93">
        <v>40.0</v>
      </c>
      <c r="E10" s="93">
        <v>40.0</v>
      </c>
      <c r="F10" s="93">
        <v>40.0</v>
      </c>
      <c r="G10" s="93">
        <v>40.0</v>
      </c>
      <c r="H10" s="97"/>
      <c r="I10" s="99"/>
    </row>
    <row r="11" hidden="1" outlineLevel="1">
      <c r="A11" s="73" t="s">
        <v>96</v>
      </c>
      <c r="B11" s="74">
        <f t="shared" ref="B11:G11" si="2">B9/B10</f>
        <v>1</v>
      </c>
      <c r="C11" s="75">
        <f t="shared" si="2"/>
        <v>0.9975</v>
      </c>
      <c r="D11" s="75">
        <f t="shared" si="2"/>
        <v>0.935</v>
      </c>
      <c r="E11" s="75">
        <f t="shared" si="2"/>
        <v>1</v>
      </c>
      <c r="F11" s="75">
        <f t="shared" si="2"/>
        <v>1</v>
      </c>
      <c r="G11" s="75">
        <f t="shared" si="2"/>
        <v>1</v>
      </c>
      <c r="H11" s="77"/>
      <c r="I11" s="79"/>
    </row>
    <row r="12" hidden="1" outlineLevel="1">
      <c r="A12" s="51" t="s">
        <v>99</v>
      </c>
      <c r="B12" s="53"/>
      <c r="C12" s="54"/>
      <c r="D12" s="54"/>
      <c r="E12" s="54"/>
      <c r="F12" s="54"/>
      <c r="G12" s="56"/>
      <c r="H12" s="48"/>
      <c r="I12" s="48"/>
    </row>
    <row r="13" hidden="1" outlineLevel="1">
      <c r="A13" s="83" t="s">
        <v>101</v>
      </c>
      <c r="B13" s="122" t="s">
        <v>109</v>
      </c>
      <c r="C13" s="123" t="s">
        <v>113</v>
      </c>
      <c r="D13" s="124" t="s">
        <v>113</v>
      </c>
      <c r="E13" s="124" t="s">
        <v>113</v>
      </c>
      <c r="F13" s="124" t="s">
        <v>113</v>
      </c>
      <c r="G13" s="123" t="s">
        <v>109</v>
      </c>
      <c r="H13" s="126"/>
      <c r="I13" s="128"/>
    </row>
    <row r="14" hidden="1" outlineLevel="1">
      <c r="A14" s="83" t="s">
        <v>117</v>
      </c>
      <c r="B14" s="129" t="s">
        <v>118</v>
      </c>
      <c r="C14" s="124" t="s">
        <v>119</v>
      </c>
      <c r="D14" s="124" t="s">
        <v>118</v>
      </c>
      <c r="E14" s="124" t="s">
        <v>119</v>
      </c>
      <c r="F14" s="124" t="s">
        <v>118</v>
      </c>
      <c r="G14" s="124" t="s">
        <v>119</v>
      </c>
      <c r="H14" s="126"/>
      <c r="I14" s="128"/>
    </row>
    <row r="15" hidden="1" outlineLevel="1">
      <c r="A15" s="83" t="s">
        <v>120</v>
      </c>
      <c r="B15" s="134">
        <f>IF(B5&lt;B6,B6,B5) *
IF(B13="AM",
    IF(B14="Oricle",4,
    IF(B14="Other Brands",3,
    IF(B14="Oricle Prio",0.6,""))),
 IF(B13="MID",
    IF(B14="Oricle",2.5,
    IF(B14="Other Brands",3,
    IF(B14="Oricle Prio",0.6,""))),
 IF(B13="GY",
    IF(B14="Oricle",0.9,
    IF(B14="Other Brands",0.9,
    IF(B14="Oricle Prio",0.3,""))),"")))-17</f>
        <v>124.72</v>
      </c>
      <c r="C15" s="134">
        <f t="shared" ref="C15:G15" si="3">IF(C5&lt;C6,C6,C5) *
IF(C13="AM",
    IF(C14="Oricle",4,
    IF(C14="Other Brands",3,
    IF(C14="Oricle Prio",0.6,""))),
 IF(C13="MID",
    IF(C14="Oricle",2.5,
    IF(C14="Other Brands",3,
    IF(C14="Oricle Prio",0.6,""))),
 IF(C13="GY",
    IF(C14="Oricle",0.9,
    IF(C14="Other Brands",0.9,
    IF(C14="Oricle Prio",0.3,""))),"")))</f>
        <v>176</v>
      </c>
      <c r="D15" s="134">
        <f t="shared" si="3"/>
        <v>138</v>
      </c>
      <c r="E15" s="134">
        <f t="shared" si="3"/>
        <v>207.72</v>
      </c>
      <c r="F15" s="134">
        <f t="shared" si="3"/>
        <v>130.62</v>
      </c>
      <c r="G15" s="134">
        <f t="shared" si="3"/>
        <v>131.1</v>
      </c>
      <c r="H15" s="139"/>
      <c r="I15" s="140"/>
    </row>
    <row r="16" hidden="1" outlineLevel="1">
      <c r="A16" s="83" t="s">
        <v>131</v>
      </c>
      <c r="B16" s="84" t="s">
        <v>132</v>
      </c>
      <c r="C16" s="85" t="s">
        <v>133</v>
      </c>
      <c r="D16" s="85" t="s">
        <v>134</v>
      </c>
      <c r="E16" s="85" t="s">
        <v>135</v>
      </c>
      <c r="F16" s="85" t="s">
        <v>136</v>
      </c>
      <c r="G16" s="85" t="s">
        <v>137</v>
      </c>
      <c r="H16" s="86"/>
      <c r="I16" s="87"/>
    </row>
    <row r="17" hidden="1" outlineLevel="1">
      <c r="A17" s="83" t="s">
        <v>138</v>
      </c>
      <c r="B17" s="84" t="s">
        <v>139</v>
      </c>
      <c r="C17" s="85" t="s">
        <v>133</v>
      </c>
      <c r="D17" s="85" t="s">
        <v>141</v>
      </c>
      <c r="E17" s="85" t="s">
        <v>142</v>
      </c>
      <c r="F17" s="85" t="s">
        <v>143</v>
      </c>
      <c r="G17" s="85" t="s">
        <v>137</v>
      </c>
      <c r="H17" s="86"/>
      <c r="I17" s="87"/>
    </row>
    <row r="18" hidden="1" outlineLevel="1">
      <c r="A18" s="88" t="s">
        <v>149</v>
      </c>
      <c r="B18" s="152">
        <f t="shared" ref="B18:H18" si="4">IF(B16&gt;0,B17/B16,0)</f>
        <v>0.9791666667</v>
      </c>
      <c r="C18" s="153">
        <f t="shared" si="4"/>
        <v>1</v>
      </c>
      <c r="D18" s="153">
        <f t="shared" si="4"/>
        <v>0.9562043796</v>
      </c>
      <c r="E18" s="153">
        <f t="shared" si="4"/>
        <v>0.9786096257</v>
      </c>
      <c r="F18" s="153">
        <f t="shared" si="4"/>
        <v>0.9883040936</v>
      </c>
      <c r="G18" s="153">
        <f t="shared" si="4"/>
        <v>1</v>
      </c>
      <c r="H18" s="154">
        <f t="shared" si="4"/>
        <v>0</v>
      </c>
      <c r="I18" s="155"/>
    </row>
    <row r="19" hidden="1" outlineLevel="1">
      <c r="A19" s="88" t="s">
        <v>156</v>
      </c>
      <c r="B19" s="157">
        <f t="shared" ref="B19:H19" si="5">IF(B15&gt;0,B17/B15,0)</f>
        <v>1.130532393</v>
      </c>
      <c r="C19" s="153">
        <f t="shared" si="5"/>
        <v>0.6761363636</v>
      </c>
      <c r="D19" s="153">
        <f t="shared" si="5"/>
        <v>0.9492753623</v>
      </c>
      <c r="E19" s="153">
        <f t="shared" si="5"/>
        <v>0.8809936453</v>
      </c>
      <c r="F19" s="153">
        <f t="shared" si="5"/>
        <v>1.293829429</v>
      </c>
      <c r="G19" s="153">
        <f t="shared" si="5"/>
        <v>0.9839816934</v>
      </c>
      <c r="H19" s="154">
        <f t="shared" si="5"/>
        <v>0</v>
      </c>
      <c r="I19" s="155"/>
    </row>
    <row r="20" hidden="1" outlineLevel="1">
      <c r="A20" s="159" t="s">
        <v>13</v>
      </c>
      <c r="B20" s="160">
        <f t="shared" ref="B20:H20" si="6">average(B18:B19)</f>
        <v>1.05484953</v>
      </c>
      <c r="C20" s="75">
        <f t="shared" si="6"/>
        <v>0.8380681818</v>
      </c>
      <c r="D20" s="75">
        <f t="shared" si="6"/>
        <v>0.9527398709</v>
      </c>
      <c r="E20" s="75">
        <f t="shared" si="6"/>
        <v>0.9298016355</v>
      </c>
      <c r="F20" s="75">
        <f t="shared" si="6"/>
        <v>1.141066761</v>
      </c>
      <c r="G20" s="75">
        <f t="shared" si="6"/>
        <v>0.9919908467</v>
      </c>
      <c r="H20" s="77">
        <f t="shared" si="6"/>
        <v>0</v>
      </c>
      <c r="I20" s="79"/>
    </row>
    <row r="21" hidden="1" outlineLevel="1">
      <c r="A21" s="51" t="s">
        <v>161</v>
      </c>
      <c r="B21" s="53"/>
      <c r="C21" s="54"/>
      <c r="D21" s="54"/>
      <c r="E21" s="54"/>
      <c r="F21" s="54"/>
      <c r="G21" s="56"/>
      <c r="H21" s="48"/>
      <c r="I21" s="48"/>
    </row>
    <row r="22" hidden="1" outlineLevel="1">
      <c r="A22" s="83" t="s">
        <v>162</v>
      </c>
      <c r="B22" s="84" t="s">
        <v>164</v>
      </c>
      <c r="C22" s="85" t="s">
        <v>165</v>
      </c>
      <c r="D22" s="85" t="s">
        <v>166</v>
      </c>
      <c r="E22" s="85" t="s">
        <v>167</v>
      </c>
      <c r="F22" s="85" t="s">
        <v>168</v>
      </c>
      <c r="G22" s="85" t="s">
        <v>165</v>
      </c>
      <c r="H22" s="86" t="s">
        <v>165</v>
      </c>
      <c r="I22" s="87"/>
    </row>
    <row r="23" hidden="1" outlineLevel="1">
      <c r="A23" s="88" t="s">
        <v>169</v>
      </c>
      <c r="B23" s="165">
        <v>10.0</v>
      </c>
      <c r="C23" s="166">
        <v>10.0</v>
      </c>
      <c r="D23" s="166">
        <v>10.0</v>
      </c>
      <c r="E23" s="166">
        <v>10.0</v>
      </c>
      <c r="F23" s="166">
        <v>10.0</v>
      </c>
      <c r="G23" s="166">
        <v>10.0</v>
      </c>
      <c r="H23" s="168">
        <v>10.0</v>
      </c>
      <c r="I23" s="170"/>
    </row>
    <row r="24" hidden="1" outlineLevel="1">
      <c r="A24" s="73" t="s">
        <v>170</v>
      </c>
      <c r="B24" s="74">
        <f t="shared" ref="B24:H24" si="7">IF(B22=0,0,B22/B23)</f>
        <v>1</v>
      </c>
      <c r="C24" s="75">
        <f t="shared" si="7"/>
        <v>0.933</v>
      </c>
      <c r="D24" s="75">
        <f t="shared" si="7"/>
        <v>0.877</v>
      </c>
      <c r="E24" s="75">
        <f t="shared" si="7"/>
        <v>0.966</v>
      </c>
      <c r="F24" s="75">
        <f t="shared" si="7"/>
        <v>0.893</v>
      </c>
      <c r="G24" s="75">
        <f t="shared" si="7"/>
        <v>0.933</v>
      </c>
      <c r="H24" s="77">
        <f t="shared" si="7"/>
        <v>0.933</v>
      </c>
      <c r="I24" s="79"/>
    </row>
    <row r="25" hidden="1" outlineLevel="1">
      <c r="A25" s="51" t="s">
        <v>173</v>
      </c>
      <c r="B25" s="53"/>
      <c r="C25" s="54"/>
      <c r="D25" s="54"/>
      <c r="E25" s="54"/>
      <c r="F25" s="54"/>
      <c r="G25" s="56"/>
      <c r="H25" s="48"/>
      <c r="I25" s="48"/>
    </row>
    <row r="26" hidden="1" outlineLevel="1">
      <c r="A26" s="83" t="s">
        <v>175</v>
      </c>
      <c r="B26" s="175" t="s">
        <v>177</v>
      </c>
      <c r="C26" s="176" t="s">
        <v>177</v>
      </c>
      <c r="D26" s="176" t="s">
        <v>177</v>
      </c>
      <c r="E26" s="176" t="s">
        <v>177</v>
      </c>
      <c r="F26" s="176" t="s">
        <v>177</v>
      </c>
      <c r="G26" s="176" t="s">
        <v>177</v>
      </c>
      <c r="H26" s="178" t="s">
        <v>177</v>
      </c>
      <c r="I26" s="179"/>
    </row>
    <row r="27" hidden="1" outlineLevel="1">
      <c r="A27" s="180" t="s">
        <v>179</v>
      </c>
      <c r="B27" s="53"/>
      <c r="C27" s="54"/>
      <c r="D27" s="54"/>
      <c r="E27" s="54"/>
      <c r="F27" s="54"/>
      <c r="G27" s="56"/>
      <c r="H27" s="48"/>
      <c r="I27" s="48"/>
    </row>
    <row r="28" hidden="1" outlineLevel="1">
      <c r="A28" s="88" t="s">
        <v>180</v>
      </c>
      <c r="B28" s="181">
        <f t="shared" ref="B28:H28" si="8">B7*25</f>
        <v>29.525</v>
      </c>
      <c r="C28" s="182">
        <f t="shared" si="8"/>
        <v>27.5</v>
      </c>
      <c r="D28" s="182">
        <f t="shared" si="8"/>
        <v>28.75</v>
      </c>
      <c r="E28" s="182">
        <f t="shared" si="8"/>
        <v>32.45625</v>
      </c>
      <c r="F28" s="182">
        <f t="shared" si="8"/>
        <v>27.2125</v>
      </c>
      <c r="G28" s="182">
        <f t="shared" si="8"/>
        <v>32.775</v>
      </c>
      <c r="H28" s="183">
        <f t="shared" si="8"/>
        <v>0</v>
      </c>
      <c r="I28" s="184"/>
    </row>
    <row r="29" hidden="1" outlineLevel="1">
      <c r="A29" s="88" t="s">
        <v>182</v>
      </c>
      <c r="B29" s="181">
        <f t="shared" ref="B29:H29" si="9">B11*35</f>
        <v>35</v>
      </c>
      <c r="C29" s="182">
        <f t="shared" si="9"/>
        <v>34.9125</v>
      </c>
      <c r="D29" s="182">
        <f t="shared" si="9"/>
        <v>32.725</v>
      </c>
      <c r="E29" s="182">
        <f t="shared" si="9"/>
        <v>35</v>
      </c>
      <c r="F29" s="182">
        <f t="shared" si="9"/>
        <v>35</v>
      </c>
      <c r="G29" s="182">
        <f t="shared" si="9"/>
        <v>35</v>
      </c>
      <c r="H29" s="183">
        <f t="shared" si="9"/>
        <v>0</v>
      </c>
      <c r="I29" s="184"/>
    </row>
    <row r="30" hidden="1" outlineLevel="1">
      <c r="A30" s="88" t="s">
        <v>184</v>
      </c>
      <c r="B30" s="185">
        <f t="shared" ref="B30:H30" si="10">if(B7&lt;100%,B20*25,B20*30)</f>
        <v>31.64548589</v>
      </c>
      <c r="C30" s="182">
        <f t="shared" si="10"/>
        <v>25.14204545</v>
      </c>
      <c r="D30" s="182">
        <f t="shared" si="10"/>
        <v>28.58219613</v>
      </c>
      <c r="E30" s="182">
        <f t="shared" si="10"/>
        <v>27.89404906</v>
      </c>
      <c r="F30" s="182">
        <f t="shared" si="10"/>
        <v>34.23200284</v>
      </c>
      <c r="G30" s="182">
        <f t="shared" si="10"/>
        <v>29.7597254</v>
      </c>
      <c r="H30" s="183">
        <f t="shared" si="10"/>
        <v>0</v>
      </c>
      <c r="I30" s="184"/>
    </row>
    <row r="31" hidden="1" outlineLevel="1">
      <c r="A31" s="88" t="s">
        <v>187</v>
      </c>
      <c r="B31" s="181">
        <f t="shared" ref="B31:H31" si="11">B24*15</f>
        <v>15</v>
      </c>
      <c r="C31" s="182">
        <f t="shared" si="11"/>
        <v>13.995</v>
      </c>
      <c r="D31" s="182">
        <f t="shared" si="11"/>
        <v>13.155</v>
      </c>
      <c r="E31" s="182">
        <f t="shared" si="11"/>
        <v>14.49</v>
      </c>
      <c r="F31" s="182">
        <f t="shared" si="11"/>
        <v>13.395</v>
      </c>
      <c r="G31" s="182">
        <f t="shared" si="11"/>
        <v>13.995</v>
      </c>
      <c r="H31" s="183">
        <f t="shared" si="11"/>
        <v>13.995</v>
      </c>
      <c r="I31" s="184"/>
    </row>
    <row r="32" hidden="1" outlineLevel="1">
      <c r="A32" s="88" t="s">
        <v>188</v>
      </c>
      <c r="B32" s="181">
        <f t="shared" ref="B32:H32" si="12">B26*-10</f>
        <v>0</v>
      </c>
      <c r="C32" s="182">
        <f t="shared" si="12"/>
        <v>0</v>
      </c>
      <c r="D32" s="182">
        <f t="shared" si="12"/>
        <v>0</v>
      </c>
      <c r="E32" s="182">
        <f t="shared" si="12"/>
        <v>0</v>
      </c>
      <c r="F32" s="182">
        <f t="shared" si="12"/>
        <v>0</v>
      </c>
      <c r="G32" s="182">
        <f t="shared" si="12"/>
        <v>0</v>
      </c>
      <c r="H32" s="183">
        <f t="shared" si="12"/>
        <v>0</v>
      </c>
      <c r="I32" s="184"/>
    </row>
    <row r="33" hidden="1" outlineLevel="1">
      <c r="A33" s="187" t="s">
        <v>190</v>
      </c>
      <c r="B33" s="181">
        <f t="shared" ref="B33:H33" si="13">B28+B29+B30+B31+B32</f>
        <v>111.1704859</v>
      </c>
      <c r="C33" s="182">
        <f t="shared" si="13"/>
        <v>101.5495455</v>
      </c>
      <c r="D33" s="182">
        <f t="shared" si="13"/>
        <v>103.2121961</v>
      </c>
      <c r="E33" s="182">
        <f t="shared" si="13"/>
        <v>109.8402991</v>
      </c>
      <c r="F33" s="182">
        <f t="shared" si="13"/>
        <v>109.8395028</v>
      </c>
      <c r="G33" s="182">
        <f t="shared" si="13"/>
        <v>111.5297254</v>
      </c>
      <c r="H33" s="183">
        <f t="shared" si="13"/>
        <v>13.995</v>
      </c>
      <c r="I33" s="184"/>
    </row>
    <row r="34" hidden="1" outlineLevel="1">
      <c r="A34" s="73" t="s">
        <v>193</v>
      </c>
      <c r="B34" s="188">
        <f t="shared" ref="B34:H34" si="14">B33/100</f>
        <v>1.111704859</v>
      </c>
      <c r="C34" s="190">
        <f t="shared" si="14"/>
        <v>1.015495455</v>
      </c>
      <c r="D34" s="190">
        <f t="shared" si="14"/>
        <v>1.032121961</v>
      </c>
      <c r="E34" s="190">
        <f t="shared" si="14"/>
        <v>1.098402991</v>
      </c>
      <c r="F34" s="190">
        <f t="shared" si="14"/>
        <v>1.098395028</v>
      </c>
      <c r="G34" s="190">
        <f t="shared" si="14"/>
        <v>1.115297254</v>
      </c>
      <c r="H34" s="194">
        <f t="shared" si="14"/>
        <v>0.13995</v>
      </c>
      <c r="I34" s="196"/>
    </row>
    <row r="35" hidden="1" outlineLevel="1">
      <c r="A35" s="180" t="s">
        <v>203</v>
      </c>
      <c r="B35" s="203" t="s">
        <v>204</v>
      </c>
      <c r="C35" s="205" t="s">
        <v>204</v>
      </c>
      <c r="D35" s="205" t="s">
        <v>204</v>
      </c>
      <c r="E35" s="211" t="s">
        <v>204</v>
      </c>
      <c r="F35" s="205" t="s">
        <v>204</v>
      </c>
      <c r="G35" s="211" t="s">
        <v>206</v>
      </c>
      <c r="H35" s="212" t="s">
        <v>207</v>
      </c>
      <c r="I35" s="213"/>
    </row>
    <row r="36" hidden="1" outlineLevel="1">
      <c r="A36" s="215" t="s">
        <v>208</v>
      </c>
      <c r="B36" s="216"/>
      <c r="C36" s="217"/>
      <c r="D36" s="217"/>
      <c r="E36" s="217"/>
      <c r="F36" s="217"/>
      <c r="G36" s="217"/>
      <c r="H36" s="221" t="s">
        <v>210</v>
      </c>
      <c r="I36" s="222"/>
    </row>
    <row r="37" collapsed="1">
      <c r="A37" s="224" t="s">
        <v>212</v>
      </c>
      <c r="B37" s="225"/>
      <c r="C37" s="46"/>
      <c r="D37" s="46"/>
      <c r="E37" s="46"/>
      <c r="F37" s="46"/>
      <c r="G37" s="46"/>
      <c r="H37" s="46"/>
      <c r="I37" s="46"/>
    </row>
    <row r="38" hidden="1" outlineLevel="1" collapsed="1">
      <c r="A38" s="32"/>
      <c r="B38" s="33" t="s">
        <v>213</v>
      </c>
      <c r="C38" s="34"/>
      <c r="D38" s="34"/>
      <c r="E38" s="34"/>
      <c r="F38" s="34"/>
      <c r="G38" s="34"/>
      <c r="H38" s="35"/>
      <c r="I38" s="36"/>
    </row>
    <row r="39" hidden="1" outlineLevel="2">
      <c r="A39" s="228"/>
      <c r="B39" s="230" t="s">
        <v>56</v>
      </c>
      <c r="C39" s="233" t="s">
        <v>57</v>
      </c>
      <c r="D39" s="233" t="s">
        <v>21</v>
      </c>
      <c r="E39" s="233" t="s">
        <v>32</v>
      </c>
      <c r="F39" s="233" t="s">
        <v>58</v>
      </c>
      <c r="G39" s="234" t="s">
        <v>59</v>
      </c>
      <c r="H39" s="235"/>
      <c r="I39" s="237"/>
    </row>
    <row r="40" hidden="1" outlineLevel="2">
      <c r="A40" s="44" t="s">
        <v>60</v>
      </c>
      <c r="B40" s="238" t="s">
        <v>213</v>
      </c>
      <c r="C40" s="46"/>
      <c r="D40" s="46"/>
      <c r="E40" s="46"/>
      <c r="F40" s="46"/>
      <c r="G40" s="46"/>
      <c r="H40" s="47"/>
      <c r="I40" s="239"/>
    </row>
    <row r="41" hidden="1" outlineLevel="2">
      <c r="A41" s="51" t="s">
        <v>64</v>
      </c>
      <c r="B41" s="53"/>
      <c r="C41" s="54"/>
      <c r="D41" s="54"/>
      <c r="E41" s="54"/>
      <c r="F41" s="54"/>
      <c r="G41" s="54"/>
      <c r="H41" s="56"/>
      <c r="I41" s="240"/>
    </row>
    <row r="42" hidden="1" outlineLevel="2">
      <c r="A42" s="58" t="s">
        <v>69</v>
      </c>
      <c r="B42" s="242">
        <v>47.37</v>
      </c>
      <c r="C42" s="243">
        <v>54.05</v>
      </c>
      <c r="D42" s="243">
        <v>46.94</v>
      </c>
      <c r="E42" s="243">
        <v>51.52</v>
      </c>
      <c r="F42" s="243">
        <v>29.74</v>
      </c>
      <c r="G42" s="244">
        <v>52.18</v>
      </c>
      <c r="H42" s="246"/>
      <c r="I42" s="247"/>
    </row>
    <row r="43" hidden="1" outlineLevel="2">
      <c r="A43" s="68" t="s">
        <v>75</v>
      </c>
      <c r="B43" s="248">
        <v>37.0</v>
      </c>
      <c r="C43" s="70">
        <v>40.0</v>
      </c>
      <c r="D43" s="70">
        <v>40.0</v>
      </c>
      <c r="E43" s="70">
        <v>37.0</v>
      </c>
      <c r="F43" s="70">
        <v>28.5</v>
      </c>
      <c r="G43" s="249">
        <v>40.0</v>
      </c>
      <c r="H43" s="154"/>
      <c r="I43" s="72"/>
    </row>
    <row r="44" hidden="1" outlineLevel="2">
      <c r="A44" s="73" t="s">
        <v>76</v>
      </c>
      <c r="B44" s="152">
        <f t="shared" ref="B44:G44" si="15">B42/B43</f>
        <v>1.28027027</v>
      </c>
      <c r="C44" s="153">
        <f t="shared" si="15"/>
        <v>1.35125</v>
      </c>
      <c r="D44" s="153">
        <f t="shared" si="15"/>
        <v>1.1735</v>
      </c>
      <c r="E44" s="153">
        <f t="shared" si="15"/>
        <v>1.392432432</v>
      </c>
      <c r="F44" s="153">
        <f t="shared" si="15"/>
        <v>1.043508772</v>
      </c>
      <c r="G44" s="153">
        <f t="shared" si="15"/>
        <v>1.3045</v>
      </c>
      <c r="I44" s="155"/>
    </row>
    <row r="45" hidden="1" outlineLevel="2">
      <c r="A45" s="51" t="s">
        <v>79</v>
      </c>
      <c r="B45" s="53"/>
      <c r="C45" s="54"/>
      <c r="D45" s="54"/>
      <c r="E45" s="54"/>
      <c r="F45" s="54"/>
      <c r="G45" s="56"/>
      <c r="H45" s="48"/>
      <c r="I45" s="48"/>
    </row>
    <row r="46" hidden="1" outlineLevel="2">
      <c r="A46" s="83" t="s">
        <v>81</v>
      </c>
      <c r="B46" s="259" t="s">
        <v>82</v>
      </c>
      <c r="C46" s="124" t="s">
        <v>82</v>
      </c>
      <c r="D46" s="124" t="s">
        <v>82</v>
      </c>
      <c r="E46" s="124" t="s">
        <v>82</v>
      </c>
      <c r="F46" s="124" t="s">
        <v>82</v>
      </c>
      <c r="G46" s="124" t="s">
        <v>82</v>
      </c>
      <c r="H46" s="126"/>
      <c r="I46" s="128"/>
    </row>
    <row r="47" hidden="1" outlineLevel="2">
      <c r="A47" s="88" t="s">
        <v>86</v>
      </c>
      <c r="B47" s="260">
        <v>40.0</v>
      </c>
      <c r="C47" s="261">
        <v>40.0</v>
      </c>
      <c r="D47" s="261">
        <v>40.0</v>
      </c>
      <c r="E47" s="261">
        <v>40.0</v>
      </c>
      <c r="F47" s="261">
        <v>40.0</v>
      </c>
      <c r="G47" s="261">
        <v>40.0</v>
      </c>
      <c r="H47" s="262">
        <v>40.0</v>
      </c>
      <c r="I47" s="263"/>
    </row>
    <row r="48" hidden="1" outlineLevel="2">
      <c r="A48" s="73" t="s">
        <v>96</v>
      </c>
      <c r="B48" s="152">
        <f t="shared" ref="B48:H48" si="16">B46/B47</f>
        <v>1</v>
      </c>
      <c r="C48" s="153">
        <f t="shared" si="16"/>
        <v>1</v>
      </c>
      <c r="D48" s="153">
        <f t="shared" si="16"/>
        <v>1</v>
      </c>
      <c r="E48" s="153">
        <f t="shared" si="16"/>
        <v>1</v>
      </c>
      <c r="F48" s="153">
        <f t="shared" si="16"/>
        <v>1</v>
      </c>
      <c r="G48" s="153">
        <f t="shared" si="16"/>
        <v>1</v>
      </c>
      <c r="H48" s="154">
        <f t="shared" si="16"/>
        <v>0</v>
      </c>
      <c r="I48" s="155"/>
    </row>
    <row r="49" hidden="1" outlineLevel="2">
      <c r="A49" s="51" t="s">
        <v>99</v>
      </c>
      <c r="B49" s="53"/>
      <c r="C49" s="54"/>
      <c r="D49" s="54"/>
      <c r="E49" s="54"/>
      <c r="F49" s="54"/>
      <c r="G49" s="56"/>
      <c r="H49" s="48"/>
      <c r="I49" s="48"/>
    </row>
    <row r="50" hidden="1" outlineLevel="2">
      <c r="A50" s="83" t="s">
        <v>101</v>
      </c>
      <c r="B50" s="259" t="s">
        <v>109</v>
      </c>
      <c r="C50" s="124" t="s">
        <v>113</v>
      </c>
      <c r="D50" s="124" t="s">
        <v>113</v>
      </c>
      <c r="E50" s="124" t="s">
        <v>113</v>
      </c>
      <c r="F50" s="124" t="s">
        <v>113</v>
      </c>
      <c r="G50" s="124" t="s">
        <v>109</v>
      </c>
      <c r="H50" s="126" t="s">
        <v>113</v>
      </c>
      <c r="I50" s="128"/>
    </row>
    <row r="51" hidden="1" outlineLevel="2">
      <c r="A51" s="83" t="s">
        <v>117</v>
      </c>
      <c r="B51" s="259" t="s">
        <v>118</v>
      </c>
      <c r="C51" s="124" t="s">
        <v>119</v>
      </c>
      <c r="D51" s="124" t="s">
        <v>118</v>
      </c>
      <c r="E51" s="124" t="s">
        <v>119</v>
      </c>
      <c r="F51" s="124" t="s">
        <v>118</v>
      </c>
      <c r="G51" s="124" t="s">
        <v>119</v>
      </c>
      <c r="H51" s="126" t="s">
        <v>119</v>
      </c>
      <c r="I51" s="128"/>
    </row>
    <row r="52" hidden="1" outlineLevel="2">
      <c r="A52" s="83" t="s">
        <v>120</v>
      </c>
      <c r="B52" s="271">
        <f>IF(B42&lt;B43,B43,B42) *
IF(B50="AM",
    IF(B51="Oricle",4,
    IF(B51="Other Brands",3,
    IF(B51="Oricle Prio",0.6,""))),
 IF(B50="MID",
    IF(B51="Oricle",2.5,
    IF(B51="Other Brands",3,
    IF(B51="Oricle Prio",0.6,""))),
 IF(B50="GY",
    IF(B51="Oricle",0.9,
    IF(B51="Other Brands",0.9,
    IF(B51="Oricle Prio",0.3,""))),"")))-17</f>
        <v>125.11</v>
      </c>
      <c r="C52" s="273">
        <f t="shared" ref="C52:D52" si="17">IF(C42&lt;C43,C43,C42) *
IF(C50="AM",
    IF(C51="Oricle",4,
    IF(C51="Other Brands",3,
    IF(C51="Oricle Prio",0.6,""))),
 IF(C50="MID",
    IF(C51="Oricle",2.5,
    IF(C51="Other Brands",3,
    IF(C51="Oricle Prio",0.6,""))),
 IF(C50="GY",
    IF(C51="Oricle",0.9,
    IF(C51="Other Brands",0.9,
    IF(C51="Oricle Prio",0.3,""))),"")))</f>
        <v>216.2</v>
      </c>
      <c r="D52" s="273">
        <f t="shared" si="17"/>
        <v>140.82</v>
      </c>
      <c r="E52" s="273">
        <f>IF(E42&lt;E43,E43,E42) *
IF(E50="AM",
    IF(E51="Oricle",4,
    IF(E51="Other Brands",3,
    IF(E51="Oricle Prio",0.6,""))),
 IF(E50="MID",
    IF(E51="Oricle",2.5,
    IF(E51="Other Brands",3,
    IF(E51="Oricle Prio",0.6,""))),
 IF(E50="GY",
    IF(E51="Oricle",0.9,
    IF(E51="Other Brands",0.9,
    IF(E51="Oricle Prio",0.3,""))),"")))-25-13</f>
        <v>168.08</v>
      </c>
      <c r="F52" s="273">
        <f t="shared" ref="F52:G52" si="18">IF(F42&lt;F43,F43,F42) *
IF(F50="AM",
    IF(F51="Oricle",4,
    IF(F51="Other Brands",3,
    IF(F51="Oricle Prio",0.6,""))),
 IF(F50="MID",
    IF(F51="Oricle",2.5,
    IF(F51="Other Brands",3,
    IF(F51="Oricle Prio",0.6,""))),
 IF(F50="GY",
    IF(F51="Oricle",0.9,
    IF(F51="Other Brands",0.9,
    IF(F51="Oricle Prio",0.3,""))),"")))</f>
        <v>89.22</v>
      </c>
      <c r="G52" s="273">
        <f t="shared" si="18"/>
        <v>130.45</v>
      </c>
      <c r="H52" s="139" t="str">
        <f>IF(H42&lt;#REF!,#REF!,H42) *
IF(H50="AM",
    IF(H51="Oricle",2.5,
    IF(H51="Other Brands",3,
    IF(H51="Oricle Prio",0.6,""))),
 IF(H50="MID",
    IF(H51="Oricle",2.5,
    IF(H51="Other Brands",3,
    IF(H51="Oricle Prio",0.6,""))),
 IF(H50="GY",
    IF(H51="Oricle",0.9,
    IF(H51="Other Brands",0.9,
    IF(H51="Oricle Prio",0.3,""))),"")))</f>
        <v>#REF!</v>
      </c>
      <c r="I52" s="140"/>
    </row>
    <row r="53" hidden="1" outlineLevel="2">
      <c r="A53" s="83" t="s">
        <v>131</v>
      </c>
      <c r="B53" s="259" t="s">
        <v>249</v>
      </c>
      <c r="C53" s="124" t="s">
        <v>251</v>
      </c>
      <c r="D53" s="124" t="s">
        <v>252</v>
      </c>
      <c r="E53" s="124" t="s">
        <v>142</v>
      </c>
      <c r="F53" s="124" t="s">
        <v>253</v>
      </c>
      <c r="G53" s="124" t="s">
        <v>254</v>
      </c>
      <c r="H53" s="126"/>
      <c r="I53" s="128"/>
    </row>
    <row r="54" hidden="1" outlineLevel="2">
      <c r="A54" s="83" t="s">
        <v>138</v>
      </c>
      <c r="B54" s="259" t="s">
        <v>256</v>
      </c>
      <c r="C54" s="124" t="s">
        <v>257</v>
      </c>
      <c r="D54" s="124" t="s">
        <v>258</v>
      </c>
      <c r="E54" s="124" t="s">
        <v>259</v>
      </c>
      <c r="F54" s="124" t="s">
        <v>260</v>
      </c>
      <c r="G54" s="124" t="s">
        <v>254</v>
      </c>
      <c r="H54" s="126"/>
      <c r="I54" s="128"/>
    </row>
    <row r="55" hidden="1" outlineLevel="2">
      <c r="A55" s="88" t="s">
        <v>149</v>
      </c>
      <c r="B55" s="152">
        <f t="shared" ref="B55:H55" si="19">IF(B53&gt;0,B54/B53,0)</f>
        <v>0.9692307692</v>
      </c>
      <c r="C55" s="153">
        <f t="shared" si="19"/>
        <v>0.9935483871</v>
      </c>
      <c r="D55" s="153">
        <f t="shared" si="19"/>
        <v>0.9775280899</v>
      </c>
      <c r="E55" s="153">
        <f t="shared" si="19"/>
        <v>0.9836065574</v>
      </c>
      <c r="F55" s="153">
        <f t="shared" si="19"/>
        <v>0.9888888889</v>
      </c>
      <c r="G55" s="153">
        <f t="shared" si="19"/>
        <v>1</v>
      </c>
      <c r="H55" s="154">
        <f t="shared" si="19"/>
        <v>0</v>
      </c>
      <c r="I55" s="155"/>
    </row>
    <row r="56" hidden="1" outlineLevel="2">
      <c r="A56" s="88" t="s">
        <v>156</v>
      </c>
      <c r="B56" s="152">
        <f t="shared" ref="B56:H56" si="20">IF(B52&gt;0,B54/B52,0)</f>
        <v>1.00711374</v>
      </c>
      <c r="C56" s="153">
        <f t="shared" si="20"/>
        <v>0.7123034228</v>
      </c>
      <c r="D56" s="153">
        <f t="shared" si="20"/>
        <v>1.23561994</v>
      </c>
      <c r="E56" s="153">
        <f t="shared" si="20"/>
        <v>1.07091861</v>
      </c>
      <c r="F56" s="153">
        <f t="shared" si="20"/>
        <v>0.9975341852</v>
      </c>
      <c r="G56" s="153">
        <f t="shared" si="20"/>
        <v>1.31851284</v>
      </c>
      <c r="H56" s="154" t="str">
        <f t="shared" si="20"/>
        <v>#REF!</v>
      </c>
      <c r="I56" s="155"/>
    </row>
    <row r="57" hidden="1" outlineLevel="2">
      <c r="A57" s="159" t="s">
        <v>13</v>
      </c>
      <c r="B57" s="152">
        <f t="shared" ref="B57:H57" si="21">average(B55:B56)</f>
        <v>0.9881722546</v>
      </c>
      <c r="C57" s="153">
        <f t="shared" si="21"/>
        <v>0.8529259049</v>
      </c>
      <c r="D57" s="153">
        <f t="shared" si="21"/>
        <v>1.106574015</v>
      </c>
      <c r="E57" s="153">
        <f t="shared" si="21"/>
        <v>1.027262584</v>
      </c>
      <c r="F57" s="153">
        <f t="shared" si="21"/>
        <v>0.993211537</v>
      </c>
      <c r="G57" s="153">
        <f t="shared" si="21"/>
        <v>1.15925642</v>
      </c>
      <c r="H57" s="154" t="str">
        <f t="shared" si="21"/>
        <v>#REF!</v>
      </c>
      <c r="I57" s="155"/>
    </row>
    <row r="58" hidden="1" outlineLevel="2">
      <c r="A58" s="51" t="s">
        <v>161</v>
      </c>
      <c r="B58" s="53"/>
      <c r="C58" s="54"/>
      <c r="D58" s="54"/>
      <c r="E58" s="54"/>
      <c r="F58" s="54"/>
      <c r="G58" s="56"/>
      <c r="H58" s="48"/>
      <c r="I58" s="48"/>
    </row>
    <row r="59" hidden="1" outlineLevel="2">
      <c r="A59" s="83" t="s">
        <v>162</v>
      </c>
      <c r="B59" s="259" t="s">
        <v>167</v>
      </c>
      <c r="C59" s="124" t="s">
        <v>165</v>
      </c>
      <c r="D59" s="124" t="s">
        <v>267</v>
      </c>
      <c r="E59" s="124" t="s">
        <v>164</v>
      </c>
      <c r="F59" s="124" t="s">
        <v>268</v>
      </c>
      <c r="G59" s="124" t="s">
        <v>164</v>
      </c>
      <c r="H59" s="126"/>
      <c r="I59" s="128"/>
    </row>
    <row r="60" hidden="1" outlineLevel="2">
      <c r="A60" s="88" t="s">
        <v>169</v>
      </c>
      <c r="B60" s="165">
        <v>10.0</v>
      </c>
      <c r="C60" s="166">
        <v>10.0</v>
      </c>
      <c r="D60" s="166">
        <v>10.0</v>
      </c>
      <c r="E60" s="166">
        <v>10.0</v>
      </c>
      <c r="F60" s="166">
        <v>10.0</v>
      </c>
      <c r="G60" s="166">
        <v>10.0</v>
      </c>
      <c r="H60" s="168">
        <v>10.0</v>
      </c>
      <c r="I60" s="170"/>
    </row>
    <row r="61" hidden="1" outlineLevel="2">
      <c r="A61" s="73" t="s">
        <v>170</v>
      </c>
      <c r="B61" s="152">
        <f t="shared" ref="B61:H61" si="22">IF(B59=0,0,B59/B60)</f>
        <v>0.966</v>
      </c>
      <c r="C61" s="153">
        <f t="shared" si="22"/>
        <v>0.933</v>
      </c>
      <c r="D61" s="153">
        <f t="shared" si="22"/>
        <v>0.945</v>
      </c>
      <c r="E61" s="153">
        <f t="shared" si="22"/>
        <v>1</v>
      </c>
      <c r="F61" s="153">
        <f t="shared" si="22"/>
        <v>0.985</v>
      </c>
      <c r="G61" s="153">
        <f t="shared" si="22"/>
        <v>1</v>
      </c>
      <c r="H61" s="154">
        <f t="shared" si="22"/>
        <v>0</v>
      </c>
      <c r="I61" s="155"/>
    </row>
    <row r="62" hidden="1" outlineLevel="2">
      <c r="A62" s="51" t="s">
        <v>173</v>
      </c>
      <c r="B62" s="53"/>
      <c r="C62" s="54"/>
      <c r="D62" s="54"/>
      <c r="E62" s="54"/>
      <c r="F62" s="54"/>
      <c r="G62" s="56"/>
      <c r="H62" s="48"/>
      <c r="I62" s="48"/>
    </row>
    <row r="63" hidden="1" outlineLevel="2">
      <c r="A63" s="83" t="s">
        <v>175</v>
      </c>
      <c r="B63" s="175" t="s">
        <v>177</v>
      </c>
      <c r="C63" s="176" t="s">
        <v>177</v>
      </c>
      <c r="D63" s="176" t="s">
        <v>177</v>
      </c>
      <c r="E63" s="176" t="s">
        <v>177</v>
      </c>
      <c r="F63" s="176" t="s">
        <v>177</v>
      </c>
      <c r="G63" s="176" t="s">
        <v>177</v>
      </c>
      <c r="H63" s="178" t="s">
        <v>177</v>
      </c>
      <c r="I63" s="179"/>
    </row>
    <row r="64" hidden="1" outlineLevel="2">
      <c r="A64" s="180" t="s">
        <v>179</v>
      </c>
      <c r="B64" s="53"/>
      <c r="C64" s="54"/>
      <c r="D64" s="54"/>
      <c r="E64" s="54"/>
      <c r="F64" s="54"/>
      <c r="G64" s="56"/>
      <c r="H64" s="48"/>
      <c r="I64" s="48"/>
    </row>
    <row r="65" hidden="1" outlineLevel="2">
      <c r="A65" s="88" t="s">
        <v>180</v>
      </c>
      <c r="B65" s="181">
        <f t="shared" ref="B65:G65" si="23">B44*25</f>
        <v>32.00675676</v>
      </c>
      <c r="C65" s="182">
        <f t="shared" si="23"/>
        <v>33.78125</v>
      </c>
      <c r="D65" s="182">
        <f t="shared" si="23"/>
        <v>29.3375</v>
      </c>
      <c r="E65" s="182">
        <f t="shared" si="23"/>
        <v>34.81081081</v>
      </c>
      <c r="F65" s="182">
        <f t="shared" si="23"/>
        <v>26.0877193</v>
      </c>
      <c r="G65" s="182">
        <f t="shared" si="23"/>
        <v>32.6125</v>
      </c>
      <c r="H65" s="183">
        <f>H43*25</f>
        <v>0</v>
      </c>
      <c r="I65" s="184"/>
    </row>
    <row r="66" hidden="1" outlineLevel="2">
      <c r="A66" s="88" t="s">
        <v>182</v>
      </c>
      <c r="B66" s="181">
        <f t="shared" ref="B66:H66" si="24">B48*35</f>
        <v>35</v>
      </c>
      <c r="C66" s="182">
        <f t="shared" si="24"/>
        <v>35</v>
      </c>
      <c r="D66" s="182">
        <f t="shared" si="24"/>
        <v>35</v>
      </c>
      <c r="E66" s="182">
        <f t="shared" si="24"/>
        <v>35</v>
      </c>
      <c r="F66" s="182">
        <f t="shared" si="24"/>
        <v>35</v>
      </c>
      <c r="G66" s="182">
        <f t="shared" si="24"/>
        <v>35</v>
      </c>
      <c r="H66" s="183">
        <f t="shared" si="24"/>
        <v>0</v>
      </c>
      <c r="I66" s="184"/>
    </row>
    <row r="67" hidden="1" outlineLevel="2">
      <c r="A67" s="88" t="s">
        <v>184</v>
      </c>
      <c r="B67" s="181">
        <f t="shared" ref="B67:H67" si="25">IF(AND(B48&lt;85%, B57&gt;100%), 25, B57*25)</f>
        <v>24.70430636</v>
      </c>
      <c r="C67" s="182">
        <f t="shared" si="25"/>
        <v>21.32314762</v>
      </c>
      <c r="D67" s="182">
        <f t="shared" si="25"/>
        <v>27.66435038</v>
      </c>
      <c r="E67" s="182">
        <f t="shared" si="25"/>
        <v>25.68156459</v>
      </c>
      <c r="F67" s="182">
        <f t="shared" si="25"/>
        <v>24.83028843</v>
      </c>
      <c r="G67" s="182">
        <f t="shared" si="25"/>
        <v>28.9814105</v>
      </c>
      <c r="H67" s="183" t="str">
        <f t="shared" si="25"/>
        <v>#REF!</v>
      </c>
      <c r="I67" s="184"/>
    </row>
    <row r="68" hidden="1" outlineLevel="2">
      <c r="A68" s="88" t="s">
        <v>187</v>
      </c>
      <c r="B68" s="181">
        <f t="shared" ref="B68:H68" si="26">B61*15</f>
        <v>14.49</v>
      </c>
      <c r="C68" s="182">
        <f t="shared" si="26"/>
        <v>13.995</v>
      </c>
      <c r="D68" s="182">
        <f t="shared" si="26"/>
        <v>14.175</v>
      </c>
      <c r="E68" s="182">
        <f t="shared" si="26"/>
        <v>15</v>
      </c>
      <c r="F68" s="182">
        <f t="shared" si="26"/>
        <v>14.775</v>
      </c>
      <c r="G68" s="182">
        <f t="shared" si="26"/>
        <v>15</v>
      </c>
      <c r="H68" s="183">
        <f t="shared" si="26"/>
        <v>0</v>
      </c>
      <c r="I68" s="184"/>
    </row>
    <row r="69" hidden="1" outlineLevel="2">
      <c r="A69" s="88" t="s">
        <v>188</v>
      </c>
      <c r="B69" s="181">
        <f t="shared" ref="B69:H69" si="27">B63*-10</f>
        <v>0</v>
      </c>
      <c r="C69" s="182">
        <f t="shared" si="27"/>
        <v>0</v>
      </c>
      <c r="D69" s="182">
        <f t="shared" si="27"/>
        <v>0</v>
      </c>
      <c r="E69" s="182">
        <f t="shared" si="27"/>
        <v>0</v>
      </c>
      <c r="F69" s="182">
        <f t="shared" si="27"/>
        <v>0</v>
      </c>
      <c r="G69" s="182">
        <f t="shared" si="27"/>
        <v>0</v>
      </c>
      <c r="H69" s="183">
        <f t="shared" si="27"/>
        <v>0</v>
      </c>
      <c r="I69" s="184"/>
    </row>
    <row r="70" hidden="1" outlineLevel="2">
      <c r="A70" s="187" t="s">
        <v>190</v>
      </c>
      <c r="B70" s="181">
        <f t="shared" ref="B70:H70" si="28">B65+B66+B67+B68+B69</f>
        <v>106.2010631</v>
      </c>
      <c r="C70" s="182">
        <f t="shared" si="28"/>
        <v>104.0993976</v>
      </c>
      <c r="D70" s="182">
        <f t="shared" si="28"/>
        <v>106.1768504</v>
      </c>
      <c r="E70" s="182">
        <f t="shared" si="28"/>
        <v>110.4923754</v>
      </c>
      <c r="F70" s="182">
        <f t="shared" si="28"/>
        <v>100.6930077</v>
      </c>
      <c r="G70" s="182">
        <f t="shared" si="28"/>
        <v>111.5939105</v>
      </c>
      <c r="H70" s="183" t="str">
        <f t="shared" si="28"/>
        <v>#REF!</v>
      </c>
      <c r="I70" s="184"/>
    </row>
    <row r="71" hidden="1" outlineLevel="2">
      <c r="A71" s="73" t="s">
        <v>193</v>
      </c>
      <c r="B71" s="279">
        <f t="shared" ref="B71:H71" si="29">B70/100</f>
        <v>1.062010631</v>
      </c>
      <c r="C71" s="280">
        <f t="shared" si="29"/>
        <v>1.040993976</v>
      </c>
      <c r="D71" s="280">
        <f t="shared" si="29"/>
        <v>1.061768504</v>
      </c>
      <c r="E71" s="280">
        <f t="shared" si="29"/>
        <v>1.104923754</v>
      </c>
      <c r="F71" s="280">
        <f t="shared" si="29"/>
        <v>1.006930077</v>
      </c>
      <c r="G71" s="280">
        <f t="shared" si="29"/>
        <v>1.115939105</v>
      </c>
      <c r="H71" s="281" t="str">
        <f t="shared" si="29"/>
        <v>#REF!</v>
      </c>
      <c r="I71" s="282"/>
    </row>
    <row r="72" hidden="1" outlineLevel="2">
      <c r="A72" s="180" t="s">
        <v>203</v>
      </c>
      <c r="B72" s="283" t="s">
        <v>204</v>
      </c>
      <c r="C72" s="284" t="s">
        <v>204</v>
      </c>
      <c r="D72" s="284" t="s">
        <v>204</v>
      </c>
      <c r="E72" s="284" t="s">
        <v>204</v>
      </c>
      <c r="F72" s="284" t="s">
        <v>204</v>
      </c>
      <c r="G72" s="284" t="s">
        <v>206</v>
      </c>
      <c r="H72" s="285" t="s">
        <v>204</v>
      </c>
      <c r="I72" s="286"/>
    </row>
    <row r="73" hidden="1" outlineLevel="2">
      <c r="A73" s="180" t="s">
        <v>208</v>
      </c>
      <c r="B73" s="216"/>
      <c r="C73" s="217"/>
      <c r="D73" s="217"/>
      <c r="E73" s="217"/>
      <c r="F73" s="217"/>
      <c r="G73" s="217"/>
      <c r="H73" s="221"/>
      <c r="I73" s="222"/>
    </row>
    <row r="74" hidden="1" outlineLevel="1" collapsed="1">
      <c r="A74" s="32"/>
      <c r="B74" s="33" t="s">
        <v>288</v>
      </c>
      <c r="C74" s="34"/>
      <c r="D74" s="34"/>
      <c r="E74" s="34"/>
      <c r="F74" s="34"/>
      <c r="G74" s="34"/>
      <c r="H74" s="35"/>
      <c r="I74" s="36"/>
    </row>
    <row r="75" hidden="1" outlineLevel="2">
      <c r="A75" s="228"/>
      <c r="B75" s="230" t="s">
        <v>56</v>
      </c>
      <c r="C75" s="233" t="s">
        <v>57</v>
      </c>
      <c r="D75" s="233" t="s">
        <v>21</v>
      </c>
      <c r="E75" s="233" t="s">
        <v>32</v>
      </c>
      <c r="F75" s="233" t="s">
        <v>58</v>
      </c>
      <c r="G75" s="234" t="s">
        <v>59</v>
      </c>
      <c r="H75" s="287" t="s">
        <v>7</v>
      </c>
      <c r="I75" s="288"/>
    </row>
    <row r="76" hidden="1" outlineLevel="2">
      <c r="A76" s="44" t="s">
        <v>60</v>
      </c>
      <c r="B76" s="289" t="s">
        <v>288</v>
      </c>
      <c r="C76" s="290"/>
      <c r="D76" s="290"/>
      <c r="E76" s="290"/>
      <c r="F76" s="290"/>
      <c r="G76" s="290"/>
      <c r="H76" s="291"/>
      <c r="I76" s="239"/>
    </row>
    <row r="77" hidden="1" outlineLevel="2">
      <c r="A77" s="51" t="s">
        <v>64</v>
      </c>
      <c r="B77" s="53"/>
      <c r="C77" s="54"/>
      <c r="D77" s="54"/>
      <c r="E77" s="54"/>
      <c r="F77" s="54"/>
      <c r="G77" s="54"/>
      <c r="H77" s="56"/>
      <c r="I77" s="240"/>
    </row>
    <row r="78" hidden="1" outlineLevel="2">
      <c r="A78" s="58" t="s">
        <v>69</v>
      </c>
      <c r="B78" s="292">
        <v>31.53</v>
      </c>
      <c r="C78" s="293">
        <v>54.51</v>
      </c>
      <c r="D78" s="293">
        <v>48.26</v>
      </c>
      <c r="E78" s="293">
        <v>44.06</v>
      </c>
      <c r="F78" s="293">
        <v>53.22</v>
      </c>
      <c r="G78" s="293">
        <v>54.41</v>
      </c>
      <c r="H78" s="294">
        <v>40.0</v>
      </c>
      <c r="I78" s="295"/>
    </row>
    <row r="79" hidden="1" outlineLevel="2">
      <c r="A79" s="68" t="s">
        <v>75</v>
      </c>
      <c r="B79" s="248">
        <v>37.0</v>
      </c>
      <c r="C79" s="70">
        <v>40.0</v>
      </c>
      <c r="D79" s="70">
        <v>40.0</v>
      </c>
      <c r="E79" s="70">
        <v>37.0</v>
      </c>
      <c r="F79" s="296">
        <v>39.5</v>
      </c>
      <c r="G79" s="70">
        <v>40.0</v>
      </c>
      <c r="H79" s="71">
        <v>40.0</v>
      </c>
      <c r="I79" s="72"/>
    </row>
    <row r="80" hidden="1" outlineLevel="2">
      <c r="A80" s="73" t="s">
        <v>76</v>
      </c>
      <c r="B80" s="297">
        <f t="shared" ref="B80:H80" si="30">B78/B79</f>
        <v>0.8521621622</v>
      </c>
      <c r="C80" s="298">
        <f t="shared" si="30"/>
        <v>1.36275</v>
      </c>
      <c r="D80" s="298">
        <f t="shared" si="30"/>
        <v>1.2065</v>
      </c>
      <c r="E80" s="298">
        <f t="shared" si="30"/>
        <v>1.190810811</v>
      </c>
      <c r="F80" s="298">
        <f t="shared" si="30"/>
        <v>1.347341772</v>
      </c>
      <c r="G80" s="298">
        <f t="shared" si="30"/>
        <v>1.36025</v>
      </c>
      <c r="H80" s="299">
        <f t="shared" si="30"/>
        <v>1</v>
      </c>
      <c r="I80" s="300"/>
    </row>
    <row r="81" hidden="1" outlineLevel="2">
      <c r="A81" s="51" t="s">
        <v>79</v>
      </c>
      <c r="B81" s="53"/>
      <c r="C81" s="54"/>
      <c r="D81" s="54"/>
      <c r="E81" s="54"/>
      <c r="F81" s="54"/>
      <c r="G81" s="54"/>
      <c r="H81" s="56"/>
      <c r="I81" s="240"/>
    </row>
    <row r="82" hidden="1" outlineLevel="2">
      <c r="A82" s="83" t="s">
        <v>81</v>
      </c>
      <c r="B82" s="292">
        <v>40.0</v>
      </c>
      <c r="C82" s="293">
        <v>40.0</v>
      </c>
      <c r="D82" s="293">
        <v>40.0</v>
      </c>
      <c r="E82" s="293">
        <v>40.0</v>
      </c>
      <c r="F82" s="293">
        <v>40.0</v>
      </c>
      <c r="G82" s="293">
        <v>39.83</v>
      </c>
      <c r="H82" s="294">
        <v>36.4</v>
      </c>
      <c r="I82" s="295"/>
    </row>
    <row r="83" hidden="1" outlineLevel="2">
      <c r="A83" s="88" t="s">
        <v>86</v>
      </c>
      <c r="B83" s="260">
        <v>40.0</v>
      </c>
      <c r="C83" s="261">
        <v>40.0</v>
      </c>
      <c r="D83" s="261">
        <v>40.0</v>
      </c>
      <c r="E83" s="261">
        <v>40.0</v>
      </c>
      <c r="F83" s="261">
        <v>40.0</v>
      </c>
      <c r="G83" s="261">
        <v>40.0</v>
      </c>
      <c r="H83" s="262">
        <v>40.0</v>
      </c>
      <c r="I83" s="263"/>
    </row>
    <row r="84" hidden="1" outlineLevel="2">
      <c r="A84" s="73" t="s">
        <v>96</v>
      </c>
      <c r="B84" s="297">
        <f t="shared" ref="B84:H84" si="31">B82/B83</f>
        <v>1</v>
      </c>
      <c r="C84" s="298">
        <f t="shared" si="31"/>
        <v>1</v>
      </c>
      <c r="D84" s="298">
        <f t="shared" si="31"/>
        <v>1</v>
      </c>
      <c r="E84" s="298">
        <f t="shared" si="31"/>
        <v>1</v>
      </c>
      <c r="F84" s="298">
        <f t="shared" si="31"/>
        <v>1</v>
      </c>
      <c r="G84" s="298">
        <f t="shared" si="31"/>
        <v>0.99575</v>
      </c>
      <c r="H84" s="299">
        <f t="shared" si="31"/>
        <v>0.91</v>
      </c>
      <c r="I84" s="300"/>
    </row>
    <row r="85" hidden="1" outlineLevel="2">
      <c r="A85" s="51" t="s">
        <v>99</v>
      </c>
      <c r="B85" s="53"/>
      <c r="C85" s="54"/>
      <c r="D85" s="54"/>
      <c r="E85" s="54"/>
      <c r="F85" s="54"/>
      <c r="G85" s="54"/>
      <c r="H85" s="56"/>
      <c r="I85" s="240"/>
    </row>
    <row r="86" hidden="1" outlineLevel="2">
      <c r="A86" s="83" t="s">
        <v>101</v>
      </c>
      <c r="B86" s="259" t="s">
        <v>109</v>
      </c>
      <c r="C86" s="124" t="s">
        <v>113</v>
      </c>
      <c r="D86" s="124" t="s">
        <v>113</v>
      </c>
      <c r="E86" s="124" t="s">
        <v>113</v>
      </c>
      <c r="F86" s="124" t="s">
        <v>113</v>
      </c>
      <c r="G86" s="124" t="s">
        <v>109</v>
      </c>
      <c r="H86" s="301" t="s">
        <v>109</v>
      </c>
      <c r="I86" s="302"/>
    </row>
    <row r="87" hidden="1" outlineLevel="2">
      <c r="A87" s="83" t="s">
        <v>117</v>
      </c>
      <c r="B87" s="259" t="s">
        <v>118</v>
      </c>
      <c r="C87" s="124" t="s">
        <v>119</v>
      </c>
      <c r="D87" s="124" t="s">
        <v>118</v>
      </c>
      <c r="E87" s="124" t="s">
        <v>119</v>
      </c>
      <c r="F87" s="124" t="s">
        <v>118</v>
      </c>
      <c r="G87" s="124" t="s">
        <v>119</v>
      </c>
      <c r="H87" s="126" t="s">
        <v>119</v>
      </c>
      <c r="I87" s="128"/>
    </row>
    <row r="88" hidden="1" outlineLevel="2">
      <c r="A88" s="83" t="s">
        <v>120</v>
      </c>
      <c r="B88" s="271">
        <f>IF(B78&lt;B79,B79,B78) *
IF(B86="AM",
    IF(B87="Oricle",4,
    IF(B87="Other Brands",3,
    IF(B87="Oricle Prio",0.6,""))),
 IF(B86="MID",
    IF(B87="Oricle",2.5,
    IF(B87="Other Brands",3,
    IF(B87="Oricle Prio",0.6,""))),
 IF(B86="GY",
    IF(B87="Oricle",0.9,
    IF(B87="Other Brands",0.9,
    IF(B87="Oricle Prio",0.3,""))),"")))-17</f>
        <v>94</v>
      </c>
      <c r="C88" s="273">
        <f t="shared" ref="C88:D88" si="32">IF(C78&lt;C79,C79,C78) *
IF(C86="AM",
    IF(C87="Oricle",4,
    IF(C87="Other Brands",3,
    IF(C87="Oricle Prio",0.6,""))),
 IF(C86="MID",
    IF(C87="Oricle",2.5,
    IF(C87="Other Brands",3,
    IF(C87="Oricle Prio",0.6,""))),
 IF(C86="GY",
    IF(C87="Oricle",0.9,
    IF(C87="Other Brands",0.9,
    IF(C87="Oricle Prio",0.3,""))),"")))</f>
        <v>218.04</v>
      </c>
      <c r="D88" s="273">
        <f t="shared" si="32"/>
        <v>144.78</v>
      </c>
      <c r="E88" s="273">
        <f>IF(E78&lt;E79,E79,E78) *
IF(E86="AM",
    IF(E87="Oricle",4,
    IF(E87="Other Brands",3,
    IF(E87="Oricle Prio",0.6,""))),
 IF(E86="MID",
    IF(E87="Oricle",2.5,
    IF(E87="Other Brands",3,
    IF(E87="Oricle Prio",0.6,""))),
 IF(E86="GY",
    IF(E87="Oricle",0.9,
    IF(E87="Other Brands",0.9,
    IF(E87="Oricle Prio",0.3,""))),"")))-25-13</f>
        <v>138.24</v>
      </c>
      <c r="F88" s="273">
        <f t="shared" ref="F88:G88" si="33">IF(F78&lt;F79,F79,F78) *
IF(F86="AM",
    IF(F87="Oricle",4,
    IF(F87="Other Brands",3,
    IF(F87="Oricle Prio",0.6,""))),
 IF(F86="MID",
    IF(F87="Oricle",2.5,
    IF(F87="Other Brands",3,
    IF(F87="Oricle Prio",0.6,""))),
 IF(F86="GY",
    IF(F87="Oricle",0.9,
    IF(F87="Other Brands",0.9,
    IF(F87="Oricle Prio",0.3,""))),"")))</f>
        <v>159.66</v>
      </c>
      <c r="G88" s="273">
        <f t="shared" si="33"/>
        <v>136.025</v>
      </c>
      <c r="H88" s="304">
        <v>30.0</v>
      </c>
      <c r="I88" s="305"/>
    </row>
    <row r="89" hidden="1" outlineLevel="2">
      <c r="A89" s="83" t="s">
        <v>131</v>
      </c>
      <c r="B89" s="306" t="s">
        <v>306</v>
      </c>
      <c r="C89" s="123" t="s">
        <v>307</v>
      </c>
      <c r="D89" s="123" t="s">
        <v>308</v>
      </c>
      <c r="E89" s="123" t="s">
        <v>133</v>
      </c>
      <c r="F89" s="123" t="s">
        <v>309</v>
      </c>
      <c r="G89" s="123" t="s">
        <v>310</v>
      </c>
      <c r="H89" s="301" t="s">
        <v>311</v>
      </c>
      <c r="I89" s="302"/>
    </row>
    <row r="90" hidden="1" outlineLevel="2">
      <c r="A90" s="83" t="s">
        <v>138</v>
      </c>
      <c r="B90" s="306" t="s">
        <v>312</v>
      </c>
      <c r="C90" s="123" t="s">
        <v>313</v>
      </c>
      <c r="D90" s="123" t="s">
        <v>314</v>
      </c>
      <c r="E90" s="123" t="s">
        <v>315</v>
      </c>
      <c r="F90" s="123" t="s">
        <v>316</v>
      </c>
      <c r="G90" s="123" t="s">
        <v>318</v>
      </c>
      <c r="H90" s="301" t="s">
        <v>311</v>
      </c>
      <c r="I90" s="302"/>
    </row>
    <row r="91" hidden="1" outlineLevel="2">
      <c r="A91" s="88" t="s">
        <v>149</v>
      </c>
      <c r="B91" s="152">
        <f t="shared" ref="B91:H91" si="34">IF(B89&gt;0,B90/B89,0)</f>
        <v>0.9743589744</v>
      </c>
      <c r="C91" s="153">
        <f t="shared" si="34"/>
        <v>0.9855072464</v>
      </c>
      <c r="D91" s="153">
        <f t="shared" si="34"/>
        <v>0.9735099338</v>
      </c>
      <c r="E91" s="153">
        <f t="shared" si="34"/>
        <v>0.9915966387</v>
      </c>
      <c r="F91" s="153">
        <f t="shared" si="34"/>
        <v>0.9877300613</v>
      </c>
      <c r="G91" s="153">
        <f t="shared" si="34"/>
        <v>0.9928571429</v>
      </c>
      <c r="H91" s="154">
        <f t="shared" si="34"/>
        <v>1</v>
      </c>
      <c r="I91" s="155"/>
    </row>
    <row r="92" hidden="1" outlineLevel="2">
      <c r="A92" s="88" t="s">
        <v>156</v>
      </c>
      <c r="B92" s="152">
        <f t="shared" ref="B92:H92" si="35">IF(B88&gt;0,B90/B88,0)</f>
        <v>0.8085106383</v>
      </c>
      <c r="C92" s="153">
        <f t="shared" si="35"/>
        <v>0.6237387635</v>
      </c>
      <c r="D92" s="153">
        <f t="shared" si="35"/>
        <v>1.01533361</v>
      </c>
      <c r="E92" s="153">
        <f t="shared" si="35"/>
        <v>0.853587963</v>
      </c>
      <c r="F92" s="153">
        <f t="shared" si="35"/>
        <v>1.008392835</v>
      </c>
      <c r="G92" s="153">
        <f t="shared" si="35"/>
        <v>1.02187098</v>
      </c>
      <c r="H92" s="154">
        <f t="shared" si="35"/>
        <v>1</v>
      </c>
      <c r="I92" s="155"/>
    </row>
    <row r="93" hidden="1" outlineLevel="2">
      <c r="A93" s="159" t="s">
        <v>13</v>
      </c>
      <c r="B93" s="297">
        <f t="shared" ref="B93:H93" si="36">average(B91:B92)</f>
        <v>0.8914348063</v>
      </c>
      <c r="C93" s="298">
        <f t="shared" si="36"/>
        <v>0.804623005</v>
      </c>
      <c r="D93" s="298">
        <f t="shared" si="36"/>
        <v>0.9944217717</v>
      </c>
      <c r="E93" s="298">
        <f t="shared" si="36"/>
        <v>0.9225923008</v>
      </c>
      <c r="F93" s="298">
        <f t="shared" si="36"/>
        <v>0.9980614481</v>
      </c>
      <c r="G93" s="298">
        <f t="shared" si="36"/>
        <v>1.007364061</v>
      </c>
      <c r="H93" s="299">
        <f t="shared" si="36"/>
        <v>1</v>
      </c>
      <c r="I93" s="300"/>
    </row>
    <row r="94" hidden="1" outlineLevel="2">
      <c r="A94" s="51" t="s">
        <v>161</v>
      </c>
      <c r="B94" s="53"/>
      <c r="C94" s="54"/>
      <c r="D94" s="54"/>
      <c r="E94" s="54"/>
      <c r="F94" s="54"/>
      <c r="G94" s="54"/>
      <c r="H94" s="56"/>
      <c r="I94" s="240"/>
    </row>
    <row r="95" hidden="1" outlineLevel="2">
      <c r="A95" s="83" t="s">
        <v>162</v>
      </c>
      <c r="B95" s="292">
        <v>7.55</v>
      </c>
      <c r="C95" s="293">
        <v>9.15</v>
      </c>
      <c r="D95" s="293">
        <v>9.38</v>
      </c>
      <c r="E95" s="293">
        <v>10.0</v>
      </c>
      <c r="F95" s="293">
        <v>9.91</v>
      </c>
      <c r="G95" s="293">
        <v>9.33</v>
      </c>
      <c r="H95" s="294">
        <v>10.0</v>
      </c>
      <c r="I95" s="295"/>
    </row>
    <row r="96" hidden="1" outlineLevel="2">
      <c r="A96" s="88" t="s">
        <v>169</v>
      </c>
      <c r="B96" s="165">
        <v>10.0</v>
      </c>
      <c r="C96" s="166">
        <v>10.0</v>
      </c>
      <c r="D96" s="166">
        <v>10.0</v>
      </c>
      <c r="E96" s="166">
        <v>10.0</v>
      </c>
      <c r="F96" s="166">
        <v>10.0</v>
      </c>
      <c r="G96" s="166">
        <v>10.0</v>
      </c>
      <c r="H96" s="168">
        <v>10.0</v>
      </c>
      <c r="I96" s="170"/>
    </row>
    <row r="97" hidden="1" outlineLevel="2">
      <c r="A97" s="73" t="s">
        <v>170</v>
      </c>
      <c r="B97" s="297">
        <f t="shared" ref="B97:H97" si="37">IF(B95=0,0,B95/B96)</f>
        <v>0.755</v>
      </c>
      <c r="C97" s="298">
        <f t="shared" si="37"/>
        <v>0.915</v>
      </c>
      <c r="D97" s="298">
        <f t="shared" si="37"/>
        <v>0.938</v>
      </c>
      <c r="E97" s="298">
        <f t="shared" si="37"/>
        <v>1</v>
      </c>
      <c r="F97" s="298">
        <f t="shared" si="37"/>
        <v>0.991</v>
      </c>
      <c r="G97" s="298">
        <f t="shared" si="37"/>
        <v>0.933</v>
      </c>
      <c r="H97" s="299">
        <f t="shared" si="37"/>
        <v>1</v>
      </c>
      <c r="I97" s="300"/>
    </row>
    <row r="98" hidden="1" outlineLevel="2">
      <c r="A98" s="51" t="s">
        <v>173</v>
      </c>
      <c r="B98" s="53"/>
      <c r="C98" s="54"/>
      <c r="D98" s="54"/>
      <c r="E98" s="54"/>
      <c r="F98" s="54"/>
      <c r="G98" s="54"/>
      <c r="H98" s="56"/>
      <c r="I98" s="240"/>
    </row>
    <row r="99" hidden="1" outlineLevel="2">
      <c r="A99" s="83" t="s">
        <v>175</v>
      </c>
      <c r="B99" s="292">
        <v>0.0</v>
      </c>
      <c r="C99" s="293">
        <v>0.0</v>
      </c>
      <c r="D99" s="293">
        <v>0.0</v>
      </c>
      <c r="E99" s="293">
        <v>0.0</v>
      </c>
      <c r="F99" s="293">
        <v>0.0</v>
      </c>
      <c r="G99" s="293">
        <v>0.0</v>
      </c>
      <c r="H99" s="294">
        <v>0.0</v>
      </c>
      <c r="I99" s="295"/>
    </row>
    <row r="100" hidden="1" outlineLevel="2">
      <c r="A100" s="180" t="s">
        <v>179</v>
      </c>
      <c r="B100" s="53"/>
      <c r="C100" s="54"/>
      <c r="D100" s="54"/>
      <c r="E100" s="54"/>
      <c r="F100" s="54"/>
      <c r="G100" s="54"/>
      <c r="H100" s="56"/>
      <c r="I100" s="240"/>
    </row>
    <row r="101" hidden="1" outlineLevel="2">
      <c r="A101" s="88" t="s">
        <v>180</v>
      </c>
      <c r="B101" s="181">
        <f t="shared" ref="B101:H101" si="38">B80*25</f>
        <v>21.30405405</v>
      </c>
      <c r="C101" s="182">
        <f t="shared" si="38"/>
        <v>34.06875</v>
      </c>
      <c r="D101" s="182">
        <f t="shared" si="38"/>
        <v>30.1625</v>
      </c>
      <c r="E101" s="182">
        <f t="shared" si="38"/>
        <v>29.77027027</v>
      </c>
      <c r="F101" s="182">
        <f t="shared" si="38"/>
        <v>33.6835443</v>
      </c>
      <c r="G101" s="182">
        <f t="shared" si="38"/>
        <v>34.00625</v>
      </c>
      <c r="H101" s="183">
        <f t="shared" si="38"/>
        <v>25</v>
      </c>
      <c r="I101" s="184"/>
    </row>
    <row r="102" hidden="1" outlineLevel="2">
      <c r="A102" s="88" t="s">
        <v>182</v>
      </c>
      <c r="B102" s="181">
        <f t="shared" ref="B102:H102" si="39">B84*35</f>
        <v>35</v>
      </c>
      <c r="C102" s="182">
        <f t="shared" si="39"/>
        <v>35</v>
      </c>
      <c r="D102" s="182">
        <f t="shared" si="39"/>
        <v>35</v>
      </c>
      <c r="E102" s="182">
        <f t="shared" si="39"/>
        <v>35</v>
      </c>
      <c r="F102" s="182">
        <f t="shared" si="39"/>
        <v>35</v>
      </c>
      <c r="G102" s="182">
        <f t="shared" si="39"/>
        <v>34.85125</v>
      </c>
      <c r="H102" s="183">
        <f t="shared" si="39"/>
        <v>31.85</v>
      </c>
      <c r="I102" s="184"/>
    </row>
    <row r="103" hidden="1" outlineLevel="2">
      <c r="A103" s="88" t="s">
        <v>184</v>
      </c>
      <c r="B103" s="181">
        <f t="shared" ref="B103:H103" si="40">IF(AND(B84&lt;85%, B93&gt;100%), 25, B93*25)</f>
        <v>22.28587016</v>
      </c>
      <c r="C103" s="182">
        <f t="shared" si="40"/>
        <v>20.11557512</v>
      </c>
      <c r="D103" s="182">
        <f t="shared" si="40"/>
        <v>24.86054429</v>
      </c>
      <c r="E103" s="182">
        <f t="shared" si="40"/>
        <v>23.06480752</v>
      </c>
      <c r="F103" s="182">
        <f t="shared" si="40"/>
        <v>24.9515362</v>
      </c>
      <c r="G103" s="182">
        <f t="shared" si="40"/>
        <v>25.18410153</v>
      </c>
      <c r="H103" s="183">
        <f t="shared" si="40"/>
        <v>25</v>
      </c>
      <c r="I103" s="184"/>
    </row>
    <row r="104" hidden="1" outlineLevel="2">
      <c r="A104" s="88" t="s">
        <v>187</v>
      </c>
      <c r="B104" s="181">
        <f t="shared" ref="B104:H104" si="41">B97*15</f>
        <v>11.325</v>
      </c>
      <c r="C104" s="182">
        <f t="shared" si="41"/>
        <v>13.725</v>
      </c>
      <c r="D104" s="182">
        <f t="shared" si="41"/>
        <v>14.07</v>
      </c>
      <c r="E104" s="182">
        <f t="shared" si="41"/>
        <v>15</v>
      </c>
      <c r="F104" s="182">
        <f t="shared" si="41"/>
        <v>14.865</v>
      </c>
      <c r="G104" s="182">
        <f t="shared" si="41"/>
        <v>13.995</v>
      </c>
      <c r="H104" s="183">
        <f t="shared" si="41"/>
        <v>15</v>
      </c>
      <c r="I104" s="184"/>
    </row>
    <row r="105" hidden="1" outlineLevel="2">
      <c r="A105" s="88" t="s">
        <v>188</v>
      </c>
      <c r="B105" s="181">
        <f t="shared" ref="B105:H105" si="42">B99*-10</f>
        <v>0</v>
      </c>
      <c r="C105" s="182">
        <f t="shared" si="42"/>
        <v>0</v>
      </c>
      <c r="D105" s="182">
        <f t="shared" si="42"/>
        <v>0</v>
      </c>
      <c r="E105" s="182">
        <f t="shared" si="42"/>
        <v>0</v>
      </c>
      <c r="F105" s="182">
        <f t="shared" si="42"/>
        <v>0</v>
      </c>
      <c r="G105" s="182">
        <f t="shared" si="42"/>
        <v>0</v>
      </c>
      <c r="H105" s="183">
        <f t="shared" si="42"/>
        <v>0</v>
      </c>
      <c r="I105" s="184"/>
    </row>
    <row r="106" hidden="1" outlineLevel="2">
      <c r="A106" s="187" t="s">
        <v>190</v>
      </c>
      <c r="B106" s="181">
        <f t="shared" ref="B106:H106" si="43">B101+B102+B103+B104+B105</f>
        <v>89.91492421</v>
      </c>
      <c r="C106" s="182">
        <f t="shared" si="43"/>
        <v>102.9093251</v>
      </c>
      <c r="D106" s="182">
        <f t="shared" si="43"/>
        <v>104.0930443</v>
      </c>
      <c r="E106" s="182">
        <f t="shared" si="43"/>
        <v>102.8350778</v>
      </c>
      <c r="F106" s="182">
        <f t="shared" si="43"/>
        <v>108.5000805</v>
      </c>
      <c r="G106" s="182">
        <f t="shared" si="43"/>
        <v>108.0366015</v>
      </c>
      <c r="H106" s="183">
        <f t="shared" si="43"/>
        <v>96.85</v>
      </c>
      <c r="I106" s="184"/>
    </row>
    <row r="107" hidden="1" outlineLevel="2">
      <c r="A107" s="73" t="s">
        <v>193</v>
      </c>
      <c r="B107" s="74">
        <f t="shared" ref="B107:H107" si="44">B106/100</f>
        <v>0.8991492421</v>
      </c>
      <c r="C107" s="75">
        <f t="shared" si="44"/>
        <v>1.029093251</v>
      </c>
      <c r="D107" s="75">
        <f t="shared" si="44"/>
        <v>1.040930443</v>
      </c>
      <c r="E107" s="75">
        <f t="shared" si="44"/>
        <v>1.028350778</v>
      </c>
      <c r="F107" s="75">
        <f t="shared" si="44"/>
        <v>1.085000805</v>
      </c>
      <c r="G107" s="75">
        <f t="shared" si="44"/>
        <v>1.080366015</v>
      </c>
      <c r="H107" s="77">
        <f t="shared" si="44"/>
        <v>0.9685</v>
      </c>
      <c r="I107" s="79"/>
    </row>
    <row r="108" hidden="1" outlineLevel="2">
      <c r="A108" s="180" t="s">
        <v>203</v>
      </c>
      <c r="B108" s="203" t="s">
        <v>204</v>
      </c>
      <c r="C108" s="211" t="s">
        <v>204</v>
      </c>
      <c r="D108" s="211" t="s">
        <v>204</v>
      </c>
      <c r="E108" s="211" t="s">
        <v>204</v>
      </c>
      <c r="F108" s="211" t="s">
        <v>206</v>
      </c>
      <c r="G108" s="211" t="s">
        <v>204</v>
      </c>
      <c r="H108" s="315" t="s">
        <v>204</v>
      </c>
      <c r="I108" s="316"/>
    </row>
    <row r="109" hidden="1" outlineLevel="2">
      <c r="A109" s="180" t="s">
        <v>208</v>
      </c>
      <c r="B109" s="216"/>
      <c r="C109" s="217"/>
      <c r="D109" s="217"/>
      <c r="E109" s="217"/>
      <c r="F109" s="217"/>
      <c r="G109" s="217"/>
      <c r="H109" s="221"/>
      <c r="I109" s="222"/>
    </row>
    <row r="110" hidden="1" outlineLevel="1" collapsed="1">
      <c r="A110" s="32"/>
      <c r="B110" s="33" t="s">
        <v>356</v>
      </c>
      <c r="C110" s="34"/>
      <c r="D110" s="34"/>
      <c r="E110" s="34"/>
      <c r="F110" s="34"/>
      <c r="G110" s="34"/>
      <c r="H110" s="35"/>
      <c r="I110" s="36"/>
    </row>
    <row r="111" hidden="1" outlineLevel="2">
      <c r="A111" s="228"/>
      <c r="B111" s="317" t="s">
        <v>56</v>
      </c>
      <c r="C111" s="318" t="s">
        <v>57</v>
      </c>
      <c r="D111" s="318" t="s">
        <v>21</v>
      </c>
      <c r="E111" s="318" t="s">
        <v>32</v>
      </c>
      <c r="F111" s="318" t="s">
        <v>58</v>
      </c>
      <c r="G111" s="319" t="s">
        <v>59</v>
      </c>
      <c r="H111" s="320" t="s">
        <v>7</v>
      </c>
      <c r="I111" s="288"/>
    </row>
    <row r="112" hidden="1" outlineLevel="2">
      <c r="A112" s="44" t="s">
        <v>60</v>
      </c>
      <c r="B112" s="321" t="s">
        <v>361</v>
      </c>
      <c r="C112" s="290"/>
      <c r="D112" s="290"/>
      <c r="E112" s="290"/>
      <c r="F112" s="290"/>
      <c r="G112" s="290"/>
      <c r="H112" s="291"/>
      <c r="I112" s="322"/>
    </row>
    <row r="113" hidden="1" outlineLevel="2">
      <c r="A113" s="51" t="s">
        <v>64</v>
      </c>
      <c r="B113" s="53"/>
      <c r="C113" s="54"/>
      <c r="D113" s="54"/>
      <c r="E113" s="54"/>
      <c r="F113" s="54"/>
      <c r="G113" s="54"/>
      <c r="H113" s="56"/>
      <c r="I113" s="240"/>
    </row>
    <row r="114" hidden="1" outlineLevel="2">
      <c r="A114" s="58" t="s">
        <v>69</v>
      </c>
      <c r="B114" s="242">
        <v>47.54</v>
      </c>
      <c r="C114" s="243">
        <v>52.44</v>
      </c>
      <c r="D114" s="243">
        <v>46.29</v>
      </c>
      <c r="E114" s="243">
        <v>54.03</v>
      </c>
      <c r="F114" s="243">
        <v>45.49</v>
      </c>
      <c r="G114" s="243">
        <v>46.46</v>
      </c>
      <c r="H114" s="246">
        <v>48.0</v>
      </c>
      <c r="I114" s="247"/>
    </row>
    <row r="115" hidden="1" outlineLevel="2">
      <c r="A115" s="68" t="s">
        <v>75</v>
      </c>
      <c r="B115" s="248">
        <v>37.5</v>
      </c>
      <c r="C115" s="296">
        <v>39.0</v>
      </c>
      <c r="D115" s="70">
        <v>40.0</v>
      </c>
      <c r="E115" s="70">
        <v>39.0</v>
      </c>
      <c r="F115" s="70">
        <v>39.0</v>
      </c>
      <c r="G115" s="70">
        <v>40.0</v>
      </c>
      <c r="H115" s="71">
        <v>40.0</v>
      </c>
      <c r="I115" s="72"/>
    </row>
    <row r="116" hidden="1" outlineLevel="2">
      <c r="A116" s="73" t="s">
        <v>76</v>
      </c>
      <c r="B116" s="297">
        <f t="shared" ref="B116:H116" si="45">B114/B115</f>
        <v>1.267733333</v>
      </c>
      <c r="C116" s="298">
        <f t="shared" si="45"/>
        <v>1.344615385</v>
      </c>
      <c r="D116" s="298">
        <f t="shared" si="45"/>
        <v>1.15725</v>
      </c>
      <c r="E116" s="298">
        <f t="shared" si="45"/>
        <v>1.385384615</v>
      </c>
      <c r="F116" s="298">
        <f t="shared" si="45"/>
        <v>1.166410256</v>
      </c>
      <c r="G116" s="298">
        <f t="shared" si="45"/>
        <v>1.1615</v>
      </c>
      <c r="H116" s="299">
        <f t="shared" si="45"/>
        <v>1.2</v>
      </c>
      <c r="I116" s="300"/>
    </row>
    <row r="117" hidden="1" outlineLevel="2">
      <c r="A117" s="51" t="s">
        <v>79</v>
      </c>
      <c r="B117" s="53"/>
      <c r="C117" s="54"/>
      <c r="D117" s="54"/>
      <c r="E117" s="54"/>
      <c r="F117" s="54"/>
      <c r="G117" s="54"/>
      <c r="H117" s="56"/>
      <c r="I117" s="240"/>
    </row>
    <row r="118" hidden="1" outlineLevel="2">
      <c r="A118" s="83" t="s">
        <v>81</v>
      </c>
      <c r="B118" s="242">
        <v>40.0</v>
      </c>
      <c r="C118" s="243">
        <v>40.0</v>
      </c>
      <c r="D118" s="243">
        <v>27.3</v>
      </c>
      <c r="E118" s="243">
        <v>28.0</v>
      </c>
      <c r="F118" s="243">
        <v>40.0</v>
      </c>
      <c r="G118" s="243">
        <v>39.3</v>
      </c>
      <c r="H118" s="246">
        <v>39.73</v>
      </c>
      <c r="I118" s="247"/>
    </row>
    <row r="119" hidden="1" outlineLevel="2">
      <c r="A119" s="88" t="s">
        <v>86</v>
      </c>
      <c r="B119" s="260">
        <v>40.0</v>
      </c>
      <c r="C119" s="261">
        <v>40.0</v>
      </c>
      <c r="D119" s="261">
        <v>40.0</v>
      </c>
      <c r="E119" s="261">
        <v>40.0</v>
      </c>
      <c r="F119" s="261">
        <v>40.0</v>
      </c>
      <c r="G119" s="261">
        <v>40.0</v>
      </c>
      <c r="H119" s="262">
        <v>40.0</v>
      </c>
      <c r="I119" s="263"/>
    </row>
    <row r="120" hidden="1" outlineLevel="2">
      <c r="A120" s="73" t="s">
        <v>96</v>
      </c>
      <c r="B120" s="297">
        <f t="shared" ref="B120:H120" si="46">B118/B119</f>
        <v>1</v>
      </c>
      <c r="C120" s="298">
        <f t="shared" si="46"/>
        <v>1</v>
      </c>
      <c r="D120" s="298">
        <f t="shared" si="46"/>
        <v>0.6825</v>
      </c>
      <c r="E120" s="298">
        <f t="shared" si="46"/>
        <v>0.7</v>
      </c>
      <c r="F120" s="298">
        <f t="shared" si="46"/>
        <v>1</v>
      </c>
      <c r="G120" s="298">
        <f t="shared" si="46"/>
        <v>0.9825</v>
      </c>
      <c r="H120" s="299">
        <f t="shared" si="46"/>
        <v>0.99325</v>
      </c>
      <c r="I120" s="300"/>
    </row>
    <row r="121" hidden="1" outlineLevel="2">
      <c r="A121" s="51" t="s">
        <v>99</v>
      </c>
      <c r="B121" s="53"/>
      <c r="C121" s="54"/>
      <c r="D121" s="54"/>
      <c r="E121" s="54"/>
      <c r="F121" s="54"/>
      <c r="G121" s="54"/>
      <c r="H121" s="56"/>
      <c r="I121" s="240"/>
    </row>
    <row r="122" hidden="1" outlineLevel="2">
      <c r="A122" s="83" t="s">
        <v>101</v>
      </c>
      <c r="B122" s="259" t="s">
        <v>109</v>
      </c>
      <c r="C122" s="124" t="s">
        <v>113</v>
      </c>
      <c r="D122" s="124" t="s">
        <v>113</v>
      </c>
      <c r="E122" s="124" t="s">
        <v>109</v>
      </c>
      <c r="F122" s="124" t="s">
        <v>109</v>
      </c>
      <c r="G122" s="124" t="s">
        <v>109</v>
      </c>
      <c r="H122" s="126" t="s">
        <v>109</v>
      </c>
      <c r="I122" s="128"/>
    </row>
    <row r="123" hidden="1" outlineLevel="2">
      <c r="A123" s="83" t="s">
        <v>117</v>
      </c>
      <c r="B123" s="259" t="s">
        <v>118</v>
      </c>
      <c r="C123" s="124" t="s">
        <v>119</v>
      </c>
      <c r="D123" s="124" t="s">
        <v>118</v>
      </c>
      <c r="E123" s="124" t="s">
        <v>119</v>
      </c>
      <c r="F123" s="124" t="s">
        <v>118</v>
      </c>
      <c r="G123" s="124" t="s">
        <v>119</v>
      </c>
      <c r="H123" s="126" t="s">
        <v>119</v>
      </c>
      <c r="I123" s="128"/>
    </row>
    <row r="124" hidden="1" outlineLevel="2">
      <c r="A124" s="83" t="s">
        <v>120</v>
      </c>
      <c r="B124" s="271">
        <f>IF(B114&lt;B115,B115,B114) *
IF(B122="AM",
    IF(B123="Oricle",4,
    IF(B123="Other Brands",3,
    IF(B123="Oricle Prio",0.6,""))),
 IF(B122="MID",
    IF(B123="Oricle",2.5,
    IF(B123="Other Brands",3,
    IF(B123="Oricle Prio",0.6,""))),
 IF(B122="GY",
    IF(B123="Oricle",0.9,
    IF(B123="Other Brands",0.9,
    IF(B123="Oricle Prio",0.3,""))),"")))-17</f>
        <v>125.62</v>
      </c>
      <c r="C124" s="273">
        <f t="shared" ref="C124:D124" si="47">IF(C114&lt;C115,C115,C114) *
IF(C122="AM",
    IF(C123="Oricle",4,
    IF(C123="Other Brands",3,
    IF(C123="Oricle Prio",0.6,""))),
 IF(C122="MID",
    IF(C123="Oricle",2.5,
    IF(C123="Other Brands",3,
    IF(C123="Oricle Prio",0.6,""))),
 IF(C122="GY",
    IF(C123="Oricle",0.9,
    IF(C123="Other Brands",0.9,
    IF(C123="Oricle Prio",0.3,""))),"")))</f>
        <v>209.76</v>
      </c>
      <c r="D124" s="273">
        <f t="shared" si="47"/>
        <v>138.87</v>
      </c>
      <c r="E124" s="273">
        <f>IF(E114&lt;E115,E115,E114) *
IF(E122="AM",
    IF(E123="Oricle",4,
    IF(E123="Other Brands",3,
    IF(E123="Oricle Prio",0.6,""))),
 IF(E122="MID",
    IF(E123="Oricle",2.5,
    IF(E123="Other Brands",3,
    IF(E123="Oricle Prio",0.6,""))),
 IF(E122="GY",
    IF(E123="Oricle",0.9,
    IF(E123="Other Brands",0.9,
    IF(E123="Oricle Prio",0.3,""))),"")))-13</f>
        <v>122.075</v>
      </c>
      <c r="F124" s="273">
        <f t="shared" ref="F124:G124" si="48">IF(F114&lt;F115,F115,F114) *
IF(F122="AM",
    IF(F123="Oricle",4,
    IF(F123="Other Brands",3,
    IF(F123="Oricle Prio",0.6,""))),
 IF(F122="MID",
    IF(F123="Oricle",2.5,
    IF(F123="Other Brands",3,
    IF(F123="Oricle Prio",0.6,""))),
 IF(F122="GY",
    IF(F123="Oricle",0.9,
    IF(F123="Other Brands",0.9,
    IF(F123="Oricle Prio",0.3,""))),"")))</f>
        <v>136.47</v>
      </c>
      <c r="G124" s="273">
        <f t="shared" si="48"/>
        <v>116.15</v>
      </c>
      <c r="H124" s="273">
        <f>IF(H114&lt;H115,H115,H114) *
IF(H122="AM",
    IF(H123="Oricle",4,
    IF(H123="Other Brands",3,
    IF(H123="Oricle Prio",0.6,""))),
 IF(H122="MID",
    IF(H123="Oricle",2,
    IF(H123="Other Brands",3,
    IF(H123="Oricle Prio",0.6,""))),
 IF(H122="GY",
    IF(H123="Oricle",0.9,
    IF(H123="Other Brands",0.9,
    IF(H123="Oricle Prio",0.3,""))),"")))</f>
        <v>96</v>
      </c>
      <c r="I124" s="140"/>
    </row>
    <row r="125" hidden="1" outlineLevel="2">
      <c r="A125" s="83" t="s">
        <v>131</v>
      </c>
      <c r="B125" s="259" t="s">
        <v>390</v>
      </c>
      <c r="C125" s="124" t="s">
        <v>391</v>
      </c>
      <c r="D125" s="124" t="s">
        <v>393</v>
      </c>
      <c r="E125" s="124" t="s">
        <v>307</v>
      </c>
      <c r="F125" s="124" t="s">
        <v>394</v>
      </c>
      <c r="G125" s="124" t="s">
        <v>307</v>
      </c>
      <c r="H125" s="126" t="s">
        <v>395</v>
      </c>
      <c r="I125" s="128"/>
    </row>
    <row r="126" hidden="1" outlineLevel="2">
      <c r="A126" s="83" t="s">
        <v>138</v>
      </c>
      <c r="B126" s="259" t="s">
        <v>396</v>
      </c>
      <c r="C126" s="124" t="s">
        <v>397</v>
      </c>
      <c r="D126" s="124" t="s">
        <v>308</v>
      </c>
      <c r="E126" s="124" t="s">
        <v>134</v>
      </c>
      <c r="F126" s="124" t="s">
        <v>315</v>
      </c>
      <c r="G126" s="124" t="s">
        <v>134</v>
      </c>
      <c r="H126" s="126" t="s">
        <v>402</v>
      </c>
      <c r="I126" s="128"/>
    </row>
    <row r="127" hidden="1" outlineLevel="2">
      <c r="A127" s="88" t="s">
        <v>149</v>
      </c>
      <c r="B127" s="152">
        <f t="shared" ref="B127:H127" si="49">IF(B125&gt;0,B126/B125,0)</f>
        <v>0.9814814815</v>
      </c>
      <c r="C127" s="153">
        <f t="shared" si="49"/>
        <v>0.9939759036</v>
      </c>
      <c r="D127" s="153">
        <f t="shared" si="49"/>
        <v>0.9869281046</v>
      </c>
      <c r="E127" s="153">
        <f t="shared" si="49"/>
        <v>0.9927536232</v>
      </c>
      <c r="F127" s="153">
        <f t="shared" si="49"/>
        <v>0.9833333333</v>
      </c>
      <c r="G127" s="153">
        <f t="shared" si="49"/>
        <v>0.9927536232</v>
      </c>
      <c r="H127" s="154">
        <f t="shared" si="49"/>
        <v>0.9898989899</v>
      </c>
      <c r="I127" s="155"/>
    </row>
    <row r="128" hidden="1" outlineLevel="2">
      <c r="A128" s="88" t="s">
        <v>156</v>
      </c>
      <c r="B128" s="152">
        <f t="shared" ref="B128:H128" si="50">IF(B124&gt;0,B126/B124,0)</f>
        <v>0.8438146792</v>
      </c>
      <c r="C128" s="153">
        <f t="shared" si="50"/>
        <v>0.7866132723</v>
      </c>
      <c r="D128" s="153">
        <f t="shared" si="50"/>
        <v>1.087347879</v>
      </c>
      <c r="E128" s="153">
        <f t="shared" si="50"/>
        <v>1.122260905</v>
      </c>
      <c r="F128" s="153">
        <f t="shared" si="50"/>
        <v>0.8646588994</v>
      </c>
      <c r="G128" s="153">
        <f t="shared" si="50"/>
        <v>1.179509255</v>
      </c>
      <c r="H128" s="154">
        <f t="shared" si="50"/>
        <v>1.020833333</v>
      </c>
      <c r="I128" s="155"/>
    </row>
    <row r="129" hidden="1" outlineLevel="2">
      <c r="A129" s="159" t="s">
        <v>13</v>
      </c>
      <c r="B129" s="297">
        <f t="shared" ref="B129:H129" si="51">average(B127:B128)</f>
        <v>0.9126480803</v>
      </c>
      <c r="C129" s="298">
        <f t="shared" si="51"/>
        <v>0.890294588</v>
      </c>
      <c r="D129" s="298">
        <f t="shared" si="51"/>
        <v>1.037137992</v>
      </c>
      <c r="E129" s="298">
        <f t="shared" si="51"/>
        <v>1.057507264</v>
      </c>
      <c r="F129" s="298">
        <f t="shared" si="51"/>
        <v>0.9239961164</v>
      </c>
      <c r="G129" s="298">
        <f t="shared" si="51"/>
        <v>1.086131439</v>
      </c>
      <c r="H129" s="299">
        <f t="shared" si="51"/>
        <v>1.005366162</v>
      </c>
      <c r="I129" s="300"/>
    </row>
    <row r="130" hidden="1" outlineLevel="2">
      <c r="A130" s="51" t="s">
        <v>161</v>
      </c>
      <c r="B130" s="53"/>
      <c r="C130" s="54"/>
      <c r="D130" s="54"/>
      <c r="E130" s="54"/>
      <c r="F130" s="54"/>
      <c r="G130" s="54"/>
      <c r="H130" s="56"/>
      <c r="I130" s="240"/>
    </row>
    <row r="131" hidden="1" outlineLevel="2">
      <c r="A131" s="83" t="s">
        <v>162</v>
      </c>
      <c r="B131" s="242">
        <v>10.0</v>
      </c>
      <c r="C131" s="243">
        <v>9.33</v>
      </c>
      <c r="D131" s="243">
        <v>9.64</v>
      </c>
      <c r="E131" s="243">
        <v>10.0</v>
      </c>
      <c r="F131" s="243">
        <v>9.26</v>
      </c>
      <c r="G131" s="243">
        <v>10.0</v>
      </c>
      <c r="H131" s="246">
        <v>10.0</v>
      </c>
      <c r="I131" s="247"/>
    </row>
    <row r="132" hidden="1" outlineLevel="2">
      <c r="A132" s="88" t="s">
        <v>169</v>
      </c>
      <c r="B132" s="165">
        <v>10.0</v>
      </c>
      <c r="C132" s="166">
        <v>10.0</v>
      </c>
      <c r="D132" s="166">
        <v>10.0</v>
      </c>
      <c r="E132" s="166">
        <v>10.0</v>
      </c>
      <c r="F132" s="166">
        <v>10.0</v>
      </c>
      <c r="G132" s="166">
        <v>10.0</v>
      </c>
      <c r="H132" s="168">
        <v>10.0</v>
      </c>
      <c r="I132" s="170"/>
    </row>
    <row r="133" hidden="1" outlineLevel="2">
      <c r="A133" s="73" t="s">
        <v>170</v>
      </c>
      <c r="B133" s="297">
        <f t="shared" ref="B133:H133" si="52">IF(B131=0,0,B131/B132)</f>
        <v>1</v>
      </c>
      <c r="C133" s="298">
        <f t="shared" si="52"/>
        <v>0.933</v>
      </c>
      <c r="D133" s="298">
        <f t="shared" si="52"/>
        <v>0.964</v>
      </c>
      <c r="E133" s="298">
        <f t="shared" si="52"/>
        <v>1</v>
      </c>
      <c r="F133" s="298">
        <f t="shared" si="52"/>
        <v>0.926</v>
      </c>
      <c r="G133" s="298">
        <f t="shared" si="52"/>
        <v>1</v>
      </c>
      <c r="H133" s="299">
        <f t="shared" si="52"/>
        <v>1</v>
      </c>
      <c r="I133" s="300"/>
    </row>
    <row r="134" hidden="1" outlineLevel="2">
      <c r="A134" s="51" t="s">
        <v>173</v>
      </c>
      <c r="B134" s="53"/>
      <c r="C134" s="54"/>
      <c r="D134" s="54"/>
      <c r="E134" s="54"/>
      <c r="F134" s="54"/>
      <c r="G134" s="54"/>
      <c r="H134" s="56"/>
      <c r="I134" s="240"/>
    </row>
    <row r="135" hidden="1" outlineLevel="2">
      <c r="A135" s="83" t="s">
        <v>175</v>
      </c>
      <c r="B135" s="330"/>
      <c r="C135" s="331"/>
      <c r="D135" s="331"/>
      <c r="E135" s="331"/>
      <c r="F135" s="331"/>
      <c r="G135" s="331"/>
      <c r="H135" s="332"/>
      <c r="I135" s="333"/>
    </row>
    <row r="136" hidden="1" outlineLevel="2">
      <c r="A136" s="180" t="s">
        <v>179</v>
      </c>
      <c r="B136" s="53"/>
      <c r="C136" s="54"/>
      <c r="D136" s="54"/>
      <c r="E136" s="54"/>
      <c r="F136" s="54"/>
      <c r="G136" s="54"/>
      <c r="H136" s="56"/>
      <c r="I136" s="240"/>
    </row>
    <row r="137" hidden="1" outlineLevel="2">
      <c r="A137" s="88" t="s">
        <v>180</v>
      </c>
      <c r="B137" s="181">
        <f t="shared" ref="B137:H137" si="53">B116*25</f>
        <v>31.69333333</v>
      </c>
      <c r="C137" s="182">
        <f t="shared" si="53"/>
        <v>33.61538462</v>
      </c>
      <c r="D137" s="182">
        <f t="shared" si="53"/>
        <v>28.93125</v>
      </c>
      <c r="E137" s="182">
        <f t="shared" si="53"/>
        <v>34.63461538</v>
      </c>
      <c r="F137" s="182">
        <f t="shared" si="53"/>
        <v>29.16025641</v>
      </c>
      <c r="G137" s="182">
        <f t="shared" si="53"/>
        <v>29.0375</v>
      </c>
      <c r="H137" s="183">
        <f t="shared" si="53"/>
        <v>30</v>
      </c>
      <c r="I137" s="184"/>
    </row>
    <row r="138" hidden="1" outlineLevel="2">
      <c r="A138" s="88" t="s">
        <v>182</v>
      </c>
      <c r="B138" s="181">
        <f t="shared" ref="B138:H138" si="54">B120*35</f>
        <v>35</v>
      </c>
      <c r="C138" s="182">
        <f t="shared" si="54"/>
        <v>35</v>
      </c>
      <c r="D138" s="182">
        <f t="shared" si="54"/>
        <v>23.8875</v>
      </c>
      <c r="E138" s="182">
        <f t="shared" si="54"/>
        <v>24.5</v>
      </c>
      <c r="F138" s="182">
        <f t="shared" si="54"/>
        <v>35</v>
      </c>
      <c r="G138" s="182">
        <f t="shared" si="54"/>
        <v>34.3875</v>
      </c>
      <c r="H138" s="183">
        <f t="shared" si="54"/>
        <v>34.76375</v>
      </c>
      <c r="I138" s="184"/>
    </row>
    <row r="139" hidden="1" outlineLevel="2">
      <c r="A139" s="88" t="s">
        <v>184</v>
      </c>
      <c r="B139" s="181">
        <f t="shared" ref="B139:H139" si="55">IF(AND(B120&lt;85%, B129&gt;100%), 25, B129*25)</f>
        <v>22.81620201</v>
      </c>
      <c r="C139" s="182">
        <f t="shared" si="55"/>
        <v>22.2573647</v>
      </c>
      <c r="D139" s="182">
        <f t="shared" si="55"/>
        <v>25</v>
      </c>
      <c r="E139" s="182">
        <f t="shared" si="55"/>
        <v>25</v>
      </c>
      <c r="F139" s="182">
        <f t="shared" si="55"/>
        <v>23.09990291</v>
      </c>
      <c r="G139" s="182">
        <f t="shared" si="55"/>
        <v>27.15328598</v>
      </c>
      <c r="H139" s="183">
        <f t="shared" si="55"/>
        <v>25.13415404</v>
      </c>
      <c r="I139" s="184"/>
    </row>
    <row r="140" hidden="1" outlineLevel="2">
      <c r="A140" s="88" t="s">
        <v>187</v>
      </c>
      <c r="B140" s="181">
        <f t="shared" ref="B140:H140" si="56">B133*15</f>
        <v>15</v>
      </c>
      <c r="C140" s="182">
        <f t="shared" si="56"/>
        <v>13.995</v>
      </c>
      <c r="D140" s="182">
        <f t="shared" si="56"/>
        <v>14.46</v>
      </c>
      <c r="E140" s="182">
        <f t="shared" si="56"/>
        <v>15</v>
      </c>
      <c r="F140" s="182">
        <f t="shared" si="56"/>
        <v>13.89</v>
      </c>
      <c r="G140" s="182">
        <f t="shared" si="56"/>
        <v>15</v>
      </c>
      <c r="H140" s="183">
        <f t="shared" si="56"/>
        <v>15</v>
      </c>
      <c r="I140" s="184"/>
    </row>
    <row r="141" hidden="1" outlineLevel="2">
      <c r="A141" s="88" t="s">
        <v>188</v>
      </c>
      <c r="B141" s="181">
        <f t="shared" ref="B141:H141" si="57">B135*-10</f>
        <v>0</v>
      </c>
      <c r="C141" s="182">
        <f t="shared" si="57"/>
        <v>0</v>
      </c>
      <c r="D141" s="182">
        <f t="shared" si="57"/>
        <v>0</v>
      </c>
      <c r="E141" s="182">
        <f t="shared" si="57"/>
        <v>0</v>
      </c>
      <c r="F141" s="182">
        <f t="shared" si="57"/>
        <v>0</v>
      </c>
      <c r="G141" s="182">
        <f t="shared" si="57"/>
        <v>0</v>
      </c>
      <c r="H141" s="183">
        <f t="shared" si="57"/>
        <v>0</v>
      </c>
      <c r="I141" s="184"/>
    </row>
    <row r="142" hidden="1" outlineLevel="2">
      <c r="A142" s="187" t="s">
        <v>190</v>
      </c>
      <c r="B142" s="181">
        <f t="shared" ref="B142:H142" si="58">B137+B138+B139+B140+B141</f>
        <v>104.5095353</v>
      </c>
      <c r="C142" s="182">
        <f t="shared" si="58"/>
        <v>104.8677493</v>
      </c>
      <c r="D142" s="182">
        <f t="shared" si="58"/>
        <v>92.27875</v>
      </c>
      <c r="E142" s="182">
        <f t="shared" si="58"/>
        <v>99.13461538</v>
      </c>
      <c r="F142" s="182">
        <f t="shared" si="58"/>
        <v>101.1501593</v>
      </c>
      <c r="G142" s="182">
        <f t="shared" si="58"/>
        <v>105.578286</v>
      </c>
      <c r="H142" s="183">
        <f t="shared" si="58"/>
        <v>104.897904</v>
      </c>
      <c r="I142" s="184"/>
    </row>
    <row r="143" hidden="1" outlineLevel="2">
      <c r="A143" s="73" t="s">
        <v>193</v>
      </c>
      <c r="B143" s="74">
        <f t="shared" ref="B143:H143" si="59">B142/100</f>
        <v>1.045095353</v>
      </c>
      <c r="C143" s="75">
        <f t="shared" si="59"/>
        <v>1.048677493</v>
      </c>
      <c r="D143" s="75">
        <f t="shared" si="59"/>
        <v>0.9227875</v>
      </c>
      <c r="E143" s="75">
        <f t="shared" si="59"/>
        <v>0.9913461538</v>
      </c>
      <c r="F143" s="75">
        <f t="shared" si="59"/>
        <v>1.011501593</v>
      </c>
      <c r="G143" s="75">
        <f t="shared" si="59"/>
        <v>1.05578286</v>
      </c>
      <c r="H143" s="77">
        <f t="shared" si="59"/>
        <v>1.04897904</v>
      </c>
      <c r="I143" s="79"/>
    </row>
    <row r="144" hidden="1" outlineLevel="2">
      <c r="A144" s="180" t="s">
        <v>203</v>
      </c>
      <c r="B144" s="283" t="s">
        <v>204</v>
      </c>
      <c r="C144" s="284" t="s">
        <v>204</v>
      </c>
      <c r="D144" s="284" t="s">
        <v>204</v>
      </c>
      <c r="E144" s="284" t="s">
        <v>204</v>
      </c>
      <c r="F144" s="284" t="s">
        <v>204</v>
      </c>
      <c r="G144" s="284" t="s">
        <v>206</v>
      </c>
      <c r="H144" s="285" t="s">
        <v>204</v>
      </c>
      <c r="I144" s="286"/>
    </row>
    <row r="145" hidden="1" outlineLevel="2">
      <c r="A145" s="180" t="s">
        <v>208</v>
      </c>
      <c r="B145" s="216"/>
      <c r="C145" s="217"/>
      <c r="D145" s="217"/>
      <c r="E145" s="217"/>
      <c r="F145" s="217"/>
      <c r="G145" s="217"/>
      <c r="H145" s="221"/>
      <c r="I145" s="222"/>
    </row>
    <row r="146" hidden="1" outlineLevel="1">
      <c r="A146" s="32"/>
      <c r="B146" s="33" t="s">
        <v>440</v>
      </c>
      <c r="C146" s="34"/>
      <c r="D146" s="34"/>
      <c r="E146" s="34"/>
      <c r="F146" s="34"/>
      <c r="G146" s="34"/>
      <c r="H146" s="35"/>
      <c r="I146" s="36"/>
    </row>
    <row r="147" hidden="1" outlineLevel="1">
      <c r="A147" s="228"/>
      <c r="B147" s="317" t="s">
        <v>56</v>
      </c>
      <c r="C147" s="318" t="s">
        <v>57</v>
      </c>
      <c r="D147" s="318" t="s">
        <v>21</v>
      </c>
      <c r="E147" s="318" t="s">
        <v>32</v>
      </c>
      <c r="F147" s="318" t="s">
        <v>58</v>
      </c>
      <c r="G147" s="319" t="s">
        <v>59</v>
      </c>
      <c r="H147" s="320" t="s">
        <v>7</v>
      </c>
      <c r="I147" s="288"/>
    </row>
    <row r="148" hidden="1" outlineLevel="1">
      <c r="A148" s="44" t="s">
        <v>60</v>
      </c>
      <c r="B148" s="289" t="s">
        <v>440</v>
      </c>
      <c r="C148" s="290"/>
      <c r="D148" s="290"/>
      <c r="E148" s="290"/>
      <c r="F148" s="290"/>
      <c r="G148" s="290"/>
      <c r="H148" s="291"/>
      <c r="I148" s="239"/>
    </row>
    <row r="149" hidden="1" outlineLevel="1">
      <c r="A149" s="51" t="s">
        <v>64</v>
      </c>
      <c r="B149" s="334"/>
      <c r="C149" s="54"/>
      <c r="D149" s="54"/>
      <c r="E149" s="54"/>
      <c r="F149" s="54"/>
      <c r="G149" s="54"/>
      <c r="H149" s="335"/>
      <c r="I149" s="247"/>
    </row>
    <row r="150" hidden="1" outlineLevel="1">
      <c r="A150" s="58" t="s">
        <v>69</v>
      </c>
      <c r="B150" s="336">
        <v>43.57</v>
      </c>
      <c r="C150" s="337">
        <v>44.25</v>
      </c>
      <c r="D150" s="338">
        <v>46.07</v>
      </c>
      <c r="E150" s="337">
        <v>52.06</v>
      </c>
      <c r="F150" s="337">
        <v>51.54</v>
      </c>
      <c r="G150" s="337">
        <v>50.59</v>
      </c>
      <c r="H150" s="339">
        <v>48.06</v>
      </c>
      <c r="I150" s="340"/>
    </row>
    <row r="151" hidden="1" outlineLevel="1">
      <c r="A151" s="68" t="s">
        <v>75</v>
      </c>
      <c r="B151" s="248">
        <v>37.0</v>
      </c>
      <c r="C151" s="70">
        <v>40.0</v>
      </c>
      <c r="D151" s="70">
        <v>40.0</v>
      </c>
      <c r="E151" s="70">
        <v>39.0</v>
      </c>
      <c r="F151" s="70">
        <v>39.0</v>
      </c>
      <c r="G151" s="70">
        <v>40.0</v>
      </c>
      <c r="H151" s="71">
        <v>40.0</v>
      </c>
      <c r="I151" s="72"/>
    </row>
    <row r="152" hidden="1" outlineLevel="1">
      <c r="A152" s="73" t="s">
        <v>76</v>
      </c>
      <c r="B152" s="297">
        <f t="shared" ref="B152:C152" si="60">B150/B151</f>
        <v>1.177567568</v>
      </c>
      <c r="C152" s="298">
        <f t="shared" si="60"/>
        <v>1.10625</v>
      </c>
      <c r="D152" s="298">
        <f>B149/D151</f>
        <v>0</v>
      </c>
      <c r="E152" s="298">
        <f t="shared" ref="E152:H152" si="61">E150/E151</f>
        <v>1.334871795</v>
      </c>
      <c r="F152" s="298">
        <f t="shared" si="61"/>
        <v>1.321538462</v>
      </c>
      <c r="G152" s="298">
        <f t="shared" si="61"/>
        <v>1.26475</v>
      </c>
      <c r="H152" s="299">
        <f t="shared" si="61"/>
        <v>1.2015</v>
      </c>
      <c r="I152" s="300"/>
    </row>
    <row r="153" hidden="1" outlineLevel="1">
      <c r="A153" s="51" t="s">
        <v>79</v>
      </c>
      <c r="B153" s="53"/>
      <c r="C153" s="54"/>
      <c r="D153" s="54"/>
      <c r="E153" s="54"/>
      <c r="F153" s="54"/>
      <c r="G153" s="54"/>
      <c r="H153" s="56"/>
      <c r="I153" s="240"/>
    </row>
    <row r="154" hidden="1" outlineLevel="1">
      <c r="A154" s="83" t="s">
        <v>81</v>
      </c>
      <c r="B154" s="336">
        <v>40.0</v>
      </c>
      <c r="C154" s="342">
        <v>40.0</v>
      </c>
      <c r="D154" s="337">
        <v>30.47</v>
      </c>
      <c r="E154" s="337">
        <v>39.9</v>
      </c>
      <c r="F154" s="337">
        <v>40.0</v>
      </c>
      <c r="G154" s="337">
        <v>39.57</v>
      </c>
      <c r="H154" s="339">
        <v>34.47</v>
      </c>
      <c r="I154" s="340"/>
    </row>
    <row r="155" hidden="1" outlineLevel="1">
      <c r="A155" s="88" t="s">
        <v>86</v>
      </c>
      <c r="B155" s="260">
        <v>40.0</v>
      </c>
      <c r="C155" s="261">
        <v>40.0</v>
      </c>
      <c r="D155" s="261">
        <v>40.0</v>
      </c>
      <c r="E155" s="261">
        <v>40.0</v>
      </c>
      <c r="F155" s="261">
        <v>40.0</v>
      </c>
      <c r="G155" s="261">
        <v>40.0</v>
      </c>
      <c r="H155" s="262">
        <v>40.0</v>
      </c>
      <c r="I155" s="263"/>
    </row>
    <row r="156" hidden="1" outlineLevel="1">
      <c r="A156" s="73" t="s">
        <v>96</v>
      </c>
      <c r="B156" s="297">
        <f t="shared" ref="B156:H156" si="62">B154/B155</f>
        <v>1</v>
      </c>
      <c r="C156" s="298">
        <f t="shared" si="62"/>
        <v>1</v>
      </c>
      <c r="D156" s="298">
        <f t="shared" si="62"/>
        <v>0.76175</v>
      </c>
      <c r="E156" s="298">
        <f t="shared" si="62"/>
        <v>0.9975</v>
      </c>
      <c r="F156" s="298">
        <f t="shared" si="62"/>
        <v>1</v>
      </c>
      <c r="G156" s="298">
        <f t="shared" si="62"/>
        <v>0.98925</v>
      </c>
      <c r="H156" s="299">
        <f t="shared" si="62"/>
        <v>0.86175</v>
      </c>
      <c r="I156" s="300"/>
    </row>
    <row r="157" hidden="1" outlineLevel="1">
      <c r="A157" s="51" t="s">
        <v>99</v>
      </c>
      <c r="B157" s="53"/>
      <c r="C157" s="54"/>
      <c r="D157" s="54"/>
      <c r="E157" s="54"/>
      <c r="F157" s="54"/>
      <c r="G157" s="54"/>
      <c r="H157" s="56"/>
      <c r="I157" s="240"/>
    </row>
    <row r="158" hidden="1" outlineLevel="1">
      <c r="A158" s="83" t="s">
        <v>101</v>
      </c>
      <c r="B158" s="259" t="s">
        <v>109</v>
      </c>
      <c r="C158" s="124" t="s">
        <v>113</v>
      </c>
      <c r="D158" s="124" t="s">
        <v>113</v>
      </c>
      <c r="E158" s="124" t="s">
        <v>109</v>
      </c>
      <c r="F158" s="124" t="s">
        <v>109</v>
      </c>
      <c r="G158" s="124" t="s">
        <v>109</v>
      </c>
      <c r="H158" s="126" t="s">
        <v>109</v>
      </c>
      <c r="I158" s="128"/>
    </row>
    <row r="159" hidden="1" outlineLevel="1">
      <c r="A159" s="83" t="s">
        <v>117</v>
      </c>
      <c r="B159" s="259" t="s">
        <v>118</v>
      </c>
      <c r="C159" s="124" t="s">
        <v>119</v>
      </c>
      <c r="D159" s="124" t="s">
        <v>118</v>
      </c>
      <c r="E159" s="124" t="s">
        <v>119</v>
      </c>
      <c r="F159" s="124" t="s">
        <v>118</v>
      </c>
      <c r="G159" s="124" t="s">
        <v>119</v>
      </c>
      <c r="H159" s="126" t="s">
        <v>119</v>
      </c>
      <c r="I159" s="128"/>
    </row>
    <row r="160" hidden="1" outlineLevel="1">
      <c r="A160" s="83" t="s">
        <v>120</v>
      </c>
      <c r="B160" s="271">
        <f>IF(B150&lt;B151,B151,B150) *
IF(B158="AM",
    IF(B159="Oricle",4,
    IF(B159="Other Brands",3,
    IF(B159="Oricle Prio",0.6,""))),
 IF(B158="MID",
    IF(B159="Oricle",2.5,
    IF(B159="Other Brands",3,
    IF(B159="Oricle Prio",0.6,""))),
 IF(B158="GY",
    IF(B159="Oricle",0.9,
    IF(B159="Other Brands",0.9,
    IF(B159="Oricle Prio",0.3,""))),"")))-17</f>
        <v>113.71</v>
      </c>
      <c r="C160" s="273">
        <f>IF(C150&lt;C151,C151,C150) *
IF(C158="AM",
    IF(C159="Oricle",4,
    IF(C159="Other Brands",3,
    IF(C159="Oricle Prio",0.6,""))),
 IF(C158="MID",
    IF(C159="Oricle",2.5,
    IF(C159="Other Brands",3,
    IF(C159="Oricle Prio",0.6,""))),
 IF(C158="GY",
    IF(C159="Oricle",0.9,
    IF(C159="Other Brands",0.9,
    IF(C159="Oricle Prio",0.3,""))),"")))</f>
        <v>177</v>
      </c>
      <c r="D160" s="273">
        <f>IF(B149&lt;D151,D151,B149) *
IF(D158="AM",
    IF(D159="Oricle",4,
    IF(D159="Other Brands",3,
    IF(D159="Oricle Prio",0.6,""))),
 IF(D158="MID",
    IF(D159="Oricle",2.5,
    IF(D159="Other Brands",3,
    IF(D159="Oricle Prio",0.6,""))),
 IF(D158="GY",
    IF(D159="Oricle",0.9,
    IF(D159="Other Brands",0.9,
    IF(D159="Oricle Prio",0.3,""))),"")))</f>
        <v>120</v>
      </c>
      <c r="E160" s="273">
        <f>IF(E150&lt;E151,E151,E150) *
IF(E158="AM",
    IF(E159="Oricle",4,
    IF(E159="Other Brands",3,
    IF(E159="Oricle Prio",0.6,""))),
 IF(E158="MID",
    IF(E159="Oricle",2.5,
    IF(E159="Other Brands",3,
    IF(E159="Oricle Prio",0.6,""))),
 IF(E158="GY",
    IF(E159="Oricle",0.9,
    IF(E159="Other Brands",0.9,
    IF(E159="Oricle Prio",0.3,""))),"")))-13</f>
        <v>117.15</v>
      </c>
      <c r="F160" s="273">
        <f t="shared" ref="F160:G160" si="63">IF(F150&lt;F151,F151,F150) *
IF(F158="AM",
    IF(F159="Oricle",4,
    IF(F159="Other Brands",3,
    IF(F159="Oricle Prio",0.6,""))),
 IF(F158="MID",
    IF(F159="Oricle",2.5,
    IF(F159="Other Brands",3,
    IF(F159="Oricle Prio",0.6,""))),
 IF(F158="GY",
    IF(F159="Oricle",0.9,
    IF(F159="Other Brands",0.9,
    IF(F159="Oricle Prio",0.3,""))),"")))</f>
        <v>154.62</v>
      </c>
      <c r="G160" s="273">
        <f t="shared" si="63"/>
        <v>126.475</v>
      </c>
      <c r="H160" s="273">
        <f>IF(H150&lt;H151,H151,H150) *
IF(H158="AM",
    IF(H159="Oricle",4,
    IF(H159="Other Brands",3,
    IF(H159="Oricle Prio",0.6,""))),
 IF(H158="MID",
    IF(H159="Oricle",2,
    IF(H159="Other Brands",3,
    IF(H159="Oricle Prio",0.6,""))),
 IF(H158="GY",
    IF(H159="Oricle",0.9,
    IF(H159="Other Brands",0.9,
    IF(H159="Oricle Prio",0.3,""))),"")))</f>
        <v>96.12</v>
      </c>
      <c r="I160" s="140"/>
    </row>
    <row r="161" hidden="1" outlineLevel="1">
      <c r="A161" s="83" t="s">
        <v>131</v>
      </c>
      <c r="B161" s="259" t="s">
        <v>461</v>
      </c>
      <c r="C161" s="124" t="s">
        <v>462</v>
      </c>
      <c r="D161" s="124" t="s">
        <v>463</v>
      </c>
      <c r="E161" s="124" t="s">
        <v>464</v>
      </c>
      <c r="F161" s="124" t="s">
        <v>314</v>
      </c>
      <c r="G161" s="124" t="s">
        <v>465</v>
      </c>
      <c r="H161" s="126" t="s">
        <v>466</v>
      </c>
      <c r="I161" s="128"/>
    </row>
    <row r="162" hidden="1" outlineLevel="1">
      <c r="A162" s="83" t="s">
        <v>138</v>
      </c>
      <c r="B162" s="259" t="s">
        <v>315</v>
      </c>
      <c r="C162" s="124" t="s">
        <v>462</v>
      </c>
      <c r="D162" s="124" t="s">
        <v>310</v>
      </c>
      <c r="E162" s="124" t="s">
        <v>469</v>
      </c>
      <c r="F162" s="124" t="s">
        <v>139</v>
      </c>
      <c r="G162" s="124" t="s">
        <v>470</v>
      </c>
      <c r="H162" s="126" t="s">
        <v>471</v>
      </c>
      <c r="I162" s="128"/>
    </row>
    <row r="163" hidden="1" outlineLevel="1">
      <c r="A163" s="88" t="s">
        <v>149</v>
      </c>
      <c r="B163" s="152">
        <f t="shared" ref="B163:H163" si="64">IF(B161&gt;0,B162/B161,0)</f>
        <v>0.9752066116</v>
      </c>
      <c r="C163" s="153">
        <f t="shared" si="64"/>
        <v>1</v>
      </c>
      <c r="D163" s="153">
        <f t="shared" si="64"/>
        <v>0.9655172414</v>
      </c>
      <c r="E163" s="153">
        <f t="shared" si="64"/>
        <v>0.968503937</v>
      </c>
      <c r="F163" s="153">
        <f t="shared" si="64"/>
        <v>0.9591836735</v>
      </c>
      <c r="G163" s="153">
        <f t="shared" si="64"/>
        <v>0.9933333333</v>
      </c>
      <c r="H163" s="154">
        <f t="shared" si="64"/>
        <v>0.9803921569</v>
      </c>
      <c r="I163" s="155"/>
    </row>
    <row r="164" hidden="1" outlineLevel="1">
      <c r="A164" s="88" t="s">
        <v>156</v>
      </c>
      <c r="B164" s="152">
        <f t="shared" ref="B164:H164" si="65">IF(B160&gt;0,B162/B160,0)</f>
        <v>1.037727553</v>
      </c>
      <c r="C164" s="153">
        <f t="shared" si="65"/>
        <v>0.6553672316</v>
      </c>
      <c r="D164" s="153">
        <f t="shared" si="65"/>
        <v>1.166666667</v>
      </c>
      <c r="E164" s="153">
        <f t="shared" si="65"/>
        <v>1.04993598</v>
      </c>
      <c r="F164" s="153">
        <f t="shared" si="65"/>
        <v>0.9119130772</v>
      </c>
      <c r="G164" s="153">
        <f t="shared" si="65"/>
        <v>1.178098438</v>
      </c>
      <c r="H164" s="154">
        <f t="shared" si="65"/>
        <v>1.040366209</v>
      </c>
      <c r="I164" s="155"/>
    </row>
    <row r="165" hidden="1" outlineLevel="1">
      <c r="A165" s="159" t="s">
        <v>13</v>
      </c>
      <c r="B165" s="297">
        <f t="shared" ref="B165:H165" si="66">average(B163:B164)</f>
        <v>1.006467082</v>
      </c>
      <c r="C165" s="298">
        <f t="shared" si="66"/>
        <v>0.8276836158</v>
      </c>
      <c r="D165" s="298">
        <f t="shared" si="66"/>
        <v>1.066091954</v>
      </c>
      <c r="E165" s="298">
        <f t="shared" si="66"/>
        <v>1.009219958</v>
      </c>
      <c r="F165" s="298">
        <f t="shared" si="66"/>
        <v>0.9355483753</v>
      </c>
      <c r="G165" s="298">
        <f t="shared" si="66"/>
        <v>1.085715886</v>
      </c>
      <c r="H165" s="299">
        <f t="shared" si="66"/>
        <v>1.010379183</v>
      </c>
      <c r="I165" s="300"/>
    </row>
    <row r="166" hidden="1" outlineLevel="1">
      <c r="A166" s="51" t="s">
        <v>161</v>
      </c>
      <c r="B166" s="53"/>
      <c r="C166" s="54"/>
      <c r="D166" s="54"/>
      <c r="E166" s="54"/>
      <c r="F166" s="54"/>
      <c r="G166" s="54"/>
      <c r="H166" s="56"/>
      <c r="I166" s="240"/>
    </row>
    <row r="167" hidden="1" outlineLevel="1">
      <c r="A167" s="83" t="s">
        <v>162</v>
      </c>
      <c r="B167" s="242">
        <v>9.0</v>
      </c>
      <c r="C167" s="243">
        <v>9.33</v>
      </c>
      <c r="D167" s="243">
        <v>8.47</v>
      </c>
      <c r="E167" s="243">
        <v>9.66</v>
      </c>
      <c r="F167" s="243">
        <v>9.66</v>
      </c>
      <c r="G167" s="243">
        <v>9.33</v>
      </c>
      <c r="H167" s="246">
        <v>10.0</v>
      </c>
      <c r="I167" s="247"/>
    </row>
    <row r="168" hidden="1" outlineLevel="1">
      <c r="A168" s="88" t="s">
        <v>169</v>
      </c>
      <c r="B168" s="165">
        <v>10.0</v>
      </c>
      <c r="C168" s="166">
        <v>10.0</v>
      </c>
      <c r="D168" s="166">
        <v>10.0</v>
      </c>
      <c r="E168" s="166">
        <v>10.0</v>
      </c>
      <c r="F168" s="166">
        <v>10.0</v>
      </c>
      <c r="G168" s="166">
        <v>10.0</v>
      </c>
      <c r="H168" s="168">
        <v>10.0</v>
      </c>
      <c r="I168" s="170"/>
    </row>
    <row r="169" hidden="1" outlineLevel="1">
      <c r="A169" s="73" t="s">
        <v>170</v>
      </c>
      <c r="B169" s="297">
        <f t="shared" ref="B169:H169" si="67">IF(B167=0,0,B167/B168)</f>
        <v>0.9</v>
      </c>
      <c r="C169" s="298">
        <f t="shared" si="67"/>
        <v>0.933</v>
      </c>
      <c r="D169" s="298">
        <f t="shared" si="67"/>
        <v>0.847</v>
      </c>
      <c r="E169" s="298">
        <f t="shared" si="67"/>
        <v>0.966</v>
      </c>
      <c r="F169" s="298">
        <f t="shared" si="67"/>
        <v>0.966</v>
      </c>
      <c r="G169" s="298">
        <f t="shared" si="67"/>
        <v>0.933</v>
      </c>
      <c r="H169" s="299">
        <f t="shared" si="67"/>
        <v>1</v>
      </c>
      <c r="I169" s="300"/>
    </row>
    <row r="170" hidden="1" outlineLevel="1">
      <c r="A170" s="51" t="s">
        <v>173</v>
      </c>
      <c r="B170" s="53"/>
      <c r="C170" s="54"/>
      <c r="D170" s="54"/>
      <c r="E170" s="54"/>
      <c r="F170" s="54"/>
      <c r="G170" s="54"/>
      <c r="H170" s="56"/>
      <c r="I170" s="240"/>
    </row>
    <row r="171" hidden="1" outlineLevel="1">
      <c r="A171" s="83" t="s">
        <v>175</v>
      </c>
      <c r="B171" s="330"/>
      <c r="C171" s="331"/>
      <c r="D171" s="345">
        <v>1.0</v>
      </c>
      <c r="E171" s="331"/>
      <c r="F171" s="331"/>
      <c r="G171" s="331"/>
      <c r="H171" s="332"/>
      <c r="I171" s="333"/>
    </row>
    <row r="172" hidden="1" outlineLevel="1">
      <c r="A172" s="180" t="s">
        <v>179</v>
      </c>
      <c r="B172" s="53"/>
      <c r="C172" s="54"/>
      <c r="D172" s="54"/>
      <c r="E172" s="54"/>
      <c r="F172" s="54"/>
      <c r="G172" s="54"/>
      <c r="H172" s="56"/>
      <c r="I172" s="240"/>
    </row>
    <row r="173" hidden="1" outlineLevel="1">
      <c r="A173" s="88" t="s">
        <v>180</v>
      </c>
      <c r="B173" s="181">
        <f t="shared" ref="B173:H173" si="68">B152*25</f>
        <v>29.43918919</v>
      </c>
      <c r="C173" s="182">
        <f t="shared" si="68"/>
        <v>27.65625</v>
      </c>
      <c r="D173" s="182">
        <f t="shared" si="68"/>
        <v>0</v>
      </c>
      <c r="E173" s="182">
        <f t="shared" si="68"/>
        <v>33.37179487</v>
      </c>
      <c r="F173" s="182">
        <f t="shared" si="68"/>
        <v>33.03846154</v>
      </c>
      <c r="G173" s="182">
        <f t="shared" si="68"/>
        <v>31.61875</v>
      </c>
      <c r="H173" s="183">
        <f t="shared" si="68"/>
        <v>30.0375</v>
      </c>
      <c r="I173" s="184"/>
    </row>
    <row r="174" hidden="1" outlineLevel="1">
      <c r="A174" s="88" t="s">
        <v>182</v>
      </c>
      <c r="B174" s="181">
        <f t="shared" ref="B174:H174" si="69">B156*35</f>
        <v>35</v>
      </c>
      <c r="C174" s="182">
        <f t="shared" si="69"/>
        <v>35</v>
      </c>
      <c r="D174" s="182">
        <f t="shared" si="69"/>
        <v>26.66125</v>
      </c>
      <c r="E174" s="182">
        <f t="shared" si="69"/>
        <v>34.9125</v>
      </c>
      <c r="F174" s="182">
        <f t="shared" si="69"/>
        <v>35</v>
      </c>
      <c r="G174" s="182">
        <f t="shared" si="69"/>
        <v>34.62375</v>
      </c>
      <c r="H174" s="183">
        <f t="shared" si="69"/>
        <v>30.16125</v>
      </c>
      <c r="I174" s="184"/>
    </row>
    <row r="175" hidden="1" outlineLevel="1">
      <c r="A175" s="88" t="s">
        <v>184</v>
      </c>
      <c r="B175" s="181">
        <f t="shared" ref="B175:H175" si="70">IF(AND(B156&lt;85%, B165&gt;100%), 25, B165*25)</f>
        <v>25.16167705</v>
      </c>
      <c r="C175" s="182">
        <f t="shared" si="70"/>
        <v>20.6920904</v>
      </c>
      <c r="D175" s="182">
        <f t="shared" si="70"/>
        <v>25</v>
      </c>
      <c r="E175" s="182">
        <f t="shared" si="70"/>
        <v>25.23049896</v>
      </c>
      <c r="F175" s="182">
        <f t="shared" si="70"/>
        <v>23.38870938</v>
      </c>
      <c r="G175" s="182">
        <f t="shared" si="70"/>
        <v>27.14289715</v>
      </c>
      <c r="H175" s="183">
        <f t="shared" si="70"/>
        <v>25.25947957</v>
      </c>
      <c r="I175" s="184"/>
    </row>
    <row r="176" hidden="1" outlineLevel="1">
      <c r="A176" s="88" t="s">
        <v>187</v>
      </c>
      <c r="B176" s="181">
        <f t="shared" ref="B176:H176" si="71">B169*15</f>
        <v>13.5</v>
      </c>
      <c r="C176" s="182">
        <f t="shared" si="71"/>
        <v>13.995</v>
      </c>
      <c r="D176" s="182">
        <f t="shared" si="71"/>
        <v>12.705</v>
      </c>
      <c r="E176" s="182">
        <f t="shared" si="71"/>
        <v>14.49</v>
      </c>
      <c r="F176" s="182">
        <f t="shared" si="71"/>
        <v>14.49</v>
      </c>
      <c r="G176" s="182">
        <f t="shared" si="71"/>
        <v>13.995</v>
      </c>
      <c r="H176" s="183">
        <f t="shared" si="71"/>
        <v>15</v>
      </c>
      <c r="I176" s="184"/>
    </row>
    <row r="177" hidden="1" outlineLevel="1">
      <c r="A177" s="88" t="s">
        <v>188</v>
      </c>
      <c r="B177" s="181">
        <f t="shared" ref="B177:H177" si="72">B171*-10</f>
        <v>0</v>
      </c>
      <c r="C177" s="182">
        <f t="shared" si="72"/>
        <v>0</v>
      </c>
      <c r="D177" s="182">
        <f t="shared" si="72"/>
        <v>-10</v>
      </c>
      <c r="E177" s="182">
        <f t="shared" si="72"/>
        <v>0</v>
      </c>
      <c r="F177" s="182">
        <f t="shared" si="72"/>
        <v>0</v>
      </c>
      <c r="G177" s="182">
        <f t="shared" si="72"/>
        <v>0</v>
      </c>
      <c r="H177" s="183">
        <f t="shared" si="72"/>
        <v>0</v>
      </c>
      <c r="I177" s="184"/>
    </row>
    <row r="178" hidden="1" outlineLevel="1">
      <c r="A178" s="187" t="s">
        <v>190</v>
      </c>
      <c r="B178" s="181">
        <f t="shared" ref="B178:H178" si="73">B173+B174+B175+B176+B177</f>
        <v>103.1008662</v>
      </c>
      <c r="C178" s="182">
        <f t="shared" si="73"/>
        <v>97.3433404</v>
      </c>
      <c r="D178" s="182">
        <f t="shared" si="73"/>
        <v>54.36625</v>
      </c>
      <c r="E178" s="182">
        <f t="shared" si="73"/>
        <v>108.0047938</v>
      </c>
      <c r="F178" s="182">
        <f t="shared" si="73"/>
        <v>105.9171709</v>
      </c>
      <c r="G178" s="182">
        <f t="shared" si="73"/>
        <v>107.3803971</v>
      </c>
      <c r="H178" s="183">
        <f t="shared" si="73"/>
        <v>100.4582296</v>
      </c>
      <c r="I178" s="184"/>
    </row>
    <row r="179" hidden="1" outlineLevel="1">
      <c r="A179" s="73" t="s">
        <v>193</v>
      </c>
      <c r="B179" s="74">
        <f t="shared" ref="B179:H179" si="74">B178/100</f>
        <v>1.031008662</v>
      </c>
      <c r="C179" s="75">
        <f t="shared" si="74"/>
        <v>0.973433404</v>
      </c>
      <c r="D179" s="346">
        <f t="shared" si="74"/>
        <v>0.5436625</v>
      </c>
      <c r="E179" s="75">
        <f t="shared" si="74"/>
        <v>1.080047938</v>
      </c>
      <c r="F179" s="75">
        <f t="shared" si="74"/>
        <v>1.059171709</v>
      </c>
      <c r="G179" s="75">
        <f t="shared" si="74"/>
        <v>1.073803971</v>
      </c>
      <c r="H179" s="77">
        <f t="shared" si="74"/>
        <v>1.004582296</v>
      </c>
      <c r="I179" s="79"/>
    </row>
    <row r="180" hidden="1" outlineLevel="1">
      <c r="A180" s="180" t="s">
        <v>203</v>
      </c>
      <c r="B180" s="347" t="s">
        <v>204</v>
      </c>
      <c r="C180" s="347" t="s">
        <v>204</v>
      </c>
      <c r="D180" s="348" t="s">
        <v>207</v>
      </c>
      <c r="E180" s="348" t="s">
        <v>206</v>
      </c>
      <c r="F180" s="348" t="s">
        <v>204</v>
      </c>
      <c r="G180" s="348" t="s">
        <v>204</v>
      </c>
      <c r="H180" s="348" t="s">
        <v>204</v>
      </c>
      <c r="I180" s="349"/>
    </row>
    <row r="181" hidden="1" outlineLevel="1">
      <c r="A181" s="180" t="s">
        <v>208</v>
      </c>
      <c r="B181" s="216"/>
      <c r="C181" s="217"/>
      <c r="D181" s="350" t="s">
        <v>498</v>
      </c>
      <c r="E181" s="217"/>
      <c r="F181" s="217"/>
      <c r="G181" s="217"/>
      <c r="H181" s="351"/>
      <c r="I181" s="213"/>
    </row>
    <row r="182" collapsed="1">
      <c r="A182" s="352">
        <v>46082.0</v>
      </c>
      <c r="B182" s="225"/>
      <c r="C182" s="46"/>
      <c r="D182" s="46"/>
      <c r="E182" s="46"/>
      <c r="F182" s="46"/>
      <c r="G182" s="46"/>
      <c r="H182" s="46"/>
      <c r="I182" s="46"/>
    </row>
    <row r="183" hidden="1" outlineLevel="1" collapsed="1">
      <c r="A183" s="32"/>
      <c r="B183" s="33" t="s">
        <v>501</v>
      </c>
      <c r="C183" s="34"/>
      <c r="D183" s="34"/>
      <c r="E183" s="34"/>
      <c r="F183" s="34"/>
      <c r="G183" s="34"/>
      <c r="H183" s="34"/>
      <c r="I183" s="35"/>
    </row>
    <row r="184" hidden="1" outlineLevel="2">
      <c r="A184" s="228"/>
      <c r="B184" s="317" t="s">
        <v>56</v>
      </c>
      <c r="C184" s="318" t="s">
        <v>57</v>
      </c>
      <c r="D184" s="318" t="s">
        <v>21</v>
      </c>
      <c r="E184" s="318" t="s">
        <v>32</v>
      </c>
      <c r="F184" s="318" t="s">
        <v>58</v>
      </c>
      <c r="G184" s="319" t="s">
        <v>59</v>
      </c>
      <c r="H184" s="320" t="s">
        <v>7</v>
      </c>
      <c r="I184" s="320" t="s">
        <v>503</v>
      </c>
    </row>
    <row r="185" hidden="1" outlineLevel="2">
      <c r="A185" s="44" t="s">
        <v>60</v>
      </c>
      <c r="B185" s="289" t="s">
        <v>504</v>
      </c>
      <c r="C185" s="290"/>
      <c r="D185" s="290"/>
      <c r="E185" s="290"/>
      <c r="F185" s="290"/>
      <c r="G185" s="290"/>
      <c r="H185" s="290"/>
      <c r="I185" s="291"/>
    </row>
    <row r="186" hidden="1" outlineLevel="2">
      <c r="A186" s="51" t="s">
        <v>64</v>
      </c>
      <c r="B186" s="53"/>
      <c r="C186" s="54"/>
      <c r="D186" s="54"/>
      <c r="E186" s="54"/>
      <c r="F186" s="54"/>
      <c r="G186" s="54"/>
      <c r="H186" s="54"/>
      <c r="I186" s="56"/>
    </row>
    <row r="187" hidden="1" outlineLevel="2">
      <c r="A187" s="58" t="s">
        <v>69</v>
      </c>
      <c r="B187" s="242">
        <f>35.03</f>
        <v>35.03</v>
      </c>
      <c r="C187" s="243">
        <f>54.55-2</f>
        <v>52.55</v>
      </c>
      <c r="D187" s="353">
        <v>43.18</v>
      </c>
      <c r="E187" s="243">
        <v>51.15</v>
      </c>
      <c r="F187" s="243">
        <f>49.32</f>
        <v>49.32</v>
      </c>
      <c r="G187" s="243">
        <f>55.05-2</f>
        <v>53.05</v>
      </c>
      <c r="H187" s="243">
        <v>46.09</v>
      </c>
      <c r="I187" s="354">
        <f>27.2+8</f>
        <v>35.2</v>
      </c>
    </row>
    <row r="188" hidden="1" outlineLevel="2">
      <c r="A188" s="68" t="s">
        <v>75</v>
      </c>
      <c r="B188" s="248">
        <v>37.0</v>
      </c>
      <c r="C188" s="70">
        <v>40.0</v>
      </c>
      <c r="D188" s="70">
        <v>40.0</v>
      </c>
      <c r="E188" s="70">
        <v>40.0</v>
      </c>
      <c r="F188" s="296">
        <v>38.0</v>
      </c>
      <c r="G188" s="70">
        <v>40.0</v>
      </c>
      <c r="H188" s="71">
        <v>40.0</v>
      </c>
      <c r="I188" s="355">
        <v>40.0</v>
      </c>
    </row>
    <row r="189" hidden="1" outlineLevel="2">
      <c r="A189" s="73" t="s">
        <v>76</v>
      </c>
      <c r="B189" s="297">
        <f t="shared" ref="B189:I189" si="75">B187/B188</f>
        <v>0.9467567568</v>
      </c>
      <c r="C189" s="298">
        <f t="shared" si="75"/>
        <v>1.31375</v>
      </c>
      <c r="D189" s="298">
        <f t="shared" si="75"/>
        <v>1.0795</v>
      </c>
      <c r="E189" s="298">
        <f t="shared" si="75"/>
        <v>1.27875</v>
      </c>
      <c r="F189" s="298">
        <f t="shared" si="75"/>
        <v>1.297894737</v>
      </c>
      <c r="G189" s="298">
        <f t="shared" si="75"/>
        <v>1.32625</v>
      </c>
      <c r="H189" s="298">
        <f t="shared" si="75"/>
        <v>1.15225</v>
      </c>
      <c r="I189" s="299">
        <f t="shared" si="75"/>
        <v>0.88</v>
      </c>
    </row>
    <row r="190" hidden="1" outlineLevel="2">
      <c r="A190" s="51" t="s">
        <v>79</v>
      </c>
      <c r="B190" s="53"/>
      <c r="C190" s="54"/>
      <c r="D190" s="54"/>
      <c r="E190" s="54"/>
      <c r="F190" s="54"/>
      <c r="G190" s="54"/>
      <c r="H190" s="54"/>
      <c r="I190" s="56"/>
    </row>
    <row r="191" hidden="1" outlineLevel="2">
      <c r="A191" s="83" t="s">
        <v>81</v>
      </c>
      <c r="B191" s="356">
        <v>40.0</v>
      </c>
      <c r="C191" s="357">
        <v>22.0</v>
      </c>
      <c r="D191" s="357">
        <v>18.53</v>
      </c>
      <c r="E191" s="357">
        <v>39.8</v>
      </c>
      <c r="F191" s="357">
        <v>39.8</v>
      </c>
      <c r="G191" s="357">
        <v>39.57</v>
      </c>
      <c r="H191" s="357">
        <v>32.85</v>
      </c>
      <c r="I191" s="339"/>
    </row>
    <row r="192" hidden="1" outlineLevel="2">
      <c r="A192" s="88" t="s">
        <v>86</v>
      </c>
      <c r="B192" s="260">
        <v>40.0</v>
      </c>
      <c r="C192" s="261">
        <v>40.0</v>
      </c>
      <c r="D192" s="261">
        <v>40.0</v>
      </c>
      <c r="E192" s="261">
        <v>40.0</v>
      </c>
      <c r="F192" s="261">
        <v>40.0</v>
      </c>
      <c r="G192" s="261">
        <v>40.0</v>
      </c>
      <c r="H192" s="261">
        <v>40.0</v>
      </c>
      <c r="I192" s="262">
        <v>40.0</v>
      </c>
    </row>
    <row r="193" hidden="1" outlineLevel="2">
      <c r="A193" s="73" t="s">
        <v>96</v>
      </c>
      <c r="B193" s="297">
        <f t="shared" ref="B193:I193" si="76">B191/B192</f>
        <v>1</v>
      </c>
      <c r="C193" s="298">
        <f t="shared" si="76"/>
        <v>0.55</v>
      </c>
      <c r="D193" s="298">
        <f t="shared" si="76"/>
        <v>0.46325</v>
      </c>
      <c r="E193" s="298">
        <f t="shared" si="76"/>
        <v>0.995</v>
      </c>
      <c r="F193" s="298">
        <f t="shared" si="76"/>
        <v>0.995</v>
      </c>
      <c r="G193" s="298">
        <f t="shared" si="76"/>
        <v>0.98925</v>
      </c>
      <c r="H193" s="298">
        <f t="shared" si="76"/>
        <v>0.82125</v>
      </c>
      <c r="I193" s="299">
        <f t="shared" si="76"/>
        <v>0</v>
      </c>
    </row>
    <row r="194" hidden="1" outlineLevel="2">
      <c r="A194" s="51" t="s">
        <v>99</v>
      </c>
      <c r="B194" s="53"/>
      <c r="C194" s="54"/>
      <c r="D194" s="54"/>
      <c r="E194" s="54"/>
      <c r="F194" s="54"/>
      <c r="G194" s="54"/>
      <c r="H194" s="54"/>
      <c r="I194" s="56"/>
    </row>
    <row r="195" hidden="1" outlineLevel="2">
      <c r="A195" s="83" t="s">
        <v>101</v>
      </c>
      <c r="B195" s="259" t="s">
        <v>109</v>
      </c>
      <c r="C195" s="124" t="s">
        <v>113</v>
      </c>
      <c r="D195" s="124" t="s">
        <v>113</v>
      </c>
      <c r="E195" s="124" t="s">
        <v>109</v>
      </c>
      <c r="F195" s="124" t="s">
        <v>109</v>
      </c>
      <c r="G195" s="123" t="s">
        <v>113</v>
      </c>
      <c r="H195" s="124" t="s">
        <v>109</v>
      </c>
      <c r="I195" s="126" t="s">
        <v>109</v>
      </c>
    </row>
    <row r="196" hidden="1" outlineLevel="2">
      <c r="A196" s="83" t="s">
        <v>117</v>
      </c>
      <c r="B196" s="259" t="s">
        <v>118</v>
      </c>
      <c r="C196" s="124" t="s">
        <v>119</v>
      </c>
      <c r="D196" s="124" t="s">
        <v>118</v>
      </c>
      <c r="E196" s="124" t="s">
        <v>119</v>
      </c>
      <c r="F196" s="124" t="s">
        <v>118</v>
      </c>
      <c r="G196" s="124" t="s">
        <v>119</v>
      </c>
      <c r="H196" s="124" t="s">
        <v>119</v>
      </c>
      <c r="I196" s="126" t="s">
        <v>119</v>
      </c>
    </row>
    <row r="197" hidden="1" outlineLevel="2">
      <c r="A197" s="83" t="s">
        <v>120</v>
      </c>
      <c r="B197" s="271">
        <f>IF(B187&lt;B188,B188,B187) *
IF(B195="AM",
    IF(B196="Oricle",3.5,
    IF(B196="Other Brands",4,
    IF(B196="Oricle Prio",0.6,""))),
 IF(B195="MID",
    IF(B196="Oricle",2.5,
    IF(B196="Other Brands",3,
    IF(B196="Oricle Prio",0.6,""))),
 IF(B195="GY",
    IF(B196="Oricle",1,
    IF(B196="Other Brands",1,
    IF(B196="Oricle Prio",0.3,""))),"")))-10</f>
        <v>101</v>
      </c>
      <c r="C197" s="273">
        <f t="shared" ref="C197:D197" si="77">IF(C187&lt;C188,C188,C187) *
IF(C195="AM",
    IF(C196="Oricle",3.5,
    IF(C196="Other Brands",4,
    IF(C196="Oricle Prio",0.6,""))),
 IF(C195="MID",
    IF(C196="Oricle",2.5,
    IF(C196="Other Brands",3,
    IF(C196="Oricle Prio",0.6,""))),
 IF(C195="GY",
    IF(C196="Oricle",1,
    IF(C196="Other Brands",1,
    IF(C196="Oricle Prio",0.3,""))),"")))</f>
        <v>183.925</v>
      </c>
      <c r="D197" s="273">
        <f t="shared" si="77"/>
        <v>172.72</v>
      </c>
      <c r="E197" s="273">
        <f>IF(E187&lt;E188,E188,E187) *
IF(E195="AM",
    IF(E196="Oricle",3.5,
    IF(E196="Other Brands",4,
    IF(E196="Oricle Prio",0.6,""))),
 IF(E195="MID",
    IF(E196="Oricle",2.5,
    IF(E196="Other Brands",3,
    IF(E196="Oricle Prio",0.6,""))),
 IF(E195="GY",
    IF(E196="Oricle",1,
    IF(E196="Other Brands",1,
    IF(E196="Oricle Prio",0.3,""))),"")))-12</f>
        <v>115.875</v>
      </c>
      <c r="F197" s="273">
        <f t="shared" ref="F197:H197" si="78">IF(F187&lt;F188,F188,F187) *
IF(F195="AM",
    IF(F196="Oricle",3.5,
    IF(F196="Other Brands",4,
    IF(F196="Oricle Prio",0.6,""))),
 IF(F195="MID",
    IF(F196="Oricle",2.5,
    IF(F196="Other Brands",3,
    IF(F196="Oricle Prio",0.6,""))),
 IF(F195="GY",
    IF(F196="Oricle",1,
    IF(F196="Other Brands",1,
    IF(F196="Oricle Prio",0.3,""))),"")))</f>
        <v>147.96</v>
      </c>
      <c r="G197" s="273">
        <f t="shared" si="78"/>
        <v>185.675</v>
      </c>
      <c r="H197" s="273">
        <f t="shared" si="78"/>
        <v>115.225</v>
      </c>
      <c r="I197" s="139">
        <f>IF(I187&lt;I188,I188,I187) *
IF(I195="AM",
    IF(I196="Oricle",4,
    IF(I196="Other Brands",3,
    IF(I196="Oricle Prio",0.6,""))),
 IF(I195="MID",
    IF(I196="Oricle",2.5,
    IF(I196="Other Brands",3,
    IF(I196="Oricle Prio",0.6,""))),
 IF(I195="GY",
    IF(I196="Oricle",0.9,
    IF(I196="Other Brands",0.9,
    IF(I196="Oricle Prio",0.3,""))),"")))</f>
        <v>100</v>
      </c>
    </row>
    <row r="198" hidden="1" outlineLevel="2">
      <c r="A198" s="83" t="s">
        <v>131</v>
      </c>
      <c r="B198" s="306" t="s">
        <v>462</v>
      </c>
      <c r="C198" s="123" t="s">
        <v>257</v>
      </c>
      <c r="D198" s="123" t="s">
        <v>531</v>
      </c>
      <c r="E198" s="123" t="s">
        <v>315</v>
      </c>
      <c r="F198" s="123" t="s">
        <v>316</v>
      </c>
      <c r="G198" s="123" t="s">
        <v>259</v>
      </c>
      <c r="H198" s="123" t="s">
        <v>466</v>
      </c>
      <c r="I198" s="301" t="s">
        <v>533</v>
      </c>
    </row>
    <row r="199" hidden="1" outlineLevel="2">
      <c r="A199" s="83" t="s">
        <v>138</v>
      </c>
      <c r="B199" s="306" t="s">
        <v>534</v>
      </c>
      <c r="C199" s="123" t="s">
        <v>536</v>
      </c>
      <c r="D199" s="123" t="s">
        <v>143</v>
      </c>
      <c r="E199" s="123" t="s">
        <v>537</v>
      </c>
      <c r="F199" s="123" t="s">
        <v>251</v>
      </c>
      <c r="G199" s="123" t="s">
        <v>538</v>
      </c>
      <c r="H199" s="123" t="s">
        <v>539</v>
      </c>
      <c r="I199" s="301" t="s">
        <v>533</v>
      </c>
    </row>
    <row r="200" hidden="1" outlineLevel="2">
      <c r="A200" s="88" t="s">
        <v>149</v>
      </c>
      <c r="B200" s="152">
        <f t="shared" ref="B200:I200" si="79">IF(B198&gt;0,B199/B198,0)</f>
        <v>0.9568965517</v>
      </c>
      <c r="C200" s="153">
        <f t="shared" si="79"/>
        <v>0.987012987</v>
      </c>
      <c r="D200" s="153">
        <f t="shared" si="79"/>
        <v>1.005952381</v>
      </c>
      <c r="E200" s="153">
        <f t="shared" si="79"/>
        <v>0.9491525424</v>
      </c>
      <c r="F200" s="153">
        <f t="shared" si="79"/>
        <v>0.9627329193</v>
      </c>
      <c r="G200" s="153">
        <f t="shared" si="79"/>
        <v>0.9944444444</v>
      </c>
      <c r="H200" s="153">
        <f t="shared" si="79"/>
        <v>0.9901960784</v>
      </c>
      <c r="I200" s="154">
        <f t="shared" si="79"/>
        <v>1</v>
      </c>
    </row>
    <row r="201" hidden="1" outlineLevel="2">
      <c r="A201" s="88" t="s">
        <v>156</v>
      </c>
      <c r="B201" s="152">
        <f t="shared" ref="B201:I201" si="80">IF(B197&gt;0,B199/B197,0)</f>
        <v>1.099009901</v>
      </c>
      <c r="C201" s="153">
        <f t="shared" si="80"/>
        <v>0.8264238141</v>
      </c>
      <c r="D201" s="153">
        <f t="shared" si="80"/>
        <v>0.978462251</v>
      </c>
      <c r="E201" s="153">
        <f t="shared" si="80"/>
        <v>0.9665587918</v>
      </c>
      <c r="F201" s="153">
        <f t="shared" si="80"/>
        <v>1.047580427</v>
      </c>
      <c r="G201" s="153">
        <f t="shared" si="80"/>
        <v>0.9640500875</v>
      </c>
      <c r="H201" s="153">
        <f t="shared" si="80"/>
        <v>0.8765458885</v>
      </c>
      <c r="I201" s="154">
        <f t="shared" si="80"/>
        <v>0.15</v>
      </c>
    </row>
    <row r="202" hidden="1" outlineLevel="2">
      <c r="A202" s="159" t="s">
        <v>13</v>
      </c>
      <c r="B202" s="297">
        <f t="shared" ref="B202:I202" si="81">average(B200:B201)</f>
        <v>1.027953226</v>
      </c>
      <c r="C202" s="298">
        <f t="shared" si="81"/>
        <v>0.9067184005</v>
      </c>
      <c r="D202" s="298">
        <f t="shared" si="81"/>
        <v>0.992207316</v>
      </c>
      <c r="E202" s="298">
        <f t="shared" si="81"/>
        <v>0.9578556671</v>
      </c>
      <c r="F202" s="298">
        <f t="shared" si="81"/>
        <v>1.005156673</v>
      </c>
      <c r="G202" s="298">
        <f t="shared" si="81"/>
        <v>0.979247266</v>
      </c>
      <c r="H202" s="298">
        <f t="shared" si="81"/>
        <v>0.9333709835</v>
      </c>
      <c r="I202" s="299">
        <f t="shared" si="81"/>
        <v>0.575</v>
      </c>
    </row>
    <row r="203" hidden="1" outlineLevel="2">
      <c r="A203" s="51" t="s">
        <v>161</v>
      </c>
      <c r="B203" s="334"/>
      <c r="C203" s="54"/>
      <c r="D203" s="54"/>
      <c r="E203" s="54"/>
      <c r="F203" s="54"/>
      <c r="G203" s="54"/>
      <c r="H203" s="54"/>
      <c r="I203" s="335"/>
    </row>
    <row r="204" hidden="1" outlineLevel="2">
      <c r="A204" s="83" t="s">
        <v>162</v>
      </c>
      <c r="B204" s="292">
        <v>9.66</v>
      </c>
      <c r="C204" s="293">
        <v>10.0</v>
      </c>
      <c r="D204" s="293">
        <v>8.04</v>
      </c>
      <c r="E204" s="293">
        <v>8.66</v>
      </c>
      <c r="F204" s="277">
        <v>9.66</v>
      </c>
      <c r="G204" s="293">
        <v>10.0</v>
      </c>
      <c r="H204" s="293">
        <v>8.66</v>
      </c>
      <c r="I204" s="294">
        <v>9.82</v>
      </c>
    </row>
    <row r="205" hidden="1" outlineLevel="2">
      <c r="A205" s="88" t="s">
        <v>169</v>
      </c>
      <c r="B205" s="165">
        <v>10.0</v>
      </c>
      <c r="C205" s="166">
        <v>10.0</v>
      </c>
      <c r="D205" s="166">
        <v>10.0</v>
      </c>
      <c r="E205" s="166">
        <v>10.0</v>
      </c>
      <c r="F205" s="166">
        <v>10.0</v>
      </c>
      <c r="G205" s="166">
        <v>10.0</v>
      </c>
      <c r="H205" s="166">
        <v>10.0</v>
      </c>
      <c r="I205" s="168">
        <v>10.0</v>
      </c>
    </row>
    <row r="206" hidden="1" outlineLevel="2">
      <c r="A206" s="73" t="s">
        <v>170</v>
      </c>
      <c r="B206" s="297">
        <f t="shared" ref="B206:I206" si="82">IF(B204=0,0,B204/B205)</f>
        <v>0.966</v>
      </c>
      <c r="C206" s="298">
        <f t="shared" si="82"/>
        <v>1</v>
      </c>
      <c r="D206" s="298">
        <f t="shared" si="82"/>
        <v>0.804</v>
      </c>
      <c r="E206" s="298">
        <f t="shared" si="82"/>
        <v>0.866</v>
      </c>
      <c r="F206" s="298">
        <f t="shared" si="82"/>
        <v>0.966</v>
      </c>
      <c r="G206" s="298">
        <f t="shared" si="82"/>
        <v>1</v>
      </c>
      <c r="H206" s="298">
        <f t="shared" si="82"/>
        <v>0.866</v>
      </c>
      <c r="I206" s="299">
        <f t="shared" si="82"/>
        <v>0.982</v>
      </c>
    </row>
    <row r="207" hidden="1" outlineLevel="2">
      <c r="A207" s="51" t="s">
        <v>173</v>
      </c>
      <c r="B207" s="53"/>
      <c r="C207" s="54"/>
      <c r="D207" s="54"/>
      <c r="E207" s="54"/>
      <c r="F207" s="54"/>
      <c r="G207" s="54"/>
      <c r="H207" s="54"/>
      <c r="I207" s="56"/>
    </row>
    <row r="208" hidden="1" outlineLevel="2">
      <c r="A208" s="83" t="s">
        <v>175</v>
      </c>
      <c r="B208" s="330"/>
      <c r="C208" s="331"/>
      <c r="D208" s="345"/>
      <c r="E208" s="331"/>
      <c r="F208" s="331"/>
      <c r="G208" s="331"/>
      <c r="H208" s="331"/>
      <c r="I208" s="332"/>
    </row>
    <row r="209" hidden="1" outlineLevel="2">
      <c r="A209" s="180" t="s">
        <v>179</v>
      </c>
      <c r="B209" s="53"/>
      <c r="C209" s="54"/>
      <c r="D209" s="54"/>
      <c r="E209" s="54"/>
      <c r="F209" s="54"/>
      <c r="G209" s="54"/>
      <c r="H209" s="54"/>
      <c r="I209" s="56"/>
    </row>
    <row r="210" hidden="1" outlineLevel="2">
      <c r="A210" s="88" t="s">
        <v>180</v>
      </c>
      <c r="B210" s="181">
        <f t="shared" ref="B210:I210" si="83">B189*25</f>
        <v>23.66891892</v>
      </c>
      <c r="C210" s="182">
        <f t="shared" si="83"/>
        <v>32.84375</v>
      </c>
      <c r="D210" s="182">
        <f t="shared" si="83"/>
        <v>26.9875</v>
      </c>
      <c r="E210" s="182">
        <f t="shared" si="83"/>
        <v>31.96875</v>
      </c>
      <c r="F210" s="182">
        <f t="shared" si="83"/>
        <v>32.44736842</v>
      </c>
      <c r="G210" s="182">
        <f t="shared" si="83"/>
        <v>33.15625</v>
      </c>
      <c r="H210" s="182">
        <f t="shared" si="83"/>
        <v>28.80625</v>
      </c>
      <c r="I210" s="183">
        <f t="shared" si="83"/>
        <v>22</v>
      </c>
    </row>
    <row r="211" hidden="1" outlineLevel="2">
      <c r="A211" s="88" t="s">
        <v>182</v>
      </c>
      <c r="B211" s="181">
        <f t="shared" ref="B211:I211" si="84">B193*35</f>
        <v>35</v>
      </c>
      <c r="C211" s="182">
        <f t="shared" si="84"/>
        <v>19.25</v>
      </c>
      <c r="D211" s="182">
        <f t="shared" si="84"/>
        <v>16.21375</v>
      </c>
      <c r="E211" s="182">
        <f t="shared" si="84"/>
        <v>34.825</v>
      </c>
      <c r="F211" s="182">
        <f t="shared" si="84"/>
        <v>34.825</v>
      </c>
      <c r="G211" s="182">
        <f t="shared" si="84"/>
        <v>34.62375</v>
      </c>
      <c r="H211" s="182">
        <f t="shared" si="84"/>
        <v>28.74375</v>
      </c>
      <c r="I211" s="183">
        <f t="shared" si="84"/>
        <v>0</v>
      </c>
    </row>
    <row r="212" hidden="1" outlineLevel="2">
      <c r="A212" s="88" t="s">
        <v>184</v>
      </c>
      <c r="B212" s="181">
        <f t="shared" ref="B212:I212" si="85">IF(AND(B193&lt;85%, B202&gt;100%), 25, B202*25)</f>
        <v>25.69883066</v>
      </c>
      <c r="C212" s="182">
        <f t="shared" si="85"/>
        <v>22.66796001</v>
      </c>
      <c r="D212" s="182">
        <f t="shared" si="85"/>
        <v>24.8051829</v>
      </c>
      <c r="E212" s="182">
        <f t="shared" si="85"/>
        <v>23.94639168</v>
      </c>
      <c r="F212" s="182">
        <f t="shared" si="85"/>
        <v>25.12891683</v>
      </c>
      <c r="G212" s="182">
        <f t="shared" si="85"/>
        <v>24.48118165</v>
      </c>
      <c r="H212" s="182">
        <f t="shared" si="85"/>
        <v>23.33427459</v>
      </c>
      <c r="I212" s="183">
        <f t="shared" si="85"/>
        <v>14.375</v>
      </c>
    </row>
    <row r="213" hidden="1" outlineLevel="2">
      <c r="A213" s="88" t="s">
        <v>187</v>
      </c>
      <c r="B213" s="181">
        <f t="shared" ref="B213:I213" si="86">B206*15</f>
        <v>14.49</v>
      </c>
      <c r="C213" s="182">
        <f t="shared" si="86"/>
        <v>15</v>
      </c>
      <c r="D213" s="182">
        <f t="shared" si="86"/>
        <v>12.06</v>
      </c>
      <c r="E213" s="182">
        <f t="shared" si="86"/>
        <v>12.99</v>
      </c>
      <c r="F213" s="182">
        <f t="shared" si="86"/>
        <v>14.49</v>
      </c>
      <c r="G213" s="182">
        <f t="shared" si="86"/>
        <v>15</v>
      </c>
      <c r="H213" s="182">
        <f t="shared" si="86"/>
        <v>12.99</v>
      </c>
      <c r="I213" s="183">
        <f t="shared" si="86"/>
        <v>14.73</v>
      </c>
    </row>
    <row r="214" hidden="1" outlineLevel="2">
      <c r="A214" s="88" t="s">
        <v>188</v>
      </c>
      <c r="B214" s="181">
        <f t="shared" ref="B214:I214" si="87">B208*-10</f>
        <v>0</v>
      </c>
      <c r="C214" s="182">
        <f t="shared" si="87"/>
        <v>0</v>
      </c>
      <c r="D214" s="182">
        <f t="shared" si="87"/>
        <v>0</v>
      </c>
      <c r="E214" s="182">
        <f t="shared" si="87"/>
        <v>0</v>
      </c>
      <c r="F214" s="182">
        <f t="shared" si="87"/>
        <v>0</v>
      </c>
      <c r="G214" s="182">
        <f t="shared" si="87"/>
        <v>0</v>
      </c>
      <c r="H214" s="182">
        <f t="shared" si="87"/>
        <v>0</v>
      </c>
      <c r="I214" s="183">
        <f t="shared" si="87"/>
        <v>0</v>
      </c>
    </row>
    <row r="215" hidden="1" outlineLevel="2">
      <c r="A215" s="187" t="s">
        <v>190</v>
      </c>
      <c r="B215" s="181">
        <f t="shared" ref="B215:I215" si="88">B210+B211+B212+B213+B214</f>
        <v>98.85774958</v>
      </c>
      <c r="C215" s="182">
        <f t="shared" si="88"/>
        <v>89.76171001</v>
      </c>
      <c r="D215" s="182">
        <f t="shared" si="88"/>
        <v>80.0664329</v>
      </c>
      <c r="E215" s="182">
        <f t="shared" si="88"/>
        <v>103.7301417</v>
      </c>
      <c r="F215" s="182">
        <f t="shared" si="88"/>
        <v>106.8912853</v>
      </c>
      <c r="G215" s="182">
        <f t="shared" si="88"/>
        <v>107.2611816</v>
      </c>
      <c r="H215" s="182">
        <f t="shared" si="88"/>
        <v>93.87427459</v>
      </c>
      <c r="I215" s="183">
        <f t="shared" si="88"/>
        <v>51.105</v>
      </c>
    </row>
    <row r="216" hidden="1" outlineLevel="2">
      <c r="A216" s="73" t="s">
        <v>193</v>
      </c>
      <c r="B216" s="74">
        <f t="shared" ref="B216:I216" si="89">B215/100</f>
        <v>0.9885774958</v>
      </c>
      <c r="C216" s="75">
        <f t="shared" si="89"/>
        <v>0.8976171001</v>
      </c>
      <c r="D216" s="346">
        <f t="shared" si="89"/>
        <v>0.800664329</v>
      </c>
      <c r="E216" s="75">
        <f t="shared" si="89"/>
        <v>1.037301417</v>
      </c>
      <c r="F216" s="75">
        <f t="shared" si="89"/>
        <v>1.068912853</v>
      </c>
      <c r="G216" s="75">
        <f t="shared" si="89"/>
        <v>1.072611816</v>
      </c>
      <c r="H216" s="75">
        <f t="shared" si="89"/>
        <v>0.9387427459</v>
      </c>
      <c r="I216" s="77">
        <f t="shared" si="89"/>
        <v>0.51105</v>
      </c>
    </row>
    <row r="217" hidden="1" outlineLevel="2">
      <c r="A217" s="180" t="s">
        <v>203</v>
      </c>
      <c r="B217" s="361" t="s">
        <v>204</v>
      </c>
      <c r="C217" s="361" t="s">
        <v>204</v>
      </c>
      <c r="D217" s="362" t="s">
        <v>207</v>
      </c>
      <c r="E217" s="362" t="s">
        <v>204</v>
      </c>
      <c r="F217" s="362" t="s">
        <v>206</v>
      </c>
      <c r="G217" s="362" t="s">
        <v>204</v>
      </c>
      <c r="H217" s="362" t="s">
        <v>204</v>
      </c>
      <c r="I217" s="363"/>
    </row>
    <row r="218" hidden="1" outlineLevel="2">
      <c r="A218" s="180" t="s">
        <v>208</v>
      </c>
      <c r="B218" s="216"/>
      <c r="C218" s="217"/>
      <c r="D218" s="350"/>
      <c r="E218" s="217"/>
      <c r="F218" s="217"/>
      <c r="G218" s="217"/>
      <c r="H218" s="217"/>
      <c r="I218" s="364" t="s">
        <v>564</v>
      </c>
    </row>
    <row r="219" hidden="1" outlineLevel="1" collapsed="1">
      <c r="A219" s="32"/>
      <c r="B219" s="33" t="s">
        <v>565</v>
      </c>
      <c r="C219" s="34"/>
      <c r="D219" s="34"/>
      <c r="E219" s="34"/>
      <c r="F219" s="34"/>
      <c r="G219" s="34"/>
      <c r="H219" s="34"/>
      <c r="I219" s="35"/>
    </row>
    <row r="220" hidden="1" outlineLevel="2">
      <c r="A220" s="228"/>
      <c r="B220" s="317" t="s">
        <v>56</v>
      </c>
      <c r="C220" s="318" t="s">
        <v>57</v>
      </c>
      <c r="D220" s="318" t="s">
        <v>21</v>
      </c>
      <c r="E220" s="318" t="s">
        <v>32</v>
      </c>
      <c r="F220" s="318" t="s">
        <v>58</v>
      </c>
      <c r="G220" s="319" t="s">
        <v>59</v>
      </c>
      <c r="H220" s="320" t="s">
        <v>7</v>
      </c>
      <c r="I220" s="320" t="s">
        <v>503</v>
      </c>
    </row>
    <row r="221" hidden="1" outlineLevel="2">
      <c r="A221" s="44" t="s">
        <v>60</v>
      </c>
      <c r="B221" s="289" t="s">
        <v>565</v>
      </c>
      <c r="C221" s="290"/>
      <c r="D221" s="290"/>
      <c r="E221" s="290"/>
      <c r="F221" s="290"/>
      <c r="G221" s="290"/>
      <c r="H221" s="290"/>
      <c r="I221" s="291"/>
    </row>
    <row r="222" hidden="1" outlineLevel="2">
      <c r="A222" s="51" t="s">
        <v>64</v>
      </c>
      <c r="B222" s="53"/>
      <c r="C222" s="54"/>
      <c r="D222" s="54"/>
      <c r="E222" s="54"/>
      <c r="F222" s="54"/>
      <c r="G222" s="54"/>
      <c r="H222" s="54"/>
      <c r="I222" s="56"/>
    </row>
    <row r="223" hidden="1" outlineLevel="2">
      <c r="A223" s="58" t="s">
        <v>69</v>
      </c>
      <c r="B223" s="292">
        <v>47.49</v>
      </c>
      <c r="C223" s="293">
        <f>50.53-2</f>
        <v>48.53</v>
      </c>
      <c r="D223" s="353">
        <f>84.41-7-24-8.4-6.2</f>
        <v>38.81</v>
      </c>
      <c r="E223" s="293">
        <f>45.42-2</f>
        <v>43.42</v>
      </c>
      <c r="F223" s="293">
        <v>48.58</v>
      </c>
      <c r="G223" s="293">
        <f>51.06-2</f>
        <v>49.06</v>
      </c>
      <c r="H223" s="293">
        <v>48.09</v>
      </c>
      <c r="I223" s="354">
        <v>45.23</v>
      </c>
    </row>
    <row r="224" hidden="1" outlineLevel="2">
      <c r="A224" s="68" t="s">
        <v>75</v>
      </c>
      <c r="B224" s="248">
        <v>37.0</v>
      </c>
      <c r="C224" s="70">
        <v>40.0</v>
      </c>
      <c r="D224" s="70">
        <v>40.0</v>
      </c>
      <c r="E224" s="70">
        <v>40.0</v>
      </c>
      <c r="F224" s="296">
        <v>38.0</v>
      </c>
      <c r="G224" s="70">
        <v>40.0</v>
      </c>
      <c r="H224" s="70">
        <v>40.0</v>
      </c>
      <c r="I224" s="355">
        <v>40.0</v>
      </c>
    </row>
    <row r="225" hidden="1" outlineLevel="2">
      <c r="A225" s="73" t="s">
        <v>76</v>
      </c>
      <c r="B225" s="297">
        <f t="shared" ref="B225:I225" si="90">B223/B224</f>
        <v>1.283513514</v>
      </c>
      <c r="C225" s="298">
        <f t="shared" si="90"/>
        <v>1.21325</v>
      </c>
      <c r="D225" s="298">
        <f t="shared" si="90"/>
        <v>0.97025</v>
      </c>
      <c r="E225" s="298">
        <f t="shared" si="90"/>
        <v>1.0855</v>
      </c>
      <c r="F225" s="298">
        <f t="shared" si="90"/>
        <v>1.278421053</v>
      </c>
      <c r="G225" s="298">
        <f t="shared" si="90"/>
        <v>1.2265</v>
      </c>
      <c r="H225" s="298">
        <f t="shared" si="90"/>
        <v>1.20225</v>
      </c>
      <c r="I225" s="299">
        <f t="shared" si="90"/>
        <v>1.13075</v>
      </c>
    </row>
    <row r="226" hidden="1" outlineLevel="2">
      <c r="A226" s="51" t="s">
        <v>79</v>
      </c>
      <c r="B226" s="53"/>
      <c r="C226" s="54"/>
      <c r="D226" s="54"/>
      <c r="E226" s="54"/>
      <c r="F226" s="54"/>
      <c r="G226" s="54"/>
      <c r="H226" s="54"/>
      <c r="I226" s="56"/>
    </row>
    <row r="227" hidden="1" outlineLevel="2">
      <c r="A227" s="83" t="s">
        <v>81</v>
      </c>
      <c r="B227" s="365">
        <v>40.0</v>
      </c>
      <c r="C227" s="366">
        <v>40.0</v>
      </c>
      <c r="D227" s="366">
        <v>39.13</v>
      </c>
      <c r="E227" s="366">
        <v>40.0</v>
      </c>
      <c r="F227" s="366">
        <v>40.0</v>
      </c>
      <c r="G227" s="366">
        <v>39.77</v>
      </c>
      <c r="H227" s="366">
        <v>40.0</v>
      </c>
      <c r="I227" s="354">
        <v>33.4</v>
      </c>
    </row>
    <row r="228" hidden="1" outlineLevel="2">
      <c r="A228" s="88" t="s">
        <v>86</v>
      </c>
      <c r="B228" s="260">
        <v>40.0</v>
      </c>
      <c r="C228" s="261">
        <v>40.0</v>
      </c>
      <c r="D228" s="261">
        <v>40.0</v>
      </c>
      <c r="E228" s="261">
        <v>40.0</v>
      </c>
      <c r="F228" s="261">
        <v>40.0</v>
      </c>
      <c r="G228" s="261">
        <v>40.0</v>
      </c>
      <c r="H228" s="261">
        <v>40.0</v>
      </c>
      <c r="I228" s="262">
        <v>40.0</v>
      </c>
    </row>
    <row r="229" hidden="1" outlineLevel="2">
      <c r="A229" s="73" t="s">
        <v>96</v>
      </c>
      <c r="B229" s="297">
        <f t="shared" ref="B229:I229" si="91">B227/B228</f>
        <v>1</v>
      </c>
      <c r="C229" s="298">
        <f t="shared" si="91"/>
        <v>1</v>
      </c>
      <c r="D229" s="298">
        <f t="shared" si="91"/>
        <v>0.97825</v>
      </c>
      <c r="E229" s="298">
        <f t="shared" si="91"/>
        <v>1</v>
      </c>
      <c r="F229" s="298">
        <f t="shared" si="91"/>
        <v>1</v>
      </c>
      <c r="G229" s="298">
        <f t="shared" si="91"/>
        <v>0.99425</v>
      </c>
      <c r="H229" s="298">
        <f t="shared" si="91"/>
        <v>1</v>
      </c>
      <c r="I229" s="299">
        <f t="shared" si="91"/>
        <v>0.835</v>
      </c>
    </row>
    <row r="230" hidden="1" outlineLevel="2">
      <c r="A230" s="51" t="s">
        <v>99</v>
      </c>
      <c r="B230" s="53"/>
      <c r="C230" s="54"/>
      <c r="D230" s="54"/>
      <c r="E230" s="54"/>
      <c r="F230" s="54"/>
      <c r="G230" s="54"/>
      <c r="H230" s="54"/>
      <c r="I230" s="56"/>
    </row>
    <row r="231" hidden="1" outlineLevel="2">
      <c r="A231" s="83" t="s">
        <v>101</v>
      </c>
      <c r="B231" s="259" t="s">
        <v>109</v>
      </c>
      <c r="C231" s="124" t="s">
        <v>113</v>
      </c>
      <c r="D231" s="124" t="s">
        <v>113</v>
      </c>
      <c r="E231" s="124" t="s">
        <v>109</v>
      </c>
      <c r="F231" s="124" t="s">
        <v>109</v>
      </c>
      <c r="G231" s="123" t="s">
        <v>113</v>
      </c>
      <c r="H231" s="124" t="s">
        <v>109</v>
      </c>
      <c r="I231" s="126" t="s">
        <v>109</v>
      </c>
    </row>
    <row r="232" hidden="1" outlineLevel="2">
      <c r="A232" s="83" t="s">
        <v>117</v>
      </c>
      <c r="B232" s="259" t="s">
        <v>118</v>
      </c>
      <c r="C232" s="124" t="s">
        <v>119</v>
      </c>
      <c r="D232" s="124" t="s">
        <v>118</v>
      </c>
      <c r="E232" s="124" t="s">
        <v>119</v>
      </c>
      <c r="F232" s="124" t="s">
        <v>118</v>
      </c>
      <c r="G232" s="124" t="s">
        <v>119</v>
      </c>
      <c r="H232" s="124" t="s">
        <v>119</v>
      </c>
      <c r="I232" s="126" t="s">
        <v>119</v>
      </c>
    </row>
    <row r="233" hidden="1" outlineLevel="2">
      <c r="A233" s="83" t="s">
        <v>120</v>
      </c>
      <c r="B233" s="271">
        <f>IF(B223&lt;B224,B224,B223) *
IF(B231="AM",
    IF(B232="Oricle",3.5,
    IF(B232="Other Brands",4,
    IF(B232="Oricle Prio",0.6,""))),
 IF(B231="MID",
    IF(B232="Oricle",2.5,
    IF(B232="Other Brands",3,
    IF(B232="Oricle Prio",0.6,""))),
 IF(B231="GY",
    IF(B232="Oricle",1,
    IF(B232="Other Brands",1,
    IF(B232="Oricle Prio",0.3,""))),"")))-10</f>
        <v>132.47</v>
      </c>
      <c r="C233" s="273">
        <f>IF(C223&lt;C224,C224,C223) *
IF(C231="AM",
    IF(C232="Oricle",3,
    IF(C232="Other Brands",4,
    IF(C232="Oricle Prio",0.6,""))),
 IF(C231="MID",
    IF(C232="Oricle",2.5,
    IF(C232="Other Brands",3,
    IF(C232="Oricle Prio",0.6,""))),
 IF(C231="GY",
    IF(C232="Oricle",1,
    IF(C232="Other Brands",1,
    IF(C232="Oricle Prio",0.3,""))),"")))</f>
        <v>145.59</v>
      </c>
      <c r="D233" s="273">
        <f>IF(D223&lt;D224,D224,D223) *
IF(D231="AM",
    IF(D232="Oricle",3.5,
    IF(D232="Other Brands",4,
    IF(D232="Oricle Prio",0.6,""))),
 IF(D231="MID",
    IF(D232="Oricle",2.5,
    IF(D232="Other Brands",3,
    IF(D232="Oricle Prio",0.6,""))),
 IF(D231="GY",
    IF(D232="Oricle",1,
    IF(D232="Other Brands",1,
    IF(D232="Oricle Prio",0.3,""))),"")))</f>
        <v>160</v>
      </c>
      <c r="E233" s="273">
        <f>IF(E223&lt;E224,E224,E223) *
IF(E231="AM",
    IF(E232="Oricle",3.5,
    IF(E232="Other Brands",4,
    IF(E232="Oricle Prio",0.6,""))),
 IF(E231="MID",
    IF(E232="Oricle",2.5,
    IF(E232="Other Brands",3,
    IF(E232="Oricle Prio",0.6,""))),
 IF(E231="GY",
    IF(E232="Oricle",1,
    IF(E232="Other Brands",1,
    IF(E232="Oricle Prio",0.3,""))),"")))-12</f>
        <v>96.55</v>
      </c>
      <c r="F233" s="273">
        <f>IF(F223&lt;F224,F224,F223) *
IF(F231="AM",
    IF(F232="Oricle",3.5,
    IF(F232="Other Brands",4,
    IF(F232="Oricle Prio",0.6,""))),
 IF(F231="MID",
    IF(F232="Oricle",2.5,
    IF(F232="Other Brands",3,
    IF(F232="Oricle Prio",0.6,""))),
 IF(F231="GY",
    IF(F232="Oricle",1,
    IF(F232="Other Brands",1,
    IF(F232="Oricle Prio",0.3,""))),"")))</f>
        <v>145.74</v>
      </c>
      <c r="G233" s="273">
        <f>IF(G223&lt;G224,G224,G223) *
IF(G231="AM",
    IF(G232="Oricle",3,
    IF(G232="Other Brands",4,
    IF(G232="Oricle Prio",0.6,""))),
 IF(G231="MID",
    IF(G232="Oricle",2.5,
    IF(G232="Other Brands",3,
    IF(G232="Oricle Prio",0.6,""))),
 IF(G231="GY",
    IF(G232="Oricle",1,
    IF(G232="Other Brands",1,
    IF(G232="Oricle Prio",0.3,""))),"")))</f>
        <v>147.18</v>
      </c>
      <c r="H233" s="273">
        <f>IF(H223&lt;H224,H224,H223) *
IF(H231="AM",
    IF(H232="Oricle",3.5,
    IF(H232="Other Brands",4,
    IF(H232="Oricle Prio",0.6,""))),
 IF(H231="MID",
    IF(H232="Oricle",2.5,
    IF(H232="Other Brands",3,
    IF(H232="Oricle Prio",0.6,""))),
 IF(H231="GY",
    IF(H232="Oricle",1,
    IF(H232="Other Brands",1,
    IF(H232="Oricle Prio",0.3,""))),"")))</f>
        <v>120.225</v>
      </c>
      <c r="I233" s="304">
        <v>70.0</v>
      </c>
    </row>
    <row r="234" hidden="1" outlineLevel="2">
      <c r="A234" s="83" t="s">
        <v>131</v>
      </c>
      <c r="B234" s="306" t="s">
        <v>134</v>
      </c>
      <c r="C234" s="123" t="s">
        <v>141</v>
      </c>
      <c r="D234" s="123" t="s">
        <v>590</v>
      </c>
      <c r="E234" s="123" t="s">
        <v>591</v>
      </c>
      <c r="F234" s="123" t="s">
        <v>536</v>
      </c>
      <c r="G234" s="123" t="s">
        <v>137</v>
      </c>
      <c r="H234" s="123" t="s">
        <v>396</v>
      </c>
      <c r="I234" s="301" t="s">
        <v>592</v>
      </c>
    </row>
    <row r="235" hidden="1" outlineLevel="2">
      <c r="A235" s="83" t="s">
        <v>138</v>
      </c>
      <c r="B235" s="306" t="s">
        <v>256</v>
      </c>
      <c r="C235" s="123" t="s">
        <v>137</v>
      </c>
      <c r="D235" s="123" t="s">
        <v>257</v>
      </c>
      <c r="E235" s="123" t="s">
        <v>594</v>
      </c>
      <c r="F235" s="123" t="s">
        <v>470</v>
      </c>
      <c r="G235" s="123" t="s">
        <v>137</v>
      </c>
      <c r="H235" s="123" t="s">
        <v>396</v>
      </c>
      <c r="I235" s="301" t="s">
        <v>596</v>
      </c>
    </row>
    <row r="236" hidden="1" outlineLevel="2">
      <c r="A236" s="88" t="s">
        <v>149</v>
      </c>
      <c r="B236" s="152">
        <f t="shared" ref="B236:I236" si="92">IF(B234&gt;0,B235/B234,0)</f>
        <v>0.9197080292</v>
      </c>
      <c r="C236" s="153">
        <f t="shared" si="92"/>
        <v>0.9847328244</v>
      </c>
      <c r="D236" s="153">
        <f t="shared" si="92"/>
        <v>0.9871794872</v>
      </c>
      <c r="E236" s="153">
        <f t="shared" si="92"/>
        <v>0.9893617021</v>
      </c>
      <c r="F236" s="153">
        <f t="shared" si="92"/>
        <v>0.9802631579</v>
      </c>
      <c r="G236" s="153">
        <f t="shared" si="92"/>
        <v>1</v>
      </c>
      <c r="H236" s="153">
        <f t="shared" si="92"/>
        <v>1</v>
      </c>
      <c r="I236" s="154">
        <f t="shared" si="92"/>
        <v>0.9722222222</v>
      </c>
    </row>
    <row r="237" hidden="1" outlineLevel="2">
      <c r="A237" s="88" t="s">
        <v>156</v>
      </c>
      <c r="B237" s="152">
        <f t="shared" ref="B237:I237" si="93">IF(B233&gt;0,B235/B233,0)</f>
        <v>0.9511587529</v>
      </c>
      <c r="C237" s="153">
        <f t="shared" si="93"/>
        <v>0.8860498661</v>
      </c>
      <c r="D237" s="153">
        <f t="shared" si="93"/>
        <v>0.9625</v>
      </c>
      <c r="E237" s="153">
        <f t="shared" si="93"/>
        <v>0.9632314863</v>
      </c>
      <c r="F237" s="153">
        <f t="shared" si="93"/>
        <v>1.022368602</v>
      </c>
      <c r="G237" s="153">
        <f t="shared" si="93"/>
        <v>0.8764777823</v>
      </c>
      <c r="H237" s="153">
        <f t="shared" si="93"/>
        <v>0.881680183</v>
      </c>
      <c r="I237" s="154">
        <f t="shared" si="93"/>
        <v>1</v>
      </c>
    </row>
    <row r="238" hidden="1" outlineLevel="2">
      <c r="A238" s="159" t="s">
        <v>13</v>
      </c>
      <c r="B238" s="297">
        <f t="shared" ref="B238:I238" si="94">average(B236:B237)</f>
        <v>0.9354333911</v>
      </c>
      <c r="C238" s="298">
        <f t="shared" si="94"/>
        <v>0.9353913452</v>
      </c>
      <c r="D238" s="298">
        <f t="shared" si="94"/>
        <v>0.9748397436</v>
      </c>
      <c r="E238" s="298">
        <f t="shared" si="94"/>
        <v>0.9762965942</v>
      </c>
      <c r="F238" s="298">
        <f t="shared" si="94"/>
        <v>1.00131588</v>
      </c>
      <c r="G238" s="298">
        <f t="shared" si="94"/>
        <v>0.9382388912</v>
      </c>
      <c r="H238" s="298">
        <f t="shared" si="94"/>
        <v>0.9408400915</v>
      </c>
      <c r="I238" s="299">
        <f t="shared" si="94"/>
        <v>0.9861111111</v>
      </c>
    </row>
    <row r="239" hidden="1" outlineLevel="2">
      <c r="A239" s="51" t="s">
        <v>161</v>
      </c>
      <c r="B239" s="334"/>
      <c r="C239" s="54"/>
      <c r="D239" s="54"/>
      <c r="E239" s="54"/>
      <c r="F239" s="54"/>
      <c r="G239" s="54"/>
      <c r="H239" s="54"/>
      <c r="I239" s="335"/>
    </row>
    <row r="240" hidden="1" outlineLevel="2">
      <c r="A240" s="83" t="s">
        <v>162</v>
      </c>
      <c r="B240" s="292">
        <v>9.33</v>
      </c>
      <c r="C240" s="293">
        <v>9.33</v>
      </c>
      <c r="D240" s="293">
        <v>9.46</v>
      </c>
      <c r="E240" s="293">
        <v>10.0</v>
      </c>
      <c r="F240" s="277">
        <v>10.0</v>
      </c>
      <c r="G240" s="293">
        <v>9.33</v>
      </c>
      <c r="H240" s="293">
        <v>9.33</v>
      </c>
      <c r="I240" s="294">
        <v>9.0</v>
      </c>
    </row>
    <row r="241" hidden="1" outlineLevel="2">
      <c r="A241" s="88" t="s">
        <v>169</v>
      </c>
      <c r="B241" s="165">
        <v>10.0</v>
      </c>
      <c r="C241" s="166">
        <v>10.0</v>
      </c>
      <c r="D241" s="166">
        <v>10.0</v>
      </c>
      <c r="E241" s="166">
        <v>10.0</v>
      </c>
      <c r="F241" s="166">
        <v>10.0</v>
      </c>
      <c r="G241" s="166">
        <v>10.0</v>
      </c>
      <c r="H241" s="166">
        <v>10.0</v>
      </c>
      <c r="I241" s="168">
        <v>10.0</v>
      </c>
    </row>
    <row r="242" hidden="1" outlineLevel="2">
      <c r="A242" s="73" t="s">
        <v>170</v>
      </c>
      <c r="B242" s="297">
        <f t="shared" ref="B242:I242" si="95">IF(B240=0,0,B240/B241)</f>
        <v>0.933</v>
      </c>
      <c r="C242" s="298">
        <f t="shared" si="95"/>
        <v>0.933</v>
      </c>
      <c r="D242" s="298">
        <f t="shared" si="95"/>
        <v>0.946</v>
      </c>
      <c r="E242" s="298">
        <f t="shared" si="95"/>
        <v>1</v>
      </c>
      <c r="F242" s="298">
        <f t="shared" si="95"/>
        <v>1</v>
      </c>
      <c r="G242" s="298">
        <f t="shared" si="95"/>
        <v>0.933</v>
      </c>
      <c r="H242" s="298">
        <f t="shared" si="95"/>
        <v>0.933</v>
      </c>
      <c r="I242" s="299">
        <f t="shared" si="95"/>
        <v>0.9</v>
      </c>
    </row>
    <row r="243" hidden="1" outlineLevel="2">
      <c r="A243" s="51" t="s">
        <v>173</v>
      </c>
      <c r="B243" s="53"/>
      <c r="C243" s="54"/>
      <c r="D243" s="54"/>
      <c r="E243" s="54"/>
      <c r="F243" s="54"/>
      <c r="G243" s="54"/>
      <c r="H243" s="54"/>
      <c r="I243" s="56"/>
    </row>
    <row r="244" hidden="1" outlineLevel="2">
      <c r="A244" s="83" t="s">
        <v>175</v>
      </c>
      <c r="B244" s="330"/>
      <c r="C244" s="331"/>
      <c r="D244" s="345"/>
      <c r="E244" s="331"/>
      <c r="F244" s="331"/>
      <c r="G244" s="331"/>
      <c r="H244" s="331"/>
      <c r="I244" s="332"/>
    </row>
    <row r="245" hidden="1" outlineLevel="2">
      <c r="A245" s="180" t="s">
        <v>179</v>
      </c>
      <c r="B245" s="53"/>
      <c r="C245" s="54"/>
      <c r="D245" s="54"/>
      <c r="E245" s="54"/>
      <c r="F245" s="54"/>
      <c r="G245" s="54"/>
      <c r="H245" s="54"/>
      <c r="I245" s="56"/>
    </row>
    <row r="246" hidden="1" outlineLevel="2">
      <c r="A246" s="88" t="s">
        <v>180</v>
      </c>
      <c r="B246" s="181">
        <f t="shared" ref="B246:I246" si="96">B225*25</f>
        <v>32.08783784</v>
      </c>
      <c r="C246" s="182">
        <f t="shared" si="96"/>
        <v>30.33125</v>
      </c>
      <c r="D246" s="182">
        <f t="shared" si="96"/>
        <v>24.25625</v>
      </c>
      <c r="E246" s="182">
        <f t="shared" si="96"/>
        <v>27.1375</v>
      </c>
      <c r="F246" s="182">
        <f t="shared" si="96"/>
        <v>31.96052632</v>
      </c>
      <c r="G246" s="182">
        <f t="shared" si="96"/>
        <v>30.6625</v>
      </c>
      <c r="H246" s="182">
        <f t="shared" si="96"/>
        <v>30.05625</v>
      </c>
      <c r="I246" s="183">
        <f t="shared" si="96"/>
        <v>28.26875</v>
      </c>
    </row>
    <row r="247" hidden="1" outlineLevel="2">
      <c r="A247" s="88" t="s">
        <v>182</v>
      </c>
      <c r="B247" s="181">
        <f t="shared" ref="B247:I247" si="97">B229*35</f>
        <v>35</v>
      </c>
      <c r="C247" s="182">
        <f t="shared" si="97"/>
        <v>35</v>
      </c>
      <c r="D247" s="182">
        <f t="shared" si="97"/>
        <v>34.23875</v>
      </c>
      <c r="E247" s="182">
        <f t="shared" si="97"/>
        <v>35</v>
      </c>
      <c r="F247" s="182">
        <f t="shared" si="97"/>
        <v>35</v>
      </c>
      <c r="G247" s="182">
        <f t="shared" si="97"/>
        <v>34.79875</v>
      </c>
      <c r="H247" s="182">
        <f t="shared" si="97"/>
        <v>35</v>
      </c>
      <c r="I247" s="183">
        <f t="shared" si="97"/>
        <v>29.225</v>
      </c>
    </row>
    <row r="248" hidden="1" outlineLevel="2">
      <c r="A248" s="88" t="s">
        <v>184</v>
      </c>
      <c r="B248" s="181">
        <f t="shared" ref="B248:I248" si="98">IF(AND(B229&lt;85%, B238&gt;100%), 25, B238*25)</f>
        <v>23.38583478</v>
      </c>
      <c r="C248" s="182">
        <f t="shared" si="98"/>
        <v>23.38478363</v>
      </c>
      <c r="D248" s="182">
        <f t="shared" si="98"/>
        <v>24.37099359</v>
      </c>
      <c r="E248" s="182">
        <f t="shared" si="98"/>
        <v>24.40741486</v>
      </c>
      <c r="F248" s="182">
        <f t="shared" si="98"/>
        <v>25.03289699</v>
      </c>
      <c r="G248" s="182">
        <f t="shared" si="98"/>
        <v>23.45597228</v>
      </c>
      <c r="H248" s="182">
        <f t="shared" si="98"/>
        <v>23.52100229</v>
      </c>
      <c r="I248" s="183">
        <f t="shared" si="98"/>
        <v>24.65277778</v>
      </c>
    </row>
    <row r="249" hidden="1" outlineLevel="2">
      <c r="A249" s="88" t="s">
        <v>187</v>
      </c>
      <c r="B249" s="181">
        <f t="shared" ref="B249:I249" si="99">B242*15</f>
        <v>13.995</v>
      </c>
      <c r="C249" s="182">
        <f t="shared" si="99"/>
        <v>13.995</v>
      </c>
      <c r="D249" s="182">
        <f t="shared" si="99"/>
        <v>14.19</v>
      </c>
      <c r="E249" s="182">
        <f t="shared" si="99"/>
        <v>15</v>
      </c>
      <c r="F249" s="182">
        <f t="shared" si="99"/>
        <v>15</v>
      </c>
      <c r="G249" s="182">
        <f t="shared" si="99"/>
        <v>13.995</v>
      </c>
      <c r="H249" s="182">
        <f t="shared" si="99"/>
        <v>13.995</v>
      </c>
      <c r="I249" s="183">
        <f t="shared" si="99"/>
        <v>13.5</v>
      </c>
    </row>
    <row r="250" hidden="1" outlineLevel="2">
      <c r="A250" s="88" t="s">
        <v>188</v>
      </c>
      <c r="B250" s="181">
        <f t="shared" ref="B250:I250" si="100">B244*-10</f>
        <v>0</v>
      </c>
      <c r="C250" s="182">
        <f t="shared" si="100"/>
        <v>0</v>
      </c>
      <c r="D250" s="182">
        <f t="shared" si="100"/>
        <v>0</v>
      </c>
      <c r="E250" s="182">
        <f t="shared" si="100"/>
        <v>0</v>
      </c>
      <c r="F250" s="182">
        <f t="shared" si="100"/>
        <v>0</v>
      </c>
      <c r="G250" s="182">
        <f t="shared" si="100"/>
        <v>0</v>
      </c>
      <c r="H250" s="182">
        <f t="shared" si="100"/>
        <v>0</v>
      </c>
      <c r="I250" s="183">
        <f t="shared" si="100"/>
        <v>0</v>
      </c>
    </row>
    <row r="251" hidden="1" outlineLevel="2">
      <c r="A251" s="187" t="s">
        <v>190</v>
      </c>
      <c r="B251" s="181">
        <f t="shared" ref="B251:I251" si="101">B246+B247+B248+B249+B250</f>
        <v>104.4686726</v>
      </c>
      <c r="C251" s="182">
        <f t="shared" si="101"/>
        <v>102.7110336</v>
      </c>
      <c r="D251" s="182">
        <f t="shared" si="101"/>
        <v>97.05599359</v>
      </c>
      <c r="E251" s="182">
        <f t="shared" si="101"/>
        <v>101.5449149</v>
      </c>
      <c r="F251" s="182">
        <f t="shared" si="101"/>
        <v>106.9934233</v>
      </c>
      <c r="G251" s="182">
        <f t="shared" si="101"/>
        <v>102.9122223</v>
      </c>
      <c r="H251" s="182">
        <f t="shared" si="101"/>
        <v>102.5722523</v>
      </c>
      <c r="I251" s="183">
        <f t="shared" si="101"/>
        <v>95.64652778</v>
      </c>
    </row>
    <row r="252" hidden="1" outlineLevel="2">
      <c r="A252" s="73" t="s">
        <v>193</v>
      </c>
      <c r="B252" s="74">
        <f t="shared" ref="B252:I252" si="102">B251/100</f>
        <v>1.044686726</v>
      </c>
      <c r="C252" s="75">
        <f t="shared" si="102"/>
        <v>1.027110336</v>
      </c>
      <c r="D252" s="369">
        <f t="shared" si="102"/>
        <v>0.9705599359</v>
      </c>
      <c r="E252" s="75">
        <f t="shared" si="102"/>
        <v>1.015449149</v>
      </c>
      <c r="F252" s="75">
        <f t="shared" si="102"/>
        <v>1.069934233</v>
      </c>
      <c r="G252" s="75">
        <f t="shared" si="102"/>
        <v>1.029122223</v>
      </c>
      <c r="H252" s="75">
        <f t="shared" si="102"/>
        <v>1.025722523</v>
      </c>
      <c r="I252" s="77">
        <f t="shared" si="102"/>
        <v>0.9564652778</v>
      </c>
    </row>
    <row r="253" hidden="1" outlineLevel="2">
      <c r="A253" s="180" t="s">
        <v>203</v>
      </c>
      <c r="B253" s="361" t="s">
        <v>204</v>
      </c>
      <c r="C253" s="361" t="s">
        <v>204</v>
      </c>
      <c r="D253" s="362" t="s">
        <v>204</v>
      </c>
      <c r="E253" s="362" t="s">
        <v>204</v>
      </c>
      <c r="F253" s="362" t="s">
        <v>206</v>
      </c>
      <c r="G253" s="362" t="s">
        <v>204</v>
      </c>
      <c r="H253" s="362" t="s">
        <v>204</v>
      </c>
      <c r="I253" s="370" t="s">
        <v>204</v>
      </c>
    </row>
    <row r="254" hidden="1" outlineLevel="2">
      <c r="A254" s="180" t="s">
        <v>208</v>
      </c>
      <c r="B254" s="216"/>
      <c r="C254" s="217"/>
      <c r="D254" s="350"/>
      <c r="E254" s="217"/>
      <c r="F254" s="217"/>
      <c r="G254" s="217"/>
      <c r="H254" s="217"/>
      <c r="I254" s="364" t="s">
        <v>564</v>
      </c>
    </row>
    <row r="255" hidden="1" outlineLevel="1" collapsed="1">
      <c r="A255" s="32"/>
      <c r="B255" s="33" t="s">
        <v>622</v>
      </c>
      <c r="C255" s="34"/>
      <c r="D255" s="34"/>
      <c r="E255" s="34"/>
      <c r="F255" s="34"/>
      <c r="G255" s="34"/>
      <c r="H255" s="34"/>
      <c r="I255" s="35"/>
    </row>
    <row r="256" hidden="1" outlineLevel="2">
      <c r="A256" s="228"/>
      <c r="B256" s="317" t="s">
        <v>56</v>
      </c>
      <c r="C256" s="318" t="s">
        <v>57</v>
      </c>
      <c r="D256" s="318" t="s">
        <v>21</v>
      </c>
      <c r="E256" s="318" t="s">
        <v>32</v>
      </c>
      <c r="F256" s="318" t="s">
        <v>58</v>
      </c>
      <c r="G256" s="319" t="s">
        <v>59</v>
      </c>
      <c r="H256" s="320" t="s">
        <v>7</v>
      </c>
      <c r="I256" s="320" t="s">
        <v>503</v>
      </c>
    </row>
    <row r="257" hidden="1" outlineLevel="2">
      <c r="A257" s="44" t="s">
        <v>60</v>
      </c>
      <c r="B257" s="289" t="s">
        <v>622</v>
      </c>
      <c r="C257" s="290"/>
      <c r="D257" s="290"/>
      <c r="E257" s="290"/>
      <c r="F257" s="290"/>
      <c r="G257" s="290"/>
      <c r="H257" s="290"/>
      <c r="I257" s="291"/>
    </row>
    <row r="258" hidden="1" outlineLevel="2">
      <c r="A258" s="51" t="s">
        <v>64</v>
      </c>
      <c r="B258" s="53"/>
      <c r="C258" s="54"/>
      <c r="D258" s="54"/>
      <c r="E258" s="54"/>
      <c r="F258" s="54"/>
      <c r="G258" s="54"/>
      <c r="H258" s="54"/>
      <c r="I258" s="56"/>
    </row>
    <row r="259" hidden="1" outlineLevel="2">
      <c r="A259" s="58" t="s">
        <v>69</v>
      </c>
      <c r="B259" s="292">
        <v>46.08</v>
      </c>
      <c r="C259" s="293">
        <f>40.36-2</f>
        <v>38.36</v>
      </c>
      <c r="D259" s="371">
        <v>42.51</v>
      </c>
      <c r="E259" s="293">
        <v>42.05</v>
      </c>
      <c r="F259" s="293">
        <v>42.13</v>
      </c>
      <c r="G259" s="293">
        <f>51.27-2</f>
        <v>49.27</v>
      </c>
      <c r="H259" s="293">
        <v>45.33</v>
      </c>
      <c r="I259" s="354">
        <v>45.34</v>
      </c>
    </row>
    <row r="260" hidden="1" outlineLevel="2">
      <c r="A260" s="68" t="s">
        <v>75</v>
      </c>
      <c r="B260" s="372">
        <v>38.0</v>
      </c>
      <c r="C260" s="70">
        <v>40.0</v>
      </c>
      <c r="D260" s="70">
        <v>40.0</v>
      </c>
      <c r="E260" s="70">
        <v>40.0</v>
      </c>
      <c r="F260" s="296">
        <v>38.0</v>
      </c>
      <c r="G260" s="70">
        <v>40.0</v>
      </c>
      <c r="H260" s="70">
        <v>40.0</v>
      </c>
      <c r="I260" s="355">
        <v>40.0</v>
      </c>
    </row>
    <row r="261" hidden="1" outlineLevel="2">
      <c r="A261" s="73" t="s">
        <v>76</v>
      </c>
      <c r="B261" s="297">
        <f t="shared" ref="B261:I261" si="103">B259/B260</f>
        <v>1.212631579</v>
      </c>
      <c r="C261" s="298">
        <f t="shared" si="103"/>
        <v>0.959</v>
      </c>
      <c r="D261" s="298">
        <f t="shared" si="103"/>
        <v>1.06275</v>
      </c>
      <c r="E261" s="298">
        <f t="shared" si="103"/>
        <v>1.05125</v>
      </c>
      <c r="F261" s="298">
        <f t="shared" si="103"/>
        <v>1.108684211</v>
      </c>
      <c r="G261" s="298">
        <f t="shared" si="103"/>
        <v>1.23175</v>
      </c>
      <c r="H261" s="298">
        <f t="shared" si="103"/>
        <v>1.13325</v>
      </c>
      <c r="I261" s="299">
        <f t="shared" si="103"/>
        <v>1.1335</v>
      </c>
    </row>
    <row r="262" hidden="1" outlineLevel="2">
      <c r="A262" s="51" t="s">
        <v>79</v>
      </c>
      <c r="B262" s="53"/>
      <c r="C262" s="54"/>
      <c r="D262" s="54"/>
      <c r="E262" s="54"/>
      <c r="F262" s="54"/>
      <c r="G262" s="54"/>
      <c r="H262" s="54"/>
      <c r="I262" s="56"/>
    </row>
    <row r="263" hidden="1" outlineLevel="2">
      <c r="A263" s="83" t="s">
        <v>81</v>
      </c>
      <c r="B263" s="365">
        <v>40.0</v>
      </c>
      <c r="C263" s="366">
        <v>40.0</v>
      </c>
      <c r="D263" s="366">
        <v>33.8</v>
      </c>
      <c r="E263" s="366">
        <v>40.0</v>
      </c>
      <c r="F263" s="366">
        <v>40.0</v>
      </c>
      <c r="G263" s="366">
        <v>40.0</v>
      </c>
      <c r="H263" s="366">
        <v>40.0</v>
      </c>
      <c r="I263" s="354">
        <v>40.0</v>
      </c>
    </row>
    <row r="264" hidden="1" outlineLevel="2">
      <c r="A264" s="88" t="s">
        <v>86</v>
      </c>
      <c r="B264" s="260">
        <v>40.0</v>
      </c>
      <c r="C264" s="261">
        <v>40.0</v>
      </c>
      <c r="D264" s="261">
        <v>40.0</v>
      </c>
      <c r="E264" s="261">
        <v>40.0</v>
      </c>
      <c r="F264" s="261">
        <v>40.0</v>
      </c>
      <c r="G264" s="261">
        <v>40.0</v>
      </c>
      <c r="H264" s="261">
        <v>40.0</v>
      </c>
      <c r="I264" s="262">
        <v>40.0</v>
      </c>
    </row>
    <row r="265" hidden="1" outlineLevel="2">
      <c r="A265" s="73" t="s">
        <v>96</v>
      </c>
      <c r="B265" s="297">
        <f t="shared" ref="B265:I265" si="104">B263/B264</f>
        <v>1</v>
      </c>
      <c r="C265" s="298">
        <f t="shared" si="104"/>
        <v>1</v>
      </c>
      <c r="D265" s="298">
        <f t="shared" si="104"/>
        <v>0.845</v>
      </c>
      <c r="E265" s="298">
        <f t="shared" si="104"/>
        <v>1</v>
      </c>
      <c r="F265" s="298">
        <f t="shared" si="104"/>
        <v>1</v>
      </c>
      <c r="G265" s="298">
        <f t="shared" si="104"/>
        <v>1</v>
      </c>
      <c r="H265" s="298">
        <f t="shared" si="104"/>
        <v>1</v>
      </c>
      <c r="I265" s="299">
        <f t="shared" si="104"/>
        <v>1</v>
      </c>
    </row>
    <row r="266" hidden="1" outlineLevel="2">
      <c r="A266" s="51" t="s">
        <v>99</v>
      </c>
      <c r="B266" s="53"/>
      <c r="C266" s="54"/>
      <c r="D266" s="54"/>
      <c r="E266" s="54"/>
      <c r="F266" s="54"/>
      <c r="G266" s="54"/>
      <c r="H266" s="54"/>
      <c r="I266" s="56"/>
    </row>
    <row r="267" hidden="1" outlineLevel="2">
      <c r="A267" s="83" t="s">
        <v>101</v>
      </c>
      <c r="B267" s="259" t="s">
        <v>109</v>
      </c>
      <c r="C267" s="124" t="s">
        <v>113</v>
      </c>
      <c r="D267" s="124" t="s">
        <v>113</v>
      </c>
      <c r="E267" s="124" t="s">
        <v>109</v>
      </c>
      <c r="F267" s="124" t="s">
        <v>109</v>
      </c>
      <c r="G267" s="123" t="s">
        <v>113</v>
      </c>
      <c r="H267" s="124" t="s">
        <v>109</v>
      </c>
      <c r="I267" s="126" t="s">
        <v>109</v>
      </c>
    </row>
    <row r="268" hidden="1" outlineLevel="2">
      <c r="A268" s="83" t="s">
        <v>117</v>
      </c>
      <c r="B268" s="259" t="s">
        <v>118</v>
      </c>
      <c r="C268" s="124" t="s">
        <v>119</v>
      </c>
      <c r="D268" s="124" t="s">
        <v>118</v>
      </c>
      <c r="E268" s="124" t="s">
        <v>119</v>
      </c>
      <c r="F268" s="124" t="s">
        <v>118</v>
      </c>
      <c r="G268" s="124" t="s">
        <v>119</v>
      </c>
      <c r="H268" s="124" t="s">
        <v>119</v>
      </c>
      <c r="I268" s="126" t="s">
        <v>119</v>
      </c>
    </row>
    <row r="269" hidden="1" outlineLevel="2">
      <c r="A269" s="83" t="s">
        <v>120</v>
      </c>
      <c r="B269" s="271">
        <f>IF(B259&lt;B260,B260,B259) *
IF(B267="AM",
    IF(B268="Oricle",3.5,
    IF(B268="Other Brands",4,
    IF(B268="Oricle Prio",0.6,""))),
 IF(B267="MID",
    IF(B268="Oricle",2.5,
    IF(B268="Other Brands",3,
    IF(B268="Oricle Prio",0.6,""))),
 IF(B267="GY",
    IF(B268="Oricle",1,
    IF(B268="Other Brands",1,
    IF(B268="Oricle Prio",0.3,""))),"")))-10</f>
        <v>128.24</v>
      </c>
      <c r="C269" s="273">
        <f>IF(C259&lt;C260,C260,C259) *
IF(C267="AM",
    IF(C268="Oricle",3,
    IF(C268="Other Brands",4,
    IF(C268="Oricle Prio",0.6,""))),
 IF(C267="MID",
    IF(C268="Oricle",2.5,
    IF(C268="Other Brands",3,
    IF(C268="Oricle Prio",0.6,""))),
 IF(C267="GY",
    IF(C268="Oricle",1,
    IF(C268="Other Brands",1,
    IF(C268="Oricle Prio",0.3,""))),"")))</f>
        <v>120</v>
      </c>
      <c r="D269" s="273">
        <f>IF(D259&lt;D260,D260,D259) *
IF(D267="AM",
    IF(D268="Oricle",3.5,
    IF(D268="Other Brands",4,
    IF(D268="Oricle Prio",0.6,""))),
 IF(D267="MID",
    IF(D268="Oricle",2.5,
    IF(D268="Other Brands",3,
    IF(D268="Oricle Prio",0.6,""))),
 IF(D267="GY",
    IF(D268="Oricle",1,
    IF(D268="Other Brands",1,
    IF(D268="Oricle Prio",0.3,""))),"")))</f>
        <v>170.04</v>
      </c>
      <c r="E269" s="273">
        <f>IF(E259&lt;E260,E260,E259) *
IF(E267="AM",
    IF(E268="Oricle",3.5,
    IF(E268="Other Brands",4,
    IF(E268="Oricle Prio",0.6,""))),
 IF(E267="MID",
    IF(E268="Oricle",2.5,
    IF(E268="Other Brands",3,
    IF(E268="Oricle Prio",0.6,""))),
 IF(E267="GY",
    IF(E268="Oricle",1,
    IF(E268="Other Brands",1,
    IF(E268="Oricle Prio",0.3,""))),"")))-12</f>
        <v>93.125</v>
      </c>
      <c r="F269" s="273">
        <f>IF(F259&lt;F260,F260,F259) *
IF(F267="AM",
    IF(F268="Oricle",3.5,
    IF(F268="Other Brands",4,
    IF(F268="Oricle Prio",0.6,""))),
 IF(F267="MID",
    IF(F268="Oricle",2.5,
    IF(F268="Other Brands",3,
    IF(F268="Oricle Prio",0.6,""))),
 IF(F267="GY",
    IF(F268="Oricle",1,
    IF(F268="Other Brands",1,
    IF(F268="Oricle Prio",0.3,""))),"")))</f>
        <v>126.39</v>
      </c>
      <c r="G269" s="273">
        <f>IF(G259&lt;G260,G260,G259) *
IF(G267="AM",
    IF(G268="Oricle",3,
    IF(G268="Other Brands",4,
    IF(G268="Oricle Prio",0.6,""))),
 IF(G267="MID",
    IF(G268="Oricle",2.5,
    IF(G268="Other Brands",3,
    IF(G268="Oricle Prio",0.6,""))),
 IF(G267="GY",
    IF(G268="Oricle",1,
    IF(G268="Other Brands",1,
    IF(G268="Oricle Prio",0.3,""))),"")))</f>
        <v>147.81</v>
      </c>
      <c r="H269" s="273">
        <f>IF(H259&lt;H260,H260,H259) *
IF(H267="AM",
    IF(H268="Oricle",3.5,
    IF(H268="Other Brands",4,
    IF(H268="Oricle Prio",0.6,""))),
 IF(H267="MID",
    IF(H268="Oricle",2.5,
    IF(H268="Other Brands",3,
    IF(H268="Oricle Prio",0.6,""))),
 IF(H267="GY",
    IF(H268="Oricle",1,
    IF(H268="Other Brands",1,
    IF(H268="Oricle Prio",0.3,""))),"")))</f>
        <v>113.325</v>
      </c>
      <c r="I269" s="304">
        <v>70.0</v>
      </c>
    </row>
    <row r="270" hidden="1" outlineLevel="2">
      <c r="A270" s="83" t="s">
        <v>131</v>
      </c>
      <c r="B270" s="306" t="s">
        <v>651</v>
      </c>
      <c r="C270" s="123" t="s">
        <v>652</v>
      </c>
      <c r="D270" s="123" t="s">
        <v>314</v>
      </c>
      <c r="E270" s="123" t="s">
        <v>653</v>
      </c>
      <c r="F270" s="123" t="s">
        <v>656</v>
      </c>
      <c r="G270" s="123" t="s">
        <v>313</v>
      </c>
      <c r="H270" s="123" t="s">
        <v>657</v>
      </c>
      <c r="I270" s="301" t="s">
        <v>658</v>
      </c>
    </row>
    <row r="271" hidden="1" outlineLevel="2">
      <c r="A271" s="83" t="s">
        <v>138</v>
      </c>
      <c r="B271" s="306" t="s">
        <v>659</v>
      </c>
      <c r="C271" s="123" t="s">
        <v>652</v>
      </c>
      <c r="D271" s="123" t="s">
        <v>132</v>
      </c>
      <c r="E271" s="123" t="s">
        <v>592</v>
      </c>
      <c r="F271" s="123" t="s">
        <v>141</v>
      </c>
      <c r="G271" s="123" t="s">
        <v>313</v>
      </c>
      <c r="H271" s="123" t="s">
        <v>390</v>
      </c>
      <c r="I271" s="301" t="s">
        <v>660</v>
      </c>
    </row>
    <row r="272" hidden="1" outlineLevel="2">
      <c r="A272" s="88" t="s">
        <v>149</v>
      </c>
      <c r="B272" s="152">
        <f t="shared" ref="B272:I272" si="105">IF(B270&gt;0,B271/B270,0)</f>
        <v>0.9814814815</v>
      </c>
      <c r="C272" s="153">
        <f t="shared" si="105"/>
        <v>1</v>
      </c>
      <c r="D272" s="153">
        <f t="shared" si="105"/>
        <v>0.9795918367</v>
      </c>
      <c r="E272" s="153">
        <f t="shared" si="105"/>
        <v>0.972972973</v>
      </c>
      <c r="F272" s="153">
        <f t="shared" si="105"/>
        <v>0.984962406</v>
      </c>
      <c r="G272" s="153">
        <f t="shared" si="105"/>
        <v>1</v>
      </c>
      <c r="H272" s="153">
        <f t="shared" si="105"/>
        <v>0.9908256881</v>
      </c>
      <c r="I272" s="154">
        <f t="shared" si="105"/>
        <v>0.9885057471</v>
      </c>
    </row>
    <row r="273" hidden="1" outlineLevel="2">
      <c r="A273" s="88" t="s">
        <v>156</v>
      </c>
      <c r="B273" s="152">
        <f t="shared" ref="B273:I273" si="106">IF(B269&gt;0,B271/B269,0)</f>
        <v>1.239862757</v>
      </c>
      <c r="C273" s="153">
        <f t="shared" si="106"/>
        <v>0.9166666667</v>
      </c>
      <c r="D273" s="153">
        <f t="shared" si="106"/>
        <v>0.8468595625</v>
      </c>
      <c r="E273" s="153">
        <f t="shared" si="106"/>
        <v>0.7731543624</v>
      </c>
      <c r="F273" s="153">
        <f t="shared" si="106"/>
        <v>1.036474405</v>
      </c>
      <c r="G273" s="153">
        <f t="shared" si="106"/>
        <v>0.9201001285</v>
      </c>
      <c r="H273" s="153">
        <f t="shared" si="106"/>
        <v>0.9530112508</v>
      </c>
      <c r="I273" s="154">
        <f t="shared" si="106"/>
        <v>1.228571429</v>
      </c>
    </row>
    <row r="274" hidden="1" outlineLevel="2">
      <c r="A274" s="159" t="s">
        <v>13</v>
      </c>
      <c r="B274" s="297">
        <f t="shared" ref="B274:I274" si="107">average(B272:B273)</f>
        <v>1.110672119</v>
      </c>
      <c r="C274" s="298">
        <f t="shared" si="107"/>
        <v>0.9583333333</v>
      </c>
      <c r="D274" s="298">
        <f t="shared" si="107"/>
        <v>0.9132256996</v>
      </c>
      <c r="E274" s="298">
        <f t="shared" si="107"/>
        <v>0.8730636677</v>
      </c>
      <c r="F274" s="298">
        <f t="shared" si="107"/>
        <v>1.010718405</v>
      </c>
      <c r="G274" s="298">
        <f t="shared" si="107"/>
        <v>0.9600500643</v>
      </c>
      <c r="H274" s="298">
        <f t="shared" si="107"/>
        <v>0.9719184695</v>
      </c>
      <c r="I274" s="299">
        <f t="shared" si="107"/>
        <v>1.108538588</v>
      </c>
    </row>
    <row r="275" hidden="1" outlineLevel="2">
      <c r="A275" s="51" t="s">
        <v>161</v>
      </c>
      <c r="B275" s="334"/>
      <c r="C275" s="54"/>
      <c r="D275" s="54"/>
      <c r="E275" s="54"/>
      <c r="F275" s="54"/>
      <c r="G275" s="54"/>
      <c r="H275" s="54"/>
      <c r="I275" s="335"/>
    </row>
    <row r="276" hidden="1" outlineLevel="2">
      <c r="A276" s="83" t="s">
        <v>162</v>
      </c>
      <c r="B276" s="292">
        <v>10.0</v>
      </c>
      <c r="C276" s="293">
        <v>9.98</v>
      </c>
      <c r="D276" s="293">
        <v>9.18</v>
      </c>
      <c r="E276" s="293">
        <v>9.6</v>
      </c>
      <c r="F276" s="277">
        <v>9.98</v>
      </c>
      <c r="G276" s="293">
        <v>9.33</v>
      </c>
      <c r="H276" s="293">
        <v>9.33</v>
      </c>
      <c r="I276" s="294">
        <v>10.0</v>
      </c>
    </row>
    <row r="277" hidden="1" outlineLevel="2">
      <c r="A277" s="88" t="s">
        <v>169</v>
      </c>
      <c r="B277" s="165">
        <v>10.0</v>
      </c>
      <c r="C277" s="166">
        <v>10.0</v>
      </c>
      <c r="D277" s="166">
        <v>10.0</v>
      </c>
      <c r="E277" s="166">
        <v>10.0</v>
      </c>
      <c r="F277" s="166">
        <v>10.0</v>
      </c>
      <c r="G277" s="166">
        <v>10.0</v>
      </c>
      <c r="H277" s="166">
        <v>10.0</v>
      </c>
      <c r="I277" s="168">
        <v>10.0</v>
      </c>
    </row>
    <row r="278" hidden="1" outlineLevel="2">
      <c r="A278" s="73" t="s">
        <v>170</v>
      </c>
      <c r="B278" s="297">
        <f t="shared" ref="B278:I278" si="108">IF(B276=0,0,B276/B277)</f>
        <v>1</v>
      </c>
      <c r="C278" s="298">
        <f t="shared" si="108"/>
        <v>0.998</v>
      </c>
      <c r="D278" s="298">
        <f t="shared" si="108"/>
        <v>0.918</v>
      </c>
      <c r="E278" s="298">
        <f t="shared" si="108"/>
        <v>0.96</v>
      </c>
      <c r="F278" s="298">
        <f t="shared" si="108"/>
        <v>0.998</v>
      </c>
      <c r="G278" s="298">
        <f t="shared" si="108"/>
        <v>0.933</v>
      </c>
      <c r="H278" s="298">
        <f t="shared" si="108"/>
        <v>0.933</v>
      </c>
      <c r="I278" s="299">
        <f t="shared" si="108"/>
        <v>1</v>
      </c>
    </row>
    <row r="279" hidden="1" outlineLevel="2">
      <c r="A279" s="51" t="s">
        <v>173</v>
      </c>
      <c r="B279" s="53"/>
      <c r="C279" s="54"/>
      <c r="D279" s="54"/>
      <c r="E279" s="54"/>
      <c r="F279" s="54"/>
      <c r="G279" s="54"/>
      <c r="H279" s="54"/>
      <c r="I279" s="56"/>
    </row>
    <row r="280" hidden="1" outlineLevel="2">
      <c r="A280" s="83" t="s">
        <v>175</v>
      </c>
      <c r="B280" s="330"/>
      <c r="C280" s="331"/>
      <c r="D280" s="345"/>
      <c r="E280" s="331"/>
      <c r="F280" s="331"/>
      <c r="G280" s="331"/>
      <c r="H280" s="331"/>
      <c r="I280" s="332"/>
    </row>
    <row r="281" hidden="1" outlineLevel="2">
      <c r="A281" s="180" t="s">
        <v>179</v>
      </c>
      <c r="B281" s="53"/>
      <c r="C281" s="54"/>
      <c r="D281" s="54"/>
      <c r="E281" s="54"/>
      <c r="F281" s="54"/>
      <c r="G281" s="54"/>
      <c r="H281" s="54"/>
      <c r="I281" s="56"/>
    </row>
    <row r="282" hidden="1" outlineLevel="2">
      <c r="A282" s="88" t="s">
        <v>180</v>
      </c>
      <c r="B282" s="181">
        <f t="shared" ref="B282:I282" si="109">B261*25</f>
        <v>30.31578947</v>
      </c>
      <c r="C282" s="182">
        <f t="shared" si="109"/>
        <v>23.975</v>
      </c>
      <c r="D282" s="182">
        <f t="shared" si="109"/>
        <v>26.56875</v>
      </c>
      <c r="E282" s="182">
        <f t="shared" si="109"/>
        <v>26.28125</v>
      </c>
      <c r="F282" s="182">
        <f t="shared" si="109"/>
        <v>27.71710526</v>
      </c>
      <c r="G282" s="182">
        <f t="shared" si="109"/>
        <v>30.79375</v>
      </c>
      <c r="H282" s="182">
        <f t="shared" si="109"/>
        <v>28.33125</v>
      </c>
      <c r="I282" s="183">
        <f t="shared" si="109"/>
        <v>28.3375</v>
      </c>
    </row>
    <row r="283" hidden="1" outlineLevel="2">
      <c r="A283" s="88" t="s">
        <v>182</v>
      </c>
      <c r="B283" s="181">
        <f t="shared" ref="B283:I283" si="110">B265*35</f>
        <v>35</v>
      </c>
      <c r="C283" s="182">
        <f t="shared" si="110"/>
        <v>35</v>
      </c>
      <c r="D283" s="182">
        <f t="shared" si="110"/>
        <v>29.575</v>
      </c>
      <c r="E283" s="182">
        <f t="shared" si="110"/>
        <v>35</v>
      </c>
      <c r="F283" s="182">
        <f t="shared" si="110"/>
        <v>35</v>
      </c>
      <c r="G283" s="182">
        <f t="shared" si="110"/>
        <v>35</v>
      </c>
      <c r="H283" s="182">
        <f t="shared" si="110"/>
        <v>35</v>
      </c>
      <c r="I283" s="183">
        <f t="shared" si="110"/>
        <v>35</v>
      </c>
    </row>
    <row r="284" hidden="1" outlineLevel="2">
      <c r="A284" s="88" t="s">
        <v>184</v>
      </c>
      <c r="B284" s="181">
        <f t="shared" ref="B284:I284" si="111">IF(AND(B265&lt;85%, B274&gt;100%), 25, B274*25)</f>
        <v>27.76680299</v>
      </c>
      <c r="C284" s="182">
        <f t="shared" si="111"/>
        <v>23.95833333</v>
      </c>
      <c r="D284" s="182">
        <f t="shared" si="111"/>
        <v>22.83064249</v>
      </c>
      <c r="E284" s="182">
        <f t="shared" si="111"/>
        <v>21.82659169</v>
      </c>
      <c r="F284" s="182">
        <f t="shared" si="111"/>
        <v>25.26796013</v>
      </c>
      <c r="G284" s="182">
        <f t="shared" si="111"/>
        <v>24.00125161</v>
      </c>
      <c r="H284" s="182">
        <f t="shared" si="111"/>
        <v>24.29796174</v>
      </c>
      <c r="I284" s="183">
        <f t="shared" si="111"/>
        <v>27.7134647</v>
      </c>
    </row>
    <row r="285" hidden="1" outlineLevel="2">
      <c r="A285" s="88" t="s">
        <v>187</v>
      </c>
      <c r="B285" s="181">
        <f t="shared" ref="B285:I285" si="112">B278*15</f>
        <v>15</v>
      </c>
      <c r="C285" s="182">
        <f t="shared" si="112"/>
        <v>14.97</v>
      </c>
      <c r="D285" s="182">
        <f t="shared" si="112"/>
        <v>13.77</v>
      </c>
      <c r="E285" s="182">
        <f t="shared" si="112"/>
        <v>14.4</v>
      </c>
      <c r="F285" s="182">
        <f t="shared" si="112"/>
        <v>14.97</v>
      </c>
      <c r="G285" s="182">
        <f t="shared" si="112"/>
        <v>13.995</v>
      </c>
      <c r="H285" s="182">
        <f t="shared" si="112"/>
        <v>13.995</v>
      </c>
      <c r="I285" s="183">
        <f t="shared" si="112"/>
        <v>15</v>
      </c>
    </row>
    <row r="286" hidden="1" outlineLevel="2">
      <c r="A286" s="88" t="s">
        <v>188</v>
      </c>
      <c r="B286" s="181">
        <f t="shared" ref="B286:I286" si="113">B280*-10</f>
        <v>0</v>
      </c>
      <c r="C286" s="182">
        <f t="shared" si="113"/>
        <v>0</v>
      </c>
      <c r="D286" s="182">
        <f t="shared" si="113"/>
        <v>0</v>
      </c>
      <c r="E286" s="182">
        <f t="shared" si="113"/>
        <v>0</v>
      </c>
      <c r="F286" s="182">
        <f t="shared" si="113"/>
        <v>0</v>
      </c>
      <c r="G286" s="182">
        <f t="shared" si="113"/>
        <v>0</v>
      </c>
      <c r="H286" s="182">
        <f t="shared" si="113"/>
        <v>0</v>
      </c>
      <c r="I286" s="183">
        <f t="shared" si="113"/>
        <v>0</v>
      </c>
    </row>
    <row r="287" hidden="1" outlineLevel="2">
      <c r="A287" s="187" t="s">
        <v>190</v>
      </c>
      <c r="B287" s="181">
        <f t="shared" ref="B287:I287" si="114">B282+B283+B284+B285+B286</f>
        <v>108.0825925</v>
      </c>
      <c r="C287" s="182">
        <f t="shared" si="114"/>
        <v>97.90333333</v>
      </c>
      <c r="D287" s="182">
        <f t="shared" si="114"/>
        <v>92.74439249</v>
      </c>
      <c r="E287" s="182">
        <f t="shared" si="114"/>
        <v>97.50784169</v>
      </c>
      <c r="F287" s="182">
        <f t="shared" si="114"/>
        <v>102.9550654</v>
      </c>
      <c r="G287" s="182">
        <f t="shared" si="114"/>
        <v>103.7900016</v>
      </c>
      <c r="H287" s="182">
        <f t="shared" si="114"/>
        <v>101.6242117</v>
      </c>
      <c r="I287" s="183">
        <f t="shared" si="114"/>
        <v>106.0509647</v>
      </c>
    </row>
    <row r="288" hidden="1" outlineLevel="2">
      <c r="A288" s="73" t="s">
        <v>193</v>
      </c>
      <c r="B288" s="74">
        <f t="shared" ref="B288:I288" si="115">B287/100</f>
        <v>1.080825925</v>
      </c>
      <c r="C288" s="75">
        <f t="shared" si="115"/>
        <v>0.9790333333</v>
      </c>
      <c r="D288" s="369">
        <f t="shared" si="115"/>
        <v>0.9274439249</v>
      </c>
      <c r="E288" s="75">
        <f t="shared" si="115"/>
        <v>0.9750784169</v>
      </c>
      <c r="F288" s="75">
        <f t="shared" si="115"/>
        <v>1.029550654</v>
      </c>
      <c r="G288" s="75">
        <f t="shared" si="115"/>
        <v>1.037900016</v>
      </c>
      <c r="H288" s="75">
        <f t="shared" si="115"/>
        <v>1.016242117</v>
      </c>
      <c r="I288" s="77">
        <f t="shared" si="115"/>
        <v>1.060509647</v>
      </c>
    </row>
    <row r="289" hidden="1" outlineLevel="2">
      <c r="A289" s="180" t="s">
        <v>203</v>
      </c>
      <c r="B289" s="361" t="s">
        <v>206</v>
      </c>
      <c r="C289" s="361" t="s">
        <v>204</v>
      </c>
      <c r="D289" s="361" t="s">
        <v>204</v>
      </c>
      <c r="E289" s="361" t="s">
        <v>204</v>
      </c>
      <c r="F289" s="361" t="s">
        <v>204</v>
      </c>
      <c r="G289" s="361" t="s">
        <v>204</v>
      </c>
      <c r="H289" s="361" t="s">
        <v>204</v>
      </c>
      <c r="I289" s="361" t="s">
        <v>204</v>
      </c>
    </row>
    <row r="290" hidden="1" outlineLevel="2">
      <c r="A290" s="180" t="s">
        <v>208</v>
      </c>
      <c r="B290" s="216"/>
      <c r="C290" s="217"/>
      <c r="D290" s="350"/>
      <c r="E290" s="217"/>
      <c r="F290" s="217"/>
      <c r="G290" s="217"/>
      <c r="H290" s="217"/>
      <c r="I290" s="364"/>
    </row>
    <row r="291" hidden="1" outlineLevel="1" collapsed="1">
      <c r="A291" s="32"/>
      <c r="B291" s="33" t="s">
        <v>676</v>
      </c>
      <c r="C291" s="34"/>
      <c r="D291" s="34"/>
      <c r="E291" s="34"/>
      <c r="F291" s="34"/>
      <c r="G291" s="34"/>
      <c r="H291" s="34"/>
      <c r="I291" s="35"/>
    </row>
    <row r="292" hidden="1" outlineLevel="2">
      <c r="A292" s="228"/>
      <c r="B292" s="317" t="s">
        <v>56</v>
      </c>
      <c r="C292" s="318" t="s">
        <v>57</v>
      </c>
      <c r="D292" s="318" t="s">
        <v>21</v>
      </c>
      <c r="E292" s="318" t="s">
        <v>32</v>
      </c>
      <c r="F292" s="318" t="s">
        <v>58</v>
      </c>
      <c r="G292" s="319" t="s">
        <v>59</v>
      </c>
      <c r="H292" s="320" t="s">
        <v>7</v>
      </c>
      <c r="I292" s="320" t="s">
        <v>503</v>
      </c>
    </row>
    <row r="293" hidden="1" outlineLevel="2">
      <c r="A293" s="44" t="s">
        <v>60</v>
      </c>
      <c r="B293" s="289" t="s">
        <v>676</v>
      </c>
      <c r="C293" s="290"/>
      <c r="D293" s="290"/>
      <c r="E293" s="290"/>
      <c r="F293" s="290"/>
      <c r="G293" s="290"/>
      <c r="H293" s="290"/>
      <c r="I293" s="291"/>
    </row>
    <row r="294" hidden="1" outlineLevel="2">
      <c r="A294" s="51" t="s">
        <v>64</v>
      </c>
      <c r="B294" s="53"/>
      <c r="C294" s="54"/>
      <c r="D294" s="54"/>
      <c r="E294" s="54"/>
      <c r="F294" s="54"/>
      <c r="G294" s="54"/>
      <c r="H294" s="54"/>
      <c r="I294" s="56"/>
    </row>
    <row r="295" hidden="1" outlineLevel="2">
      <c r="A295" s="58" t="s">
        <v>69</v>
      </c>
      <c r="B295" s="292">
        <v>40.04</v>
      </c>
      <c r="C295" s="293">
        <v>41.02</v>
      </c>
      <c r="D295" s="371">
        <v>40.3</v>
      </c>
      <c r="E295" s="293">
        <f>40.05-2</f>
        <v>38.05</v>
      </c>
      <c r="F295" s="293">
        <v>39.2</v>
      </c>
      <c r="G295" s="293">
        <v>43.04</v>
      </c>
      <c r="H295" s="293">
        <v>26.2</v>
      </c>
      <c r="I295" s="354">
        <v>37.5</v>
      </c>
    </row>
    <row r="296" hidden="1" outlineLevel="2">
      <c r="A296" s="68" t="s">
        <v>75</v>
      </c>
      <c r="B296" s="372">
        <v>38.0</v>
      </c>
      <c r="C296" s="70">
        <v>40.0</v>
      </c>
      <c r="D296" s="70">
        <v>40.0</v>
      </c>
      <c r="E296" s="70">
        <v>40.0</v>
      </c>
      <c r="F296" s="296">
        <v>38.0</v>
      </c>
      <c r="G296" s="70">
        <v>40.0</v>
      </c>
      <c r="H296" s="70">
        <v>40.0</v>
      </c>
      <c r="I296" s="355">
        <v>40.0</v>
      </c>
    </row>
    <row r="297" hidden="1" outlineLevel="2">
      <c r="A297" s="73" t="s">
        <v>76</v>
      </c>
      <c r="B297" s="297">
        <f t="shared" ref="B297:I297" si="116">B295/B296</f>
        <v>1.053684211</v>
      </c>
      <c r="C297" s="298">
        <f t="shared" si="116"/>
        <v>1.0255</v>
      </c>
      <c r="D297" s="298">
        <f t="shared" si="116"/>
        <v>1.0075</v>
      </c>
      <c r="E297" s="298">
        <f t="shared" si="116"/>
        <v>0.95125</v>
      </c>
      <c r="F297" s="298">
        <f t="shared" si="116"/>
        <v>1.031578947</v>
      </c>
      <c r="G297" s="298">
        <f t="shared" si="116"/>
        <v>1.076</v>
      </c>
      <c r="H297" s="298">
        <f t="shared" si="116"/>
        <v>0.655</v>
      </c>
      <c r="I297" s="299">
        <f t="shared" si="116"/>
        <v>0.9375</v>
      </c>
    </row>
    <row r="298" hidden="1" outlineLevel="2">
      <c r="A298" s="51" t="s">
        <v>79</v>
      </c>
      <c r="B298" s="53"/>
      <c r="C298" s="54"/>
      <c r="D298" s="54"/>
      <c r="E298" s="54"/>
      <c r="F298" s="54"/>
      <c r="G298" s="54"/>
      <c r="H298" s="54"/>
      <c r="I298" s="56"/>
    </row>
    <row r="299" hidden="1" outlineLevel="2">
      <c r="A299" s="83" t="s">
        <v>81</v>
      </c>
      <c r="B299" s="242">
        <v>40.04</v>
      </c>
      <c r="C299" s="243">
        <v>40.0</v>
      </c>
      <c r="D299" s="243">
        <v>32.0</v>
      </c>
      <c r="E299" s="243">
        <v>40.0</v>
      </c>
      <c r="F299" s="243">
        <v>40.0</v>
      </c>
      <c r="G299" s="243">
        <v>40.0</v>
      </c>
      <c r="H299" s="243">
        <v>40.0</v>
      </c>
      <c r="I299" s="377">
        <v>39.7</v>
      </c>
    </row>
    <row r="300" hidden="1" outlineLevel="2">
      <c r="A300" s="88" t="s">
        <v>86</v>
      </c>
      <c r="B300" s="260">
        <v>40.0</v>
      </c>
      <c r="C300" s="261">
        <v>40.0</v>
      </c>
      <c r="D300" s="261">
        <v>40.0</v>
      </c>
      <c r="E300" s="261">
        <v>40.0</v>
      </c>
      <c r="F300" s="261">
        <v>40.0</v>
      </c>
      <c r="G300" s="261">
        <v>40.0</v>
      </c>
      <c r="H300" s="261">
        <v>40.0</v>
      </c>
      <c r="I300" s="262">
        <v>40.0</v>
      </c>
    </row>
    <row r="301" hidden="1" outlineLevel="2">
      <c r="A301" s="73" t="s">
        <v>96</v>
      </c>
      <c r="B301" s="297">
        <f t="shared" ref="B301:I301" si="117">B299/B300</f>
        <v>1.001</v>
      </c>
      <c r="C301" s="298">
        <f t="shared" si="117"/>
        <v>1</v>
      </c>
      <c r="D301" s="298">
        <f t="shared" si="117"/>
        <v>0.8</v>
      </c>
      <c r="E301" s="298">
        <f t="shared" si="117"/>
        <v>1</v>
      </c>
      <c r="F301" s="298">
        <f t="shared" si="117"/>
        <v>1</v>
      </c>
      <c r="G301" s="298">
        <f t="shared" si="117"/>
        <v>1</v>
      </c>
      <c r="H301" s="298">
        <f t="shared" si="117"/>
        <v>1</v>
      </c>
      <c r="I301" s="299">
        <f t="shared" si="117"/>
        <v>0.9925</v>
      </c>
    </row>
    <row r="302" hidden="1" outlineLevel="2">
      <c r="A302" s="51" t="s">
        <v>99</v>
      </c>
      <c r="B302" s="53"/>
      <c r="C302" s="54"/>
      <c r="D302" s="54"/>
      <c r="E302" s="54"/>
      <c r="F302" s="54"/>
      <c r="G302" s="54"/>
      <c r="H302" s="54"/>
      <c r="I302" s="56"/>
    </row>
    <row r="303" hidden="1" outlineLevel="2">
      <c r="A303" s="83" t="s">
        <v>101</v>
      </c>
      <c r="B303" s="259" t="s">
        <v>109</v>
      </c>
      <c r="C303" s="124" t="s">
        <v>113</v>
      </c>
      <c r="D303" s="124" t="s">
        <v>113</v>
      </c>
      <c r="E303" s="124" t="s">
        <v>109</v>
      </c>
      <c r="F303" s="124" t="s">
        <v>109</v>
      </c>
      <c r="G303" s="123" t="s">
        <v>113</v>
      </c>
      <c r="H303" s="124" t="s">
        <v>109</v>
      </c>
      <c r="I303" s="126" t="s">
        <v>109</v>
      </c>
    </row>
    <row r="304" hidden="1" outlineLevel="2">
      <c r="A304" s="83" t="s">
        <v>117</v>
      </c>
      <c r="B304" s="259" t="s">
        <v>118</v>
      </c>
      <c r="C304" s="124" t="s">
        <v>119</v>
      </c>
      <c r="D304" s="124" t="s">
        <v>118</v>
      </c>
      <c r="E304" s="124" t="s">
        <v>119</v>
      </c>
      <c r="F304" s="124" t="s">
        <v>118</v>
      </c>
      <c r="G304" s="124" t="s">
        <v>119</v>
      </c>
      <c r="H304" s="124" t="s">
        <v>119</v>
      </c>
      <c r="I304" s="126" t="s">
        <v>119</v>
      </c>
    </row>
    <row r="305" hidden="1" outlineLevel="2">
      <c r="A305" s="83" t="s">
        <v>120</v>
      </c>
      <c r="B305" s="271">
        <f>IF(B295&lt;B296,B296,B295) *
IF(B303="AM",
    IF(B304="Oricle",3.5,
    IF(B304="Other Brands",4,
    IF(B304="Oricle Prio",0.6,""))),
 IF(B303="MID",
    IF(B304="Oricle",2.5,
    IF(B304="Other Brands",3,
    IF(B304="Oricle Prio",0.6,""))),
 IF(B303="GY",
    IF(B304="Oricle",1,
    IF(B304="Other Brands",1,
    IF(B304="Oricle Prio",0.3,""))),"")))-10</f>
        <v>110.12</v>
      </c>
      <c r="C305" s="273">
        <f>IF(C295&lt;C296,C296,C295) *
IF(C303="AM",
    IF(C304="Oricle",3,
    IF(C304="Other Brands",4,
    IF(C304="Oricle Prio",0.6,""))),
 IF(C303="MID",
    IF(C304="Oricle",2.5,
    IF(C304="Other Brands",3,
    IF(C304="Oricle Prio",0.6,""))),
 IF(C303="GY",
    IF(C304="Oricle",1,
    IF(C304="Other Brands",1,
    IF(C304="Oricle Prio",0.3,""))),"")))</f>
        <v>123.06</v>
      </c>
      <c r="D305" s="273">
        <f>IF(D295&lt;D296,D296,D295) *
IF(D303="AM",
    IF(D304="Oricle",3.5,
    IF(D304="Other Brands",4,
    IF(D304="Oricle Prio",0.6,""))),
 IF(D303="MID",
    IF(D304="Oricle",2.5,
    IF(D304="Other Brands",3,
    IF(D304="Oricle Prio",0.6,""))),
 IF(D303="GY",
    IF(D304="Oricle",1,
    IF(D304="Other Brands",1,
    IF(D304="Oricle Prio",0.3,""))),"")))</f>
        <v>161.2</v>
      </c>
      <c r="E305" s="273">
        <f>IF(E295&lt;E296,E296,E295) *
IF(E303="AM",
    IF(E304="Oricle",3.5,
    IF(E304="Other Brands",4,
    IF(E304="Oricle Prio",0.6,""))),
 IF(E303="MID",
    IF(E304="Oricle",2.5,
    IF(E304="Other Brands",3,
    IF(E304="Oricle Prio",0.6,""))),
 IF(E303="GY",
    IF(E304="Oricle",1,
    IF(E304="Other Brands",1,
    IF(E304="Oricle Prio",0.3,""))),"")))-12</f>
        <v>88</v>
      </c>
      <c r="F305" s="273">
        <f>IF(F295&lt;F296,F296,F295) *
IF(F303="AM",
    IF(F304="Oricle",3.5,
    IF(F304="Other Brands",4,
    IF(F304="Oricle Prio",0.6,""))),
 IF(F303="MID",
    IF(F304="Oricle",2.5,
    IF(F304="Other Brands",3,
    IF(F304="Oricle Prio",0.6,""))),
 IF(F303="GY",
    IF(F304="Oricle",1,
    IF(F304="Other Brands",1,
    IF(F304="Oricle Prio",0.3,""))),"")))</f>
        <v>117.6</v>
      </c>
      <c r="G305" s="273">
        <f>IF(G295&lt;G296,G296,G295) *
IF(G303="AM",
    IF(G304="Oricle",3,
    IF(G304="Other Brands",4,
    IF(G304="Oricle Prio",0.6,""))),
 IF(G303="MID",
    IF(G304="Oricle",2.5,
    IF(G304="Other Brands",3,
    IF(G304="Oricle Prio",0.6,""))),
 IF(G303="GY",
    IF(G304="Oricle",1,
    IF(G304="Other Brands",1,
    IF(G304="Oricle Prio",0.3,""))),"")))</f>
        <v>129.12</v>
      </c>
      <c r="H305" s="273">
        <f>IF(H295&lt;H296,H296,H295) *
IF(H303="AM",
    IF(H304="Oricle",3.5,
    IF(H304="Other Brands",4,
    IF(H304="Oricle Prio",0.6,""))),
 IF(H303="MID",
    IF(H304="Oricle",2.5,
    IF(H304="Other Brands",3,
    IF(H304="Oricle Prio",0.6,""))),
 IF(H303="GY",
    IF(H304="Oricle",1,
    IF(H304="Other Brands",1,
    IF(H304="Oricle Prio",0.3,""))),"")))</f>
        <v>100</v>
      </c>
      <c r="I305" s="304">
        <v>70.0</v>
      </c>
    </row>
    <row r="306" hidden="1" outlineLevel="2">
      <c r="A306" s="83" t="s">
        <v>131</v>
      </c>
      <c r="B306" s="306" t="s">
        <v>696</v>
      </c>
      <c r="C306" s="123" t="s">
        <v>697</v>
      </c>
      <c r="D306" s="123" t="s">
        <v>316</v>
      </c>
      <c r="E306" s="123" t="s">
        <v>390</v>
      </c>
      <c r="F306" s="123" t="s">
        <v>698</v>
      </c>
      <c r="G306" s="123" t="s">
        <v>700</v>
      </c>
      <c r="H306" s="123" t="s">
        <v>596</v>
      </c>
      <c r="I306" s="301" t="s">
        <v>596</v>
      </c>
    </row>
    <row r="307" hidden="1" outlineLevel="2">
      <c r="A307" s="83" t="s">
        <v>138</v>
      </c>
      <c r="B307" s="306" t="s">
        <v>141</v>
      </c>
      <c r="C307" s="123" t="s">
        <v>697</v>
      </c>
      <c r="D307" s="123" t="s">
        <v>702</v>
      </c>
      <c r="E307" s="123" t="s">
        <v>396</v>
      </c>
      <c r="F307" s="123" t="s">
        <v>402</v>
      </c>
      <c r="G307" s="123" t="s">
        <v>700</v>
      </c>
      <c r="H307" s="123" t="s">
        <v>703</v>
      </c>
      <c r="I307" s="301" t="s">
        <v>596</v>
      </c>
    </row>
    <row r="308" hidden="1" outlineLevel="2">
      <c r="A308" s="88" t="s">
        <v>149</v>
      </c>
      <c r="B308" s="152">
        <f t="shared" ref="B308:I308" si="118">IF(B306&gt;0,B307/B306,0)</f>
        <v>0.9703703704</v>
      </c>
      <c r="C308" s="153">
        <f t="shared" si="118"/>
        <v>1</v>
      </c>
      <c r="D308" s="153">
        <f t="shared" si="118"/>
        <v>0.9937888199</v>
      </c>
      <c r="E308" s="153">
        <f t="shared" si="118"/>
        <v>0.9814814815</v>
      </c>
      <c r="F308" s="153">
        <f t="shared" si="118"/>
        <v>0.9514563107</v>
      </c>
      <c r="G308" s="153">
        <f t="shared" si="118"/>
        <v>1</v>
      </c>
      <c r="H308" s="153">
        <f t="shared" si="118"/>
        <v>0.9857142857</v>
      </c>
      <c r="I308" s="154">
        <f t="shared" si="118"/>
        <v>1</v>
      </c>
    </row>
    <row r="309" hidden="1" outlineLevel="2">
      <c r="A309" s="88" t="s">
        <v>156</v>
      </c>
      <c r="B309" s="152">
        <f t="shared" ref="B309:I309" si="119">IF(B305&gt;0,B307/B305,0)</f>
        <v>1.189611333</v>
      </c>
      <c r="C309" s="153">
        <f t="shared" si="119"/>
        <v>0.9913863156</v>
      </c>
      <c r="D309" s="153">
        <f t="shared" si="119"/>
        <v>0.9925558313</v>
      </c>
      <c r="E309" s="153">
        <f t="shared" si="119"/>
        <v>1.204545455</v>
      </c>
      <c r="F309" s="153">
        <f t="shared" si="119"/>
        <v>0.8333333333</v>
      </c>
      <c r="G309" s="153">
        <f t="shared" si="119"/>
        <v>1.107496902</v>
      </c>
      <c r="H309" s="153">
        <f t="shared" si="119"/>
        <v>0.69</v>
      </c>
      <c r="I309" s="154">
        <f t="shared" si="119"/>
        <v>1</v>
      </c>
    </row>
    <row r="310" hidden="1" outlineLevel="2">
      <c r="A310" s="159" t="s">
        <v>13</v>
      </c>
      <c r="B310" s="297">
        <f t="shared" ref="B310:I310" si="120">average(B308:B309)</f>
        <v>1.079990852</v>
      </c>
      <c r="C310" s="298">
        <f t="shared" si="120"/>
        <v>0.9956931578</v>
      </c>
      <c r="D310" s="298">
        <f t="shared" si="120"/>
        <v>0.9931723256</v>
      </c>
      <c r="E310" s="298">
        <f t="shared" si="120"/>
        <v>1.093013468</v>
      </c>
      <c r="F310" s="298">
        <f t="shared" si="120"/>
        <v>0.892394822</v>
      </c>
      <c r="G310" s="298">
        <f t="shared" si="120"/>
        <v>1.053748451</v>
      </c>
      <c r="H310" s="298">
        <f t="shared" si="120"/>
        <v>0.8378571429</v>
      </c>
      <c r="I310" s="299">
        <f t="shared" si="120"/>
        <v>1</v>
      </c>
    </row>
    <row r="311" hidden="1" outlineLevel="2">
      <c r="A311" s="51" t="s">
        <v>161</v>
      </c>
      <c r="B311" s="334"/>
      <c r="C311" s="54"/>
      <c r="D311" s="54"/>
      <c r="E311" s="54"/>
      <c r="F311" s="54"/>
      <c r="G311" s="54"/>
      <c r="H311" s="54"/>
      <c r="I311" s="335"/>
    </row>
    <row r="312" hidden="1" outlineLevel="2">
      <c r="A312" s="83" t="s">
        <v>162</v>
      </c>
      <c r="B312" s="292">
        <v>9.66</v>
      </c>
      <c r="C312" s="293">
        <v>9.23</v>
      </c>
      <c r="D312" s="293">
        <v>8.95</v>
      </c>
      <c r="E312" s="293">
        <v>10.0</v>
      </c>
      <c r="F312" s="277">
        <v>9.66</v>
      </c>
      <c r="G312" s="293">
        <v>10.0</v>
      </c>
      <c r="H312" s="293">
        <v>7.33</v>
      </c>
      <c r="I312" s="294">
        <v>9.33</v>
      </c>
    </row>
    <row r="313" hidden="1" outlineLevel="2">
      <c r="A313" s="88" t="s">
        <v>169</v>
      </c>
      <c r="B313" s="165">
        <v>10.0</v>
      </c>
      <c r="C313" s="166">
        <v>10.0</v>
      </c>
      <c r="D313" s="166">
        <v>10.0</v>
      </c>
      <c r="E313" s="166">
        <v>10.0</v>
      </c>
      <c r="F313" s="166">
        <v>10.0</v>
      </c>
      <c r="G313" s="166">
        <v>10.0</v>
      </c>
      <c r="H313" s="166">
        <v>10.0</v>
      </c>
      <c r="I313" s="168">
        <v>10.0</v>
      </c>
    </row>
    <row r="314" hidden="1" outlineLevel="2">
      <c r="A314" s="73" t="s">
        <v>170</v>
      </c>
      <c r="B314" s="297">
        <f t="shared" ref="B314:I314" si="121">IF(B312=0,0,B312/B313)</f>
        <v>0.966</v>
      </c>
      <c r="C314" s="298">
        <f t="shared" si="121"/>
        <v>0.923</v>
      </c>
      <c r="D314" s="298">
        <f t="shared" si="121"/>
        <v>0.895</v>
      </c>
      <c r="E314" s="298">
        <f t="shared" si="121"/>
        <v>1</v>
      </c>
      <c r="F314" s="298">
        <f t="shared" si="121"/>
        <v>0.966</v>
      </c>
      <c r="G314" s="298">
        <f t="shared" si="121"/>
        <v>1</v>
      </c>
      <c r="H314" s="298">
        <f t="shared" si="121"/>
        <v>0.733</v>
      </c>
      <c r="I314" s="299">
        <f t="shared" si="121"/>
        <v>0.933</v>
      </c>
    </row>
    <row r="315" hidden="1" outlineLevel="2">
      <c r="A315" s="51" t="s">
        <v>173</v>
      </c>
      <c r="B315" s="53"/>
      <c r="C315" s="54"/>
      <c r="D315" s="54"/>
      <c r="E315" s="54"/>
      <c r="F315" s="54"/>
      <c r="G315" s="54"/>
      <c r="H315" s="54"/>
      <c r="I315" s="56"/>
    </row>
    <row r="316" hidden="1" outlineLevel="2">
      <c r="A316" s="83" t="s">
        <v>175</v>
      </c>
      <c r="B316" s="330"/>
      <c r="C316" s="331"/>
      <c r="D316" s="345"/>
      <c r="E316" s="331"/>
      <c r="F316" s="331"/>
      <c r="G316" s="331"/>
      <c r="H316" s="331"/>
      <c r="I316" s="332"/>
    </row>
    <row r="317" hidden="1" outlineLevel="2">
      <c r="A317" s="180" t="s">
        <v>179</v>
      </c>
      <c r="B317" s="53"/>
      <c r="C317" s="54"/>
      <c r="D317" s="54"/>
      <c r="E317" s="54"/>
      <c r="F317" s="54"/>
      <c r="G317" s="54"/>
      <c r="H317" s="54"/>
      <c r="I317" s="56"/>
    </row>
    <row r="318" hidden="1" outlineLevel="2">
      <c r="A318" s="88" t="s">
        <v>180</v>
      </c>
      <c r="B318" s="181">
        <f t="shared" ref="B318:I318" si="122">B297*25</f>
        <v>26.34210526</v>
      </c>
      <c r="C318" s="182">
        <f t="shared" si="122"/>
        <v>25.6375</v>
      </c>
      <c r="D318" s="182">
        <f t="shared" si="122"/>
        <v>25.1875</v>
      </c>
      <c r="E318" s="182">
        <f t="shared" si="122"/>
        <v>23.78125</v>
      </c>
      <c r="F318" s="182">
        <f t="shared" si="122"/>
        <v>25.78947368</v>
      </c>
      <c r="G318" s="182">
        <f t="shared" si="122"/>
        <v>26.9</v>
      </c>
      <c r="H318" s="182">
        <f t="shared" si="122"/>
        <v>16.375</v>
      </c>
      <c r="I318" s="183">
        <f t="shared" si="122"/>
        <v>23.4375</v>
      </c>
    </row>
    <row r="319" hidden="1" outlineLevel="2">
      <c r="A319" s="88" t="s">
        <v>182</v>
      </c>
      <c r="B319" s="181">
        <f t="shared" ref="B319:I319" si="123">B301*35</f>
        <v>35.035</v>
      </c>
      <c r="C319" s="182">
        <f t="shared" si="123"/>
        <v>35</v>
      </c>
      <c r="D319" s="182">
        <f t="shared" si="123"/>
        <v>28</v>
      </c>
      <c r="E319" s="182">
        <f t="shared" si="123"/>
        <v>35</v>
      </c>
      <c r="F319" s="182">
        <f t="shared" si="123"/>
        <v>35</v>
      </c>
      <c r="G319" s="182">
        <f t="shared" si="123"/>
        <v>35</v>
      </c>
      <c r="H319" s="182">
        <f t="shared" si="123"/>
        <v>35</v>
      </c>
      <c r="I319" s="183">
        <f t="shared" si="123"/>
        <v>34.7375</v>
      </c>
    </row>
    <row r="320" hidden="1" outlineLevel="2">
      <c r="A320" s="88" t="s">
        <v>184</v>
      </c>
      <c r="B320" s="181">
        <f t="shared" ref="B320:I320" si="124">IF(AND(B301&lt;85%, B310&gt;100%), 25, B310*25)</f>
        <v>26.99977129</v>
      </c>
      <c r="C320" s="182">
        <f t="shared" si="124"/>
        <v>24.89232895</v>
      </c>
      <c r="D320" s="182">
        <f t="shared" si="124"/>
        <v>24.82930814</v>
      </c>
      <c r="E320" s="182">
        <f t="shared" si="124"/>
        <v>27.3253367</v>
      </c>
      <c r="F320" s="182">
        <f t="shared" si="124"/>
        <v>22.30987055</v>
      </c>
      <c r="G320" s="182">
        <f t="shared" si="124"/>
        <v>26.34371128</v>
      </c>
      <c r="H320" s="182">
        <f t="shared" si="124"/>
        <v>20.94642857</v>
      </c>
      <c r="I320" s="183">
        <f t="shared" si="124"/>
        <v>25</v>
      </c>
    </row>
    <row r="321" hidden="1" outlineLevel="2">
      <c r="A321" s="88" t="s">
        <v>187</v>
      </c>
      <c r="B321" s="181">
        <f t="shared" ref="B321:I321" si="125">B314*15</f>
        <v>14.49</v>
      </c>
      <c r="C321" s="182">
        <f t="shared" si="125"/>
        <v>13.845</v>
      </c>
      <c r="D321" s="182">
        <f t="shared" si="125"/>
        <v>13.425</v>
      </c>
      <c r="E321" s="182">
        <f t="shared" si="125"/>
        <v>15</v>
      </c>
      <c r="F321" s="182">
        <f t="shared" si="125"/>
        <v>14.49</v>
      </c>
      <c r="G321" s="182">
        <f t="shared" si="125"/>
        <v>15</v>
      </c>
      <c r="H321" s="182">
        <f t="shared" si="125"/>
        <v>10.995</v>
      </c>
      <c r="I321" s="183">
        <f t="shared" si="125"/>
        <v>13.995</v>
      </c>
    </row>
    <row r="322" hidden="1" outlineLevel="2">
      <c r="A322" s="88" t="s">
        <v>188</v>
      </c>
      <c r="B322" s="181">
        <f t="shared" ref="B322:I322" si="126">B316*-10</f>
        <v>0</v>
      </c>
      <c r="C322" s="182">
        <f t="shared" si="126"/>
        <v>0</v>
      </c>
      <c r="D322" s="182">
        <f t="shared" si="126"/>
        <v>0</v>
      </c>
      <c r="E322" s="182">
        <f t="shared" si="126"/>
        <v>0</v>
      </c>
      <c r="F322" s="182">
        <f t="shared" si="126"/>
        <v>0</v>
      </c>
      <c r="G322" s="182">
        <f t="shared" si="126"/>
        <v>0</v>
      </c>
      <c r="H322" s="182">
        <f t="shared" si="126"/>
        <v>0</v>
      </c>
      <c r="I322" s="183">
        <f t="shared" si="126"/>
        <v>0</v>
      </c>
    </row>
    <row r="323" hidden="1" outlineLevel="2">
      <c r="A323" s="187" t="s">
        <v>190</v>
      </c>
      <c r="B323" s="181">
        <f t="shared" ref="B323:I323" si="127">B318+B319+B320+B321+B322</f>
        <v>102.8668766</v>
      </c>
      <c r="C323" s="182">
        <f t="shared" si="127"/>
        <v>99.37482895</v>
      </c>
      <c r="D323" s="182">
        <f t="shared" si="127"/>
        <v>91.44180814</v>
      </c>
      <c r="E323" s="182">
        <f t="shared" si="127"/>
        <v>101.1065867</v>
      </c>
      <c r="F323" s="182">
        <f t="shared" si="127"/>
        <v>97.58934423</v>
      </c>
      <c r="G323" s="182">
        <f t="shared" si="127"/>
        <v>103.2437113</v>
      </c>
      <c r="H323" s="182">
        <f t="shared" si="127"/>
        <v>83.31642857</v>
      </c>
      <c r="I323" s="183">
        <f t="shared" si="127"/>
        <v>97.17</v>
      </c>
    </row>
    <row r="324" hidden="1" outlineLevel="2">
      <c r="A324" s="73" t="s">
        <v>193</v>
      </c>
      <c r="B324" s="74">
        <f t="shared" ref="B324:I324" si="128">B323/100</f>
        <v>1.028668766</v>
      </c>
      <c r="C324" s="75">
        <f t="shared" si="128"/>
        <v>0.9937482895</v>
      </c>
      <c r="D324" s="369">
        <f t="shared" si="128"/>
        <v>0.9144180814</v>
      </c>
      <c r="E324" s="75">
        <f t="shared" si="128"/>
        <v>1.011065867</v>
      </c>
      <c r="F324" s="75">
        <f t="shared" si="128"/>
        <v>0.9758934423</v>
      </c>
      <c r="G324" s="75">
        <f t="shared" si="128"/>
        <v>1.032437113</v>
      </c>
      <c r="H324" s="75">
        <f t="shared" si="128"/>
        <v>0.8331642857</v>
      </c>
      <c r="I324" s="77">
        <f t="shared" si="128"/>
        <v>0.9717</v>
      </c>
    </row>
    <row r="325" hidden="1" outlineLevel="2">
      <c r="A325" s="180" t="s">
        <v>203</v>
      </c>
      <c r="B325" s="361" t="s">
        <v>204</v>
      </c>
      <c r="C325" s="361" t="s">
        <v>204</v>
      </c>
      <c r="D325" s="361" t="s">
        <v>204</v>
      </c>
      <c r="E325" s="361" t="s">
        <v>204</v>
      </c>
      <c r="F325" s="361" t="s">
        <v>204</v>
      </c>
      <c r="G325" s="361" t="s">
        <v>206</v>
      </c>
      <c r="H325" s="361" t="s">
        <v>204</v>
      </c>
      <c r="I325" s="361" t="s">
        <v>204</v>
      </c>
    </row>
    <row r="326" hidden="1" outlineLevel="2">
      <c r="A326" s="180" t="s">
        <v>208</v>
      </c>
      <c r="B326" s="216"/>
      <c r="C326" s="217"/>
      <c r="D326" s="350"/>
      <c r="E326" s="217"/>
      <c r="F326" s="217"/>
      <c r="G326" s="217"/>
      <c r="H326" s="217"/>
      <c r="I326" s="364"/>
    </row>
    <row r="327" hidden="1" outlineLevel="1">
      <c r="A327" s="32"/>
      <c r="B327" s="33" t="s">
        <v>728</v>
      </c>
      <c r="C327" s="34"/>
      <c r="D327" s="34"/>
      <c r="E327" s="34"/>
      <c r="F327" s="34"/>
      <c r="G327" s="34"/>
      <c r="H327" s="34"/>
      <c r="I327" s="35"/>
    </row>
    <row r="328" hidden="1" outlineLevel="1">
      <c r="A328" s="228"/>
      <c r="B328" s="317" t="s">
        <v>56</v>
      </c>
      <c r="C328" s="318" t="s">
        <v>57</v>
      </c>
      <c r="D328" s="318" t="s">
        <v>21</v>
      </c>
      <c r="E328" s="318" t="s">
        <v>32</v>
      </c>
      <c r="F328" s="318" t="s">
        <v>58</v>
      </c>
      <c r="G328" s="319" t="s">
        <v>59</v>
      </c>
      <c r="H328" s="320" t="s">
        <v>7</v>
      </c>
      <c r="I328" s="320" t="s">
        <v>503</v>
      </c>
    </row>
    <row r="329" hidden="1" outlineLevel="1">
      <c r="A329" s="44" t="s">
        <v>60</v>
      </c>
      <c r="B329" s="289" t="s">
        <v>728</v>
      </c>
      <c r="C329" s="290"/>
      <c r="D329" s="290"/>
      <c r="E329" s="290"/>
      <c r="F329" s="290"/>
      <c r="G329" s="290"/>
      <c r="H329" s="290"/>
      <c r="I329" s="291"/>
    </row>
    <row r="330" hidden="1" outlineLevel="1">
      <c r="A330" s="51" t="s">
        <v>64</v>
      </c>
      <c r="B330" s="53"/>
      <c r="C330" s="54"/>
      <c r="D330" s="54"/>
      <c r="E330" s="54"/>
      <c r="F330" s="54"/>
      <c r="G330" s="54"/>
      <c r="H330" s="54"/>
      <c r="I330" s="56"/>
    </row>
    <row r="331" hidden="1" outlineLevel="1">
      <c r="A331" s="58" t="s">
        <v>69</v>
      </c>
      <c r="B331" s="292">
        <v>32.01</v>
      </c>
      <c r="C331" s="293">
        <v>36.37</v>
      </c>
      <c r="D331" s="371">
        <v>40.11</v>
      </c>
      <c r="E331" s="293">
        <v>32.03</v>
      </c>
      <c r="F331" s="293">
        <v>39.54</v>
      </c>
      <c r="G331" s="293">
        <v>41.09</v>
      </c>
      <c r="H331" s="293">
        <v>39.57</v>
      </c>
      <c r="I331" s="354">
        <v>37.51</v>
      </c>
    </row>
    <row r="332" hidden="1" outlineLevel="1">
      <c r="A332" s="68" t="s">
        <v>75</v>
      </c>
      <c r="B332" s="372">
        <v>30.0</v>
      </c>
      <c r="C332" s="70">
        <v>40.0</v>
      </c>
      <c r="D332" s="70">
        <v>40.0</v>
      </c>
      <c r="E332" s="296">
        <v>30.0</v>
      </c>
      <c r="F332" s="296">
        <v>38.0</v>
      </c>
      <c r="G332" s="70">
        <v>40.0</v>
      </c>
      <c r="H332" s="70">
        <v>40.0</v>
      </c>
      <c r="I332" s="355">
        <v>40.0</v>
      </c>
    </row>
    <row r="333" hidden="1" outlineLevel="1">
      <c r="A333" s="73" t="s">
        <v>76</v>
      </c>
      <c r="B333" s="297">
        <f t="shared" ref="B333:I333" si="129">B331/B332</f>
        <v>1.067</v>
      </c>
      <c r="C333" s="298">
        <f t="shared" si="129"/>
        <v>0.90925</v>
      </c>
      <c r="D333" s="298">
        <f t="shared" si="129"/>
        <v>1.00275</v>
      </c>
      <c r="E333" s="298">
        <f t="shared" si="129"/>
        <v>1.067666667</v>
      </c>
      <c r="F333" s="298">
        <f t="shared" si="129"/>
        <v>1.040526316</v>
      </c>
      <c r="G333" s="298">
        <f t="shared" si="129"/>
        <v>1.02725</v>
      </c>
      <c r="H333" s="298">
        <f t="shared" si="129"/>
        <v>0.98925</v>
      </c>
      <c r="I333" s="299">
        <f t="shared" si="129"/>
        <v>0.93775</v>
      </c>
    </row>
    <row r="334" hidden="1" outlineLevel="1">
      <c r="A334" s="51" t="s">
        <v>79</v>
      </c>
      <c r="B334" s="53"/>
      <c r="C334" s="54"/>
      <c r="D334" s="54"/>
      <c r="E334" s="54"/>
      <c r="F334" s="54"/>
      <c r="G334" s="54"/>
      <c r="H334" s="54"/>
      <c r="I334" s="56"/>
    </row>
    <row r="335" hidden="1" outlineLevel="1">
      <c r="A335" s="83" t="s">
        <v>81</v>
      </c>
      <c r="B335" s="292">
        <v>40.0</v>
      </c>
      <c r="C335" s="293">
        <v>40.0</v>
      </c>
      <c r="D335" s="293">
        <v>35.2</v>
      </c>
      <c r="E335" s="293">
        <v>40.0</v>
      </c>
      <c r="F335" s="293">
        <v>40.0</v>
      </c>
      <c r="G335" s="293">
        <v>28.0</v>
      </c>
      <c r="H335" s="293">
        <v>40.0</v>
      </c>
      <c r="I335" s="377">
        <v>39.87</v>
      </c>
    </row>
    <row r="336" hidden="1" outlineLevel="1">
      <c r="A336" s="88" t="s">
        <v>86</v>
      </c>
      <c r="B336" s="260">
        <v>40.0</v>
      </c>
      <c r="C336" s="261">
        <v>40.0</v>
      </c>
      <c r="D336" s="261">
        <v>40.0</v>
      </c>
      <c r="E336" s="261">
        <v>40.0</v>
      </c>
      <c r="F336" s="261">
        <v>40.0</v>
      </c>
      <c r="G336" s="261">
        <v>40.0</v>
      </c>
      <c r="H336" s="261">
        <v>40.0</v>
      </c>
      <c r="I336" s="262">
        <v>40.0</v>
      </c>
    </row>
    <row r="337" hidden="1" outlineLevel="1">
      <c r="A337" s="73" t="s">
        <v>96</v>
      </c>
      <c r="B337" s="297">
        <f t="shared" ref="B337:I337" si="130">B335/B336</f>
        <v>1</v>
      </c>
      <c r="C337" s="298">
        <f t="shared" si="130"/>
        <v>1</v>
      </c>
      <c r="D337" s="298">
        <f t="shared" si="130"/>
        <v>0.88</v>
      </c>
      <c r="E337" s="298">
        <f t="shared" si="130"/>
        <v>1</v>
      </c>
      <c r="F337" s="298">
        <f t="shared" si="130"/>
        <v>1</v>
      </c>
      <c r="G337" s="298">
        <f t="shared" si="130"/>
        <v>0.7</v>
      </c>
      <c r="H337" s="298">
        <f t="shared" si="130"/>
        <v>1</v>
      </c>
      <c r="I337" s="299">
        <f t="shared" si="130"/>
        <v>0.99675</v>
      </c>
    </row>
    <row r="338" hidden="1" outlineLevel="1">
      <c r="A338" s="51" t="s">
        <v>99</v>
      </c>
      <c r="B338" s="53"/>
      <c r="C338" s="54"/>
      <c r="D338" s="54"/>
      <c r="E338" s="54"/>
      <c r="F338" s="54"/>
      <c r="G338" s="54"/>
      <c r="H338" s="54"/>
      <c r="I338" s="56"/>
    </row>
    <row r="339" hidden="1" outlineLevel="1">
      <c r="A339" s="83" t="s">
        <v>101</v>
      </c>
      <c r="B339" s="259" t="s">
        <v>109</v>
      </c>
      <c r="C339" s="124" t="s">
        <v>113</v>
      </c>
      <c r="D339" s="124" t="s">
        <v>113</v>
      </c>
      <c r="E339" s="124" t="s">
        <v>109</v>
      </c>
      <c r="F339" s="124" t="s">
        <v>109</v>
      </c>
      <c r="G339" s="123" t="s">
        <v>113</v>
      </c>
      <c r="H339" s="124" t="s">
        <v>109</v>
      </c>
      <c r="I339" s="126" t="s">
        <v>109</v>
      </c>
    </row>
    <row r="340" hidden="1" outlineLevel="1">
      <c r="A340" s="83" t="s">
        <v>117</v>
      </c>
      <c r="B340" s="259" t="s">
        <v>118</v>
      </c>
      <c r="C340" s="124" t="s">
        <v>119</v>
      </c>
      <c r="D340" s="124" t="s">
        <v>118</v>
      </c>
      <c r="E340" s="124" t="s">
        <v>119</v>
      </c>
      <c r="F340" s="124" t="s">
        <v>118</v>
      </c>
      <c r="G340" s="124" t="s">
        <v>119</v>
      </c>
      <c r="H340" s="124" t="s">
        <v>119</v>
      </c>
      <c r="I340" s="126" t="s">
        <v>119</v>
      </c>
    </row>
    <row r="341" hidden="1" outlineLevel="1">
      <c r="A341" s="83" t="s">
        <v>120</v>
      </c>
      <c r="B341" s="271">
        <f>IF(B331&lt;B332,B332,B331) *
IF(B339="AM",
    IF(B340="Oricle",3.5,
    IF(B340="Other Brands",4,
    IF(B340="Oricle Prio",0.6,""))),
 IF(B339="MID",
    IF(B340="Oricle",2.5,
    IF(B340="Other Brands",3,
    IF(B340="Oricle Prio",0.6,""))),
 IF(B339="GY",
    IF(B340="Oricle",1,
    IF(B340="Other Brands",1,
    IF(B340="Oricle Prio",0.3,""))),"")))-10</f>
        <v>86.03</v>
      </c>
      <c r="C341" s="273">
        <f>IF(C331&lt;C332,C332,C331) *
IF(C339="AM",
    IF(C340="Oricle",3,
    IF(C340="Other Brands",4,
    IF(C340="Oricle Prio",0.6,""))),
 IF(C339="MID",
    IF(C340="Oricle",2.5,
    IF(C340="Other Brands",3,
    IF(C340="Oricle Prio",0.6,""))),
 IF(C339="GY",
    IF(C340="Oricle",1,
    IF(C340="Other Brands",1,
    IF(C340="Oricle Prio",0.3,""))),"")))</f>
        <v>120</v>
      </c>
      <c r="D341" s="273">
        <f>IF(D331&lt;D332,D332,D331) *
IF(D339="AM",
    IF(D340="Oricle",3.5,
    IF(D340="Other Brands",4,
    IF(D340="Oricle Prio",0.6,""))),
 IF(D339="MID",
    IF(D340="Oricle",2.5,
    IF(D340="Other Brands",3,
    IF(D340="Oricle Prio",0.6,""))),
 IF(D339="GY",
    IF(D340="Oricle",1,
    IF(D340="Other Brands",1,
    IF(D340="Oricle Prio",0.3,""))),"")))</f>
        <v>160.44</v>
      </c>
      <c r="E341" s="273">
        <f>IF(E331&lt;E332,E332,E331) *
IF(E339="AM",
    IF(E340="Oricle",3.5,
    IF(E340="Other Brands",4,
    IF(E340="Oricle Prio",0.6,""))),
 IF(E339="MID",
    IF(E340="Oricle",2.5,
    IF(E340="Other Brands",3,
    IF(E340="Oricle Prio",0.6,""))),
 IF(E339="GY",
    IF(E340="Oricle",1,
    IF(E340="Other Brands",1,
    IF(E340="Oricle Prio",0.3,""))),"")))-12</f>
        <v>68.075</v>
      </c>
      <c r="F341" s="273">
        <f>IF(F331&lt;F332,F332,F331) *
IF(F339="AM",
    IF(F340="Oricle",3.5,
    IF(F340="Other Brands",4,
    IF(F340="Oricle Prio",0.6,""))),
 IF(F339="MID",
    IF(F340="Oricle",2.5,
    IF(F340="Other Brands",3,
    IF(F340="Oricle Prio",0.6,""))),
 IF(F339="GY",
    IF(F340="Oricle",1,
    IF(F340="Other Brands",1,
    IF(F340="Oricle Prio",0.3,""))),"")))</f>
        <v>118.62</v>
      </c>
      <c r="G341" s="273">
        <f>IF(G331&lt;G332,G332,G331) *
IF(G339="AM",
    IF(G340="Oricle",3,
    IF(G340="Other Brands",4,
    IF(G340="Oricle Prio",0.6,""))),
 IF(G339="MID",
    IF(G340="Oricle",2.5,
    IF(G340="Other Brands",3,
    IF(G340="Oricle Prio",0.6,""))),
 IF(G339="GY",
    IF(G340="Oricle",1,
    IF(G340="Other Brands",1,
    IF(G340="Oricle Prio",0.3,""))),"")))</f>
        <v>123.27</v>
      </c>
      <c r="H341" s="273">
        <f>IF(H331&lt;H332,H332,H331) *
IF(H339="AM",
    IF(H340="Oricle",3.5,
    IF(H340="Other Brands",4,
    IF(H340="Oricle Prio",0.6,""))),
 IF(H339="MID",
    IF(H340="Oricle",2.5,
    IF(H340="Other Brands",3,
    IF(H340="Oricle Prio",0.6,""))),
 IF(H339="GY",
    IF(H340="Oricle",1,
    IF(H340="Other Brands",1,
    IF(H340="Oricle Prio",0.3,""))),"")))</f>
        <v>100</v>
      </c>
      <c r="I341" s="304">
        <v>75.0</v>
      </c>
    </row>
    <row r="342" hidden="1" outlineLevel="1">
      <c r="A342" s="83" t="s">
        <v>131</v>
      </c>
      <c r="B342" s="306" t="s">
        <v>396</v>
      </c>
      <c r="C342" s="123" t="s">
        <v>757</v>
      </c>
      <c r="D342" s="123" t="s">
        <v>758</v>
      </c>
      <c r="E342" s="123" t="s">
        <v>759</v>
      </c>
      <c r="F342" s="123" t="s">
        <v>760</v>
      </c>
      <c r="G342" s="123" t="s">
        <v>307</v>
      </c>
      <c r="H342" s="123" t="s">
        <v>761</v>
      </c>
      <c r="I342" s="301" t="s">
        <v>762</v>
      </c>
    </row>
    <row r="343" hidden="1" outlineLevel="1">
      <c r="A343" s="83" t="s">
        <v>138</v>
      </c>
      <c r="B343" s="306" t="s">
        <v>757</v>
      </c>
      <c r="C343" s="123" t="s">
        <v>757</v>
      </c>
      <c r="D343" s="123" t="s">
        <v>534</v>
      </c>
      <c r="E343" s="123" t="s">
        <v>763</v>
      </c>
      <c r="F343" s="123" t="s">
        <v>466</v>
      </c>
      <c r="G343" s="123" t="s">
        <v>318</v>
      </c>
      <c r="H343" s="123" t="s">
        <v>761</v>
      </c>
      <c r="I343" s="301" t="s">
        <v>762</v>
      </c>
    </row>
    <row r="344" hidden="1" outlineLevel="1">
      <c r="A344" s="88" t="s">
        <v>149</v>
      </c>
      <c r="B344" s="152">
        <f t="shared" ref="B344:I344" si="131">IF(B342&gt;0,B343/B342,0)</f>
        <v>0.9905660377</v>
      </c>
      <c r="C344" s="153">
        <f t="shared" si="131"/>
        <v>1</v>
      </c>
      <c r="D344" s="153">
        <f t="shared" si="131"/>
        <v>0.9736842105</v>
      </c>
      <c r="E344" s="153">
        <f t="shared" si="131"/>
        <v>0.9850746269</v>
      </c>
      <c r="F344" s="153">
        <f t="shared" si="131"/>
        <v>0.953271028</v>
      </c>
      <c r="G344" s="153">
        <f t="shared" si="131"/>
        <v>1.007246377</v>
      </c>
      <c r="H344" s="153">
        <f t="shared" si="131"/>
        <v>1</v>
      </c>
      <c r="I344" s="154">
        <f t="shared" si="131"/>
        <v>1</v>
      </c>
    </row>
    <row r="345" hidden="1" outlineLevel="1">
      <c r="A345" s="88" t="s">
        <v>156</v>
      </c>
      <c r="B345" s="152">
        <f t="shared" ref="B345:I345" si="132">IF(B341&gt;0,B343/B341,0)</f>
        <v>1.220504475</v>
      </c>
      <c r="C345" s="153">
        <f t="shared" si="132"/>
        <v>0.875</v>
      </c>
      <c r="D345" s="153">
        <f t="shared" si="132"/>
        <v>0.6918474196</v>
      </c>
      <c r="E345" s="153">
        <f t="shared" si="132"/>
        <v>0.969518913</v>
      </c>
      <c r="F345" s="153">
        <f t="shared" si="132"/>
        <v>0.8598887203</v>
      </c>
      <c r="G345" s="153">
        <f t="shared" si="132"/>
        <v>1.127606068</v>
      </c>
      <c r="H345" s="153">
        <f t="shared" si="132"/>
        <v>0.85</v>
      </c>
      <c r="I345" s="154">
        <f t="shared" si="132"/>
        <v>1.053333333</v>
      </c>
    </row>
    <row r="346" hidden="1" outlineLevel="1">
      <c r="A346" s="159" t="s">
        <v>13</v>
      </c>
      <c r="B346" s="297">
        <f t="shared" ref="B346:I346" si="133">average(B344:B345)</f>
        <v>1.105535256</v>
      </c>
      <c r="C346" s="298">
        <f t="shared" si="133"/>
        <v>0.9375</v>
      </c>
      <c r="D346" s="298">
        <f t="shared" si="133"/>
        <v>0.8327658151</v>
      </c>
      <c r="E346" s="298">
        <f t="shared" si="133"/>
        <v>0.9772967699</v>
      </c>
      <c r="F346" s="298">
        <f t="shared" si="133"/>
        <v>0.9065798742</v>
      </c>
      <c r="G346" s="298">
        <f t="shared" si="133"/>
        <v>1.067426222</v>
      </c>
      <c r="H346" s="298">
        <f t="shared" si="133"/>
        <v>0.925</v>
      </c>
      <c r="I346" s="299">
        <f t="shared" si="133"/>
        <v>1.026666667</v>
      </c>
    </row>
    <row r="347" hidden="1" outlineLevel="1">
      <c r="A347" s="51" t="s">
        <v>161</v>
      </c>
      <c r="B347" s="334"/>
      <c r="C347" s="54"/>
      <c r="D347" s="54"/>
      <c r="E347" s="54"/>
      <c r="F347" s="54"/>
      <c r="G347" s="54"/>
      <c r="H347" s="54"/>
      <c r="I347" s="335"/>
    </row>
    <row r="348" hidden="1" outlineLevel="1">
      <c r="A348" s="83" t="s">
        <v>162</v>
      </c>
      <c r="B348" s="292">
        <v>10.0</v>
      </c>
      <c r="C348" s="293">
        <v>8.0</v>
      </c>
      <c r="D348" s="293">
        <v>9.18</v>
      </c>
      <c r="E348" s="293">
        <v>10.0</v>
      </c>
      <c r="F348" s="277">
        <v>9.42</v>
      </c>
      <c r="G348" s="293">
        <v>10.0</v>
      </c>
      <c r="H348" s="293">
        <v>10.0</v>
      </c>
      <c r="I348" s="294">
        <v>10.0</v>
      </c>
    </row>
    <row r="349" hidden="1" outlineLevel="1">
      <c r="A349" s="88" t="s">
        <v>169</v>
      </c>
      <c r="B349" s="165">
        <v>10.0</v>
      </c>
      <c r="C349" s="166">
        <v>10.0</v>
      </c>
      <c r="D349" s="166">
        <v>10.0</v>
      </c>
      <c r="E349" s="166">
        <v>10.0</v>
      </c>
      <c r="F349" s="166">
        <v>10.0</v>
      </c>
      <c r="G349" s="166">
        <v>10.0</v>
      </c>
      <c r="H349" s="166">
        <v>10.0</v>
      </c>
      <c r="I349" s="168">
        <v>10.0</v>
      </c>
    </row>
    <row r="350" hidden="1" outlineLevel="1">
      <c r="A350" s="73" t="s">
        <v>170</v>
      </c>
      <c r="B350" s="297">
        <f t="shared" ref="B350:I350" si="134">IF(B348=0,0,B348/B349)</f>
        <v>1</v>
      </c>
      <c r="C350" s="298">
        <f t="shared" si="134"/>
        <v>0.8</v>
      </c>
      <c r="D350" s="298">
        <f t="shared" si="134"/>
        <v>0.918</v>
      </c>
      <c r="E350" s="298">
        <f t="shared" si="134"/>
        <v>1</v>
      </c>
      <c r="F350" s="298">
        <f t="shared" si="134"/>
        <v>0.942</v>
      </c>
      <c r="G350" s="298">
        <f t="shared" si="134"/>
        <v>1</v>
      </c>
      <c r="H350" s="298">
        <f t="shared" si="134"/>
        <v>1</v>
      </c>
      <c r="I350" s="299">
        <f t="shared" si="134"/>
        <v>1</v>
      </c>
    </row>
    <row r="351" hidden="1" outlineLevel="1">
      <c r="A351" s="51" t="s">
        <v>173</v>
      </c>
      <c r="B351" s="53"/>
      <c r="C351" s="54"/>
      <c r="D351" s="54"/>
      <c r="E351" s="54"/>
      <c r="F351" s="54"/>
      <c r="G351" s="54"/>
      <c r="H351" s="54"/>
      <c r="I351" s="56"/>
    </row>
    <row r="352" hidden="1" outlineLevel="1">
      <c r="A352" s="83" t="s">
        <v>175</v>
      </c>
      <c r="B352" s="330"/>
      <c r="C352" s="331"/>
      <c r="D352" s="345"/>
      <c r="E352" s="331"/>
      <c r="F352" s="331"/>
      <c r="G352" s="331"/>
      <c r="H352" s="331"/>
      <c r="I352" s="332"/>
    </row>
    <row r="353" hidden="1" outlineLevel="1">
      <c r="A353" s="180" t="s">
        <v>179</v>
      </c>
      <c r="B353" s="53"/>
      <c r="C353" s="54"/>
      <c r="D353" s="54"/>
      <c r="E353" s="54"/>
      <c r="F353" s="54"/>
      <c r="G353" s="54"/>
      <c r="H353" s="54"/>
      <c r="I353" s="56"/>
    </row>
    <row r="354" hidden="1" outlineLevel="1">
      <c r="A354" s="88" t="s">
        <v>180</v>
      </c>
      <c r="B354" s="181">
        <f t="shared" ref="B354:I354" si="135">B333*25</f>
        <v>26.675</v>
      </c>
      <c r="C354" s="182">
        <f t="shared" si="135"/>
        <v>22.73125</v>
      </c>
      <c r="D354" s="182">
        <f t="shared" si="135"/>
        <v>25.06875</v>
      </c>
      <c r="E354" s="182">
        <f t="shared" si="135"/>
        <v>26.69166667</v>
      </c>
      <c r="F354" s="182">
        <f t="shared" si="135"/>
        <v>26.01315789</v>
      </c>
      <c r="G354" s="182">
        <f t="shared" si="135"/>
        <v>25.68125</v>
      </c>
      <c r="H354" s="182">
        <f t="shared" si="135"/>
        <v>24.73125</v>
      </c>
      <c r="I354" s="183">
        <f t="shared" si="135"/>
        <v>23.44375</v>
      </c>
    </row>
    <row r="355" hidden="1" outlineLevel="1">
      <c r="A355" s="88" t="s">
        <v>182</v>
      </c>
      <c r="B355" s="181">
        <f t="shared" ref="B355:I355" si="136">B337*35</f>
        <v>35</v>
      </c>
      <c r="C355" s="182">
        <f t="shared" si="136"/>
        <v>35</v>
      </c>
      <c r="D355" s="182">
        <f t="shared" si="136"/>
        <v>30.8</v>
      </c>
      <c r="E355" s="182">
        <f t="shared" si="136"/>
        <v>35</v>
      </c>
      <c r="F355" s="182">
        <f t="shared" si="136"/>
        <v>35</v>
      </c>
      <c r="G355" s="182">
        <f t="shared" si="136"/>
        <v>24.5</v>
      </c>
      <c r="H355" s="182">
        <f t="shared" si="136"/>
        <v>35</v>
      </c>
      <c r="I355" s="183">
        <f t="shared" si="136"/>
        <v>34.88625</v>
      </c>
    </row>
    <row r="356" hidden="1" outlineLevel="1">
      <c r="A356" s="88" t="s">
        <v>184</v>
      </c>
      <c r="B356" s="181">
        <f t="shared" ref="B356:I356" si="137">IF(AND(B337&lt;85%, B346&gt;100%), 25, B346*25)</f>
        <v>27.63838141</v>
      </c>
      <c r="C356" s="182">
        <f t="shared" si="137"/>
        <v>23.4375</v>
      </c>
      <c r="D356" s="182">
        <f t="shared" si="137"/>
        <v>20.81914538</v>
      </c>
      <c r="E356" s="182">
        <f t="shared" si="137"/>
        <v>24.43241925</v>
      </c>
      <c r="F356" s="182">
        <f t="shared" si="137"/>
        <v>22.66449685</v>
      </c>
      <c r="G356" s="182">
        <f t="shared" si="137"/>
        <v>25</v>
      </c>
      <c r="H356" s="182">
        <f t="shared" si="137"/>
        <v>23.125</v>
      </c>
      <c r="I356" s="183">
        <f t="shared" si="137"/>
        <v>25.66666667</v>
      </c>
    </row>
    <row r="357" hidden="1" outlineLevel="1">
      <c r="A357" s="88" t="s">
        <v>187</v>
      </c>
      <c r="B357" s="181">
        <f t="shared" ref="B357:I357" si="138">B350*15</f>
        <v>15</v>
      </c>
      <c r="C357" s="182">
        <f t="shared" si="138"/>
        <v>12</v>
      </c>
      <c r="D357" s="182">
        <f t="shared" si="138"/>
        <v>13.77</v>
      </c>
      <c r="E357" s="182">
        <f t="shared" si="138"/>
        <v>15</v>
      </c>
      <c r="F357" s="182">
        <f t="shared" si="138"/>
        <v>14.13</v>
      </c>
      <c r="G357" s="182">
        <f t="shared" si="138"/>
        <v>15</v>
      </c>
      <c r="H357" s="182">
        <f t="shared" si="138"/>
        <v>15</v>
      </c>
      <c r="I357" s="183">
        <f t="shared" si="138"/>
        <v>15</v>
      </c>
    </row>
    <row r="358" hidden="1" outlineLevel="1">
      <c r="A358" s="88" t="s">
        <v>188</v>
      </c>
      <c r="B358" s="181">
        <f t="shared" ref="B358:I358" si="139">B352*-10</f>
        <v>0</v>
      </c>
      <c r="C358" s="182">
        <f t="shared" si="139"/>
        <v>0</v>
      </c>
      <c r="D358" s="182">
        <f t="shared" si="139"/>
        <v>0</v>
      </c>
      <c r="E358" s="182">
        <f t="shared" si="139"/>
        <v>0</v>
      </c>
      <c r="F358" s="182">
        <f t="shared" si="139"/>
        <v>0</v>
      </c>
      <c r="G358" s="182">
        <f t="shared" si="139"/>
        <v>0</v>
      </c>
      <c r="H358" s="182">
        <f t="shared" si="139"/>
        <v>0</v>
      </c>
      <c r="I358" s="183">
        <f t="shared" si="139"/>
        <v>0</v>
      </c>
    </row>
    <row r="359" hidden="1" outlineLevel="1">
      <c r="A359" s="187" t="s">
        <v>190</v>
      </c>
      <c r="B359" s="181">
        <f t="shared" ref="B359:I359" si="140">B354+B355+B356+B357+B358</f>
        <v>104.3133814</v>
      </c>
      <c r="C359" s="182">
        <f t="shared" si="140"/>
        <v>93.16875</v>
      </c>
      <c r="D359" s="182">
        <f t="shared" si="140"/>
        <v>90.45789538</v>
      </c>
      <c r="E359" s="182">
        <f t="shared" si="140"/>
        <v>101.1240859</v>
      </c>
      <c r="F359" s="182">
        <f t="shared" si="140"/>
        <v>97.80765475</v>
      </c>
      <c r="G359" s="182">
        <f t="shared" si="140"/>
        <v>90.18125</v>
      </c>
      <c r="H359" s="182">
        <f t="shared" si="140"/>
        <v>97.85625</v>
      </c>
      <c r="I359" s="183">
        <f t="shared" si="140"/>
        <v>98.99666667</v>
      </c>
    </row>
    <row r="360" hidden="1" outlineLevel="1">
      <c r="A360" s="73" t="s">
        <v>193</v>
      </c>
      <c r="B360" s="74">
        <f t="shared" ref="B360:I360" si="141">B359/100</f>
        <v>1.043133814</v>
      </c>
      <c r="C360" s="75">
        <f t="shared" si="141"/>
        <v>0.9316875</v>
      </c>
      <c r="D360" s="369">
        <f t="shared" si="141"/>
        <v>0.9045789538</v>
      </c>
      <c r="E360" s="75">
        <f t="shared" si="141"/>
        <v>1.011240859</v>
      </c>
      <c r="F360" s="75">
        <f t="shared" si="141"/>
        <v>0.9780765475</v>
      </c>
      <c r="G360" s="75">
        <f t="shared" si="141"/>
        <v>0.9018125</v>
      </c>
      <c r="H360" s="75">
        <f t="shared" si="141"/>
        <v>0.9785625</v>
      </c>
      <c r="I360" s="77">
        <f t="shared" si="141"/>
        <v>0.9899666667</v>
      </c>
    </row>
    <row r="361" hidden="1" outlineLevel="1">
      <c r="A361" s="180" t="s">
        <v>203</v>
      </c>
      <c r="B361" s="361" t="s">
        <v>206</v>
      </c>
      <c r="C361" s="361" t="s">
        <v>204</v>
      </c>
      <c r="D361" s="361" t="s">
        <v>204</v>
      </c>
      <c r="E361" s="361" t="s">
        <v>204</v>
      </c>
      <c r="F361" s="361" t="s">
        <v>204</v>
      </c>
      <c r="G361" s="361" t="s">
        <v>204</v>
      </c>
      <c r="H361" s="361" t="s">
        <v>204</v>
      </c>
      <c r="I361" s="361" t="s">
        <v>204</v>
      </c>
    </row>
    <row r="362" hidden="1" outlineLevel="1">
      <c r="A362" s="180" t="s">
        <v>208</v>
      </c>
      <c r="B362" s="216"/>
      <c r="C362" s="217"/>
      <c r="D362" s="350"/>
      <c r="E362" s="217"/>
      <c r="F362" s="217"/>
      <c r="G362" s="217"/>
      <c r="H362" s="217"/>
      <c r="I362" s="364"/>
    </row>
    <row r="363" collapsed="1">
      <c r="A363" s="352">
        <v>46113.0</v>
      </c>
      <c r="B363" s="225"/>
      <c r="C363" s="46"/>
      <c r="D363" s="46"/>
      <c r="E363" s="46"/>
      <c r="F363" s="46"/>
      <c r="G363" s="46"/>
      <c r="H363" s="46"/>
      <c r="I363" s="46"/>
    </row>
    <row r="364" hidden="1" outlineLevel="1" collapsed="1">
      <c r="A364" s="32"/>
      <c r="B364" s="33" t="s">
        <v>790</v>
      </c>
      <c r="C364" s="34"/>
      <c r="D364" s="34"/>
      <c r="E364" s="34"/>
      <c r="F364" s="34"/>
      <c r="G364" s="34"/>
      <c r="H364" s="34"/>
      <c r="I364" s="35"/>
    </row>
    <row r="365" hidden="1" outlineLevel="2">
      <c r="A365" s="228"/>
      <c r="B365" s="317" t="s">
        <v>56</v>
      </c>
      <c r="C365" s="318" t="s">
        <v>57</v>
      </c>
      <c r="D365" s="318" t="s">
        <v>21</v>
      </c>
      <c r="E365" s="318" t="s">
        <v>32</v>
      </c>
      <c r="F365" s="318" t="s">
        <v>58</v>
      </c>
      <c r="G365" s="319" t="s">
        <v>59</v>
      </c>
      <c r="H365" s="320" t="s">
        <v>7</v>
      </c>
      <c r="I365" s="320" t="s">
        <v>503</v>
      </c>
    </row>
    <row r="366" hidden="1" outlineLevel="2">
      <c r="A366" s="44" t="s">
        <v>60</v>
      </c>
      <c r="B366" s="289" t="s">
        <v>790</v>
      </c>
      <c r="C366" s="290"/>
      <c r="D366" s="290"/>
      <c r="E366" s="290"/>
      <c r="F366" s="290"/>
      <c r="G366" s="290"/>
      <c r="H366" s="290"/>
      <c r="I366" s="291"/>
    </row>
    <row r="367" hidden="1" outlineLevel="2">
      <c r="A367" s="51" t="s">
        <v>64</v>
      </c>
      <c r="B367" s="53"/>
      <c r="C367" s="54"/>
      <c r="D367" s="54"/>
      <c r="E367" s="54"/>
      <c r="F367" s="54"/>
      <c r="G367" s="54"/>
      <c r="H367" s="54"/>
      <c r="I367" s="56"/>
    </row>
    <row r="368" hidden="1" outlineLevel="2">
      <c r="A368" s="58" t="s">
        <v>69</v>
      </c>
      <c r="B368" s="292">
        <v>39.46</v>
      </c>
      <c r="C368" s="293">
        <f>40.4-2</f>
        <v>38.4</v>
      </c>
      <c r="D368" s="371">
        <f>42.07-1.39</f>
        <v>40.68</v>
      </c>
      <c r="E368" s="293">
        <f>40.05-4</f>
        <v>36.05</v>
      </c>
      <c r="F368" s="293">
        <v>40.03</v>
      </c>
      <c r="G368" s="293">
        <v>39.54</v>
      </c>
      <c r="H368" s="293">
        <v>40.03</v>
      </c>
      <c r="I368" s="354">
        <v>37.28</v>
      </c>
    </row>
    <row r="369" hidden="1" outlineLevel="2">
      <c r="A369" s="68" t="s">
        <v>75</v>
      </c>
      <c r="B369" s="372">
        <v>38.0</v>
      </c>
      <c r="C369" s="70">
        <v>40.0</v>
      </c>
      <c r="D369" s="70">
        <v>40.0</v>
      </c>
      <c r="E369" s="296">
        <v>40.0</v>
      </c>
      <c r="F369" s="296">
        <v>38.0</v>
      </c>
      <c r="G369" s="70">
        <v>40.0</v>
      </c>
      <c r="H369" s="70">
        <v>40.0</v>
      </c>
      <c r="I369" s="355">
        <v>40.0</v>
      </c>
    </row>
    <row r="370" hidden="1" outlineLevel="2">
      <c r="A370" s="73" t="s">
        <v>76</v>
      </c>
      <c r="B370" s="297">
        <f t="shared" ref="B370:I370" si="142">B368/B369</f>
        <v>1.038421053</v>
      </c>
      <c r="C370" s="298">
        <f t="shared" si="142"/>
        <v>0.96</v>
      </c>
      <c r="D370" s="298">
        <f t="shared" si="142"/>
        <v>1.017</v>
      </c>
      <c r="E370" s="298">
        <f t="shared" si="142"/>
        <v>0.90125</v>
      </c>
      <c r="F370" s="298">
        <f t="shared" si="142"/>
        <v>1.053421053</v>
      </c>
      <c r="G370" s="298">
        <f t="shared" si="142"/>
        <v>0.9885</v>
      </c>
      <c r="H370" s="298">
        <f t="shared" si="142"/>
        <v>1.00075</v>
      </c>
      <c r="I370" s="299">
        <f t="shared" si="142"/>
        <v>0.932</v>
      </c>
    </row>
    <row r="371" hidden="1" outlineLevel="2">
      <c r="A371" s="51" t="s">
        <v>79</v>
      </c>
      <c r="B371" s="53"/>
      <c r="C371" s="54"/>
      <c r="D371" s="54"/>
      <c r="E371" s="54"/>
      <c r="F371" s="54"/>
      <c r="G371" s="54"/>
      <c r="H371" s="54"/>
      <c r="I371" s="56"/>
    </row>
    <row r="372" hidden="1" outlineLevel="2">
      <c r="A372" s="83" t="s">
        <v>81</v>
      </c>
      <c r="B372" s="292">
        <v>40.0</v>
      </c>
      <c r="C372" s="293">
        <v>40.0</v>
      </c>
      <c r="D372" s="293">
        <v>30.0</v>
      </c>
      <c r="E372" s="293">
        <v>30.93</v>
      </c>
      <c r="F372" s="293">
        <v>40.0</v>
      </c>
      <c r="G372" s="293">
        <v>40.0</v>
      </c>
      <c r="H372" s="293">
        <v>40.0</v>
      </c>
      <c r="I372" s="377">
        <v>40.0</v>
      </c>
    </row>
    <row r="373" hidden="1" outlineLevel="2">
      <c r="A373" s="88" t="s">
        <v>86</v>
      </c>
      <c r="B373" s="260">
        <v>40.0</v>
      </c>
      <c r="C373" s="261">
        <v>40.0</v>
      </c>
      <c r="D373" s="261">
        <v>40.0</v>
      </c>
      <c r="E373" s="261">
        <v>40.0</v>
      </c>
      <c r="F373" s="261">
        <v>40.0</v>
      </c>
      <c r="G373" s="261">
        <v>40.0</v>
      </c>
      <c r="H373" s="261">
        <v>40.0</v>
      </c>
      <c r="I373" s="262">
        <v>40.0</v>
      </c>
    </row>
    <row r="374" hidden="1" outlineLevel="2">
      <c r="A374" s="73" t="s">
        <v>96</v>
      </c>
      <c r="B374" s="297">
        <f t="shared" ref="B374:I374" si="143">B372/B373</f>
        <v>1</v>
      </c>
      <c r="C374" s="298">
        <f t="shared" si="143"/>
        <v>1</v>
      </c>
      <c r="D374" s="298">
        <f t="shared" si="143"/>
        <v>0.75</v>
      </c>
      <c r="E374" s="298">
        <f t="shared" si="143"/>
        <v>0.77325</v>
      </c>
      <c r="F374" s="298">
        <f t="shared" si="143"/>
        <v>1</v>
      </c>
      <c r="G374" s="298">
        <f t="shared" si="143"/>
        <v>1</v>
      </c>
      <c r="H374" s="298">
        <f t="shared" si="143"/>
        <v>1</v>
      </c>
      <c r="I374" s="299">
        <f t="shared" si="143"/>
        <v>1</v>
      </c>
    </row>
    <row r="375" hidden="1" outlineLevel="2">
      <c r="A375" s="51" t="s">
        <v>99</v>
      </c>
      <c r="B375" s="53"/>
      <c r="C375" s="54"/>
      <c r="D375" s="54"/>
      <c r="E375" s="54"/>
      <c r="F375" s="54"/>
      <c r="G375" s="54"/>
      <c r="H375" s="54"/>
      <c r="I375" s="56"/>
    </row>
    <row r="376" hidden="1" outlineLevel="2">
      <c r="A376" s="83" t="s">
        <v>101</v>
      </c>
      <c r="B376" s="259" t="s">
        <v>109</v>
      </c>
      <c r="C376" s="124" t="s">
        <v>113</v>
      </c>
      <c r="D376" s="124" t="s">
        <v>113</v>
      </c>
      <c r="E376" s="124" t="s">
        <v>109</v>
      </c>
      <c r="F376" s="124" t="s">
        <v>109</v>
      </c>
      <c r="G376" s="123" t="s">
        <v>113</v>
      </c>
      <c r="H376" s="124" t="s">
        <v>109</v>
      </c>
      <c r="I376" s="126" t="s">
        <v>109</v>
      </c>
    </row>
    <row r="377" hidden="1" outlineLevel="2">
      <c r="A377" s="83" t="s">
        <v>117</v>
      </c>
      <c r="B377" s="259" t="s">
        <v>118</v>
      </c>
      <c r="C377" s="124" t="s">
        <v>119</v>
      </c>
      <c r="D377" s="124" t="s">
        <v>118</v>
      </c>
      <c r="E377" s="124" t="s">
        <v>119</v>
      </c>
      <c r="F377" s="124" t="s">
        <v>118</v>
      </c>
      <c r="G377" s="124" t="s">
        <v>119</v>
      </c>
      <c r="H377" s="124" t="s">
        <v>119</v>
      </c>
      <c r="I377" s="126" t="s">
        <v>119</v>
      </c>
    </row>
    <row r="378" hidden="1" outlineLevel="2">
      <c r="A378" s="83" t="s">
        <v>120</v>
      </c>
      <c r="B378" s="271">
        <f>IF(B368&lt;B369,B369,B368) *
IF(B376="AM",
    IF(B377="Oricle",3.5,
    IF(B377="Other Brands",4,
    IF(B377="Oricle Prio",0.6,""))),
 IF(B376="MID",
    IF(B377="Oricle",2.5,
    IF(B377="Other Brands",3,
    IF(B377="Oricle Prio",0.6,""))),
 IF(B376="GY",
    IF(B377="Oricle",1,
    IF(B377="Other Brands",1,
    IF(B377="Oricle Prio",0.3,""))),"")))-10</f>
        <v>108.38</v>
      </c>
      <c r="C378" s="273">
        <f>IF(C368&lt;C369,C369,C368) *
IF(C376="AM",
    IF(C377="Oricle",3,
    IF(C377="Other Brands",4,
    IF(C377="Oricle Prio",0.6,""))),
 IF(C376="MID",
    IF(C377="Oricle",2.5,
    IF(C377="Other Brands",3,
    IF(C377="Oricle Prio",0.6,""))),
 IF(C376="GY",
    IF(C377="Oricle",1,
    IF(C377="Other Brands",1,
    IF(C377="Oricle Prio",0.3,""))),"")))</f>
        <v>120</v>
      </c>
      <c r="D378" s="273">
        <f>IF(D368&lt;D369,D369,D368) *
IF(D376="AM",
    IF(D377="Oricle",3.5,
    IF(D377="Other Brands",4,
    IF(D377="Oricle Prio",0.6,""))),
 IF(D376="MID",
    IF(D377="Oricle",2.5,
    IF(D377="Other Brands",3,
    IF(D377="Oricle Prio",0.6,""))),
 IF(D376="GY",
    IF(D377="Oricle",1,
    IF(D377="Other Brands",1,
    IF(D377="Oricle Prio",0.3,""))),"")))</f>
        <v>162.72</v>
      </c>
      <c r="E378" s="273">
        <f>IF(E368&lt;E369,E369,E368) *
IF(E376="AM",
    IF(E377="Oricle",3.5,
    IF(E377="Other Brands",4,
    IF(E377="Oricle Prio",0.6,""))),
 IF(E376="MID",
    IF(E377="Oricle",2.5,
    IF(E377="Other Brands",3,
    IF(E377="Oricle Prio",0.6,""))),
 IF(E376="GY",
    IF(E377="Oricle",1,
    IF(E377="Other Brands",1,
    IF(E377="Oricle Prio",0.3,""))),"")))-12</f>
        <v>88</v>
      </c>
      <c r="F378" s="273">
        <f>IF(F368&lt;F369,F369,F368) *
IF(F376="AM",
    IF(F377="Oricle",3.5,
    IF(F377="Other Brands",4,
    IF(F377="Oricle Prio",0.6,""))),
 IF(F376="MID",
    IF(F377="Oricle",2.5,
    IF(F377="Other Brands",3,
    IF(F377="Oricle Prio",0.6,""))),
 IF(F376="GY",
    IF(F377="Oricle",1,
    IF(F377="Other Brands",1,
    IF(F377="Oricle Prio",0.3,""))),"")))</f>
        <v>120.09</v>
      </c>
      <c r="G378" s="273">
        <f>IF(G368&lt;G369,G369,G368) *
IF(G376="AM",
    IF(G377="Oricle",3,
    IF(G377="Other Brands",4,
    IF(G377="Oricle Prio",0.6,""))),
 IF(G376="MID",
    IF(G377="Oricle",2.5,
    IF(G377="Other Brands",3,
    IF(G377="Oricle Prio",0.6,""))),
 IF(G376="GY",
    IF(G377="Oricle",1,
    IF(G377="Other Brands",1,
    IF(G377="Oricle Prio",0.3,""))),"")))</f>
        <v>120</v>
      </c>
      <c r="H378" s="273">
        <f>IF(H368&lt;H369,H369,H368) *
IF(H376="AM",
    IF(H377="Oricle",3.5,
    IF(H377="Other Brands",4,
    IF(H377="Oricle Prio",0.6,""))),
 IF(H376="MID",
    IF(H377="Oricle",2.5,
    IF(H377="Other Brands",3,
    IF(H377="Oricle Prio",0.6,""))),
 IF(H376="GY",
    IF(H377="Oricle",1,
    IF(H377="Other Brands",1,
    IF(H377="Oricle Prio",0.3,""))),"")))</f>
        <v>100.075</v>
      </c>
      <c r="I378" s="304">
        <v>75.0</v>
      </c>
    </row>
    <row r="379" hidden="1" outlineLevel="2">
      <c r="A379" s="83" t="s">
        <v>131</v>
      </c>
      <c r="B379" s="306" t="s">
        <v>315</v>
      </c>
      <c r="C379" s="123" t="s">
        <v>469</v>
      </c>
      <c r="D379" s="123" t="s">
        <v>393</v>
      </c>
      <c r="E379" s="123" t="s">
        <v>824</v>
      </c>
      <c r="F379" s="123" t="s">
        <v>310</v>
      </c>
      <c r="G379" s="123" t="s">
        <v>461</v>
      </c>
      <c r="H379" s="123" t="s">
        <v>539</v>
      </c>
      <c r="I379" s="301" t="s">
        <v>825</v>
      </c>
    </row>
    <row r="380" hidden="1" outlineLevel="2">
      <c r="A380" s="83" t="s">
        <v>138</v>
      </c>
      <c r="B380" s="306" t="s">
        <v>758</v>
      </c>
      <c r="C380" s="123" t="s">
        <v>394</v>
      </c>
      <c r="D380" s="123" t="s">
        <v>827</v>
      </c>
      <c r="E380" s="123" t="s">
        <v>828</v>
      </c>
      <c r="F380" s="123" t="s">
        <v>829</v>
      </c>
      <c r="G380" s="123" t="s">
        <v>461</v>
      </c>
      <c r="H380" s="123" t="s">
        <v>830</v>
      </c>
      <c r="I380" s="301" t="s">
        <v>825</v>
      </c>
    </row>
    <row r="381" hidden="1" outlineLevel="2">
      <c r="A381" s="88" t="s">
        <v>149</v>
      </c>
      <c r="B381" s="152">
        <f t="shared" ref="B381:I381" si="144">IF(B379&gt;0,B380/B379,0)</f>
        <v>0.9661016949</v>
      </c>
      <c r="C381" s="153">
        <f t="shared" si="144"/>
        <v>0.9756097561</v>
      </c>
      <c r="D381" s="153">
        <f t="shared" si="144"/>
        <v>0.9673202614</v>
      </c>
      <c r="E381" s="153">
        <f t="shared" si="144"/>
        <v>0.9833333333</v>
      </c>
      <c r="F381" s="153">
        <f t="shared" si="144"/>
        <v>0.9571428571</v>
      </c>
      <c r="G381" s="153">
        <f t="shared" si="144"/>
        <v>1</v>
      </c>
      <c r="H381" s="153">
        <f t="shared" si="144"/>
        <v>0.9504950495</v>
      </c>
      <c r="I381" s="154">
        <f t="shared" si="144"/>
        <v>1</v>
      </c>
    </row>
    <row r="382" hidden="1" outlineLevel="2">
      <c r="A382" s="88" t="s">
        <v>156</v>
      </c>
      <c r="B382" s="152">
        <f t="shared" ref="B382:I382" si="145">IF(B378&gt;0,B380/B378,0)</f>
        <v>1.051854586</v>
      </c>
      <c r="C382" s="153">
        <f t="shared" si="145"/>
        <v>1</v>
      </c>
      <c r="D382" s="153">
        <f t="shared" si="145"/>
        <v>0.9095378564</v>
      </c>
      <c r="E382" s="153">
        <f t="shared" si="145"/>
        <v>0.6704545455</v>
      </c>
      <c r="F382" s="153">
        <f t="shared" si="145"/>
        <v>1.115829794</v>
      </c>
      <c r="G382" s="153">
        <f t="shared" si="145"/>
        <v>1.008333333</v>
      </c>
      <c r="H382" s="153">
        <f t="shared" si="145"/>
        <v>0.9592805396</v>
      </c>
      <c r="I382" s="154">
        <f t="shared" si="145"/>
        <v>0.9066666667</v>
      </c>
    </row>
    <row r="383" hidden="1" outlineLevel="2">
      <c r="A383" s="159" t="s">
        <v>13</v>
      </c>
      <c r="B383" s="297">
        <f t="shared" ref="B383:I383" si="146">average(B381:B382)</f>
        <v>1.00897814</v>
      </c>
      <c r="C383" s="298">
        <f t="shared" si="146"/>
        <v>0.987804878</v>
      </c>
      <c r="D383" s="298">
        <f t="shared" si="146"/>
        <v>0.9384290589</v>
      </c>
      <c r="E383" s="298">
        <f t="shared" si="146"/>
        <v>0.8268939394</v>
      </c>
      <c r="F383" s="298">
        <f t="shared" si="146"/>
        <v>1.036486326</v>
      </c>
      <c r="G383" s="298">
        <f t="shared" si="146"/>
        <v>1.004166667</v>
      </c>
      <c r="H383" s="298">
        <f t="shared" si="146"/>
        <v>0.9548877946</v>
      </c>
      <c r="I383" s="299">
        <f t="shared" si="146"/>
        <v>0.9533333333</v>
      </c>
    </row>
    <row r="384" hidden="1" outlineLevel="2">
      <c r="A384" s="51" t="s">
        <v>161</v>
      </c>
      <c r="B384" s="334"/>
      <c r="C384" s="54"/>
      <c r="D384" s="54"/>
      <c r="E384" s="54"/>
      <c r="F384" s="54"/>
      <c r="G384" s="54"/>
      <c r="H384" s="54"/>
      <c r="I384" s="335"/>
    </row>
    <row r="385" hidden="1" outlineLevel="2">
      <c r="A385" s="83" t="s">
        <v>162</v>
      </c>
      <c r="B385" s="292">
        <v>9.0</v>
      </c>
      <c r="C385" s="293">
        <v>8.55</v>
      </c>
      <c r="D385" s="293">
        <v>8.58</v>
      </c>
      <c r="E385" s="293">
        <v>10.0</v>
      </c>
      <c r="F385" s="277">
        <v>9.66</v>
      </c>
      <c r="G385" s="293">
        <v>9.13</v>
      </c>
      <c r="H385" s="293">
        <v>9.0</v>
      </c>
      <c r="I385" s="294">
        <v>8.66</v>
      </c>
    </row>
    <row r="386" hidden="1" outlineLevel="2">
      <c r="A386" s="88" t="s">
        <v>169</v>
      </c>
      <c r="B386" s="165">
        <v>10.0</v>
      </c>
      <c r="C386" s="166">
        <v>10.0</v>
      </c>
      <c r="D386" s="166">
        <v>10.0</v>
      </c>
      <c r="E386" s="166">
        <v>10.0</v>
      </c>
      <c r="F386" s="166">
        <v>10.0</v>
      </c>
      <c r="G386" s="166">
        <v>10.0</v>
      </c>
      <c r="H386" s="166">
        <v>10.0</v>
      </c>
      <c r="I386" s="168">
        <v>10.0</v>
      </c>
    </row>
    <row r="387" hidden="1" outlineLevel="2">
      <c r="A387" s="73" t="s">
        <v>170</v>
      </c>
      <c r="B387" s="297">
        <f t="shared" ref="B387:I387" si="147">IF(B385=0,0,B385/B386)</f>
        <v>0.9</v>
      </c>
      <c r="C387" s="298">
        <f t="shared" si="147"/>
        <v>0.855</v>
      </c>
      <c r="D387" s="298">
        <f t="shared" si="147"/>
        <v>0.858</v>
      </c>
      <c r="E387" s="298">
        <f t="shared" si="147"/>
        <v>1</v>
      </c>
      <c r="F387" s="298">
        <f t="shared" si="147"/>
        <v>0.966</v>
      </c>
      <c r="G387" s="298">
        <f t="shared" si="147"/>
        <v>0.913</v>
      </c>
      <c r="H387" s="298">
        <f t="shared" si="147"/>
        <v>0.9</v>
      </c>
      <c r="I387" s="299">
        <f t="shared" si="147"/>
        <v>0.866</v>
      </c>
    </row>
    <row r="388" hidden="1" outlineLevel="2">
      <c r="A388" s="51" t="s">
        <v>173</v>
      </c>
      <c r="B388" s="53"/>
      <c r="C388" s="54"/>
      <c r="D388" s="54"/>
      <c r="E388" s="54"/>
      <c r="F388" s="54"/>
      <c r="G388" s="54"/>
      <c r="H388" s="54"/>
      <c r="I388" s="56"/>
    </row>
    <row r="389" hidden="1" outlineLevel="2">
      <c r="A389" s="83" t="s">
        <v>175</v>
      </c>
      <c r="B389" s="330"/>
      <c r="C389" s="331"/>
      <c r="D389" s="345"/>
      <c r="E389" s="331"/>
      <c r="F389" s="331"/>
      <c r="G389" s="331"/>
      <c r="H389" s="331"/>
      <c r="I389" s="332"/>
    </row>
    <row r="390" hidden="1" outlineLevel="2">
      <c r="A390" s="180" t="s">
        <v>179</v>
      </c>
      <c r="B390" s="53"/>
      <c r="C390" s="54"/>
      <c r="D390" s="54"/>
      <c r="E390" s="54"/>
      <c r="F390" s="54"/>
      <c r="G390" s="54"/>
      <c r="H390" s="54"/>
      <c r="I390" s="56"/>
    </row>
    <row r="391" hidden="1" outlineLevel="2">
      <c r="A391" s="88" t="s">
        <v>180</v>
      </c>
      <c r="B391" s="181">
        <f t="shared" ref="B391:I391" si="148">B370*25</f>
        <v>25.96052632</v>
      </c>
      <c r="C391" s="182">
        <f t="shared" si="148"/>
        <v>24</v>
      </c>
      <c r="D391" s="182">
        <f t="shared" si="148"/>
        <v>25.425</v>
      </c>
      <c r="E391" s="182">
        <f t="shared" si="148"/>
        <v>22.53125</v>
      </c>
      <c r="F391" s="182">
        <f t="shared" si="148"/>
        <v>26.33552632</v>
      </c>
      <c r="G391" s="182">
        <f t="shared" si="148"/>
        <v>24.7125</v>
      </c>
      <c r="H391" s="182">
        <f t="shared" si="148"/>
        <v>25.01875</v>
      </c>
      <c r="I391" s="183">
        <f t="shared" si="148"/>
        <v>23.3</v>
      </c>
    </row>
    <row r="392" hidden="1" outlineLevel="2">
      <c r="A392" s="88" t="s">
        <v>182</v>
      </c>
      <c r="B392" s="181">
        <f t="shared" ref="B392:I392" si="149">B374*35</f>
        <v>35</v>
      </c>
      <c r="C392" s="182">
        <f t="shared" si="149"/>
        <v>35</v>
      </c>
      <c r="D392" s="182">
        <f t="shared" si="149"/>
        <v>26.25</v>
      </c>
      <c r="E392" s="182">
        <f t="shared" si="149"/>
        <v>27.06375</v>
      </c>
      <c r="F392" s="182">
        <f t="shared" si="149"/>
        <v>35</v>
      </c>
      <c r="G392" s="182">
        <f t="shared" si="149"/>
        <v>35</v>
      </c>
      <c r="H392" s="182">
        <f t="shared" si="149"/>
        <v>35</v>
      </c>
      <c r="I392" s="183">
        <f t="shared" si="149"/>
        <v>35</v>
      </c>
    </row>
    <row r="393" hidden="1" outlineLevel="2">
      <c r="A393" s="88" t="s">
        <v>184</v>
      </c>
      <c r="B393" s="181">
        <f t="shared" ref="B393:I393" si="150">IF(AND(B374&lt;85%, B383&gt;100%), 25, B383*25)</f>
        <v>25.22445351</v>
      </c>
      <c r="C393" s="182">
        <f t="shared" si="150"/>
        <v>24.69512195</v>
      </c>
      <c r="D393" s="182">
        <f t="shared" si="150"/>
        <v>23.46072647</v>
      </c>
      <c r="E393" s="182">
        <f t="shared" si="150"/>
        <v>20.67234848</v>
      </c>
      <c r="F393" s="182">
        <f t="shared" si="150"/>
        <v>25.91215814</v>
      </c>
      <c r="G393" s="182">
        <f t="shared" si="150"/>
        <v>25.10416667</v>
      </c>
      <c r="H393" s="182">
        <f t="shared" si="150"/>
        <v>23.87219486</v>
      </c>
      <c r="I393" s="183">
        <f t="shared" si="150"/>
        <v>23.83333333</v>
      </c>
    </row>
    <row r="394" hidden="1" outlineLevel="2">
      <c r="A394" s="88" t="s">
        <v>187</v>
      </c>
      <c r="B394" s="181">
        <f t="shared" ref="B394:I394" si="151">B387*15</f>
        <v>13.5</v>
      </c>
      <c r="C394" s="182">
        <f t="shared" si="151"/>
        <v>12.825</v>
      </c>
      <c r="D394" s="182">
        <f t="shared" si="151"/>
        <v>12.87</v>
      </c>
      <c r="E394" s="182">
        <f t="shared" si="151"/>
        <v>15</v>
      </c>
      <c r="F394" s="182">
        <f t="shared" si="151"/>
        <v>14.49</v>
      </c>
      <c r="G394" s="182">
        <f t="shared" si="151"/>
        <v>13.695</v>
      </c>
      <c r="H394" s="182">
        <f t="shared" si="151"/>
        <v>13.5</v>
      </c>
      <c r="I394" s="183">
        <f t="shared" si="151"/>
        <v>12.99</v>
      </c>
    </row>
    <row r="395" hidden="1" outlineLevel="2">
      <c r="A395" s="88" t="s">
        <v>188</v>
      </c>
      <c r="B395" s="181">
        <f t="shared" ref="B395:I395" si="152">B389*-10</f>
        <v>0</v>
      </c>
      <c r="C395" s="182">
        <f t="shared" si="152"/>
        <v>0</v>
      </c>
      <c r="D395" s="182">
        <f t="shared" si="152"/>
        <v>0</v>
      </c>
      <c r="E395" s="182">
        <f t="shared" si="152"/>
        <v>0</v>
      </c>
      <c r="F395" s="182">
        <f t="shared" si="152"/>
        <v>0</v>
      </c>
      <c r="G395" s="182">
        <f t="shared" si="152"/>
        <v>0</v>
      </c>
      <c r="H395" s="182">
        <f t="shared" si="152"/>
        <v>0</v>
      </c>
      <c r="I395" s="183">
        <f t="shared" si="152"/>
        <v>0</v>
      </c>
    </row>
    <row r="396" hidden="1" outlineLevel="2">
      <c r="A396" s="187" t="s">
        <v>190</v>
      </c>
      <c r="B396" s="181">
        <f t="shared" ref="B396:I396" si="153">B391+B392+B393+B394+B395</f>
        <v>99.68497982</v>
      </c>
      <c r="C396" s="182">
        <f t="shared" si="153"/>
        <v>96.52012195</v>
      </c>
      <c r="D396" s="182">
        <f t="shared" si="153"/>
        <v>88.00572647</v>
      </c>
      <c r="E396" s="182">
        <f t="shared" si="153"/>
        <v>85.26734848</v>
      </c>
      <c r="F396" s="182">
        <f t="shared" si="153"/>
        <v>101.7376845</v>
      </c>
      <c r="G396" s="182">
        <f t="shared" si="153"/>
        <v>98.51166667</v>
      </c>
      <c r="H396" s="182">
        <f t="shared" si="153"/>
        <v>97.39094486</v>
      </c>
      <c r="I396" s="183">
        <f t="shared" si="153"/>
        <v>95.12333333</v>
      </c>
    </row>
    <row r="397" hidden="1" outlineLevel="2">
      <c r="A397" s="73" t="s">
        <v>193</v>
      </c>
      <c r="B397" s="74">
        <f t="shared" ref="B397:I397" si="154">B396/100</f>
        <v>0.9968497982</v>
      </c>
      <c r="C397" s="75">
        <f t="shared" si="154"/>
        <v>0.9652012195</v>
      </c>
      <c r="D397" s="369">
        <f t="shared" si="154"/>
        <v>0.8800572647</v>
      </c>
      <c r="E397" s="75">
        <f t="shared" si="154"/>
        <v>0.8526734848</v>
      </c>
      <c r="F397" s="75">
        <f t="shared" si="154"/>
        <v>1.017376845</v>
      </c>
      <c r="G397" s="75">
        <f t="shared" si="154"/>
        <v>0.9851166667</v>
      </c>
      <c r="H397" s="75">
        <f t="shared" si="154"/>
        <v>0.9739094486</v>
      </c>
      <c r="I397" s="77">
        <f t="shared" si="154"/>
        <v>0.9512333333</v>
      </c>
    </row>
    <row r="398" hidden="1" outlineLevel="2">
      <c r="A398" s="180" t="s">
        <v>203</v>
      </c>
      <c r="B398" s="361" t="s">
        <v>204</v>
      </c>
      <c r="C398" s="362" t="s">
        <v>204</v>
      </c>
      <c r="D398" s="362" t="s">
        <v>204</v>
      </c>
      <c r="E398" s="362" t="s">
        <v>204</v>
      </c>
      <c r="F398" s="362" t="s">
        <v>206</v>
      </c>
      <c r="G398" s="362" t="s">
        <v>204</v>
      </c>
      <c r="H398" s="362" t="s">
        <v>204</v>
      </c>
      <c r="I398" s="370" t="s">
        <v>204</v>
      </c>
    </row>
    <row r="399" hidden="1" outlineLevel="2">
      <c r="A399" s="180" t="s">
        <v>208</v>
      </c>
      <c r="B399" s="216"/>
      <c r="C399" s="217"/>
      <c r="D399" s="350"/>
      <c r="E399" s="217"/>
      <c r="F399" s="217"/>
      <c r="G399" s="217"/>
      <c r="H399" s="217"/>
      <c r="I399" s="364"/>
    </row>
    <row r="400" hidden="1" outlineLevel="1" collapsed="1">
      <c r="A400" s="32"/>
      <c r="B400" s="33" t="s">
        <v>871</v>
      </c>
      <c r="C400" s="34"/>
      <c r="D400" s="34"/>
      <c r="E400" s="34"/>
      <c r="F400" s="34"/>
      <c r="G400" s="34"/>
      <c r="H400" s="34"/>
      <c r="I400" s="35"/>
    </row>
    <row r="401" hidden="1" outlineLevel="2">
      <c r="A401" s="228"/>
      <c r="B401" s="317" t="s">
        <v>56</v>
      </c>
      <c r="C401" s="318" t="s">
        <v>57</v>
      </c>
      <c r="D401" s="318" t="s">
        <v>21</v>
      </c>
      <c r="E401" s="318" t="s">
        <v>32</v>
      </c>
      <c r="F401" s="318" t="s">
        <v>58</v>
      </c>
      <c r="G401" s="319" t="s">
        <v>59</v>
      </c>
      <c r="H401" s="320" t="s">
        <v>7</v>
      </c>
      <c r="I401" s="320" t="s">
        <v>503</v>
      </c>
    </row>
    <row r="402" hidden="1" outlineLevel="2">
      <c r="A402" s="44" t="s">
        <v>60</v>
      </c>
      <c r="B402" s="289" t="s">
        <v>790</v>
      </c>
      <c r="C402" s="290"/>
      <c r="D402" s="290"/>
      <c r="E402" s="290"/>
      <c r="F402" s="290"/>
      <c r="G402" s="290"/>
      <c r="H402" s="290"/>
      <c r="I402" s="291"/>
    </row>
    <row r="403" hidden="1" outlineLevel="2">
      <c r="A403" s="51" t="s">
        <v>64</v>
      </c>
      <c r="B403" s="53"/>
      <c r="C403" s="54"/>
      <c r="D403" s="54"/>
      <c r="E403" s="54"/>
      <c r="F403" s="54"/>
      <c r="G403" s="54"/>
      <c r="H403" s="54"/>
      <c r="I403" s="56"/>
    </row>
    <row r="404" hidden="1" outlineLevel="2">
      <c r="A404" s="58" t="s">
        <v>69</v>
      </c>
      <c r="B404" s="292">
        <v>37.04</v>
      </c>
      <c r="C404" s="293">
        <f>40.51-3</f>
        <v>37.51</v>
      </c>
      <c r="D404" s="371">
        <v>40.36</v>
      </c>
      <c r="E404" s="293">
        <v>31.39</v>
      </c>
      <c r="F404" s="293">
        <v>38.03</v>
      </c>
      <c r="G404" s="293">
        <v>32.51</v>
      </c>
      <c r="H404" s="293">
        <v>39.12</v>
      </c>
      <c r="I404" s="354">
        <v>37.27</v>
      </c>
    </row>
    <row r="405" hidden="1" outlineLevel="2">
      <c r="A405" s="68" t="s">
        <v>75</v>
      </c>
      <c r="B405" s="372">
        <v>38.0</v>
      </c>
      <c r="C405" s="70">
        <v>40.0</v>
      </c>
      <c r="D405" s="70">
        <v>40.0</v>
      </c>
      <c r="E405" s="296">
        <v>30.0</v>
      </c>
      <c r="F405" s="296">
        <v>38.0</v>
      </c>
      <c r="G405" s="296">
        <v>32.0</v>
      </c>
      <c r="H405" s="70">
        <v>40.0</v>
      </c>
      <c r="I405" s="355">
        <v>40.0</v>
      </c>
    </row>
    <row r="406" hidden="1" outlineLevel="2">
      <c r="A406" s="73" t="s">
        <v>76</v>
      </c>
      <c r="B406" s="297">
        <f t="shared" ref="B406:I406" si="155">B404/B405</f>
        <v>0.9747368421</v>
      </c>
      <c r="C406" s="298">
        <f t="shared" si="155"/>
        <v>0.93775</v>
      </c>
      <c r="D406" s="298">
        <f t="shared" si="155"/>
        <v>1.009</v>
      </c>
      <c r="E406" s="298">
        <f t="shared" si="155"/>
        <v>1.046333333</v>
      </c>
      <c r="F406" s="298">
        <f t="shared" si="155"/>
        <v>1.000789474</v>
      </c>
      <c r="G406" s="298">
        <f t="shared" si="155"/>
        <v>1.0159375</v>
      </c>
      <c r="H406" s="298">
        <f t="shared" si="155"/>
        <v>0.978</v>
      </c>
      <c r="I406" s="299">
        <f t="shared" si="155"/>
        <v>0.93175</v>
      </c>
    </row>
    <row r="407" hidden="1" outlineLevel="2">
      <c r="A407" s="51" t="s">
        <v>79</v>
      </c>
      <c r="B407" s="53"/>
      <c r="C407" s="54"/>
      <c r="D407" s="54"/>
      <c r="E407" s="54"/>
      <c r="F407" s="54"/>
      <c r="G407" s="54"/>
      <c r="H407" s="54"/>
      <c r="I407" s="56"/>
    </row>
    <row r="408" hidden="1" outlineLevel="2">
      <c r="A408" s="83" t="s">
        <v>81</v>
      </c>
      <c r="B408" s="292">
        <v>40.0</v>
      </c>
      <c r="C408" s="293">
        <v>40.0</v>
      </c>
      <c r="D408" s="293">
        <v>36.0</v>
      </c>
      <c r="E408" s="293">
        <v>40.0</v>
      </c>
      <c r="F408" s="293">
        <v>28.0</v>
      </c>
      <c r="G408" s="293">
        <v>31.0</v>
      </c>
      <c r="H408" s="293">
        <v>40.0</v>
      </c>
      <c r="I408" s="377">
        <v>40.0</v>
      </c>
    </row>
    <row r="409" hidden="1" outlineLevel="2">
      <c r="A409" s="88" t="s">
        <v>86</v>
      </c>
      <c r="B409" s="260">
        <v>40.0</v>
      </c>
      <c r="C409" s="261">
        <v>40.0</v>
      </c>
      <c r="D409" s="261">
        <v>40.0</v>
      </c>
      <c r="E409" s="261">
        <v>40.0</v>
      </c>
      <c r="F409" s="261">
        <v>40.0</v>
      </c>
      <c r="G409" s="261">
        <v>40.0</v>
      </c>
      <c r="H409" s="261">
        <v>40.0</v>
      </c>
      <c r="I409" s="262">
        <v>40.0</v>
      </c>
    </row>
    <row r="410" hidden="1" outlineLevel="2">
      <c r="A410" s="73" t="s">
        <v>96</v>
      </c>
      <c r="B410" s="297">
        <f t="shared" ref="B410:I410" si="156">B408/B409</f>
        <v>1</v>
      </c>
      <c r="C410" s="298">
        <f t="shared" si="156"/>
        <v>1</v>
      </c>
      <c r="D410" s="298">
        <f t="shared" si="156"/>
        <v>0.9</v>
      </c>
      <c r="E410" s="298">
        <f t="shared" si="156"/>
        <v>1</v>
      </c>
      <c r="F410" s="298">
        <f t="shared" si="156"/>
        <v>0.7</v>
      </c>
      <c r="G410" s="298">
        <f t="shared" si="156"/>
        <v>0.775</v>
      </c>
      <c r="H410" s="298">
        <f t="shared" si="156"/>
        <v>1</v>
      </c>
      <c r="I410" s="299">
        <f t="shared" si="156"/>
        <v>1</v>
      </c>
    </row>
    <row r="411" hidden="1" outlineLevel="2">
      <c r="A411" s="51" t="s">
        <v>99</v>
      </c>
      <c r="B411" s="53"/>
      <c r="C411" s="54"/>
      <c r="D411" s="54"/>
      <c r="E411" s="54"/>
      <c r="F411" s="54"/>
      <c r="G411" s="54"/>
      <c r="H411" s="54"/>
      <c r="I411" s="56"/>
    </row>
    <row r="412" hidden="1" outlineLevel="2">
      <c r="A412" s="83" t="s">
        <v>101</v>
      </c>
      <c r="B412" s="259" t="s">
        <v>109</v>
      </c>
      <c r="C412" s="124" t="s">
        <v>113</v>
      </c>
      <c r="D412" s="124" t="s">
        <v>113</v>
      </c>
      <c r="E412" s="124" t="s">
        <v>109</v>
      </c>
      <c r="F412" s="124" t="s">
        <v>109</v>
      </c>
      <c r="G412" s="123" t="s">
        <v>113</v>
      </c>
      <c r="H412" s="124" t="s">
        <v>109</v>
      </c>
      <c r="I412" s="126" t="s">
        <v>109</v>
      </c>
    </row>
    <row r="413" hidden="1" outlineLevel="2">
      <c r="A413" s="83" t="s">
        <v>117</v>
      </c>
      <c r="B413" s="259" t="s">
        <v>118</v>
      </c>
      <c r="C413" s="124" t="s">
        <v>119</v>
      </c>
      <c r="D413" s="124" t="s">
        <v>118</v>
      </c>
      <c r="E413" s="124" t="s">
        <v>119</v>
      </c>
      <c r="F413" s="124" t="s">
        <v>118</v>
      </c>
      <c r="G413" s="124" t="s">
        <v>119</v>
      </c>
      <c r="H413" s="124" t="s">
        <v>119</v>
      </c>
      <c r="I413" s="126" t="s">
        <v>119</v>
      </c>
    </row>
    <row r="414" hidden="1" outlineLevel="2">
      <c r="A414" s="83" t="s">
        <v>120</v>
      </c>
      <c r="B414" s="271">
        <f>IF(B404&lt;B405,B405,B404) *
IF(B412="AM",
    IF(B413="Oricle",3.5,
    IF(B413="Other Brands",4,
    IF(B413="Oricle Prio",0.6,""))),
 IF(B412="MID",
    IF(B413="Oricle",2.5,
    IF(B413="Other Brands",3,
    IF(B413="Oricle Prio",0.6,""))),
 IF(B412="GY",
    IF(B413="Oricle",1,
    IF(B413="Other Brands",1,
    IF(B413="Oricle Prio",0.3,""))),"")))-10</f>
        <v>104</v>
      </c>
      <c r="C414" s="273">
        <f>IF(C404&lt;C405,C405,C404) *
IF(C412="AM",
    IF(C413="Oricle",3,
    IF(C413="Other Brands",4,
    IF(C413="Oricle Prio",0.6,""))),
 IF(C412="MID",
    IF(C413="Oricle",2.5,
    IF(C413="Other Brands",3,
    IF(C413="Oricle Prio",0.6,""))),
 IF(C412="GY",
    IF(C413="Oricle",1,
    IF(C413="Other Brands",1,
    IF(C413="Oricle Prio",0.3,""))),"")))</f>
        <v>120</v>
      </c>
      <c r="D414" s="273">
        <f>IF(D404&lt;D405,D405,D404) *
IF(D412="AM",
    IF(D413="Oricle",3.5,
    IF(D413="Other Brands",4,
    IF(D413="Oricle Prio",0.6,""))),
 IF(D412="MID",
    IF(D413="Oricle",2.5,
    IF(D413="Other Brands",3,
    IF(D413="Oricle Prio",0.6,""))),
 IF(D412="GY",
    IF(D413="Oricle",1,
    IF(D413="Other Brands",1,
    IF(D413="Oricle Prio",0.3,""))),"")))</f>
        <v>161.44</v>
      </c>
      <c r="E414" s="273">
        <f>IF(E404&lt;E405,E405,E404) *
IF(E412="AM",
    IF(E413="Oricle",3.5,
    IF(E413="Other Brands",4,
    IF(E413="Oricle Prio",0.6,""))),
 IF(E412="MID",
    IF(E413="Oricle",2.5,
    IF(E413="Other Brands",3,
    IF(E413="Oricle Prio",0.6,""))),
 IF(E412="GY",
    IF(E413="Oricle",1,
    IF(E413="Other Brands",1,
    IF(E413="Oricle Prio",0.3,""))),"")))-12</f>
        <v>66.475</v>
      </c>
      <c r="F414" s="273">
        <f>IF(F404&lt;F405,F405,F404) *
IF(F412="AM",
    IF(F413="Oricle",3.5,
    IF(F413="Other Brands",4,
    IF(F413="Oricle Prio",0.6,""))),
 IF(F412="MID",
    IF(F413="Oricle",2.5,
    IF(F413="Other Brands",3,
    IF(F413="Oricle Prio",0.6,""))),
 IF(F412="GY",
    IF(F413="Oricle",1,
    IF(F413="Other Brands",1,
    IF(F413="Oricle Prio",0.3,""))),"")))</f>
        <v>114.09</v>
      </c>
      <c r="G414" s="273">
        <f>IF(G404&lt;G405,G405,G404) *
IF(G412="AM",
    IF(G413="Oricle",3,
    IF(G413="Other Brands",4,
    IF(G413="Oricle Prio",0.6,""))),
 IF(G412="MID",
    IF(G413="Oricle",2.5,
    IF(G413="Other Brands",3,
    IF(G413="Oricle Prio",0.6,""))),
 IF(G412="GY",
    IF(G413="Oricle",1,
    IF(G413="Other Brands",1,
    IF(G413="Oricle Prio",0.3,""))),"")))</f>
        <v>97.53</v>
      </c>
      <c r="H414" s="273">
        <f t="shared" ref="H414:I414" si="157">IF(H404&lt;H405,H405,H404) *
IF(H412="AM",
    IF(H413="Oricle",3.5,
    IF(H413="Other Brands",4,
    IF(H413="Oricle Prio",0.6,""))),
 IF(H412="MID",
    IF(H413="Oricle",2.5,
    IF(H413="Other Brands",3,
    IF(H413="Oricle Prio",0.6,""))),
 IF(H412="GY",
    IF(H413="Oricle",1,
    IF(H413="Other Brands",1,
    IF(H413="Oricle Prio",0.3,""))),"")))</f>
        <v>100</v>
      </c>
      <c r="I414" s="273">
        <f t="shared" si="157"/>
        <v>100</v>
      </c>
    </row>
    <row r="415" hidden="1" outlineLevel="2">
      <c r="A415" s="83" t="s">
        <v>131</v>
      </c>
      <c r="B415" s="306" t="s">
        <v>594</v>
      </c>
      <c r="C415" s="123" t="s">
        <v>897</v>
      </c>
      <c r="D415" s="123" t="s">
        <v>132</v>
      </c>
      <c r="E415" s="123" t="s">
        <v>898</v>
      </c>
      <c r="F415" s="123" t="s">
        <v>534</v>
      </c>
      <c r="G415" s="123" t="s">
        <v>760</v>
      </c>
      <c r="H415" s="123" t="s">
        <v>653</v>
      </c>
      <c r="I415" s="301" t="s">
        <v>900</v>
      </c>
    </row>
    <row r="416" hidden="1" outlineLevel="2">
      <c r="A416" s="83" t="s">
        <v>138</v>
      </c>
      <c r="B416" s="306" t="s">
        <v>594</v>
      </c>
      <c r="C416" s="123" t="s">
        <v>897</v>
      </c>
      <c r="D416" s="123" t="s">
        <v>310</v>
      </c>
      <c r="E416" s="123" t="s">
        <v>592</v>
      </c>
      <c r="F416" s="123" t="s">
        <v>657</v>
      </c>
      <c r="G416" s="123" t="s">
        <v>760</v>
      </c>
      <c r="H416" s="123" t="s">
        <v>653</v>
      </c>
      <c r="I416" s="301" t="s">
        <v>900</v>
      </c>
    </row>
    <row r="417" hidden="1" outlineLevel="2">
      <c r="A417" s="88" t="s">
        <v>149</v>
      </c>
      <c r="B417" s="152">
        <f t="shared" ref="B417:I417" si="158">IF(B415&gt;0,B416/B415,0)</f>
        <v>1</v>
      </c>
      <c r="C417" s="153">
        <f t="shared" si="158"/>
        <v>1</v>
      </c>
      <c r="D417" s="153">
        <f t="shared" si="158"/>
        <v>0.9722222222</v>
      </c>
      <c r="E417" s="153">
        <f t="shared" si="158"/>
        <v>0.96</v>
      </c>
      <c r="F417" s="153">
        <f t="shared" si="158"/>
        <v>0.981981982</v>
      </c>
      <c r="G417" s="153">
        <f t="shared" si="158"/>
        <v>1</v>
      </c>
      <c r="H417" s="153">
        <f t="shared" si="158"/>
        <v>1</v>
      </c>
      <c r="I417" s="154">
        <f t="shared" si="158"/>
        <v>1</v>
      </c>
    </row>
    <row r="418" hidden="1" outlineLevel="2">
      <c r="A418" s="88" t="s">
        <v>156</v>
      </c>
      <c r="B418" s="152">
        <f t="shared" ref="B418:I418" si="159">IF(B414&gt;0,B416/B414,0)</f>
        <v>0.8942307692</v>
      </c>
      <c r="C418" s="153">
        <f t="shared" si="159"/>
        <v>0.8666666667</v>
      </c>
      <c r="D418" s="153">
        <f t="shared" si="159"/>
        <v>0.8671952428</v>
      </c>
      <c r="E418" s="153">
        <f t="shared" si="159"/>
        <v>1.083113953</v>
      </c>
      <c r="F418" s="153">
        <f t="shared" si="159"/>
        <v>0.9553860987</v>
      </c>
      <c r="G418" s="153">
        <f t="shared" si="159"/>
        <v>1.097098329</v>
      </c>
      <c r="H418" s="153">
        <f t="shared" si="159"/>
        <v>0.74</v>
      </c>
      <c r="I418" s="154">
        <f t="shared" si="159"/>
        <v>0.88</v>
      </c>
    </row>
    <row r="419" hidden="1" outlineLevel="2">
      <c r="A419" s="159" t="s">
        <v>13</v>
      </c>
      <c r="B419" s="297">
        <f t="shared" ref="B419:I419" si="160">average(B417:B418)</f>
        <v>0.9471153846</v>
      </c>
      <c r="C419" s="298">
        <f t="shared" si="160"/>
        <v>0.9333333333</v>
      </c>
      <c r="D419" s="298">
        <f t="shared" si="160"/>
        <v>0.9197087325</v>
      </c>
      <c r="E419" s="298">
        <f t="shared" si="160"/>
        <v>1.021556976</v>
      </c>
      <c r="F419" s="298">
        <f t="shared" si="160"/>
        <v>0.9686840403</v>
      </c>
      <c r="G419" s="298">
        <f t="shared" si="160"/>
        <v>1.048549164</v>
      </c>
      <c r="H419" s="298">
        <f t="shared" si="160"/>
        <v>0.87</v>
      </c>
      <c r="I419" s="299">
        <f t="shared" si="160"/>
        <v>0.94</v>
      </c>
    </row>
    <row r="420" hidden="1" outlineLevel="2">
      <c r="A420" s="51" t="s">
        <v>161</v>
      </c>
      <c r="B420" s="334"/>
      <c r="C420" s="54"/>
      <c r="D420" s="54"/>
      <c r="E420" s="54"/>
      <c r="F420" s="54"/>
      <c r="G420" s="54"/>
      <c r="H420" s="54"/>
      <c r="I420" s="335"/>
    </row>
    <row r="421" hidden="1" outlineLevel="2">
      <c r="A421" s="83" t="s">
        <v>162</v>
      </c>
      <c r="B421" s="292">
        <v>9.33</v>
      </c>
      <c r="C421" s="293">
        <v>8.82</v>
      </c>
      <c r="D421" s="293">
        <v>8.44</v>
      </c>
      <c r="E421" s="293">
        <v>9.0</v>
      </c>
      <c r="F421" s="277">
        <v>10.0</v>
      </c>
      <c r="G421" s="293">
        <v>9.31</v>
      </c>
      <c r="H421" s="293">
        <v>9.18</v>
      </c>
      <c r="I421" s="294">
        <v>9.22</v>
      </c>
    </row>
    <row r="422" hidden="1" outlineLevel="2">
      <c r="A422" s="88" t="s">
        <v>169</v>
      </c>
      <c r="B422" s="165">
        <v>10.0</v>
      </c>
      <c r="C422" s="166">
        <v>10.0</v>
      </c>
      <c r="D422" s="166">
        <v>10.0</v>
      </c>
      <c r="E422" s="166">
        <v>10.0</v>
      </c>
      <c r="F422" s="166">
        <v>10.0</v>
      </c>
      <c r="G422" s="166">
        <v>10.0</v>
      </c>
      <c r="H422" s="166">
        <v>10.0</v>
      </c>
      <c r="I422" s="168">
        <v>10.0</v>
      </c>
    </row>
    <row r="423" hidden="1" outlineLevel="2">
      <c r="A423" s="73" t="s">
        <v>170</v>
      </c>
      <c r="B423" s="297">
        <f t="shared" ref="B423:I423" si="161">IF(B421=0,0,B421/B422)</f>
        <v>0.933</v>
      </c>
      <c r="C423" s="298">
        <f t="shared" si="161"/>
        <v>0.882</v>
      </c>
      <c r="D423" s="298">
        <f t="shared" si="161"/>
        <v>0.844</v>
      </c>
      <c r="E423" s="298">
        <f t="shared" si="161"/>
        <v>0.9</v>
      </c>
      <c r="F423" s="298">
        <f t="shared" si="161"/>
        <v>1</v>
      </c>
      <c r="G423" s="298">
        <f t="shared" si="161"/>
        <v>0.931</v>
      </c>
      <c r="H423" s="298">
        <f t="shared" si="161"/>
        <v>0.918</v>
      </c>
      <c r="I423" s="299">
        <f t="shared" si="161"/>
        <v>0.922</v>
      </c>
    </row>
    <row r="424" hidden="1" outlineLevel="2">
      <c r="A424" s="51" t="s">
        <v>173</v>
      </c>
      <c r="B424" s="53"/>
      <c r="C424" s="54"/>
      <c r="D424" s="54"/>
      <c r="E424" s="54"/>
      <c r="F424" s="54"/>
      <c r="G424" s="54"/>
      <c r="H424" s="54"/>
      <c r="I424" s="56"/>
    </row>
    <row r="425" hidden="1" outlineLevel="2">
      <c r="A425" s="83" t="s">
        <v>175</v>
      </c>
      <c r="B425" s="330"/>
      <c r="C425" s="331"/>
      <c r="D425" s="345"/>
      <c r="E425" s="331"/>
      <c r="F425" s="331"/>
      <c r="G425" s="331"/>
      <c r="H425" s="331"/>
      <c r="I425" s="332"/>
    </row>
    <row r="426" hidden="1" outlineLevel="2">
      <c r="A426" s="180" t="s">
        <v>179</v>
      </c>
      <c r="B426" s="53"/>
      <c r="C426" s="54"/>
      <c r="D426" s="54"/>
      <c r="E426" s="54"/>
      <c r="F426" s="54"/>
      <c r="G426" s="54"/>
      <c r="H426" s="54"/>
      <c r="I426" s="56"/>
    </row>
    <row r="427" hidden="1" outlineLevel="2">
      <c r="A427" s="88" t="s">
        <v>180</v>
      </c>
      <c r="B427" s="181">
        <f t="shared" ref="B427:I427" si="162">B406*25</f>
        <v>24.36842105</v>
      </c>
      <c r="C427" s="182">
        <f t="shared" si="162"/>
        <v>23.44375</v>
      </c>
      <c r="D427" s="182">
        <f t="shared" si="162"/>
        <v>25.225</v>
      </c>
      <c r="E427" s="182">
        <f t="shared" si="162"/>
        <v>26.15833333</v>
      </c>
      <c r="F427" s="182">
        <f t="shared" si="162"/>
        <v>25.01973684</v>
      </c>
      <c r="G427" s="182">
        <f t="shared" si="162"/>
        <v>25.3984375</v>
      </c>
      <c r="H427" s="182">
        <f t="shared" si="162"/>
        <v>24.45</v>
      </c>
      <c r="I427" s="183">
        <f t="shared" si="162"/>
        <v>23.29375</v>
      </c>
    </row>
    <row r="428" hidden="1" outlineLevel="2">
      <c r="A428" s="88" t="s">
        <v>182</v>
      </c>
      <c r="B428" s="181">
        <f t="shared" ref="B428:I428" si="163">B410*35</f>
        <v>35</v>
      </c>
      <c r="C428" s="182">
        <f t="shared" si="163"/>
        <v>35</v>
      </c>
      <c r="D428" s="182">
        <f t="shared" si="163"/>
        <v>31.5</v>
      </c>
      <c r="E428" s="182">
        <f t="shared" si="163"/>
        <v>35</v>
      </c>
      <c r="F428" s="182">
        <f t="shared" si="163"/>
        <v>24.5</v>
      </c>
      <c r="G428" s="182">
        <f t="shared" si="163"/>
        <v>27.125</v>
      </c>
      <c r="H428" s="182">
        <f t="shared" si="163"/>
        <v>35</v>
      </c>
      <c r="I428" s="183">
        <f t="shared" si="163"/>
        <v>35</v>
      </c>
    </row>
    <row r="429" hidden="1" outlineLevel="2">
      <c r="A429" s="88" t="s">
        <v>184</v>
      </c>
      <c r="B429" s="181">
        <f t="shared" ref="B429:I429" si="164">IF(AND(B410&lt;85%, B419&gt;100%), 25, B419*25)</f>
        <v>23.67788462</v>
      </c>
      <c r="C429" s="182">
        <f t="shared" si="164"/>
        <v>23.33333333</v>
      </c>
      <c r="D429" s="182">
        <f t="shared" si="164"/>
        <v>22.99271831</v>
      </c>
      <c r="E429" s="182">
        <f t="shared" si="164"/>
        <v>25.53892441</v>
      </c>
      <c r="F429" s="182">
        <f t="shared" si="164"/>
        <v>24.21710101</v>
      </c>
      <c r="G429" s="182">
        <f t="shared" si="164"/>
        <v>25</v>
      </c>
      <c r="H429" s="182">
        <f t="shared" si="164"/>
        <v>21.75</v>
      </c>
      <c r="I429" s="183">
        <f t="shared" si="164"/>
        <v>23.5</v>
      </c>
    </row>
    <row r="430" hidden="1" outlineLevel="2">
      <c r="A430" s="88" t="s">
        <v>187</v>
      </c>
      <c r="B430" s="181">
        <f t="shared" ref="B430:I430" si="165">B423*15</f>
        <v>13.995</v>
      </c>
      <c r="C430" s="182">
        <f t="shared" si="165"/>
        <v>13.23</v>
      </c>
      <c r="D430" s="182">
        <f t="shared" si="165"/>
        <v>12.66</v>
      </c>
      <c r="E430" s="182">
        <f t="shared" si="165"/>
        <v>13.5</v>
      </c>
      <c r="F430" s="182">
        <f t="shared" si="165"/>
        <v>15</v>
      </c>
      <c r="G430" s="182">
        <f t="shared" si="165"/>
        <v>13.965</v>
      </c>
      <c r="H430" s="182">
        <f t="shared" si="165"/>
        <v>13.77</v>
      </c>
      <c r="I430" s="183">
        <f t="shared" si="165"/>
        <v>13.83</v>
      </c>
    </row>
    <row r="431" hidden="1" outlineLevel="2">
      <c r="A431" s="88" t="s">
        <v>188</v>
      </c>
      <c r="B431" s="181">
        <f t="shared" ref="B431:I431" si="166">B425*-10</f>
        <v>0</v>
      </c>
      <c r="C431" s="182">
        <f t="shared" si="166"/>
        <v>0</v>
      </c>
      <c r="D431" s="182">
        <f t="shared" si="166"/>
        <v>0</v>
      </c>
      <c r="E431" s="182">
        <f t="shared" si="166"/>
        <v>0</v>
      </c>
      <c r="F431" s="182">
        <f t="shared" si="166"/>
        <v>0</v>
      </c>
      <c r="G431" s="182">
        <f t="shared" si="166"/>
        <v>0</v>
      </c>
      <c r="H431" s="182">
        <f t="shared" si="166"/>
        <v>0</v>
      </c>
      <c r="I431" s="183">
        <f t="shared" si="166"/>
        <v>0</v>
      </c>
    </row>
    <row r="432" hidden="1" outlineLevel="2">
      <c r="A432" s="187" t="s">
        <v>190</v>
      </c>
      <c r="B432" s="181">
        <f t="shared" ref="B432:I432" si="167">B427+B428+B429+B430+B431</f>
        <v>97.04130567</v>
      </c>
      <c r="C432" s="182">
        <f t="shared" si="167"/>
        <v>95.00708333</v>
      </c>
      <c r="D432" s="182">
        <f t="shared" si="167"/>
        <v>92.37771831</v>
      </c>
      <c r="E432" s="182">
        <f t="shared" si="167"/>
        <v>100.1972577</v>
      </c>
      <c r="F432" s="182">
        <f t="shared" si="167"/>
        <v>88.73683785</v>
      </c>
      <c r="G432" s="182">
        <f t="shared" si="167"/>
        <v>91.4884375</v>
      </c>
      <c r="H432" s="182">
        <f t="shared" si="167"/>
        <v>94.97</v>
      </c>
      <c r="I432" s="183">
        <f t="shared" si="167"/>
        <v>95.62375</v>
      </c>
    </row>
    <row r="433" hidden="1" outlineLevel="2">
      <c r="A433" s="73" t="s">
        <v>193</v>
      </c>
      <c r="B433" s="74">
        <f t="shared" ref="B433:I433" si="168">B432/100</f>
        <v>0.9704130567</v>
      </c>
      <c r="C433" s="75">
        <f t="shared" si="168"/>
        <v>0.9500708333</v>
      </c>
      <c r="D433" s="369">
        <f t="shared" si="168"/>
        <v>0.9237771831</v>
      </c>
      <c r="E433" s="75">
        <f t="shared" si="168"/>
        <v>1.001972577</v>
      </c>
      <c r="F433" s="75">
        <f t="shared" si="168"/>
        <v>0.8873683785</v>
      </c>
      <c r="G433" s="75">
        <f t="shared" si="168"/>
        <v>0.914884375</v>
      </c>
      <c r="H433" s="75">
        <f t="shared" si="168"/>
        <v>0.9497</v>
      </c>
      <c r="I433" s="77">
        <f t="shared" si="168"/>
        <v>0.9562375</v>
      </c>
    </row>
    <row r="434" hidden="1" outlineLevel="2">
      <c r="A434" s="180" t="s">
        <v>203</v>
      </c>
      <c r="B434" s="361" t="s">
        <v>204</v>
      </c>
      <c r="C434" s="362" t="s">
        <v>204</v>
      </c>
      <c r="D434" s="362" t="s">
        <v>204</v>
      </c>
      <c r="E434" s="362" t="s">
        <v>206</v>
      </c>
      <c r="F434" s="362" t="s">
        <v>204</v>
      </c>
      <c r="G434" s="362" t="s">
        <v>204</v>
      </c>
      <c r="H434" s="362" t="s">
        <v>204</v>
      </c>
      <c r="I434" s="370" t="s">
        <v>204</v>
      </c>
    </row>
    <row r="435" hidden="1" outlineLevel="2">
      <c r="A435" s="180" t="s">
        <v>208</v>
      </c>
      <c r="B435" s="216"/>
      <c r="C435" s="217"/>
      <c r="D435" s="350"/>
      <c r="E435" s="217"/>
      <c r="F435" s="217"/>
      <c r="G435" s="217"/>
      <c r="H435" s="217"/>
      <c r="I435" s="364"/>
    </row>
    <row r="436" hidden="1" outlineLevel="1" collapsed="1">
      <c r="A436" s="32"/>
      <c r="B436" s="33" t="s">
        <v>924</v>
      </c>
      <c r="C436" s="34"/>
      <c r="D436" s="34"/>
      <c r="E436" s="34"/>
      <c r="F436" s="34"/>
      <c r="G436" s="34"/>
      <c r="H436" s="34"/>
      <c r="I436" s="35"/>
    </row>
    <row r="437" hidden="1" outlineLevel="2">
      <c r="A437" s="228"/>
      <c r="B437" s="317" t="s">
        <v>56</v>
      </c>
      <c r="C437" s="318" t="s">
        <v>57</v>
      </c>
      <c r="D437" s="318" t="s">
        <v>21</v>
      </c>
      <c r="E437" s="318" t="s">
        <v>32</v>
      </c>
      <c r="F437" s="318" t="s">
        <v>58</v>
      </c>
      <c r="G437" s="319" t="s">
        <v>59</v>
      </c>
      <c r="H437" s="320" t="s">
        <v>7</v>
      </c>
      <c r="I437" s="320" t="s">
        <v>503</v>
      </c>
    </row>
    <row r="438" hidden="1" outlineLevel="2">
      <c r="A438" s="44" t="s">
        <v>60</v>
      </c>
      <c r="B438" s="289" t="s">
        <v>924</v>
      </c>
      <c r="C438" s="290"/>
      <c r="D438" s="290"/>
      <c r="E438" s="290"/>
      <c r="F438" s="290"/>
      <c r="G438" s="290"/>
      <c r="H438" s="290"/>
      <c r="I438" s="291"/>
    </row>
    <row r="439" hidden="1" outlineLevel="2">
      <c r="A439" s="51" t="s">
        <v>64</v>
      </c>
      <c r="B439" s="53"/>
      <c r="C439" s="54"/>
      <c r="D439" s="54"/>
      <c r="E439" s="54"/>
      <c r="F439" s="54"/>
      <c r="G439" s="54"/>
      <c r="H439" s="54"/>
      <c r="I439" s="56"/>
    </row>
    <row r="440" hidden="1" outlineLevel="2">
      <c r="A440" s="58" t="s">
        <v>69</v>
      </c>
      <c r="B440" s="292">
        <v>40.03</v>
      </c>
      <c r="C440" s="293">
        <f>40.44-2</f>
        <v>38.44</v>
      </c>
      <c r="D440" s="371">
        <v>40.43</v>
      </c>
      <c r="E440" s="293">
        <v>40.06</v>
      </c>
      <c r="F440" s="293">
        <v>39.49</v>
      </c>
      <c r="G440" s="293">
        <v>41.26</v>
      </c>
      <c r="H440" s="293">
        <v>31.05</v>
      </c>
      <c r="I440" s="354">
        <v>37.35</v>
      </c>
    </row>
    <row r="441" hidden="1" outlineLevel="2">
      <c r="A441" s="68" t="s">
        <v>75</v>
      </c>
      <c r="B441" s="372">
        <v>37.0</v>
      </c>
      <c r="C441" s="70">
        <v>40.0</v>
      </c>
      <c r="D441" s="70">
        <v>40.0</v>
      </c>
      <c r="E441" s="296">
        <v>37.0</v>
      </c>
      <c r="F441" s="296">
        <v>38.0</v>
      </c>
      <c r="G441" s="296">
        <v>40.0</v>
      </c>
      <c r="H441" s="296">
        <v>32.0</v>
      </c>
      <c r="I441" s="355">
        <v>40.0</v>
      </c>
    </row>
    <row r="442" hidden="1" outlineLevel="2">
      <c r="A442" s="73" t="s">
        <v>76</v>
      </c>
      <c r="B442" s="297">
        <f t="shared" ref="B442:I442" si="169">B440/B441</f>
        <v>1.081891892</v>
      </c>
      <c r="C442" s="298">
        <f t="shared" si="169"/>
        <v>0.961</v>
      </c>
      <c r="D442" s="298">
        <f t="shared" si="169"/>
        <v>1.01075</v>
      </c>
      <c r="E442" s="298">
        <f t="shared" si="169"/>
        <v>1.082702703</v>
      </c>
      <c r="F442" s="298">
        <f t="shared" si="169"/>
        <v>1.039210526</v>
      </c>
      <c r="G442" s="298">
        <f t="shared" si="169"/>
        <v>1.0315</v>
      </c>
      <c r="H442" s="298">
        <f t="shared" si="169"/>
        <v>0.9703125</v>
      </c>
      <c r="I442" s="299">
        <f t="shared" si="169"/>
        <v>0.93375</v>
      </c>
    </row>
    <row r="443" hidden="1" outlineLevel="2">
      <c r="A443" s="51" t="s">
        <v>79</v>
      </c>
      <c r="B443" s="53"/>
      <c r="C443" s="54"/>
      <c r="D443" s="54"/>
      <c r="E443" s="54"/>
      <c r="F443" s="54"/>
      <c r="G443" s="54"/>
      <c r="H443" s="54"/>
      <c r="I443" s="56"/>
    </row>
    <row r="444" hidden="1" outlineLevel="2">
      <c r="A444" s="83" t="s">
        <v>81</v>
      </c>
      <c r="B444" s="292">
        <v>40.0</v>
      </c>
      <c r="C444" s="293">
        <v>40.0</v>
      </c>
      <c r="D444" s="293">
        <v>40.0</v>
      </c>
      <c r="E444" s="293">
        <v>40.0</v>
      </c>
      <c r="F444" s="293">
        <v>22.0</v>
      </c>
      <c r="G444" s="293">
        <v>40.0</v>
      </c>
      <c r="H444" s="293">
        <v>35.5</v>
      </c>
      <c r="I444" s="377">
        <v>37.0</v>
      </c>
    </row>
    <row r="445" hidden="1" outlineLevel="2">
      <c r="A445" s="88" t="s">
        <v>86</v>
      </c>
      <c r="B445" s="260">
        <v>40.0</v>
      </c>
      <c r="C445" s="261">
        <v>40.0</v>
      </c>
      <c r="D445" s="261">
        <v>40.0</v>
      </c>
      <c r="E445" s="261">
        <v>40.0</v>
      </c>
      <c r="F445" s="261">
        <v>40.0</v>
      </c>
      <c r="G445" s="261">
        <v>40.0</v>
      </c>
      <c r="H445" s="261">
        <v>40.0</v>
      </c>
      <c r="I445" s="262">
        <v>40.0</v>
      </c>
    </row>
    <row r="446" hidden="1" outlineLevel="2">
      <c r="A446" s="73" t="s">
        <v>96</v>
      </c>
      <c r="B446" s="297">
        <f t="shared" ref="B446:I446" si="170">B444/B445</f>
        <v>1</v>
      </c>
      <c r="C446" s="298">
        <f t="shared" si="170"/>
        <v>1</v>
      </c>
      <c r="D446" s="298">
        <f t="shared" si="170"/>
        <v>1</v>
      </c>
      <c r="E446" s="298">
        <f t="shared" si="170"/>
        <v>1</v>
      </c>
      <c r="F446" s="298">
        <f t="shared" si="170"/>
        <v>0.55</v>
      </c>
      <c r="G446" s="298">
        <f t="shared" si="170"/>
        <v>1</v>
      </c>
      <c r="H446" s="298">
        <f t="shared" si="170"/>
        <v>0.8875</v>
      </c>
      <c r="I446" s="299">
        <f t="shared" si="170"/>
        <v>0.925</v>
      </c>
    </row>
    <row r="447" hidden="1" outlineLevel="2">
      <c r="A447" s="51" t="s">
        <v>99</v>
      </c>
      <c r="B447" s="53"/>
      <c r="C447" s="54"/>
      <c r="D447" s="54"/>
      <c r="E447" s="54"/>
      <c r="F447" s="54"/>
      <c r="G447" s="54"/>
      <c r="H447" s="54"/>
      <c r="I447" s="56"/>
    </row>
    <row r="448" hidden="1" outlineLevel="2">
      <c r="A448" s="83" t="s">
        <v>101</v>
      </c>
      <c r="B448" s="259" t="s">
        <v>109</v>
      </c>
      <c r="C448" s="124" t="s">
        <v>113</v>
      </c>
      <c r="D448" s="124" t="s">
        <v>113</v>
      </c>
      <c r="E448" s="124" t="s">
        <v>109</v>
      </c>
      <c r="F448" s="124" t="s">
        <v>109</v>
      </c>
      <c r="G448" s="123" t="s">
        <v>113</v>
      </c>
      <c r="H448" s="124" t="s">
        <v>109</v>
      </c>
      <c r="I448" s="126" t="s">
        <v>109</v>
      </c>
    </row>
    <row r="449" hidden="1" outlineLevel="2">
      <c r="A449" s="83" t="s">
        <v>117</v>
      </c>
      <c r="B449" s="259" t="s">
        <v>118</v>
      </c>
      <c r="C449" s="124" t="s">
        <v>119</v>
      </c>
      <c r="D449" s="124" t="s">
        <v>118</v>
      </c>
      <c r="E449" s="124" t="s">
        <v>119</v>
      </c>
      <c r="F449" s="124" t="s">
        <v>118</v>
      </c>
      <c r="G449" s="124" t="s">
        <v>119</v>
      </c>
      <c r="H449" s="124" t="s">
        <v>119</v>
      </c>
      <c r="I449" s="126" t="s">
        <v>119</v>
      </c>
    </row>
    <row r="450" hidden="1" outlineLevel="2">
      <c r="A450" s="83" t="s">
        <v>120</v>
      </c>
      <c r="B450" s="271">
        <f>IF(B440&lt;B441,B441,B440) *
IF(B448="AM",
    IF(B449="Oricle",3.5,
    IF(B449="Other Brands",4,
    IF(B449="Oricle Prio",0.6,""))),
 IF(B448="MID",
    IF(B449="Oricle",2.5,
    IF(B449="Other Brands",3,
    IF(B449="Oricle Prio",0.6,""))),
 IF(B448="GY",
    IF(B449="Oricle",1,
    IF(B449="Other Brands",1,
    IF(B449="Oricle Prio",0.3,""))),"")))-10</f>
        <v>110.09</v>
      </c>
      <c r="C450" s="273">
        <f>IF(C440&lt;C441,C441,C440) *
IF(C448="AM",
    IF(C449="Oricle",3,
    IF(C449="Other Brands",4,
    IF(C449="Oricle Prio",0.6,""))),
 IF(C448="MID",
    IF(C449="Oricle",2.5,
    IF(C449="Other Brands",3,
    IF(C449="Oricle Prio",0.6,""))),
 IF(C448="GY",
    IF(C449="Oricle",1,
    IF(C449="Other Brands",1,
    IF(C449="Oricle Prio",0.3,""))),"")))</f>
        <v>120</v>
      </c>
      <c r="D450" s="273">
        <f>IF(D440&lt;D441,D441,D440) *
IF(D448="AM",
    IF(D449="Oricle",3.5,
    IF(D449="Other Brands",4,
    IF(D449="Oricle Prio",0.6,""))),
 IF(D448="MID",
    IF(D449="Oricle",2.5,
    IF(D449="Other Brands",3,
    IF(D449="Oricle Prio",0.6,""))),
 IF(D448="GY",
    IF(D449="Oricle",1,
    IF(D449="Other Brands",1,
    IF(D449="Oricle Prio",0.3,""))),"")))</f>
        <v>161.72</v>
      </c>
      <c r="E450" s="273">
        <f>IF(E440&lt;E441,E441,E440) *
IF(E448="AM",
    IF(E449="Oricle",3.5,
    IF(E449="Other Brands",4,
    IF(E449="Oricle Prio",0.6,""))),
 IF(E448="MID",
    IF(E449="Oricle",2.5,
    IF(E449="Other Brands",3,
    IF(E449="Oricle Prio",0.6,""))),
 IF(E448="GY",
    IF(E449="Oricle",1,
    IF(E449="Other Brands",1,
    IF(E449="Oricle Prio",0.3,""))),"")))-12</f>
        <v>88.15</v>
      </c>
      <c r="F450" s="273">
        <f>IF(F440&lt;F441,F441,F440) *
IF(F448="AM",
    IF(F449="Oricle",3.5,
    IF(F449="Other Brands",4,
    IF(F449="Oricle Prio",0.6,""))),
 IF(F448="MID",
    IF(F449="Oricle",2.5,
    IF(F449="Other Brands",3,
    IF(F449="Oricle Prio",0.6,""))),
 IF(F448="GY",
    IF(F449="Oricle",1,
    IF(F449="Other Brands",1,
    IF(F449="Oricle Prio",0.3,""))),"")))</f>
        <v>118.47</v>
      </c>
      <c r="G450" s="273">
        <f>IF(G440&lt;G441,G441,G440) *
IF(G448="AM",
    IF(G449="Oricle",3,
    IF(G449="Other Brands",4,
    IF(G449="Oricle Prio",0.6,""))),
 IF(G448="MID",
    IF(G449="Oricle",2.5,
    IF(G449="Other Brands",3,
    IF(G449="Oricle Prio",0.6,""))),
 IF(G448="GY",
    IF(G449="Oricle",1,
    IF(G449="Other Brands",1,
    IF(G449="Oricle Prio",0.3,""))),"")))</f>
        <v>123.78</v>
      </c>
      <c r="H450" s="273">
        <f t="shared" ref="H450:I450" si="171">IF(H440&lt;H441,H441,H440) *
IF(H448="AM",
    IF(H449="Oricle",3.5,
    IF(H449="Other Brands",4,
    IF(H449="Oricle Prio",0.6,""))),
 IF(H448="MID",
    IF(H449="Oricle",2.5,
    IF(H449="Other Brands",3,
    IF(H449="Oricle Prio",0.6,""))),
 IF(H448="GY",
    IF(H449="Oricle",1,
    IF(H449="Other Brands",1,
    IF(H449="Oricle Prio",0.3,""))),"")))</f>
        <v>80</v>
      </c>
      <c r="I450" s="273">
        <f t="shared" si="171"/>
        <v>100</v>
      </c>
    </row>
    <row r="451" hidden="1" outlineLevel="2">
      <c r="A451" s="83" t="s">
        <v>131</v>
      </c>
      <c r="B451" s="306" t="s">
        <v>652</v>
      </c>
      <c r="C451" s="123" t="s">
        <v>395</v>
      </c>
      <c r="D451" s="123" t="s">
        <v>470</v>
      </c>
      <c r="E451" s="123" t="s">
        <v>952</v>
      </c>
      <c r="F451" s="123" t="s">
        <v>757</v>
      </c>
      <c r="G451" s="123" t="s">
        <v>697</v>
      </c>
      <c r="H451" s="123" t="s">
        <v>592</v>
      </c>
      <c r="I451" s="301" t="s">
        <v>954</v>
      </c>
    </row>
    <row r="452" hidden="1" outlineLevel="2">
      <c r="A452" s="83" t="s">
        <v>138</v>
      </c>
      <c r="B452" s="306" t="s">
        <v>390</v>
      </c>
      <c r="C452" s="123" t="s">
        <v>402</v>
      </c>
      <c r="D452" s="123" t="s">
        <v>132</v>
      </c>
      <c r="E452" s="123" t="s">
        <v>260</v>
      </c>
      <c r="F452" s="123" t="s">
        <v>761</v>
      </c>
      <c r="G452" s="123" t="s">
        <v>697</v>
      </c>
      <c r="H452" s="123" t="s">
        <v>955</v>
      </c>
      <c r="I452" s="301" t="s">
        <v>954</v>
      </c>
    </row>
    <row r="453" hidden="1" outlineLevel="2">
      <c r="A453" s="88" t="s">
        <v>149</v>
      </c>
      <c r="B453" s="152">
        <f t="shared" ref="B453:I453" si="172">IF(B451&gt;0,B452/B451,0)</f>
        <v>0.9818181818</v>
      </c>
      <c r="C453" s="153">
        <f t="shared" si="172"/>
        <v>0.9898989899</v>
      </c>
      <c r="D453" s="153">
        <f t="shared" si="172"/>
        <v>0.966442953</v>
      </c>
      <c r="E453" s="153">
        <f t="shared" si="172"/>
        <v>0.9673913043</v>
      </c>
      <c r="F453" s="153">
        <f t="shared" si="172"/>
        <v>0.8095238095</v>
      </c>
      <c r="G453" s="153">
        <f t="shared" si="172"/>
        <v>1</v>
      </c>
      <c r="H453" s="153">
        <f t="shared" si="172"/>
        <v>0.8611111111</v>
      </c>
      <c r="I453" s="154">
        <f t="shared" si="172"/>
        <v>1</v>
      </c>
    </row>
    <row r="454" hidden="1" outlineLevel="2">
      <c r="A454" s="88" t="s">
        <v>156</v>
      </c>
      <c r="B454" s="152">
        <f t="shared" ref="B454:I454" si="173">IF(B450&gt;0,B452/B450,0)</f>
        <v>0.9810155327</v>
      </c>
      <c r="C454" s="153">
        <f t="shared" si="173"/>
        <v>0.8166666667</v>
      </c>
      <c r="D454" s="153">
        <f t="shared" si="173"/>
        <v>0.8904279001</v>
      </c>
      <c r="E454" s="153">
        <f t="shared" si="173"/>
        <v>1.009642655</v>
      </c>
      <c r="F454" s="153">
        <f t="shared" si="173"/>
        <v>0.7174812189</v>
      </c>
      <c r="G454" s="153">
        <f t="shared" si="173"/>
        <v>0.9856196478</v>
      </c>
      <c r="H454" s="153">
        <f t="shared" si="173"/>
        <v>0.775</v>
      </c>
      <c r="I454" s="154">
        <f t="shared" si="173"/>
        <v>0.83</v>
      </c>
    </row>
    <row r="455" hidden="1" outlineLevel="2">
      <c r="A455" s="159" t="s">
        <v>13</v>
      </c>
      <c r="B455" s="297">
        <f t="shared" ref="B455:I455" si="174">average(B453:B454)</f>
        <v>0.9814168573</v>
      </c>
      <c r="C455" s="298">
        <f t="shared" si="174"/>
        <v>0.9032828283</v>
      </c>
      <c r="D455" s="298">
        <f t="shared" si="174"/>
        <v>0.9284354265</v>
      </c>
      <c r="E455" s="298">
        <f t="shared" si="174"/>
        <v>0.9885169795</v>
      </c>
      <c r="F455" s="298">
        <f t="shared" si="174"/>
        <v>0.7635025142</v>
      </c>
      <c r="G455" s="298">
        <f t="shared" si="174"/>
        <v>0.9928098239</v>
      </c>
      <c r="H455" s="298">
        <f t="shared" si="174"/>
        <v>0.8180555556</v>
      </c>
      <c r="I455" s="299">
        <f t="shared" si="174"/>
        <v>0.915</v>
      </c>
    </row>
    <row r="456" hidden="1" outlineLevel="2">
      <c r="A456" s="51" t="s">
        <v>161</v>
      </c>
      <c r="B456" s="334"/>
      <c r="C456" s="54"/>
      <c r="D456" s="54"/>
      <c r="E456" s="54"/>
      <c r="F456" s="54"/>
      <c r="G456" s="54"/>
      <c r="H456" s="54"/>
      <c r="I456" s="335"/>
    </row>
    <row r="457" hidden="1" outlineLevel="2">
      <c r="A457" s="83" t="s">
        <v>162</v>
      </c>
      <c r="B457" s="292">
        <v>10.0</v>
      </c>
      <c r="C457" s="293">
        <v>8.58</v>
      </c>
      <c r="D457" s="293">
        <v>8.61</v>
      </c>
      <c r="E457" s="293">
        <v>9.0</v>
      </c>
      <c r="F457" s="277">
        <v>8.66</v>
      </c>
      <c r="G457" s="293">
        <v>9.54</v>
      </c>
      <c r="H457" s="293">
        <v>8.36</v>
      </c>
      <c r="I457" s="294">
        <v>8.78</v>
      </c>
    </row>
    <row r="458" hidden="1" outlineLevel="2">
      <c r="A458" s="88" t="s">
        <v>169</v>
      </c>
      <c r="B458" s="165">
        <v>10.0</v>
      </c>
      <c r="C458" s="166">
        <v>10.0</v>
      </c>
      <c r="D458" s="166">
        <v>10.0</v>
      </c>
      <c r="E458" s="166">
        <v>10.0</v>
      </c>
      <c r="F458" s="166">
        <v>10.0</v>
      </c>
      <c r="G458" s="166">
        <v>10.0</v>
      </c>
      <c r="H458" s="166">
        <v>10.0</v>
      </c>
      <c r="I458" s="168">
        <v>10.0</v>
      </c>
    </row>
    <row r="459" hidden="1" outlineLevel="2">
      <c r="A459" s="73" t="s">
        <v>170</v>
      </c>
      <c r="B459" s="297">
        <f t="shared" ref="B459:I459" si="175">IF(B457=0,0,B457/B458)</f>
        <v>1</v>
      </c>
      <c r="C459" s="298">
        <f t="shared" si="175"/>
        <v>0.858</v>
      </c>
      <c r="D459" s="298">
        <f t="shared" si="175"/>
        <v>0.861</v>
      </c>
      <c r="E459" s="298">
        <f t="shared" si="175"/>
        <v>0.9</v>
      </c>
      <c r="F459" s="298">
        <f t="shared" si="175"/>
        <v>0.866</v>
      </c>
      <c r="G459" s="298">
        <f t="shared" si="175"/>
        <v>0.954</v>
      </c>
      <c r="H459" s="298">
        <f t="shared" si="175"/>
        <v>0.836</v>
      </c>
      <c r="I459" s="299">
        <f t="shared" si="175"/>
        <v>0.878</v>
      </c>
    </row>
    <row r="460" hidden="1" outlineLevel="2">
      <c r="A460" s="51" t="s">
        <v>173</v>
      </c>
      <c r="B460" s="53"/>
      <c r="C460" s="54"/>
      <c r="D460" s="54"/>
      <c r="E460" s="54"/>
      <c r="F460" s="54"/>
      <c r="G460" s="54"/>
      <c r="H460" s="54"/>
      <c r="I460" s="56"/>
    </row>
    <row r="461" hidden="1" outlineLevel="2">
      <c r="A461" s="83" t="s">
        <v>175</v>
      </c>
      <c r="B461" s="330"/>
      <c r="C461" s="331"/>
      <c r="D461" s="345"/>
      <c r="E461" s="331"/>
      <c r="F461" s="331"/>
      <c r="G461" s="331"/>
      <c r="H461" s="331"/>
      <c r="I461" s="332"/>
    </row>
    <row r="462" hidden="1" outlineLevel="2">
      <c r="A462" s="180" t="s">
        <v>179</v>
      </c>
      <c r="B462" s="53"/>
      <c r="C462" s="54"/>
      <c r="D462" s="54"/>
      <c r="E462" s="54"/>
      <c r="F462" s="54"/>
      <c r="G462" s="54"/>
      <c r="H462" s="54"/>
      <c r="I462" s="56"/>
    </row>
    <row r="463" hidden="1" outlineLevel="2">
      <c r="A463" s="88" t="s">
        <v>180</v>
      </c>
      <c r="B463" s="181">
        <f t="shared" ref="B463:I463" si="176">B442*25</f>
        <v>27.0472973</v>
      </c>
      <c r="C463" s="182">
        <f t="shared" si="176"/>
        <v>24.025</v>
      </c>
      <c r="D463" s="182">
        <f t="shared" si="176"/>
        <v>25.26875</v>
      </c>
      <c r="E463" s="182">
        <f t="shared" si="176"/>
        <v>27.06756757</v>
      </c>
      <c r="F463" s="182">
        <f t="shared" si="176"/>
        <v>25.98026316</v>
      </c>
      <c r="G463" s="182">
        <f t="shared" si="176"/>
        <v>25.7875</v>
      </c>
      <c r="H463" s="182">
        <f t="shared" si="176"/>
        <v>24.2578125</v>
      </c>
      <c r="I463" s="183">
        <f t="shared" si="176"/>
        <v>23.34375</v>
      </c>
    </row>
    <row r="464" hidden="1" outlineLevel="2">
      <c r="A464" s="88" t="s">
        <v>182</v>
      </c>
      <c r="B464" s="181">
        <f t="shared" ref="B464:I464" si="177">B446*35</f>
        <v>35</v>
      </c>
      <c r="C464" s="182">
        <f t="shared" si="177"/>
        <v>35</v>
      </c>
      <c r="D464" s="182">
        <f t="shared" si="177"/>
        <v>35</v>
      </c>
      <c r="E464" s="182">
        <f t="shared" si="177"/>
        <v>35</v>
      </c>
      <c r="F464" s="182">
        <f t="shared" si="177"/>
        <v>19.25</v>
      </c>
      <c r="G464" s="182">
        <f t="shared" si="177"/>
        <v>35</v>
      </c>
      <c r="H464" s="182">
        <f t="shared" si="177"/>
        <v>31.0625</v>
      </c>
      <c r="I464" s="183">
        <f t="shared" si="177"/>
        <v>32.375</v>
      </c>
    </row>
    <row r="465" hidden="1" outlineLevel="2">
      <c r="A465" s="88" t="s">
        <v>184</v>
      </c>
      <c r="B465" s="181">
        <f t="shared" ref="B465:I465" si="178">IF(AND(B446&lt;85%, B455&gt;100%), 25, B455*25)</f>
        <v>24.53542143</v>
      </c>
      <c r="C465" s="182">
        <f t="shared" si="178"/>
        <v>22.58207071</v>
      </c>
      <c r="D465" s="182">
        <f t="shared" si="178"/>
        <v>23.21088566</v>
      </c>
      <c r="E465" s="182">
        <f t="shared" si="178"/>
        <v>24.71292449</v>
      </c>
      <c r="F465" s="182">
        <f t="shared" si="178"/>
        <v>19.08756285</v>
      </c>
      <c r="G465" s="182">
        <f t="shared" si="178"/>
        <v>24.8202456</v>
      </c>
      <c r="H465" s="182">
        <f t="shared" si="178"/>
        <v>20.45138889</v>
      </c>
      <c r="I465" s="183">
        <f t="shared" si="178"/>
        <v>22.875</v>
      </c>
    </row>
    <row r="466" hidden="1" outlineLevel="2">
      <c r="A466" s="88" t="s">
        <v>187</v>
      </c>
      <c r="B466" s="181">
        <f t="shared" ref="B466:I466" si="179">B459*15</f>
        <v>15</v>
      </c>
      <c r="C466" s="182">
        <f t="shared" si="179"/>
        <v>12.87</v>
      </c>
      <c r="D466" s="182">
        <f t="shared" si="179"/>
        <v>12.915</v>
      </c>
      <c r="E466" s="182">
        <f t="shared" si="179"/>
        <v>13.5</v>
      </c>
      <c r="F466" s="182">
        <f t="shared" si="179"/>
        <v>12.99</v>
      </c>
      <c r="G466" s="182">
        <f t="shared" si="179"/>
        <v>14.31</v>
      </c>
      <c r="H466" s="182">
        <f t="shared" si="179"/>
        <v>12.54</v>
      </c>
      <c r="I466" s="183">
        <f t="shared" si="179"/>
        <v>13.17</v>
      </c>
    </row>
    <row r="467" hidden="1" outlineLevel="2">
      <c r="A467" s="88" t="s">
        <v>188</v>
      </c>
      <c r="B467" s="181">
        <f t="shared" ref="B467:I467" si="180">B461*-10</f>
        <v>0</v>
      </c>
      <c r="C467" s="182">
        <f t="shared" si="180"/>
        <v>0</v>
      </c>
      <c r="D467" s="182">
        <f t="shared" si="180"/>
        <v>0</v>
      </c>
      <c r="E467" s="182">
        <f t="shared" si="180"/>
        <v>0</v>
      </c>
      <c r="F467" s="182">
        <f t="shared" si="180"/>
        <v>0</v>
      </c>
      <c r="G467" s="182">
        <f t="shared" si="180"/>
        <v>0</v>
      </c>
      <c r="H467" s="182">
        <f t="shared" si="180"/>
        <v>0</v>
      </c>
      <c r="I467" s="183">
        <f t="shared" si="180"/>
        <v>0</v>
      </c>
    </row>
    <row r="468" hidden="1" outlineLevel="2">
      <c r="A468" s="187" t="s">
        <v>190</v>
      </c>
      <c r="B468" s="181">
        <f t="shared" ref="B468:I468" si="181">B463+B464+B465+B466+B467</f>
        <v>101.5827187</v>
      </c>
      <c r="C468" s="182">
        <f t="shared" si="181"/>
        <v>94.47707071</v>
      </c>
      <c r="D468" s="182">
        <f t="shared" si="181"/>
        <v>96.39463566</v>
      </c>
      <c r="E468" s="182">
        <f t="shared" si="181"/>
        <v>100.2804921</v>
      </c>
      <c r="F468" s="182">
        <f t="shared" si="181"/>
        <v>77.30782601</v>
      </c>
      <c r="G468" s="182">
        <f t="shared" si="181"/>
        <v>99.9177456</v>
      </c>
      <c r="H468" s="182">
        <f t="shared" si="181"/>
        <v>88.31170139</v>
      </c>
      <c r="I468" s="183">
        <f t="shared" si="181"/>
        <v>91.76375</v>
      </c>
    </row>
    <row r="469" hidden="1" outlineLevel="2">
      <c r="A469" s="73" t="s">
        <v>193</v>
      </c>
      <c r="B469" s="74">
        <f t="shared" ref="B469:I469" si="182">B468/100</f>
        <v>1.015827187</v>
      </c>
      <c r="C469" s="75">
        <f t="shared" si="182"/>
        <v>0.9447707071</v>
      </c>
      <c r="D469" s="369">
        <f t="shared" si="182"/>
        <v>0.9639463566</v>
      </c>
      <c r="E469" s="75">
        <f t="shared" si="182"/>
        <v>1.002804921</v>
      </c>
      <c r="F469" s="75">
        <f t="shared" si="182"/>
        <v>0.7730782601</v>
      </c>
      <c r="G469" s="75">
        <f t="shared" si="182"/>
        <v>0.999177456</v>
      </c>
      <c r="H469" s="75">
        <f t="shared" si="182"/>
        <v>0.8831170139</v>
      </c>
      <c r="I469" s="77">
        <f t="shared" si="182"/>
        <v>0.9176375</v>
      </c>
    </row>
    <row r="470" hidden="1" outlineLevel="2">
      <c r="A470" s="180" t="s">
        <v>203</v>
      </c>
      <c r="B470" s="361" t="s">
        <v>206</v>
      </c>
      <c r="C470" s="362" t="s">
        <v>204</v>
      </c>
      <c r="D470" s="362" t="s">
        <v>204</v>
      </c>
      <c r="E470" s="362" t="s">
        <v>204</v>
      </c>
      <c r="F470" s="362" t="s">
        <v>207</v>
      </c>
      <c r="G470" s="362" t="s">
        <v>204</v>
      </c>
      <c r="H470" s="362" t="s">
        <v>204</v>
      </c>
      <c r="I470" s="362" t="s">
        <v>204</v>
      </c>
    </row>
    <row r="471" hidden="1" outlineLevel="2">
      <c r="A471" s="180" t="s">
        <v>208</v>
      </c>
      <c r="B471" s="216"/>
      <c r="C471" s="217"/>
      <c r="D471" s="350"/>
      <c r="E471" s="217"/>
      <c r="F471" s="217"/>
      <c r="G471" s="217"/>
      <c r="H471" s="217"/>
      <c r="I471" s="364"/>
    </row>
    <row r="472" hidden="1" outlineLevel="1">
      <c r="A472" s="32"/>
      <c r="B472" s="33" t="s">
        <v>985</v>
      </c>
      <c r="C472" s="34"/>
      <c r="D472" s="34"/>
      <c r="E472" s="34"/>
      <c r="F472" s="34"/>
      <c r="G472" s="34"/>
      <c r="H472" s="34"/>
      <c r="I472" s="35"/>
    </row>
    <row r="473" hidden="1" outlineLevel="1">
      <c r="A473" s="228"/>
      <c r="B473" s="317" t="s">
        <v>56</v>
      </c>
      <c r="C473" s="318" t="s">
        <v>57</v>
      </c>
      <c r="D473" s="318" t="s">
        <v>21</v>
      </c>
      <c r="E473" s="318" t="s">
        <v>32</v>
      </c>
      <c r="F473" s="318" t="s">
        <v>58</v>
      </c>
      <c r="G473" s="319" t="s">
        <v>59</v>
      </c>
      <c r="H473" s="320" t="s">
        <v>7</v>
      </c>
      <c r="I473" s="320" t="s">
        <v>503</v>
      </c>
    </row>
    <row r="474" hidden="1" outlineLevel="1">
      <c r="A474" s="44" t="s">
        <v>60</v>
      </c>
      <c r="B474" s="289" t="s">
        <v>985</v>
      </c>
      <c r="C474" s="290"/>
      <c r="D474" s="290"/>
      <c r="E474" s="290"/>
      <c r="F474" s="290"/>
      <c r="G474" s="290"/>
      <c r="H474" s="290"/>
      <c r="I474" s="291"/>
    </row>
    <row r="475" hidden="1" outlineLevel="1">
      <c r="A475" s="51" t="s">
        <v>64</v>
      </c>
      <c r="B475" s="53"/>
      <c r="C475" s="54"/>
      <c r="D475" s="54"/>
      <c r="E475" s="54"/>
      <c r="F475" s="54"/>
      <c r="G475" s="54"/>
      <c r="H475" s="54"/>
      <c r="I475" s="56"/>
    </row>
    <row r="476" hidden="1" outlineLevel="1">
      <c r="A476" s="58" t="s">
        <v>69</v>
      </c>
      <c r="B476" s="292">
        <v>35.58</v>
      </c>
      <c r="C476" s="293">
        <v>40.37</v>
      </c>
      <c r="D476" s="371">
        <v>40.34</v>
      </c>
      <c r="E476" s="293">
        <v>40.04</v>
      </c>
      <c r="F476" s="293">
        <v>39.18</v>
      </c>
      <c r="G476" s="293">
        <v>41.01</v>
      </c>
      <c r="H476" s="293">
        <v>24.01</v>
      </c>
      <c r="I476" s="354">
        <v>37.26</v>
      </c>
    </row>
    <row r="477" hidden="1" outlineLevel="1">
      <c r="A477" s="68" t="s">
        <v>75</v>
      </c>
      <c r="B477" s="372">
        <v>38.0</v>
      </c>
      <c r="C477" s="70">
        <v>40.0</v>
      </c>
      <c r="D477" s="70">
        <v>40.0</v>
      </c>
      <c r="E477" s="296">
        <v>38.0</v>
      </c>
      <c r="F477" s="296">
        <v>38.0</v>
      </c>
      <c r="G477" s="296">
        <v>40.0</v>
      </c>
      <c r="H477" s="296">
        <v>40.0</v>
      </c>
      <c r="I477" s="355">
        <v>40.0</v>
      </c>
    </row>
    <row r="478" hidden="1" outlineLevel="1">
      <c r="A478" s="73" t="s">
        <v>76</v>
      </c>
      <c r="B478" s="297">
        <f t="shared" ref="B478:I478" si="183">B476/B477</f>
        <v>0.9363157895</v>
      </c>
      <c r="C478" s="298">
        <f t="shared" si="183"/>
        <v>1.00925</v>
      </c>
      <c r="D478" s="298">
        <f t="shared" si="183"/>
        <v>1.0085</v>
      </c>
      <c r="E478" s="298">
        <f t="shared" si="183"/>
        <v>1.053684211</v>
      </c>
      <c r="F478" s="298">
        <f t="shared" si="183"/>
        <v>1.031052632</v>
      </c>
      <c r="G478" s="298">
        <f t="shared" si="183"/>
        <v>1.02525</v>
      </c>
      <c r="H478" s="298">
        <f t="shared" si="183"/>
        <v>0.60025</v>
      </c>
      <c r="I478" s="299">
        <f t="shared" si="183"/>
        <v>0.9315</v>
      </c>
    </row>
    <row r="479" hidden="1" outlineLevel="1">
      <c r="A479" s="51" t="s">
        <v>79</v>
      </c>
      <c r="B479" s="53"/>
      <c r="C479" s="54"/>
      <c r="D479" s="54"/>
      <c r="E479" s="54"/>
      <c r="F479" s="54"/>
      <c r="G479" s="54"/>
      <c r="H479" s="54"/>
      <c r="I479" s="56"/>
    </row>
    <row r="480" hidden="1" outlineLevel="1">
      <c r="A480" s="83" t="s">
        <v>81</v>
      </c>
      <c r="B480" s="292">
        <v>40.0</v>
      </c>
      <c r="C480" s="293">
        <v>40.0</v>
      </c>
      <c r="D480" s="293">
        <v>40.0</v>
      </c>
      <c r="E480" s="293">
        <v>40.0</v>
      </c>
      <c r="F480" s="293">
        <v>40.0</v>
      </c>
      <c r="G480" s="293">
        <v>40.0</v>
      </c>
      <c r="H480" s="293">
        <v>40.0</v>
      </c>
      <c r="I480" s="294">
        <v>40.0</v>
      </c>
    </row>
    <row r="481" hidden="1" outlineLevel="1">
      <c r="A481" s="88" t="s">
        <v>86</v>
      </c>
      <c r="B481" s="260">
        <v>40.0</v>
      </c>
      <c r="C481" s="261">
        <v>40.0</v>
      </c>
      <c r="D481" s="261">
        <v>40.0</v>
      </c>
      <c r="E481" s="261">
        <v>40.0</v>
      </c>
      <c r="F481" s="261">
        <v>40.0</v>
      </c>
      <c r="G481" s="261">
        <v>40.0</v>
      </c>
      <c r="H481" s="261">
        <v>40.0</v>
      </c>
      <c r="I481" s="262">
        <v>40.0</v>
      </c>
    </row>
    <row r="482" hidden="1" outlineLevel="1">
      <c r="A482" s="73" t="s">
        <v>96</v>
      </c>
      <c r="B482" s="297">
        <f t="shared" ref="B482:I482" si="184">B480/B481</f>
        <v>1</v>
      </c>
      <c r="C482" s="298">
        <f t="shared" si="184"/>
        <v>1</v>
      </c>
      <c r="D482" s="298">
        <f t="shared" si="184"/>
        <v>1</v>
      </c>
      <c r="E482" s="298">
        <f t="shared" si="184"/>
        <v>1</v>
      </c>
      <c r="F482" s="298">
        <f t="shared" si="184"/>
        <v>1</v>
      </c>
      <c r="G482" s="298">
        <f t="shared" si="184"/>
        <v>1</v>
      </c>
      <c r="H482" s="298">
        <f t="shared" si="184"/>
        <v>1</v>
      </c>
      <c r="I482" s="299">
        <f t="shared" si="184"/>
        <v>1</v>
      </c>
    </row>
    <row r="483" hidden="1" outlineLevel="1">
      <c r="A483" s="51" t="s">
        <v>99</v>
      </c>
      <c r="B483" s="53"/>
      <c r="C483" s="54"/>
      <c r="D483" s="54"/>
      <c r="E483" s="54"/>
      <c r="F483" s="54"/>
      <c r="G483" s="54"/>
      <c r="H483" s="54"/>
      <c r="I483" s="56"/>
    </row>
    <row r="484" hidden="1" outlineLevel="1">
      <c r="A484" s="83" t="s">
        <v>101</v>
      </c>
      <c r="B484" s="259" t="s">
        <v>109</v>
      </c>
      <c r="C484" s="124" t="s">
        <v>113</v>
      </c>
      <c r="D484" s="124" t="s">
        <v>113</v>
      </c>
      <c r="E484" s="124" t="s">
        <v>109</v>
      </c>
      <c r="F484" s="124" t="s">
        <v>109</v>
      </c>
      <c r="G484" s="123" t="s">
        <v>113</v>
      </c>
      <c r="H484" s="124" t="s">
        <v>109</v>
      </c>
      <c r="I484" s="126" t="s">
        <v>109</v>
      </c>
    </row>
    <row r="485" hidden="1" outlineLevel="1">
      <c r="A485" s="83" t="s">
        <v>117</v>
      </c>
      <c r="B485" s="259" t="s">
        <v>118</v>
      </c>
      <c r="C485" s="124" t="s">
        <v>119</v>
      </c>
      <c r="D485" s="124" t="s">
        <v>118</v>
      </c>
      <c r="E485" s="124" t="s">
        <v>119</v>
      </c>
      <c r="F485" s="124" t="s">
        <v>118</v>
      </c>
      <c r="G485" s="124" t="s">
        <v>119</v>
      </c>
      <c r="H485" s="124" t="s">
        <v>119</v>
      </c>
      <c r="I485" s="126" t="s">
        <v>119</v>
      </c>
    </row>
    <row r="486" hidden="1" outlineLevel="1">
      <c r="A486" s="83" t="s">
        <v>120</v>
      </c>
      <c r="B486" s="271">
        <f>IF(B476&lt;B477,B477,B476) *
IF(B484="AM",
    IF(B485="Oricle",3.5,
    IF(B485="Other Brands",4,
    IF(B485="Oricle Prio",0.6,""))),
 IF(B484="MID",
    IF(B485="Oricle",2.5,
    IF(B485="Other Brands",3,
    IF(B485="Oricle Prio",0.6,""))),
 IF(B484="GY",
    IF(B485="Oricle",1,
    IF(B485="Other Brands",1,
    IF(B485="Oricle Prio",0.3,""))),"")))-10</f>
        <v>104</v>
      </c>
      <c r="C486" s="273">
        <f>IF(C476&lt;C477,C477,C476) *
IF(C484="AM",
    IF(C485="Oricle",3,
    IF(C485="Other Brands",4,
    IF(C485="Oricle Prio",0.6,""))),
 IF(C484="MID",
    IF(C485="Oricle",2.5,
    IF(C485="Other Brands",3,
    IF(C485="Oricle Prio",0.6,""))),
 IF(C484="GY",
    IF(C485="Oricle",1,
    IF(C485="Other Brands",1,
    IF(C485="Oricle Prio",0.3,""))),"")))</f>
        <v>121.11</v>
      </c>
      <c r="D486" s="273">
        <f>IF(D476&lt;D477,D477,D476) *
IF(D484="AM",
    IF(D485="Oricle",3.5,
    IF(D485="Other Brands",4,
    IF(D485="Oricle Prio",0.6,""))),
 IF(D484="MID",
    IF(D485="Oricle",2.5,
    IF(D485="Other Brands",3,
    IF(D485="Oricle Prio",0.6,""))),
 IF(D484="GY",
    IF(D485="Oricle",1,
    IF(D485="Other Brands",1,
    IF(D485="Oricle Prio",0.3,""))),"")))</f>
        <v>161.36</v>
      </c>
      <c r="E486" s="273">
        <f>IF(E476&lt;E477,E477,E476) *
IF(E484="AM",
    IF(E485="Oricle",3.5,
    IF(E485="Other Brands",4,
    IF(E485="Oricle Prio",0.6,""))),
 IF(E484="MID",
    IF(E485="Oricle",2.5,
    IF(E485="Other Brands",3,
    IF(E485="Oricle Prio",0.6,""))),
 IF(E484="GY",
    IF(E485="Oricle",1,
    IF(E485="Other Brands",1,
    IF(E485="Oricle Prio",0.3,""))),"")))-12</f>
        <v>88.1</v>
      </c>
      <c r="F486" s="273">
        <f>IF(F476&lt;F477,F477,F476) *
IF(F484="AM",
    IF(F485="Oricle",3.5,
    IF(F485="Other Brands",4,
    IF(F485="Oricle Prio",0.6,""))),
 IF(F484="MID",
    IF(F485="Oricle",2.5,
    IF(F485="Other Brands",3,
    IF(F485="Oricle Prio",0.6,""))),
 IF(F484="GY",
    IF(F485="Oricle",1,
    IF(F485="Other Brands",1,
    IF(F485="Oricle Prio",0.3,""))),"")))</f>
        <v>117.54</v>
      </c>
      <c r="G486" s="273">
        <f>IF(G476&lt;G477,G477,G476) *
IF(G484="AM",
    IF(G485="Oricle",3,
    IF(G485="Other Brands",4,
    IF(G485="Oricle Prio",0.6,""))),
 IF(G484="MID",
    IF(G485="Oricle",2.5,
    IF(G485="Other Brands",3,
    IF(G485="Oricle Prio",0.6,""))),
 IF(G484="GY",
    IF(G485="Oricle",1,
    IF(G485="Other Brands",1,
    IF(G485="Oricle Prio",0.3,""))),"")))</f>
        <v>123.03</v>
      </c>
      <c r="H486" s="273">
        <f t="shared" ref="H486:I486" si="185">IF(H476&lt;H477,H477,H476) *
IF(H484="AM",
    IF(H485="Oricle",3.5,
    IF(H485="Other Brands",4,
    IF(H485="Oricle Prio",0.6,""))),
 IF(H484="MID",
    IF(H485="Oricle",2.5,
    IF(H485="Other Brands",3,
    IF(H485="Oricle Prio",0.6,""))),
 IF(H484="GY",
    IF(H485="Oricle",1,
    IF(H485="Other Brands",1,
    IF(H485="Oricle Prio",0.3,""))),"")))</f>
        <v>100</v>
      </c>
      <c r="I486" s="273">
        <f t="shared" si="185"/>
        <v>100</v>
      </c>
    </row>
    <row r="487" hidden="1" outlineLevel="1">
      <c r="A487" s="83" t="s">
        <v>131</v>
      </c>
      <c r="B487" s="306" t="s">
        <v>952</v>
      </c>
      <c r="C487" s="123" t="s">
        <v>1008</v>
      </c>
      <c r="D487" s="123" t="s">
        <v>139</v>
      </c>
      <c r="E487" s="123" t="s">
        <v>260</v>
      </c>
      <c r="F487" s="123" t="s">
        <v>402</v>
      </c>
      <c r="G487" s="123" t="s">
        <v>656</v>
      </c>
      <c r="H487" s="123" t="s">
        <v>955</v>
      </c>
      <c r="I487" s="301" t="s">
        <v>952</v>
      </c>
    </row>
    <row r="488" hidden="1" outlineLevel="1">
      <c r="A488" s="83" t="s">
        <v>138</v>
      </c>
      <c r="B488" s="306" t="s">
        <v>1010</v>
      </c>
      <c r="C488" s="123" t="s">
        <v>469</v>
      </c>
      <c r="D488" s="123" t="s">
        <v>310</v>
      </c>
      <c r="E488" s="123" t="s">
        <v>900</v>
      </c>
      <c r="F488" s="123" t="s">
        <v>1011</v>
      </c>
      <c r="G488" s="123" t="s">
        <v>1012</v>
      </c>
      <c r="H488" s="123" t="s">
        <v>824</v>
      </c>
      <c r="I488" s="301" t="s">
        <v>253</v>
      </c>
    </row>
    <row r="489" hidden="1" outlineLevel="1">
      <c r="A489" s="88" t="s">
        <v>149</v>
      </c>
      <c r="B489" s="152">
        <f t="shared" ref="B489:I489" si="186">IF(B487&gt;0,B488/B487,0)</f>
        <v>0.9891304348</v>
      </c>
      <c r="C489" s="153">
        <f t="shared" si="186"/>
        <v>0.9919354839</v>
      </c>
      <c r="D489" s="153">
        <f t="shared" si="186"/>
        <v>0.9929078014</v>
      </c>
      <c r="E489" s="153">
        <f t="shared" si="186"/>
        <v>0.9887640449</v>
      </c>
      <c r="F489" s="153">
        <f t="shared" si="186"/>
        <v>0.9693877551</v>
      </c>
      <c r="G489" s="153">
        <f t="shared" si="186"/>
        <v>0.992481203</v>
      </c>
      <c r="H489" s="153">
        <f t="shared" si="186"/>
        <v>0.9677419355</v>
      </c>
      <c r="I489" s="154">
        <f t="shared" si="186"/>
        <v>0.9782608696</v>
      </c>
    </row>
    <row r="490" hidden="1" outlineLevel="1">
      <c r="A490" s="88" t="s">
        <v>156</v>
      </c>
      <c r="B490" s="152">
        <f t="shared" ref="B490:I490" si="187">IF(B486&gt;0,B488/B486,0)</f>
        <v>0.875</v>
      </c>
      <c r="C490" s="153">
        <f t="shared" si="187"/>
        <v>1.015605648</v>
      </c>
      <c r="D490" s="153">
        <f t="shared" si="187"/>
        <v>0.8676251859</v>
      </c>
      <c r="E490" s="153">
        <f t="shared" si="187"/>
        <v>0.9988649262</v>
      </c>
      <c r="F490" s="153">
        <f t="shared" si="187"/>
        <v>0.8082354943</v>
      </c>
      <c r="G490" s="153">
        <f t="shared" si="187"/>
        <v>1.072909047</v>
      </c>
      <c r="H490" s="153">
        <f t="shared" si="187"/>
        <v>0.6</v>
      </c>
      <c r="I490" s="154">
        <f t="shared" si="187"/>
        <v>0.9</v>
      </c>
    </row>
    <row r="491" hidden="1" outlineLevel="1">
      <c r="A491" s="159" t="s">
        <v>13</v>
      </c>
      <c r="B491" s="297">
        <f t="shared" ref="B491:I491" si="188">average(B489:B490)</f>
        <v>0.9320652174</v>
      </c>
      <c r="C491" s="298">
        <f t="shared" si="188"/>
        <v>1.003770566</v>
      </c>
      <c r="D491" s="298">
        <f t="shared" si="188"/>
        <v>0.9302664937</v>
      </c>
      <c r="E491" s="298">
        <f t="shared" si="188"/>
        <v>0.9938144856</v>
      </c>
      <c r="F491" s="298">
        <f t="shared" si="188"/>
        <v>0.8888116247</v>
      </c>
      <c r="G491" s="298">
        <f t="shared" si="188"/>
        <v>1.032695125</v>
      </c>
      <c r="H491" s="298">
        <f t="shared" si="188"/>
        <v>0.7838709677</v>
      </c>
      <c r="I491" s="299">
        <f t="shared" si="188"/>
        <v>0.9391304348</v>
      </c>
    </row>
    <row r="492" hidden="1" outlineLevel="1">
      <c r="A492" s="51" t="s">
        <v>161</v>
      </c>
      <c r="B492" s="334"/>
      <c r="C492" s="54"/>
      <c r="D492" s="54"/>
      <c r="E492" s="54"/>
      <c r="F492" s="54"/>
      <c r="G492" s="54"/>
      <c r="H492" s="54"/>
      <c r="I492" s="335"/>
    </row>
    <row r="493" hidden="1" outlineLevel="1">
      <c r="A493" s="83" t="s">
        <v>162</v>
      </c>
      <c r="B493" s="292">
        <v>8.66</v>
      </c>
      <c r="C493" s="293">
        <v>9.08</v>
      </c>
      <c r="D493" s="293">
        <v>8.9</v>
      </c>
      <c r="E493" s="293">
        <v>10.0</v>
      </c>
      <c r="F493" s="277">
        <v>9.66</v>
      </c>
      <c r="G493" s="293">
        <v>9.22</v>
      </c>
      <c r="H493" s="293">
        <v>8.62</v>
      </c>
      <c r="I493" s="294">
        <v>6.92</v>
      </c>
    </row>
    <row r="494" hidden="1" outlineLevel="1">
      <c r="A494" s="88" t="s">
        <v>169</v>
      </c>
      <c r="B494" s="165">
        <v>10.0</v>
      </c>
      <c r="C494" s="166">
        <v>10.0</v>
      </c>
      <c r="D494" s="166">
        <v>10.0</v>
      </c>
      <c r="E494" s="166">
        <v>10.0</v>
      </c>
      <c r="F494" s="166">
        <v>10.0</v>
      </c>
      <c r="G494" s="166">
        <v>10.0</v>
      </c>
      <c r="H494" s="166">
        <v>10.0</v>
      </c>
      <c r="I494" s="168">
        <v>10.0</v>
      </c>
    </row>
    <row r="495" hidden="1" outlineLevel="1">
      <c r="A495" s="73" t="s">
        <v>170</v>
      </c>
      <c r="B495" s="297">
        <f t="shared" ref="B495:I495" si="189">IF(B493=0,0,B493/B494)</f>
        <v>0.866</v>
      </c>
      <c r="C495" s="298">
        <f t="shared" si="189"/>
        <v>0.908</v>
      </c>
      <c r="D495" s="298">
        <f t="shared" si="189"/>
        <v>0.89</v>
      </c>
      <c r="E495" s="298">
        <f t="shared" si="189"/>
        <v>1</v>
      </c>
      <c r="F495" s="298">
        <f t="shared" si="189"/>
        <v>0.966</v>
      </c>
      <c r="G495" s="298">
        <f t="shared" si="189"/>
        <v>0.922</v>
      </c>
      <c r="H495" s="298">
        <f t="shared" si="189"/>
        <v>0.862</v>
      </c>
      <c r="I495" s="299">
        <f t="shared" si="189"/>
        <v>0.692</v>
      </c>
    </row>
    <row r="496" hidden="1" outlineLevel="1">
      <c r="A496" s="51" t="s">
        <v>173</v>
      </c>
      <c r="B496" s="53"/>
      <c r="C496" s="54"/>
      <c r="D496" s="54"/>
      <c r="E496" s="54"/>
      <c r="F496" s="54"/>
      <c r="G496" s="54"/>
      <c r="H496" s="54"/>
      <c r="I496" s="56"/>
    </row>
    <row r="497" hidden="1" outlineLevel="1">
      <c r="A497" s="83" t="s">
        <v>175</v>
      </c>
      <c r="B497" s="330"/>
      <c r="C497" s="331"/>
      <c r="D497" s="345"/>
      <c r="E497" s="331"/>
      <c r="F497" s="331"/>
      <c r="G497" s="331"/>
      <c r="H497" s="331"/>
      <c r="I497" s="332"/>
    </row>
    <row r="498" hidden="1" outlineLevel="1">
      <c r="A498" s="180" t="s">
        <v>179</v>
      </c>
      <c r="B498" s="53"/>
      <c r="C498" s="54"/>
      <c r="D498" s="54"/>
      <c r="E498" s="54"/>
      <c r="F498" s="54"/>
      <c r="G498" s="54"/>
      <c r="H498" s="54"/>
      <c r="I498" s="56"/>
    </row>
    <row r="499" hidden="1" outlineLevel="1">
      <c r="A499" s="88" t="s">
        <v>180</v>
      </c>
      <c r="B499" s="181">
        <f t="shared" ref="B499:I499" si="190">B478*25</f>
        <v>23.40789474</v>
      </c>
      <c r="C499" s="182">
        <f t="shared" si="190"/>
        <v>25.23125</v>
      </c>
      <c r="D499" s="182">
        <f t="shared" si="190"/>
        <v>25.2125</v>
      </c>
      <c r="E499" s="182">
        <f t="shared" si="190"/>
        <v>26.34210526</v>
      </c>
      <c r="F499" s="182">
        <f t="shared" si="190"/>
        <v>25.77631579</v>
      </c>
      <c r="G499" s="182">
        <f t="shared" si="190"/>
        <v>25.63125</v>
      </c>
      <c r="H499" s="182">
        <f t="shared" si="190"/>
        <v>15.00625</v>
      </c>
      <c r="I499" s="183">
        <f t="shared" si="190"/>
        <v>23.2875</v>
      </c>
    </row>
    <row r="500" hidden="1" outlineLevel="1">
      <c r="A500" s="88" t="s">
        <v>182</v>
      </c>
      <c r="B500" s="181">
        <f t="shared" ref="B500:I500" si="191">B482*35</f>
        <v>35</v>
      </c>
      <c r="C500" s="182">
        <f t="shared" si="191"/>
        <v>35</v>
      </c>
      <c r="D500" s="182">
        <f t="shared" si="191"/>
        <v>35</v>
      </c>
      <c r="E500" s="182">
        <f t="shared" si="191"/>
        <v>35</v>
      </c>
      <c r="F500" s="182">
        <f t="shared" si="191"/>
        <v>35</v>
      </c>
      <c r="G500" s="182">
        <f t="shared" si="191"/>
        <v>35</v>
      </c>
      <c r="H500" s="182">
        <f t="shared" si="191"/>
        <v>35</v>
      </c>
      <c r="I500" s="183">
        <f t="shared" si="191"/>
        <v>35</v>
      </c>
    </row>
    <row r="501" hidden="1" outlineLevel="1">
      <c r="A501" s="88" t="s">
        <v>184</v>
      </c>
      <c r="B501" s="181">
        <f t="shared" ref="B501:I501" si="192">IF(AND(B482&lt;85%, B491&gt;100%), 25, B491*25)</f>
        <v>23.30163043</v>
      </c>
      <c r="C501" s="182">
        <f t="shared" si="192"/>
        <v>25.09426415</v>
      </c>
      <c r="D501" s="182">
        <f t="shared" si="192"/>
        <v>23.25666234</v>
      </c>
      <c r="E501" s="182">
        <f t="shared" si="192"/>
        <v>24.84536214</v>
      </c>
      <c r="F501" s="182">
        <f t="shared" si="192"/>
        <v>22.22029062</v>
      </c>
      <c r="G501" s="182">
        <f t="shared" si="192"/>
        <v>25.81737812</v>
      </c>
      <c r="H501" s="182">
        <f t="shared" si="192"/>
        <v>19.59677419</v>
      </c>
      <c r="I501" s="183">
        <f t="shared" si="192"/>
        <v>23.47826087</v>
      </c>
    </row>
    <row r="502" hidden="1" outlineLevel="1">
      <c r="A502" s="88" t="s">
        <v>187</v>
      </c>
      <c r="B502" s="181">
        <f t="shared" ref="B502:I502" si="193">B495*15</f>
        <v>12.99</v>
      </c>
      <c r="C502" s="182">
        <f t="shared" si="193"/>
        <v>13.62</v>
      </c>
      <c r="D502" s="182">
        <f t="shared" si="193"/>
        <v>13.35</v>
      </c>
      <c r="E502" s="182">
        <f t="shared" si="193"/>
        <v>15</v>
      </c>
      <c r="F502" s="182">
        <f t="shared" si="193"/>
        <v>14.49</v>
      </c>
      <c r="G502" s="182">
        <f t="shared" si="193"/>
        <v>13.83</v>
      </c>
      <c r="H502" s="182">
        <f t="shared" si="193"/>
        <v>12.93</v>
      </c>
      <c r="I502" s="183">
        <f t="shared" si="193"/>
        <v>10.38</v>
      </c>
    </row>
    <row r="503" hidden="1" outlineLevel="1">
      <c r="A503" s="88" t="s">
        <v>188</v>
      </c>
      <c r="B503" s="181">
        <f t="shared" ref="B503:I503" si="194">B497*-10</f>
        <v>0</v>
      </c>
      <c r="C503" s="182">
        <f t="shared" si="194"/>
        <v>0</v>
      </c>
      <c r="D503" s="182">
        <f t="shared" si="194"/>
        <v>0</v>
      </c>
      <c r="E503" s="182">
        <f t="shared" si="194"/>
        <v>0</v>
      </c>
      <c r="F503" s="182">
        <f t="shared" si="194"/>
        <v>0</v>
      </c>
      <c r="G503" s="182">
        <f t="shared" si="194"/>
        <v>0</v>
      </c>
      <c r="H503" s="182">
        <f t="shared" si="194"/>
        <v>0</v>
      </c>
      <c r="I503" s="183">
        <f t="shared" si="194"/>
        <v>0</v>
      </c>
    </row>
    <row r="504" hidden="1" outlineLevel="1">
      <c r="A504" s="187" t="s">
        <v>190</v>
      </c>
      <c r="B504" s="181">
        <f t="shared" ref="B504:I504" si="195">B499+B500+B501+B502+B503</f>
        <v>94.69952517</v>
      </c>
      <c r="C504" s="182">
        <f t="shared" si="195"/>
        <v>98.94551415</v>
      </c>
      <c r="D504" s="182">
        <f t="shared" si="195"/>
        <v>96.81916234</v>
      </c>
      <c r="E504" s="182">
        <f t="shared" si="195"/>
        <v>101.1874674</v>
      </c>
      <c r="F504" s="182">
        <f t="shared" si="195"/>
        <v>97.48660641</v>
      </c>
      <c r="G504" s="182">
        <f t="shared" si="195"/>
        <v>100.2786281</v>
      </c>
      <c r="H504" s="182">
        <f t="shared" si="195"/>
        <v>82.53302419</v>
      </c>
      <c r="I504" s="183">
        <f t="shared" si="195"/>
        <v>92.14576087</v>
      </c>
    </row>
    <row r="505" hidden="1" outlineLevel="1">
      <c r="A505" s="73" t="s">
        <v>193</v>
      </c>
      <c r="B505" s="74">
        <f t="shared" ref="B505:I505" si="196">B504/100</f>
        <v>0.9469952517</v>
      </c>
      <c r="C505" s="75">
        <f t="shared" si="196"/>
        <v>0.9894551415</v>
      </c>
      <c r="D505" s="369">
        <f t="shared" si="196"/>
        <v>0.9681916234</v>
      </c>
      <c r="E505" s="75">
        <f t="shared" si="196"/>
        <v>1.011874674</v>
      </c>
      <c r="F505" s="75">
        <f t="shared" si="196"/>
        <v>0.9748660641</v>
      </c>
      <c r="G505" s="75">
        <f t="shared" si="196"/>
        <v>1.002786281</v>
      </c>
      <c r="H505" s="75">
        <f t="shared" si="196"/>
        <v>0.8253302419</v>
      </c>
      <c r="I505" s="77">
        <f t="shared" si="196"/>
        <v>0.9214576087</v>
      </c>
    </row>
    <row r="506" hidden="1" outlineLevel="1">
      <c r="A506" s="180" t="s">
        <v>203</v>
      </c>
      <c r="B506" s="361" t="s">
        <v>204</v>
      </c>
      <c r="C506" s="362" t="s">
        <v>204</v>
      </c>
      <c r="D506" s="362" t="s">
        <v>204</v>
      </c>
      <c r="E506" s="362" t="s">
        <v>206</v>
      </c>
      <c r="F506" s="362" t="s">
        <v>204</v>
      </c>
      <c r="G506" s="362" t="s">
        <v>204</v>
      </c>
      <c r="H506" s="362" t="s">
        <v>204</v>
      </c>
      <c r="I506" s="362" t="s">
        <v>204</v>
      </c>
    </row>
    <row r="507" hidden="1" outlineLevel="1">
      <c r="A507" s="180" t="s">
        <v>208</v>
      </c>
      <c r="B507" s="216"/>
      <c r="C507" s="217"/>
      <c r="D507" s="350"/>
      <c r="E507" s="217"/>
      <c r="F507" s="217"/>
      <c r="G507" s="217"/>
      <c r="H507" s="217"/>
      <c r="I507" s="364"/>
    </row>
    <row r="508" collapsed="1">
      <c r="A508" s="352">
        <v>46143.0</v>
      </c>
      <c r="B508" s="225"/>
      <c r="C508" s="46"/>
      <c r="D508" s="46"/>
      <c r="E508" s="46"/>
      <c r="F508" s="46"/>
      <c r="G508" s="46"/>
      <c r="H508" s="46"/>
      <c r="I508" s="46"/>
    </row>
    <row r="509" hidden="1" outlineLevel="1" collapsed="1">
      <c r="A509" s="32"/>
      <c r="B509" s="33" t="s">
        <v>1044</v>
      </c>
      <c r="C509" s="34"/>
      <c r="D509" s="34"/>
      <c r="E509" s="34"/>
      <c r="F509" s="34"/>
      <c r="G509" s="34"/>
      <c r="H509" s="34"/>
      <c r="I509" s="35"/>
    </row>
    <row r="510" hidden="1" outlineLevel="2">
      <c r="A510" s="228"/>
      <c r="B510" s="317" t="s">
        <v>56</v>
      </c>
      <c r="C510" s="318" t="s">
        <v>57</v>
      </c>
      <c r="D510" s="318" t="s">
        <v>21</v>
      </c>
      <c r="E510" s="318" t="s">
        <v>32</v>
      </c>
      <c r="F510" s="318" t="s">
        <v>58</v>
      </c>
      <c r="G510" s="319" t="s">
        <v>59</v>
      </c>
      <c r="H510" s="320" t="s">
        <v>7</v>
      </c>
      <c r="I510" s="320" t="s">
        <v>503</v>
      </c>
    </row>
    <row r="511" hidden="1" outlineLevel="2">
      <c r="A511" s="44" t="s">
        <v>60</v>
      </c>
      <c r="B511" s="289" t="s">
        <v>1044</v>
      </c>
      <c r="C511" s="290"/>
      <c r="D511" s="290"/>
      <c r="E511" s="290"/>
      <c r="F511" s="290"/>
      <c r="G511" s="290"/>
      <c r="H511" s="290"/>
      <c r="I511" s="291"/>
    </row>
    <row r="512" hidden="1" outlineLevel="2">
      <c r="A512" s="51" t="s">
        <v>64</v>
      </c>
      <c r="B512" s="53"/>
      <c r="C512" s="54"/>
      <c r="D512" s="54"/>
      <c r="E512" s="54"/>
      <c r="F512" s="54"/>
      <c r="G512" s="54"/>
      <c r="H512" s="54"/>
      <c r="I512" s="56"/>
    </row>
    <row r="513" hidden="1" outlineLevel="2">
      <c r="A513" s="58" t="s">
        <v>69</v>
      </c>
      <c r="B513" s="292">
        <f>39.59-3</f>
        <v>36.59</v>
      </c>
      <c r="C513" s="293">
        <v>48.43</v>
      </c>
      <c r="D513" s="371">
        <v>48.53</v>
      </c>
      <c r="E513" s="293">
        <f>36.35-3</f>
        <v>33.35</v>
      </c>
      <c r="F513" s="293">
        <v>24.0</v>
      </c>
      <c r="G513" s="293">
        <v>41.25</v>
      </c>
      <c r="H513" s="293">
        <v>40.04</v>
      </c>
      <c r="I513" s="354">
        <v>45.29</v>
      </c>
    </row>
    <row r="514" hidden="1" outlineLevel="2">
      <c r="A514" s="68" t="s">
        <v>75</v>
      </c>
      <c r="B514" s="372">
        <v>37.0</v>
      </c>
      <c r="C514" s="296">
        <v>40.0</v>
      </c>
      <c r="D514" s="70">
        <v>40.0</v>
      </c>
      <c r="E514" s="296">
        <v>33.0</v>
      </c>
      <c r="F514" s="296">
        <v>22.0</v>
      </c>
      <c r="G514" s="296">
        <v>40.0</v>
      </c>
      <c r="H514" s="296">
        <v>40.0</v>
      </c>
      <c r="I514" s="355">
        <v>40.0</v>
      </c>
    </row>
    <row r="515" hidden="1" outlineLevel="2">
      <c r="A515" s="73" t="s">
        <v>76</v>
      </c>
      <c r="B515" s="297">
        <f t="shared" ref="B515:I515" si="197">B513/B514</f>
        <v>0.9889189189</v>
      </c>
      <c r="C515" s="298">
        <f t="shared" si="197"/>
        <v>1.21075</v>
      </c>
      <c r="D515" s="298">
        <f t="shared" si="197"/>
        <v>1.21325</v>
      </c>
      <c r="E515" s="298">
        <f t="shared" si="197"/>
        <v>1.010606061</v>
      </c>
      <c r="F515" s="298">
        <f t="shared" si="197"/>
        <v>1.090909091</v>
      </c>
      <c r="G515" s="298">
        <f t="shared" si="197"/>
        <v>1.03125</v>
      </c>
      <c r="H515" s="298">
        <f t="shared" si="197"/>
        <v>1.001</v>
      </c>
      <c r="I515" s="299">
        <f t="shared" si="197"/>
        <v>1.13225</v>
      </c>
    </row>
    <row r="516" hidden="1" outlineLevel="2">
      <c r="A516" s="51" t="s">
        <v>79</v>
      </c>
      <c r="B516" s="53"/>
      <c r="C516" s="54"/>
      <c r="D516" s="54"/>
      <c r="E516" s="54"/>
      <c r="F516" s="54"/>
      <c r="G516" s="54"/>
      <c r="H516" s="54"/>
      <c r="I516" s="56"/>
    </row>
    <row r="517" hidden="1" outlineLevel="2">
      <c r="A517" s="83" t="s">
        <v>81</v>
      </c>
      <c r="B517" s="292">
        <v>40.0</v>
      </c>
      <c r="C517" s="293">
        <v>40.0</v>
      </c>
      <c r="D517" s="293">
        <v>37.0</v>
      </c>
      <c r="E517" s="293">
        <v>40.0</v>
      </c>
      <c r="F517" s="293">
        <v>31.0</v>
      </c>
      <c r="G517" s="293">
        <v>40.0</v>
      </c>
      <c r="H517" s="293">
        <v>40.0</v>
      </c>
      <c r="I517" s="294">
        <v>40.0</v>
      </c>
    </row>
    <row r="518" hidden="1" outlineLevel="2">
      <c r="A518" s="88" t="s">
        <v>86</v>
      </c>
      <c r="B518" s="260">
        <v>40.0</v>
      </c>
      <c r="C518" s="261">
        <v>40.0</v>
      </c>
      <c r="D518" s="261">
        <v>40.0</v>
      </c>
      <c r="E518" s="261">
        <v>40.0</v>
      </c>
      <c r="F518" s="261">
        <v>40.0</v>
      </c>
      <c r="G518" s="261">
        <v>40.0</v>
      </c>
      <c r="H518" s="261">
        <v>40.0</v>
      </c>
      <c r="I518" s="262">
        <v>40.0</v>
      </c>
    </row>
    <row r="519" hidden="1" outlineLevel="2">
      <c r="A519" s="73" t="s">
        <v>96</v>
      </c>
      <c r="B519" s="297">
        <f t="shared" ref="B519:I519" si="198">B517/B518</f>
        <v>1</v>
      </c>
      <c r="C519" s="298">
        <f t="shared" si="198"/>
        <v>1</v>
      </c>
      <c r="D519" s="298">
        <f t="shared" si="198"/>
        <v>0.925</v>
      </c>
      <c r="E519" s="298">
        <f t="shared" si="198"/>
        <v>1</v>
      </c>
      <c r="F519" s="298">
        <f t="shared" si="198"/>
        <v>0.775</v>
      </c>
      <c r="G519" s="298">
        <f t="shared" si="198"/>
        <v>1</v>
      </c>
      <c r="H519" s="298">
        <f t="shared" si="198"/>
        <v>1</v>
      </c>
      <c r="I519" s="299">
        <f t="shared" si="198"/>
        <v>1</v>
      </c>
    </row>
    <row r="520" hidden="1" outlineLevel="2">
      <c r="A520" s="51" t="s">
        <v>99</v>
      </c>
      <c r="B520" s="53"/>
      <c r="C520" s="54"/>
      <c r="D520" s="54"/>
      <c r="E520" s="54"/>
      <c r="F520" s="54"/>
      <c r="G520" s="54"/>
      <c r="H520" s="54"/>
      <c r="I520" s="56"/>
    </row>
    <row r="521" hidden="1" outlineLevel="2">
      <c r="A521" s="83" t="s">
        <v>101</v>
      </c>
      <c r="B521" s="259" t="s">
        <v>109</v>
      </c>
      <c r="C521" s="124" t="s">
        <v>113</v>
      </c>
      <c r="D521" s="124" t="s">
        <v>113</v>
      </c>
      <c r="E521" s="124" t="s">
        <v>109</v>
      </c>
      <c r="F521" s="124" t="s">
        <v>109</v>
      </c>
      <c r="G521" s="123" t="s">
        <v>113</v>
      </c>
      <c r="H521" s="124" t="s">
        <v>109</v>
      </c>
      <c r="I521" s="126" t="s">
        <v>109</v>
      </c>
    </row>
    <row r="522" hidden="1" outlineLevel="2">
      <c r="A522" s="83" t="s">
        <v>117</v>
      </c>
      <c r="B522" s="259" t="s">
        <v>118</v>
      </c>
      <c r="C522" s="124" t="s">
        <v>119</v>
      </c>
      <c r="D522" s="124" t="s">
        <v>118</v>
      </c>
      <c r="E522" s="124" t="s">
        <v>119</v>
      </c>
      <c r="F522" s="124" t="s">
        <v>118</v>
      </c>
      <c r="G522" s="124" t="s">
        <v>119</v>
      </c>
      <c r="H522" s="124" t="s">
        <v>119</v>
      </c>
      <c r="I522" s="126" t="s">
        <v>119</v>
      </c>
    </row>
    <row r="523" hidden="1" outlineLevel="2">
      <c r="A523" s="83" t="s">
        <v>120</v>
      </c>
      <c r="B523" s="271">
        <f>IF(B513&lt;B514,B514,B513) *
IF(B521="AM",
    IF(B522="Oricle",3.5,
    IF(B522="Other Brands",4,
    IF(B522="Oricle Prio",0.6,""))),
 IF(B521="MID",
    IF(B522="Oricle",2.5,
    IF(B522="Other Brands",3,
    IF(B522="Oricle Prio",0.6,""))),
 IF(B521="GY",
    IF(B522="Oricle",1,
    IF(B522="Other Brands",1,
    IF(B522="Oricle Prio",0.3,""))),"")))-10</f>
        <v>101</v>
      </c>
      <c r="C523" s="273">
        <f>IF(C513&lt;C514,C514,C513) *
IF(C521="AM",
    IF(C522="Oricle",3,
    IF(C522="Other Brands",4,
    IF(C522="Oricle Prio",0.6,""))),
 IF(C521="MID",
    IF(C522="Oricle",2.5,
    IF(C522="Other Brands",3,
    IF(C522="Oricle Prio",0.6,""))),
 IF(C521="GY",
    IF(C522="Oricle",1,
    IF(C522="Other Brands",1,
    IF(C522="Oricle Prio",0.3,""))),"")))</f>
        <v>145.29</v>
      </c>
      <c r="D523" s="273">
        <f>IF(D513&lt;D514,D514,D513) *
IF(D521="AM",
    IF(D522="Oricle",3.5,
    IF(D522="Other Brands",4,
    IF(D522="Oricle Prio",0.6,""))),
 IF(D521="MID",
    IF(D522="Oricle",2.5,
    IF(D522="Other Brands",3,
    IF(D522="Oricle Prio",0.6,""))),
 IF(D521="GY",
    IF(D522="Oricle",1,
    IF(D522="Other Brands",1,
    IF(D522="Oricle Prio",0.3,""))),"")))</f>
        <v>194.12</v>
      </c>
      <c r="E523" s="273">
        <f>IF(E513&lt;E514,E514,E513) *
IF(E521="AM",
    IF(E522="Oricle",3.5,
    IF(E522="Other Brands",4,
    IF(E522="Oricle Prio",0.6,""))),
 IF(E521="MID",
    IF(E522="Oricle",2.5,
    IF(E522="Other Brands",3,
    IF(E522="Oricle Prio",0.6,""))),
 IF(E521="GY",
    IF(E522="Oricle",1,
    IF(E522="Other Brands",1,
    IF(E522="Oricle Prio",0.3,""))),"")))-12</f>
        <v>71.375</v>
      </c>
      <c r="F523" s="273">
        <f>IF(F513&lt;F514,F514,F513) *
IF(F521="AM",
    IF(F522="Oricle",3.5,
    IF(F522="Other Brands",4,
    IF(F522="Oricle Prio",0.6,""))),
 IF(F521="MID",
    IF(F522="Oricle",2.5,
    IF(F522="Other Brands",3,
    IF(F522="Oricle Prio",0.6,""))),
 IF(F521="GY",
    IF(F522="Oricle",1,
    IF(F522="Other Brands",1,
    IF(F522="Oricle Prio",0.3,""))),"")))</f>
        <v>72</v>
      </c>
      <c r="G523" s="273">
        <f>IF(G513&lt;G514,G514,G513) *
IF(G521="AM",
    IF(G522="Oricle",3,
    IF(G522="Other Brands",4,
    IF(G522="Oricle Prio",0.6,""))),
 IF(G521="MID",
    IF(G522="Oricle",2.5,
    IF(G522="Other Brands",3,
    IF(G522="Oricle Prio",0.6,""))),
 IF(G521="GY",
    IF(G522="Oricle",1,
    IF(G522="Other Brands",1,
    IF(G522="Oricle Prio",0.3,""))),"")))</f>
        <v>123.75</v>
      </c>
      <c r="H523" s="273">
        <f t="shared" ref="H523:I523" si="199">IF(H513&lt;H514,H514,H513) *
IF(H521="AM",
    IF(H522="Oricle",3.5,
    IF(H522="Other Brands",4,
    IF(H522="Oricle Prio",0.6,""))),
 IF(H521="MID",
    IF(H522="Oricle",2.5,
    IF(H522="Other Brands",3,
    IF(H522="Oricle Prio",0.6,""))),
 IF(H521="GY",
    IF(H522="Oricle",1,
    IF(H522="Other Brands",1,
    IF(H522="Oricle Prio",0.3,""))),"")))</f>
        <v>100.1</v>
      </c>
      <c r="I523" s="273">
        <f t="shared" si="199"/>
        <v>113.225</v>
      </c>
    </row>
    <row r="524" hidden="1" outlineLevel="2">
      <c r="A524" s="83" t="s">
        <v>131</v>
      </c>
      <c r="B524" s="306" t="s">
        <v>594</v>
      </c>
      <c r="C524" s="123" t="s">
        <v>464</v>
      </c>
      <c r="D524" s="123" t="s">
        <v>827</v>
      </c>
      <c r="E524" s="123" t="s">
        <v>1068</v>
      </c>
      <c r="F524" s="123" t="s">
        <v>1070</v>
      </c>
      <c r="G524" s="123" t="s">
        <v>829</v>
      </c>
      <c r="H524" s="123" t="s">
        <v>660</v>
      </c>
      <c r="I524" s="301" t="s">
        <v>760</v>
      </c>
    </row>
    <row r="525" hidden="1" outlineLevel="2">
      <c r="A525" s="83" t="s">
        <v>138</v>
      </c>
      <c r="B525" s="306" t="s">
        <v>900</v>
      </c>
      <c r="C525" s="123" t="s">
        <v>256</v>
      </c>
      <c r="D525" s="123" t="s">
        <v>132</v>
      </c>
      <c r="E525" s="123" t="s">
        <v>1071</v>
      </c>
      <c r="F525" s="123" t="s">
        <v>1072</v>
      </c>
      <c r="G525" s="123" t="s">
        <v>829</v>
      </c>
      <c r="H525" s="123" t="s">
        <v>761</v>
      </c>
      <c r="I525" s="301" t="s">
        <v>760</v>
      </c>
    </row>
    <row r="526" hidden="1" outlineLevel="2">
      <c r="A526" s="88" t="s">
        <v>149</v>
      </c>
      <c r="B526" s="152">
        <f t="shared" ref="B526:I526" si="200">IF(B524&gt;0,B525/B524,0)</f>
        <v>0.9462365591</v>
      </c>
      <c r="C526" s="153">
        <f t="shared" si="200"/>
        <v>0.9921259843</v>
      </c>
      <c r="D526" s="153">
        <f t="shared" si="200"/>
        <v>0.972972973</v>
      </c>
      <c r="E526" s="153">
        <f t="shared" si="200"/>
        <v>0.9682539683</v>
      </c>
      <c r="F526" s="153">
        <f t="shared" si="200"/>
        <v>0.9591836735</v>
      </c>
      <c r="G526" s="153">
        <f t="shared" si="200"/>
        <v>1</v>
      </c>
      <c r="H526" s="153">
        <f t="shared" si="200"/>
        <v>0.988372093</v>
      </c>
      <c r="I526" s="154">
        <f t="shared" si="200"/>
        <v>1</v>
      </c>
    </row>
    <row r="527" hidden="1" outlineLevel="2">
      <c r="A527" s="88" t="s">
        <v>156</v>
      </c>
      <c r="B527" s="152">
        <f t="shared" ref="B527:I527" si="201">IF(B523&gt;0,B525/B523,0)</f>
        <v>0.8712871287</v>
      </c>
      <c r="C527" s="153">
        <f t="shared" si="201"/>
        <v>0.8672310551</v>
      </c>
      <c r="D527" s="153">
        <f t="shared" si="201"/>
        <v>0.7418091902</v>
      </c>
      <c r="E527" s="153">
        <f t="shared" si="201"/>
        <v>0.8546409807</v>
      </c>
      <c r="F527" s="153">
        <f t="shared" si="201"/>
        <v>0.6527777778</v>
      </c>
      <c r="G527" s="153">
        <f t="shared" si="201"/>
        <v>1.082828283</v>
      </c>
      <c r="H527" s="153">
        <f t="shared" si="201"/>
        <v>0.8491508492</v>
      </c>
      <c r="I527" s="154">
        <f t="shared" si="201"/>
        <v>0.9450209759</v>
      </c>
    </row>
    <row r="528" hidden="1" outlineLevel="2">
      <c r="A528" s="159" t="s">
        <v>13</v>
      </c>
      <c r="B528" s="297">
        <f t="shared" ref="B528:I528" si="202">average(B526:B527)</f>
        <v>0.9087618439</v>
      </c>
      <c r="C528" s="298">
        <f t="shared" si="202"/>
        <v>0.9296785197</v>
      </c>
      <c r="D528" s="298">
        <f t="shared" si="202"/>
        <v>0.8573910816</v>
      </c>
      <c r="E528" s="298">
        <f t="shared" si="202"/>
        <v>0.9114474745</v>
      </c>
      <c r="F528" s="298">
        <f t="shared" si="202"/>
        <v>0.8059807256</v>
      </c>
      <c r="G528" s="298">
        <f t="shared" si="202"/>
        <v>1.041414141</v>
      </c>
      <c r="H528" s="298">
        <f t="shared" si="202"/>
        <v>0.9187614711</v>
      </c>
      <c r="I528" s="299">
        <f t="shared" si="202"/>
        <v>0.972510488</v>
      </c>
    </row>
    <row r="529" hidden="1" outlineLevel="2">
      <c r="A529" s="51" t="s">
        <v>161</v>
      </c>
      <c r="B529" s="334"/>
      <c r="C529" s="54"/>
      <c r="D529" s="54"/>
      <c r="E529" s="54"/>
      <c r="F529" s="54"/>
      <c r="G529" s="54"/>
      <c r="H529" s="54"/>
      <c r="I529" s="335"/>
    </row>
    <row r="530" hidden="1" outlineLevel="2">
      <c r="A530" s="83" t="s">
        <v>162</v>
      </c>
      <c r="B530" s="292">
        <v>9.33</v>
      </c>
      <c r="C530" s="293">
        <v>9.15</v>
      </c>
      <c r="D530" s="293">
        <v>8.63</v>
      </c>
      <c r="E530" s="293">
        <v>9.0</v>
      </c>
      <c r="F530" s="277">
        <v>9.0</v>
      </c>
      <c r="G530" s="293">
        <v>9.14</v>
      </c>
      <c r="H530" s="293">
        <v>8.95</v>
      </c>
      <c r="I530" s="294">
        <v>8.64</v>
      </c>
    </row>
    <row r="531" hidden="1" outlineLevel="2">
      <c r="A531" s="88" t="s">
        <v>169</v>
      </c>
      <c r="B531" s="165">
        <v>10.0</v>
      </c>
      <c r="C531" s="166">
        <v>10.0</v>
      </c>
      <c r="D531" s="166">
        <v>10.0</v>
      </c>
      <c r="E531" s="166">
        <v>10.0</v>
      </c>
      <c r="F531" s="166">
        <v>10.0</v>
      </c>
      <c r="G531" s="166">
        <v>10.0</v>
      </c>
      <c r="H531" s="166">
        <v>10.0</v>
      </c>
      <c r="I531" s="168">
        <v>10.0</v>
      </c>
    </row>
    <row r="532" hidden="1" outlineLevel="2">
      <c r="A532" s="73" t="s">
        <v>170</v>
      </c>
      <c r="B532" s="297">
        <f t="shared" ref="B532:I532" si="203">IF(B530=0,0,B530/B531)</f>
        <v>0.933</v>
      </c>
      <c r="C532" s="298">
        <f t="shared" si="203"/>
        <v>0.915</v>
      </c>
      <c r="D532" s="298">
        <f t="shared" si="203"/>
        <v>0.863</v>
      </c>
      <c r="E532" s="298">
        <f t="shared" si="203"/>
        <v>0.9</v>
      </c>
      <c r="F532" s="298">
        <f t="shared" si="203"/>
        <v>0.9</v>
      </c>
      <c r="G532" s="298">
        <f t="shared" si="203"/>
        <v>0.914</v>
      </c>
      <c r="H532" s="298">
        <f t="shared" si="203"/>
        <v>0.895</v>
      </c>
      <c r="I532" s="299">
        <f t="shared" si="203"/>
        <v>0.864</v>
      </c>
    </row>
    <row r="533" hidden="1" outlineLevel="2">
      <c r="A533" s="51" t="s">
        <v>173</v>
      </c>
      <c r="B533" s="53"/>
      <c r="C533" s="54"/>
      <c r="D533" s="54"/>
      <c r="E533" s="54"/>
      <c r="F533" s="54"/>
      <c r="G533" s="54"/>
      <c r="H533" s="54"/>
      <c r="I533" s="56"/>
    </row>
    <row r="534" hidden="1" outlineLevel="2">
      <c r="A534" s="83" t="s">
        <v>175</v>
      </c>
      <c r="B534" s="330"/>
      <c r="C534" s="331"/>
      <c r="D534" s="345"/>
      <c r="E534" s="331"/>
      <c r="F534" s="331"/>
      <c r="G534" s="331"/>
      <c r="H534" s="331"/>
      <c r="I534" s="332"/>
    </row>
    <row r="535" hidden="1" outlineLevel="2">
      <c r="A535" s="180" t="s">
        <v>179</v>
      </c>
      <c r="B535" s="53"/>
      <c r="C535" s="54"/>
      <c r="D535" s="54"/>
      <c r="E535" s="54"/>
      <c r="F535" s="54"/>
      <c r="G535" s="54"/>
      <c r="H535" s="54"/>
      <c r="I535" s="56"/>
    </row>
    <row r="536" hidden="1" outlineLevel="2">
      <c r="A536" s="88" t="s">
        <v>180</v>
      </c>
      <c r="B536" s="181">
        <f t="shared" ref="B536:I536" si="204">B515*25</f>
        <v>24.72297297</v>
      </c>
      <c r="C536" s="182">
        <f t="shared" si="204"/>
        <v>30.26875</v>
      </c>
      <c r="D536" s="182">
        <f t="shared" si="204"/>
        <v>30.33125</v>
      </c>
      <c r="E536" s="182">
        <f t="shared" si="204"/>
        <v>25.26515152</v>
      </c>
      <c r="F536" s="182">
        <f t="shared" si="204"/>
        <v>27.27272727</v>
      </c>
      <c r="G536" s="182">
        <f t="shared" si="204"/>
        <v>25.78125</v>
      </c>
      <c r="H536" s="182">
        <f t="shared" si="204"/>
        <v>25.025</v>
      </c>
      <c r="I536" s="183">
        <f t="shared" si="204"/>
        <v>28.30625</v>
      </c>
    </row>
    <row r="537" hidden="1" outlineLevel="2">
      <c r="A537" s="88" t="s">
        <v>182</v>
      </c>
      <c r="B537" s="181">
        <f t="shared" ref="B537:I537" si="205">B519*35</f>
        <v>35</v>
      </c>
      <c r="C537" s="182">
        <f t="shared" si="205"/>
        <v>35</v>
      </c>
      <c r="D537" s="182">
        <f t="shared" si="205"/>
        <v>32.375</v>
      </c>
      <c r="E537" s="182">
        <f t="shared" si="205"/>
        <v>35</v>
      </c>
      <c r="F537" s="182">
        <f t="shared" si="205"/>
        <v>27.125</v>
      </c>
      <c r="G537" s="182">
        <f t="shared" si="205"/>
        <v>35</v>
      </c>
      <c r="H537" s="182">
        <f t="shared" si="205"/>
        <v>35</v>
      </c>
      <c r="I537" s="183">
        <f t="shared" si="205"/>
        <v>35</v>
      </c>
    </row>
    <row r="538" hidden="1" outlineLevel="2">
      <c r="A538" s="88" t="s">
        <v>184</v>
      </c>
      <c r="B538" s="181">
        <f t="shared" ref="B538:I538" si="206">IF(AND(B519&lt;85%, B528&gt;100%), 25, B528*25)</f>
        <v>22.7190461</v>
      </c>
      <c r="C538" s="182">
        <f t="shared" si="206"/>
        <v>23.24196299</v>
      </c>
      <c r="D538" s="182">
        <f t="shared" si="206"/>
        <v>21.43477704</v>
      </c>
      <c r="E538" s="182">
        <f t="shared" si="206"/>
        <v>22.78618686</v>
      </c>
      <c r="F538" s="182">
        <f t="shared" si="206"/>
        <v>20.14951814</v>
      </c>
      <c r="G538" s="182">
        <f t="shared" si="206"/>
        <v>26.03535354</v>
      </c>
      <c r="H538" s="182">
        <f t="shared" si="206"/>
        <v>22.96903678</v>
      </c>
      <c r="I538" s="183">
        <f t="shared" si="206"/>
        <v>24.3127622</v>
      </c>
    </row>
    <row r="539" hidden="1" outlineLevel="2">
      <c r="A539" s="88" t="s">
        <v>187</v>
      </c>
      <c r="B539" s="181">
        <f t="shared" ref="B539:I539" si="207">B532*15</f>
        <v>13.995</v>
      </c>
      <c r="C539" s="182">
        <f t="shared" si="207"/>
        <v>13.725</v>
      </c>
      <c r="D539" s="182">
        <f t="shared" si="207"/>
        <v>12.945</v>
      </c>
      <c r="E539" s="182">
        <f t="shared" si="207"/>
        <v>13.5</v>
      </c>
      <c r="F539" s="182">
        <f t="shared" si="207"/>
        <v>13.5</v>
      </c>
      <c r="G539" s="182">
        <f t="shared" si="207"/>
        <v>13.71</v>
      </c>
      <c r="H539" s="182">
        <f t="shared" si="207"/>
        <v>13.425</v>
      </c>
      <c r="I539" s="183">
        <f t="shared" si="207"/>
        <v>12.96</v>
      </c>
    </row>
    <row r="540" hidden="1" outlineLevel="2">
      <c r="A540" s="88" t="s">
        <v>188</v>
      </c>
      <c r="B540" s="181">
        <f t="shared" ref="B540:I540" si="208">B534*-10</f>
        <v>0</v>
      </c>
      <c r="C540" s="182">
        <f t="shared" si="208"/>
        <v>0</v>
      </c>
      <c r="D540" s="182">
        <f t="shared" si="208"/>
        <v>0</v>
      </c>
      <c r="E540" s="182">
        <f t="shared" si="208"/>
        <v>0</v>
      </c>
      <c r="F540" s="182">
        <f t="shared" si="208"/>
        <v>0</v>
      </c>
      <c r="G540" s="182">
        <f t="shared" si="208"/>
        <v>0</v>
      </c>
      <c r="H540" s="182">
        <f t="shared" si="208"/>
        <v>0</v>
      </c>
      <c r="I540" s="183">
        <f t="shared" si="208"/>
        <v>0</v>
      </c>
    </row>
    <row r="541" hidden="1" outlineLevel="2">
      <c r="A541" s="187" t="s">
        <v>190</v>
      </c>
      <c r="B541" s="181">
        <f t="shared" ref="B541:I541" si="209">B536+B537+B538+B539+B540</f>
        <v>96.43701907</v>
      </c>
      <c r="C541" s="182">
        <f t="shared" si="209"/>
        <v>102.235713</v>
      </c>
      <c r="D541" s="182">
        <f t="shared" si="209"/>
        <v>97.08602704</v>
      </c>
      <c r="E541" s="182">
        <f t="shared" si="209"/>
        <v>96.55133838</v>
      </c>
      <c r="F541" s="182">
        <f t="shared" si="209"/>
        <v>88.04724541</v>
      </c>
      <c r="G541" s="182">
        <f t="shared" si="209"/>
        <v>100.5266035</v>
      </c>
      <c r="H541" s="182">
        <f t="shared" si="209"/>
        <v>96.41903678</v>
      </c>
      <c r="I541" s="183">
        <f t="shared" si="209"/>
        <v>100.5790122</v>
      </c>
    </row>
    <row r="542" hidden="1" outlineLevel="2">
      <c r="A542" s="73" t="s">
        <v>193</v>
      </c>
      <c r="B542" s="74">
        <f t="shared" ref="B542:I542" si="210">B541/100</f>
        <v>0.9643701907</v>
      </c>
      <c r="C542" s="75">
        <f t="shared" si="210"/>
        <v>1.02235713</v>
      </c>
      <c r="D542" s="369">
        <f t="shared" si="210"/>
        <v>0.9708602704</v>
      </c>
      <c r="E542" s="75">
        <f t="shared" si="210"/>
        <v>0.9655133838</v>
      </c>
      <c r="F542" s="75">
        <f t="shared" si="210"/>
        <v>0.8804724541</v>
      </c>
      <c r="G542" s="75">
        <f t="shared" si="210"/>
        <v>1.005266035</v>
      </c>
      <c r="H542" s="75">
        <f t="shared" si="210"/>
        <v>0.9641903678</v>
      </c>
      <c r="I542" s="77">
        <f t="shared" si="210"/>
        <v>1.005790122</v>
      </c>
    </row>
    <row r="543" hidden="1" outlineLevel="2">
      <c r="A543" s="180" t="s">
        <v>203</v>
      </c>
      <c r="B543" s="361" t="s">
        <v>204</v>
      </c>
      <c r="C543" s="362" t="s">
        <v>206</v>
      </c>
      <c r="D543" s="362" t="s">
        <v>204</v>
      </c>
      <c r="E543" s="362" t="s">
        <v>204</v>
      </c>
      <c r="F543" s="362" t="s">
        <v>204</v>
      </c>
      <c r="G543" s="362" t="s">
        <v>204</v>
      </c>
      <c r="H543" s="362" t="s">
        <v>204</v>
      </c>
      <c r="I543" s="362" t="s">
        <v>204</v>
      </c>
    </row>
    <row r="544" hidden="1" outlineLevel="2">
      <c r="A544" s="180" t="s">
        <v>208</v>
      </c>
      <c r="B544" s="216"/>
      <c r="C544" s="217"/>
      <c r="D544" s="350"/>
      <c r="E544" s="217"/>
      <c r="F544" s="217"/>
      <c r="G544" s="217"/>
      <c r="H544" s="217"/>
      <c r="I544" s="364"/>
    </row>
    <row r="545" hidden="1" outlineLevel="1" collapsed="1">
      <c r="A545" s="32"/>
      <c r="B545" s="33" t="s">
        <v>1100</v>
      </c>
      <c r="C545" s="34"/>
      <c r="D545" s="34"/>
      <c r="E545" s="34"/>
      <c r="F545" s="34"/>
      <c r="G545" s="34"/>
      <c r="H545" s="34"/>
      <c r="I545" s="35"/>
    </row>
    <row r="546" hidden="1" outlineLevel="2">
      <c r="A546" s="228"/>
      <c r="B546" s="317" t="s">
        <v>56</v>
      </c>
      <c r="C546" s="318" t="s">
        <v>57</v>
      </c>
      <c r="D546" s="318" t="s">
        <v>21</v>
      </c>
      <c r="E546" s="318" t="s">
        <v>32</v>
      </c>
      <c r="F546" s="318" t="s">
        <v>58</v>
      </c>
      <c r="G546" s="319" t="s">
        <v>59</v>
      </c>
      <c r="H546" s="320" t="s">
        <v>7</v>
      </c>
      <c r="I546" s="320" t="s">
        <v>503</v>
      </c>
    </row>
    <row r="547" hidden="1" outlineLevel="2">
      <c r="A547" s="44" t="s">
        <v>60</v>
      </c>
      <c r="B547" s="289" t="s">
        <v>1100</v>
      </c>
      <c r="C547" s="290"/>
      <c r="D547" s="290"/>
      <c r="E547" s="290"/>
      <c r="F547" s="290"/>
      <c r="G547" s="290"/>
      <c r="H547" s="290"/>
      <c r="I547" s="291"/>
    </row>
    <row r="548" hidden="1" outlineLevel="2">
      <c r="A548" s="51" t="s">
        <v>64</v>
      </c>
      <c r="B548" s="53"/>
      <c r="C548" s="54"/>
      <c r="D548" s="54"/>
      <c r="E548" s="54"/>
      <c r="F548" s="54"/>
      <c r="G548" s="54"/>
      <c r="H548" s="54"/>
      <c r="I548" s="56"/>
    </row>
    <row r="549" hidden="1" outlineLevel="2">
      <c r="A549" s="58" t="s">
        <v>69</v>
      </c>
      <c r="B549" s="292">
        <v>38.54</v>
      </c>
      <c r="C549" s="293">
        <v>24.24</v>
      </c>
      <c r="D549" s="371">
        <v>41.05</v>
      </c>
      <c r="E549" s="293">
        <v>48.0</v>
      </c>
      <c r="F549" s="293">
        <v>37.33</v>
      </c>
      <c r="G549" s="293">
        <v>41.14</v>
      </c>
      <c r="H549" s="293">
        <v>29.33</v>
      </c>
      <c r="I549" s="354">
        <v>37.32</v>
      </c>
    </row>
    <row r="550" hidden="1" outlineLevel="2">
      <c r="A550" s="68" t="s">
        <v>75</v>
      </c>
      <c r="B550" s="372">
        <v>37.0</v>
      </c>
      <c r="C550" s="296">
        <v>24.0</v>
      </c>
      <c r="D550" s="70">
        <v>40.0</v>
      </c>
      <c r="E550" s="296">
        <v>44.0</v>
      </c>
      <c r="F550" s="296">
        <v>37.0</v>
      </c>
      <c r="G550" s="296">
        <v>40.0</v>
      </c>
      <c r="H550" s="296">
        <v>40.0</v>
      </c>
      <c r="I550" s="355">
        <v>40.0</v>
      </c>
    </row>
    <row r="551" hidden="1" outlineLevel="2">
      <c r="A551" s="73" t="s">
        <v>76</v>
      </c>
      <c r="B551" s="297">
        <f t="shared" ref="B551:I551" si="211">B549/B550</f>
        <v>1.041621622</v>
      </c>
      <c r="C551" s="298">
        <f t="shared" si="211"/>
        <v>1.01</v>
      </c>
      <c r="D551" s="298">
        <f t="shared" si="211"/>
        <v>1.02625</v>
      </c>
      <c r="E551" s="298">
        <f t="shared" si="211"/>
        <v>1.090909091</v>
      </c>
      <c r="F551" s="298">
        <f t="shared" si="211"/>
        <v>1.008918919</v>
      </c>
      <c r="G551" s="298">
        <f t="shared" si="211"/>
        <v>1.0285</v>
      </c>
      <c r="H551" s="298">
        <f t="shared" si="211"/>
        <v>0.73325</v>
      </c>
      <c r="I551" s="299">
        <f t="shared" si="211"/>
        <v>0.933</v>
      </c>
    </row>
    <row r="552" hidden="1" outlineLevel="2">
      <c r="A552" s="51" t="s">
        <v>79</v>
      </c>
      <c r="B552" s="53"/>
      <c r="C552" s="54"/>
      <c r="D552" s="54"/>
      <c r="E552" s="54"/>
      <c r="F552" s="54"/>
      <c r="G552" s="54"/>
      <c r="H552" s="54"/>
      <c r="I552" s="56"/>
    </row>
    <row r="553" hidden="1" outlineLevel="2">
      <c r="A553" s="83" t="s">
        <v>81</v>
      </c>
      <c r="B553" s="292">
        <v>40.0</v>
      </c>
      <c r="C553" s="293">
        <v>40.0</v>
      </c>
      <c r="D553" s="293">
        <v>36.0</v>
      </c>
      <c r="E553" s="293">
        <v>40.0</v>
      </c>
      <c r="F553" s="293">
        <v>10.0</v>
      </c>
      <c r="G553" s="293">
        <v>40.0</v>
      </c>
      <c r="H553" s="293">
        <v>38.0</v>
      </c>
      <c r="I553" s="294">
        <v>36.0</v>
      </c>
    </row>
    <row r="554" hidden="1" outlineLevel="2">
      <c r="A554" s="88" t="s">
        <v>86</v>
      </c>
      <c r="B554" s="260">
        <v>40.0</v>
      </c>
      <c r="C554" s="261">
        <v>40.0</v>
      </c>
      <c r="D554" s="261">
        <v>40.0</v>
      </c>
      <c r="E554" s="261">
        <v>40.0</v>
      </c>
      <c r="F554" s="261">
        <v>40.0</v>
      </c>
      <c r="G554" s="261">
        <v>40.0</v>
      </c>
      <c r="H554" s="261">
        <v>40.0</v>
      </c>
      <c r="I554" s="262">
        <v>40.0</v>
      </c>
    </row>
    <row r="555" hidden="1" outlineLevel="2">
      <c r="A555" s="73" t="s">
        <v>96</v>
      </c>
      <c r="B555" s="297">
        <f t="shared" ref="B555:I555" si="212">B553/B554</f>
        <v>1</v>
      </c>
      <c r="C555" s="298">
        <f t="shared" si="212"/>
        <v>1</v>
      </c>
      <c r="D555" s="298">
        <f t="shared" si="212"/>
        <v>0.9</v>
      </c>
      <c r="E555" s="298">
        <f t="shared" si="212"/>
        <v>1</v>
      </c>
      <c r="F555" s="298">
        <f t="shared" si="212"/>
        <v>0.25</v>
      </c>
      <c r="G555" s="298">
        <f t="shared" si="212"/>
        <v>1</v>
      </c>
      <c r="H555" s="298">
        <f t="shared" si="212"/>
        <v>0.95</v>
      </c>
      <c r="I555" s="299">
        <f t="shared" si="212"/>
        <v>0.9</v>
      </c>
    </row>
    <row r="556" hidden="1" outlineLevel="2">
      <c r="A556" s="51" t="s">
        <v>99</v>
      </c>
      <c r="B556" s="53"/>
      <c r="C556" s="54"/>
      <c r="D556" s="54"/>
      <c r="E556" s="54"/>
      <c r="F556" s="54"/>
      <c r="G556" s="54"/>
      <c r="H556" s="54"/>
      <c r="I556" s="56"/>
    </row>
    <row r="557" hidden="1" outlineLevel="2">
      <c r="A557" s="83" t="s">
        <v>101</v>
      </c>
      <c r="B557" s="259" t="s">
        <v>109</v>
      </c>
      <c r="C557" s="124" t="s">
        <v>113</v>
      </c>
      <c r="D557" s="124" t="s">
        <v>113</v>
      </c>
      <c r="E557" s="124" t="s">
        <v>109</v>
      </c>
      <c r="F557" s="124" t="s">
        <v>109</v>
      </c>
      <c r="G557" s="123" t="s">
        <v>113</v>
      </c>
      <c r="H557" s="124" t="s">
        <v>109</v>
      </c>
      <c r="I557" s="126" t="s">
        <v>109</v>
      </c>
    </row>
    <row r="558" hidden="1" outlineLevel="2">
      <c r="A558" s="83" t="s">
        <v>117</v>
      </c>
      <c r="B558" s="259" t="s">
        <v>118</v>
      </c>
      <c r="C558" s="124" t="s">
        <v>119</v>
      </c>
      <c r="D558" s="124" t="s">
        <v>118</v>
      </c>
      <c r="E558" s="124" t="s">
        <v>119</v>
      </c>
      <c r="F558" s="124" t="s">
        <v>118</v>
      </c>
      <c r="G558" s="124" t="s">
        <v>119</v>
      </c>
      <c r="H558" s="124" t="s">
        <v>119</v>
      </c>
      <c r="I558" s="126" t="s">
        <v>119</v>
      </c>
    </row>
    <row r="559" hidden="1" outlineLevel="2">
      <c r="A559" s="83" t="s">
        <v>120</v>
      </c>
      <c r="B559" s="271">
        <f>IF(B549&lt;B550,B550,B549) *
IF(B557="AM",
    IF(B558="Oricle",3.5,
    IF(B558="Other Brands",4,
    IF(B558="Oricle Prio",0.6,""))),
 IF(B557="MID",
    IF(B558="Oricle",2.5,
    IF(B558="Other Brands",3,
    IF(B558="Oricle Prio",0.6,""))),
 IF(B557="GY",
    IF(B558="Oricle",1,
    IF(B558="Other Brands",1,
    IF(B558="Oricle Prio",0.3,""))),"")))-10</f>
        <v>105.62</v>
      </c>
      <c r="C559" s="273">
        <f>IF(C549&lt;C550,C550,C549) *
IF(C557="AM",
    IF(C558="Oricle",3,
    IF(C558="Other Brands",4,
    IF(C558="Oricle Prio",0.6,""))),
 IF(C557="MID",
    IF(C558="Oricle",2.5,
    IF(C558="Other Brands",3,
    IF(C558="Oricle Prio",0.6,""))),
 IF(C557="GY",
    IF(C558="Oricle",1,
    IF(C558="Other Brands",1,
    IF(C558="Oricle Prio",0.3,""))),"")))</f>
        <v>72.72</v>
      </c>
      <c r="D559" s="273">
        <f>IF(D549&lt;D550,D550,D549) *
IF(D557="AM",
    IF(D558="Oricle",3.5,
    IF(D558="Other Brands",4,
    IF(D558="Oricle Prio",0.6,""))),
 IF(D557="MID",
    IF(D558="Oricle",2.5,
    IF(D558="Other Brands",3,
    IF(D558="Oricle Prio",0.6,""))),
 IF(D557="GY",
    IF(D558="Oricle",1,
    IF(D558="Other Brands",1,
    IF(D558="Oricle Prio",0.3,""))),"")))</f>
        <v>164.2</v>
      </c>
      <c r="E559" s="273">
        <f>IF(E549&lt;E550,E550,E549) *
IF(E557="AM",
    IF(E558="Oricle",3.5,
    IF(E558="Other Brands",4,
    IF(E558="Oricle Prio",0.6,""))),
 IF(E557="MID",
    IF(E558="Oricle",2.5,
    IF(E558="Other Brands",3,
    IF(E558="Oricle Prio",0.6,""))),
 IF(E557="GY",
    IF(E558="Oricle",1,
    IF(E558="Other Brands",1,
    IF(E558="Oricle Prio",0.3,""))),"")))-12</f>
        <v>108</v>
      </c>
      <c r="F559" s="273">
        <f>IF(F549&lt;F550,F550,F549) *
IF(F557="AM",
    IF(F558="Oricle",3.5,
    IF(F558="Other Brands",4,
    IF(F558="Oricle Prio",0.6,""))),
 IF(F557="MID",
    IF(F558="Oricle",2.5,
    IF(F558="Other Brands",3,
    IF(F558="Oricle Prio",0.6,""))),
 IF(F557="GY",
    IF(F558="Oricle",1,
    IF(F558="Other Brands",1,
    IF(F558="Oricle Prio",0.3,""))),"")))</f>
        <v>111.99</v>
      </c>
      <c r="G559" s="273">
        <f>IF(G549&lt;G550,G550,G549) *
IF(G557="AM",
    IF(G558="Oricle",3,
    IF(G558="Other Brands",4,
    IF(G558="Oricle Prio",0.6,""))),
 IF(G557="MID",
    IF(G558="Oricle",2.5,
    IF(G558="Other Brands",3,
    IF(G558="Oricle Prio",0.6,""))),
 IF(G557="GY",
    IF(G558="Oricle",1,
    IF(G558="Other Brands",1,
    IF(G558="Oricle Prio",0.3,""))),"")))</f>
        <v>123.42</v>
      </c>
      <c r="H559" s="273">
        <f t="shared" ref="H559:I559" si="213">IF(H549&lt;H550,H550,H549) *
IF(H557="AM",
    IF(H558="Oricle",3.5,
    IF(H558="Other Brands",4,
    IF(H558="Oricle Prio",0.6,""))),
 IF(H557="MID",
    IF(H558="Oricle",2.5,
    IF(H558="Other Brands",3,
    IF(H558="Oricle Prio",0.6,""))),
 IF(H557="GY",
    IF(H558="Oricle",1,
    IF(H558="Other Brands",1,
    IF(H558="Oricle Prio",0.3,""))),"")))</f>
        <v>100</v>
      </c>
      <c r="I559" s="273">
        <f t="shared" si="213"/>
        <v>100</v>
      </c>
    </row>
    <row r="560" hidden="1" outlineLevel="2">
      <c r="A560" s="83" t="s">
        <v>131</v>
      </c>
      <c r="B560" s="306" t="s">
        <v>653</v>
      </c>
      <c r="C560" s="123" t="s">
        <v>1071</v>
      </c>
      <c r="D560" s="123" t="s">
        <v>591</v>
      </c>
      <c r="E560" s="123" t="s">
        <v>591</v>
      </c>
      <c r="F560" s="123" t="s">
        <v>1125</v>
      </c>
      <c r="G560" s="123" t="s">
        <v>307</v>
      </c>
      <c r="H560" s="123" t="s">
        <v>1126</v>
      </c>
      <c r="I560" s="301" t="s">
        <v>260</v>
      </c>
    </row>
    <row r="561" hidden="1" outlineLevel="2">
      <c r="A561" s="83" t="s">
        <v>138</v>
      </c>
      <c r="B561" s="306" t="s">
        <v>1128</v>
      </c>
      <c r="C561" s="123" t="s">
        <v>824</v>
      </c>
      <c r="D561" s="123" t="s">
        <v>952</v>
      </c>
      <c r="E561" s="123" t="s">
        <v>253</v>
      </c>
      <c r="F561" s="123" t="s">
        <v>1068</v>
      </c>
      <c r="G561" s="123" t="s">
        <v>307</v>
      </c>
      <c r="H561" s="123" t="s">
        <v>1070</v>
      </c>
      <c r="I561" s="301" t="s">
        <v>900</v>
      </c>
    </row>
    <row r="562" hidden="1" outlineLevel="2">
      <c r="A562" s="88" t="s">
        <v>149</v>
      </c>
      <c r="B562" s="152">
        <f t="shared" ref="B562:I562" si="214">IF(B560&gt;0,B561/B560,0)</f>
        <v>0.9594594595</v>
      </c>
      <c r="C562" s="153">
        <f t="shared" si="214"/>
        <v>0.9836065574</v>
      </c>
      <c r="D562" s="153">
        <f t="shared" si="214"/>
        <v>0.9787234043</v>
      </c>
      <c r="E562" s="153">
        <f t="shared" si="214"/>
        <v>0.9574468085</v>
      </c>
      <c r="F562" s="153">
        <f t="shared" si="214"/>
        <v>0.9692307692</v>
      </c>
      <c r="G562" s="153">
        <f t="shared" si="214"/>
        <v>1</v>
      </c>
      <c r="H562" s="153">
        <f t="shared" si="214"/>
        <v>0.98</v>
      </c>
      <c r="I562" s="154">
        <f t="shared" si="214"/>
        <v>0.9887640449</v>
      </c>
    </row>
    <row r="563" hidden="1" outlineLevel="2">
      <c r="A563" s="88" t="s">
        <v>156</v>
      </c>
      <c r="B563" s="152">
        <f t="shared" ref="B563:I563" si="215">IF(B559&gt;0,B561/B559,0)</f>
        <v>0.6722211702</v>
      </c>
      <c r="C563" s="153">
        <f t="shared" si="215"/>
        <v>0.8250825083</v>
      </c>
      <c r="D563" s="153">
        <f t="shared" si="215"/>
        <v>0.5602923264</v>
      </c>
      <c r="E563" s="153">
        <f t="shared" si="215"/>
        <v>0.8333333333</v>
      </c>
      <c r="F563" s="153">
        <f t="shared" si="215"/>
        <v>0.5625502277</v>
      </c>
      <c r="G563" s="153">
        <f t="shared" si="215"/>
        <v>1.118133204</v>
      </c>
      <c r="H563" s="153">
        <f t="shared" si="215"/>
        <v>0.49</v>
      </c>
      <c r="I563" s="154">
        <f t="shared" si="215"/>
        <v>0.88</v>
      </c>
    </row>
    <row r="564" hidden="1" outlineLevel="2">
      <c r="A564" s="159" t="s">
        <v>13</v>
      </c>
      <c r="B564" s="297">
        <f t="shared" ref="B564:I564" si="216">average(B562:B563)</f>
        <v>0.8158403148</v>
      </c>
      <c r="C564" s="298">
        <f t="shared" si="216"/>
        <v>0.9043445328</v>
      </c>
      <c r="D564" s="298">
        <f t="shared" si="216"/>
        <v>0.7695078653</v>
      </c>
      <c r="E564" s="298">
        <f t="shared" si="216"/>
        <v>0.8953900709</v>
      </c>
      <c r="F564" s="298">
        <f t="shared" si="216"/>
        <v>0.7658904985</v>
      </c>
      <c r="G564" s="298">
        <f t="shared" si="216"/>
        <v>1.059066602</v>
      </c>
      <c r="H564" s="298">
        <f t="shared" si="216"/>
        <v>0.735</v>
      </c>
      <c r="I564" s="299">
        <f t="shared" si="216"/>
        <v>0.9343820225</v>
      </c>
    </row>
    <row r="565" hidden="1" outlineLevel="2">
      <c r="A565" s="51" t="s">
        <v>161</v>
      </c>
      <c r="B565" s="334"/>
      <c r="C565" s="54"/>
      <c r="D565" s="54"/>
      <c r="E565" s="54"/>
      <c r="F565" s="54"/>
      <c r="G565" s="54"/>
      <c r="H565" s="54"/>
      <c r="I565" s="335"/>
    </row>
    <row r="566" hidden="1" outlineLevel="2">
      <c r="A566" s="83" t="s">
        <v>162</v>
      </c>
      <c r="B566" s="292">
        <v>9.66</v>
      </c>
      <c r="C566" s="293">
        <v>9.88</v>
      </c>
      <c r="D566" s="293">
        <v>8.45</v>
      </c>
      <c r="E566" s="293">
        <v>9.66</v>
      </c>
      <c r="F566" s="277">
        <v>8.76</v>
      </c>
      <c r="G566" s="293">
        <v>8.75</v>
      </c>
      <c r="H566" s="293">
        <v>7.24</v>
      </c>
      <c r="I566" s="294">
        <v>9.05</v>
      </c>
    </row>
    <row r="567" hidden="1" outlineLevel="2">
      <c r="A567" s="88" t="s">
        <v>169</v>
      </c>
      <c r="B567" s="165">
        <v>10.0</v>
      </c>
      <c r="C567" s="166">
        <v>10.0</v>
      </c>
      <c r="D567" s="166">
        <v>10.0</v>
      </c>
      <c r="E567" s="166">
        <v>10.0</v>
      </c>
      <c r="F567" s="166">
        <v>10.0</v>
      </c>
      <c r="G567" s="166">
        <v>10.0</v>
      </c>
      <c r="H567" s="166">
        <v>10.0</v>
      </c>
      <c r="I567" s="168">
        <v>10.0</v>
      </c>
    </row>
    <row r="568" hidden="1" outlineLevel="2">
      <c r="A568" s="73" t="s">
        <v>170</v>
      </c>
      <c r="B568" s="297">
        <f t="shared" ref="B568:I568" si="217">IF(B566=0,0,B566/B567)</f>
        <v>0.966</v>
      </c>
      <c r="C568" s="298">
        <f t="shared" si="217"/>
        <v>0.988</v>
      </c>
      <c r="D568" s="298">
        <f t="shared" si="217"/>
        <v>0.845</v>
      </c>
      <c r="E568" s="298">
        <f t="shared" si="217"/>
        <v>0.966</v>
      </c>
      <c r="F568" s="298">
        <f t="shared" si="217"/>
        <v>0.876</v>
      </c>
      <c r="G568" s="298">
        <f t="shared" si="217"/>
        <v>0.875</v>
      </c>
      <c r="H568" s="298">
        <f t="shared" si="217"/>
        <v>0.724</v>
      </c>
      <c r="I568" s="299">
        <f t="shared" si="217"/>
        <v>0.905</v>
      </c>
    </row>
    <row r="569" hidden="1" outlineLevel="2">
      <c r="A569" s="51" t="s">
        <v>173</v>
      </c>
      <c r="B569" s="53"/>
      <c r="C569" s="54"/>
      <c r="D569" s="54"/>
      <c r="E569" s="54"/>
      <c r="F569" s="54"/>
      <c r="G569" s="54"/>
      <c r="H569" s="54"/>
      <c r="I569" s="56"/>
    </row>
    <row r="570" hidden="1" outlineLevel="2">
      <c r="A570" s="83" t="s">
        <v>175</v>
      </c>
      <c r="B570" s="330"/>
      <c r="C570" s="331"/>
      <c r="D570" s="345"/>
      <c r="E570" s="331"/>
      <c r="F570" s="331"/>
      <c r="G570" s="331"/>
      <c r="H570" s="331"/>
      <c r="I570" s="332"/>
    </row>
    <row r="571" hidden="1" outlineLevel="2">
      <c r="A571" s="180" t="s">
        <v>179</v>
      </c>
      <c r="B571" s="53"/>
      <c r="C571" s="54"/>
      <c r="D571" s="54"/>
      <c r="E571" s="54"/>
      <c r="F571" s="54"/>
      <c r="G571" s="54"/>
      <c r="H571" s="54"/>
      <c r="I571" s="56"/>
    </row>
    <row r="572" hidden="1" outlineLevel="2">
      <c r="A572" s="88" t="s">
        <v>180</v>
      </c>
      <c r="B572" s="181">
        <f t="shared" ref="B572:I572" si="218">B551*25</f>
        <v>26.04054054</v>
      </c>
      <c r="C572" s="182">
        <f t="shared" si="218"/>
        <v>25.25</v>
      </c>
      <c r="D572" s="182">
        <f t="shared" si="218"/>
        <v>25.65625</v>
      </c>
      <c r="E572" s="182">
        <f t="shared" si="218"/>
        <v>27.27272727</v>
      </c>
      <c r="F572" s="182">
        <f t="shared" si="218"/>
        <v>25.22297297</v>
      </c>
      <c r="G572" s="182">
        <f t="shared" si="218"/>
        <v>25.7125</v>
      </c>
      <c r="H572" s="182">
        <f t="shared" si="218"/>
        <v>18.33125</v>
      </c>
      <c r="I572" s="183">
        <f t="shared" si="218"/>
        <v>23.325</v>
      </c>
    </row>
    <row r="573" hidden="1" outlineLevel="2">
      <c r="A573" s="88" t="s">
        <v>182</v>
      </c>
      <c r="B573" s="181">
        <f t="shared" ref="B573:I573" si="219">B555*35</f>
        <v>35</v>
      </c>
      <c r="C573" s="182">
        <f t="shared" si="219"/>
        <v>35</v>
      </c>
      <c r="D573" s="182">
        <f t="shared" si="219"/>
        <v>31.5</v>
      </c>
      <c r="E573" s="182">
        <f t="shared" si="219"/>
        <v>35</v>
      </c>
      <c r="F573" s="182">
        <f t="shared" si="219"/>
        <v>8.75</v>
      </c>
      <c r="G573" s="182">
        <f t="shared" si="219"/>
        <v>35</v>
      </c>
      <c r="H573" s="182">
        <f t="shared" si="219"/>
        <v>33.25</v>
      </c>
      <c r="I573" s="183">
        <f t="shared" si="219"/>
        <v>31.5</v>
      </c>
    </row>
    <row r="574" hidden="1" outlineLevel="2">
      <c r="A574" s="88" t="s">
        <v>184</v>
      </c>
      <c r="B574" s="181">
        <f t="shared" ref="B574:I574" si="220">IF(AND(B555&lt;85%, B564&gt;100%), 25, B564*25)</f>
        <v>20.39600787</v>
      </c>
      <c r="C574" s="182">
        <f t="shared" si="220"/>
        <v>22.60861332</v>
      </c>
      <c r="D574" s="182">
        <f t="shared" si="220"/>
        <v>19.23769663</v>
      </c>
      <c r="E574" s="182">
        <f t="shared" si="220"/>
        <v>22.38475177</v>
      </c>
      <c r="F574" s="182">
        <f t="shared" si="220"/>
        <v>19.14726246</v>
      </c>
      <c r="G574" s="182">
        <f t="shared" si="220"/>
        <v>26.47666505</v>
      </c>
      <c r="H574" s="182">
        <f t="shared" si="220"/>
        <v>18.375</v>
      </c>
      <c r="I574" s="183">
        <f t="shared" si="220"/>
        <v>23.35955056</v>
      </c>
    </row>
    <row r="575" hidden="1" outlineLevel="2">
      <c r="A575" s="88" t="s">
        <v>187</v>
      </c>
      <c r="B575" s="181">
        <f t="shared" ref="B575:I575" si="221">B568*15</f>
        <v>14.49</v>
      </c>
      <c r="C575" s="182">
        <f t="shared" si="221"/>
        <v>14.82</v>
      </c>
      <c r="D575" s="182">
        <f t="shared" si="221"/>
        <v>12.675</v>
      </c>
      <c r="E575" s="182">
        <f t="shared" si="221"/>
        <v>14.49</v>
      </c>
      <c r="F575" s="182">
        <f t="shared" si="221"/>
        <v>13.14</v>
      </c>
      <c r="G575" s="182">
        <f t="shared" si="221"/>
        <v>13.125</v>
      </c>
      <c r="H575" s="182">
        <f t="shared" si="221"/>
        <v>10.86</v>
      </c>
      <c r="I575" s="183">
        <f t="shared" si="221"/>
        <v>13.575</v>
      </c>
    </row>
    <row r="576" hidden="1" outlineLevel="2">
      <c r="A576" s="88" t="s">
        <v>188</v>
      </c>
      <c r="B576" s="181">
        <f t="shared" ref="B576:I576" si="222">B570*-10</f>
        <v>0</v>
      </c>
      <c r="C576" s="182">
        <f t="shared" si="222"/>
        <v>0</v>
      </c>
      <c r="D576" s="182">
        <f t="shared" si="222"/>
        <v>0</v>
      </c>
      <c r="E576" s="182">
        <f t="shared" si="222"/>
        <v>0</v>
      </c>
      <c r="F576" s="182">
        <f t="shared" si="222"/>
        <v>0</v>
      </c>
      <c r="G576" s="182">
        <f t="shared" si="222"/>
        <v>0</v>
      </c>
      <c r="H576" s="182">
        <f t="shared" si="222"/>
        <v>0</v>
      </c>
      <c r="I576" s="183">
        <f t="shared" si="222"/>
        <v>0</v>
      </c>
    </row>
    <row r="577" hidden="1" outlineLevel="2">
      <c r="A577" s="187" t="s">
        <v>190</v>
      </c>
      <c r="B577" s="181">
        <f t="shared" ref="B577:I577" si="223">B572+B573+B574+B575+B576</f>
        <v>95.92654841</v>
      </c>
      <c r="C577" s="182">
        <f t="shared" si="223"/>
        <v>97.67861332</v>
      </c>
      <c r="D577" s="182">
        <f t="shared" si="223"/>
        <v>89.06894663</v>
      </c>
      <c r="E577" s="182">
        <f t="shared" si="223"/>
        <v>99.14747905</v>
      </c>
      <c r="F577" s="182">
        <f t="shared" si="223"/>
        <v>66.26023543</v>
      </c>
      <c r="G577" s="182">
        <f t="shared" si="223"/>
        <v>100.314165</v>
      </c>
      <c r="H577" s="182">
        <f t="shared" si="223"/>
        <v>80.81625</v>
      </c>
      <c r="I577" s="183">
        <f t="shared" si="223"/>
        <v>91.75955056</v>
      </c>
    </row>
    <row r="578" hidden="1" outlineLevel="2">
      <c r="A578" s="73" t="s">
        <v>193</v>
      </c>
      <c r="B578" s="74">
        <f t="shared" ref="B578:I578" si="224">B577/100</f>
        <v>0.9592654841</v>
      </c>
      <c r="C578" s="75">
        <f t="shared" si="224"/>
        <v>0.9767861332</v>
      </c>
      <c r="D578" s="369">
        <f t="shared" si="224"/>
        <v>0.8906894663</v>
      </c>
      <c r="E578" s="75">
        <f t="shared" si="224"/>
        <v>0.9914747905</v>
      </c>
      <c r="F578" s="75">
        <f t="shared" si="224"/>
        <v>0.6626023543</v>
      </c>
      <c r="G578" s="75">
        <f t="shared" si="224"/>
        <v>1.00314165</v>
      </c>
      <c r="H578" s="75">
        <f t="shared" si="224"/>
        <v>0.8081625</v>
      </c>
      <c r="I578" s="77">
        <f t="shared" si="224"/>
        <v>0.9175955056</v>
      </c>
    </row>
    <row r="579" hidden="1" outlineLevel="2">
      <c r="A579" s="180" t="s">
        <v>203</v>
      </c>
      <c r="B579" s="361" t="s">
        <v>204</v>
      </c>
      <c r="C579" s="362" t="s">
        <v>204</v>
      </c>
      <c r="D579" s="362" t="s">
        <v>204</v>
      </c>
      <c r="E579" s="362" t="s">
        <v>204</v>
      </c>
      <c r="F579" s="362" t="s">
        <v>207</v>
      </c>
      <c r="G579" s="362" t="s">
        <v>206</v>
      </c>
      <c r="H579" s="362" t="s">
        <v>204</v>
      </c>
      <c r="I579" s="362" t="s">
        <v>204</v>
      </c>
    </row>
    <row r="580" hidden="1" outlineLevel="2">
      <c r="A580" s="180" t="s">
        <v>208</v>
      </c>
      <c r="B580" s="216"/>
      <c r="C580" s="217"/>
      <c r="D580" s="350"/>
      <c r="E580" s="217"/>
      <c r="F580" s="217"/>
      <c r="G580" s="217"/>
      <c r="H580" s="217"/>
      <c r="I580" s="364"/>
    </row>
    <row r="581" hidden="1" outlineLevel="1" collapsed="1">
      <c r="A581" s="32"/>
      <c r="B581" s="33" t="s">
        <v>1152</v>
      </c>
      <c r="C581" s="34"/>
      <c r="D581" s="34"/>
      <c r="E581" s="34"/>
      <c r="F581" s="34"/>
      <c r="G581" s="34"/>
      <c r="H581" s="34"/>
      <c r="I581" s="35"/>
    </row>
    <row r="582" hidden="1" outlineLevel="2">
      <c r="A582" s="228"/>
      <c r="B582" s="317" t="s">
        <v>56</v>
      </c>
      <c r="C582" s="318" t="s">
        <v>57</v>
      </c>
      <c r="D582" s="318" t="s">
        <v>21</v>
      </c>
      <c r="E582" s="318" t="s">
        <v>32</v>
      </c>
      <c r="F582" s="318" t="s">
        <v>58</v>
      </c>
      <c r="G582" s="319" t="s">
        <v>59</v>
      </c>
      <c r="H582" s="320" t="s">
        <v>7</v>
      </c>
      <c r="I582" s="320" t="s">
        <v>503</v>
      </c>
    </row>
    <row r="583" hidden="1" outlineLevel="2">
      <c r="A583" s="44" t="s">
        <v>60</v>
      </c>
      <c r="B583" s="289" t="s">
        <v>1152</v>
      </c>
      <c r="C583" s="290"/>
      <c r="D583" s="290"/>
      <c r="E583" s="290"/>
      <c r="F583" s="290"/>
      <c r="G583" s="290"/>
      <c r="H583" s="290"/>
      <c r="I583" s="291"/>
    </row>
    <row r="584" hidden="1" outlineLevel="2">
      <c r="A584" s="51" t="s">
        <v>64</v>
      </c>
      <c r="B584" s="53"/>
      <c r="C584" s="54"/>
      <c r="D584" s="54"/>
      <c r="E584" s="54"/>
      <c r="F584" s="54"/>
      <c r="G584" s="54"/>
      <c r="H584" s="54"/>
      <c r="I584" s="56"/>
    </row>
    <row r="585" hidden="1" outlineLevel="2">
      <c r="A585" s="58" t="s">
        <v>69</v>
      </c>
      <c r="B585" s="292">
        <v>29.54</v>
      </c>
      <c r="C585" s="293">
        <v>40.34</v>
      </c>
      <c r="D585" s="371">
        <v>40.4</v>
      </c>
      <c r="E585" s="293">
        <v>37.05</v>
      </c>
      <c r="F585" s="293">
        <v>40.01</v>
      </c>
      <c r="G585" s="293">
        <v>39.59</v>
      </c>
      <c r="H585" s="293">
        <v>36.45</v>
      </c>
      <c r="I585" s="354">
        <v>37.23</v>
      </c>
    </row>
    <row r="586" hidden="1" outlineLevel="2">
      <c r="A586" s="68" t="s">
        <v>75</v>
      </c>
      <c r="B586" s="372">
        <v>30.0</v>
      </c>
      <c r="C586" s="296">
        <v>40.0</v>
      </c>
      <c r="D586" s="70">
        <v>40.0</v>
      </c>
      <c r="E586" s="296">
        <v>37.0</v>
      </c>
      <c r="F586" s="296">
        <v>37.0</v>
      </c>
      <c r="G586" s="296">
        <v>40.0</v>
      </c>
      <c r="H586" s="296">
        <v>40.0</v>
      </c>
      <c r="I586" s="355">
        <v>40.0</v>
      </c>
    </row>
    <row r="587" hidden="1" outlineLevel="2">
      <c r="A587" s="73" t="s">
        <v>76</v>
      </c>
      <c r="B587" s="297">
        <f t="shared" ref="B587:I587" si="225">B585/B586</f>
        <v>0.9846666667</v>
      </c>
      <c r="C587" s="298">
        <f t="shared" si="225"/>
        <v>1.0085</v>
      </c>
      <c r="D587" s="298">
        <f t="shared" si="225"/>
        <v>1.01</v>
      </c>
      <c r="E587" s="298">
        <f t="shared" si="225"/>
        <v>1.001351351</v>
      </c>
      <c r="F587" s="298">
        <f t="shared" si="225"/>
        <v>1.081351351</v>
      </c>
      <c r="G587" s="298">
        <f t="shared" si="225"/>
        <v>0.98975</v>
      </c>
      <c r="H587" s="298">
        <f t="shared" si="225"/>
        <v>0.91125</v>
      </c>
      <c r="I587" s="299">
        <f t="shared" si="225"/>
        <v>0.93075</v>
      </c>
    </row>
    <row r="588" hidden="1" outlineLevel="2">
      <c r="A588" s="51" t="s">
        <v>79</v>
      </c>
      <c r="B588" s="53"/>
      <c r="C588" s="54"/>
      <c r="D588" s="54"/>
      <c r="E588" s="54"/>
      <c r="F588" s="54"/>
      <c r="G588" s="54"/>
      <c r="H588" s="54"/>
      <c r="I588" s="56"/>
    </row>
    <row r="589" hidden="1" outlineLevel="2">
      <c r="A589" s="83" t="s">
        <v>81</v>
      </c>
      <c r="B589" s="292">
        <v>40.0</v>
      </c>
      <c r="C589" s="293">
        <v>40.0</v>
      </c>
      <c r="D589" s="293">
        <v>40.0</v>
      </c>
      <c r="E589" s="293">
        <v>40.0</v>
      </c>
      <c r="F589" s="293">
        <v>40.0</v>
      </c>
      <c r="G589" s="293">
        <v>40.0</v>
      </c>
      <c r="H589" s="293">
        <v>40.0</v>
      </c>
      <c r="I589" s="294">
        <v>40.0</v>
      </c>
    </row>
    <row r="590" hidden="1" outlineLevel="2">
      <c r="A590" s="88" t="s">
        <v>86</v>
      </c>
      <c r="B590" s="260">
        <v>40.0</v>
      </c>
      <c r="C590" s="261">
        <v>40.0</v>
      </c>
      <c r="D590" s="261">
        <v>40.0</v>
      </c>
      <c r="E590" s="261">
        <v>40.0</v>
      </c>
      <c r="F590" s="261">
        <v>40.0</v>
      </c>
      <c r="G590" s="261">
        <v>40.0</v>
      </c>
      <c r="H590" s="261">
        <v>40.0</v>
      </c>
      <c r="I590" s="262">
        <v>40.0</v>
      </c>
    </row>
    <row r="591" hidden="1" outlineLevel="2">
      <c r="A591" s="73" t="s">
        <v>96</v>
      </c>
      <c r="B591" s="297">
        <f t="shared" ref="B591:I591" si="226">B589/B590</f>
        <v>1</v>
      </c>
      <c r="C591" s="298">
        <f t="shared" si="226"/>
        <v>1</v>
      </c>
      <c r="D591" s="298">
        <f t="shared" si="226"/>
        <v>1</v>
      </c>
      <c r="E591" s="298">
        <f t="shared" si="226"/>
        <v>1</v>
      </c>
      <c r="F591" s="298">
        <f t="shared" si="226"/>
        <v>1</v>
      </c>
      <c r="G591" s="298">
        <f t="shared" si="226"/>
        <v>1</v>
      </c>
      <c r="H591" s="298">
        <f t="shared" si="226"/>
        <v>1</v>
      </c>
      <c r="I591" s="299">
        <f t="shared" si="226"/>
        <v>1</v>
      </c>
    </row>
    <row r="592" hidden="1" outlineLevel="2">
      <c r="A592" s="51" t="s">
        <v>99</v>
      </c>
      <c r="B592" s="53"/>
      <c r="C592" s="54"/>
      <c r="D592" s="54"/>
      <c r="E592" s="54"/>
      <c r="F592" s="54"/>
      <c r="G592" s="54"/>
      <c r="H592" s="54"/>
      <c r="I592" s="56"/>
    </row>
    <row r="593" hidden="1" outlineLevel="2">
      <c r="A593" s="83" t="s">
        <v>101</v>
      </c>
      <c r="B593" s="259" t="s">
        <v>109</v>
      </c>
      <c r="C593" s="124" t="s">
        <v>113</v>
      </c>
      <c r="D593" s="124" t="s">
        <v>113</v>
      </c>
      <c r="E593" s="124" t="s">
        <v>109</v>
      </c>
      <c r="F593" s="124" t="s">
        <v>109</v>
      </c>
      <c r="G593" s="123" t="s">
        <v>113</v>
      </c>
      <c r="H593" s="124" t="s">
        <v>109</v>
      </c>
      <c r="I593" s="126" t="s">
        <v>109</v>
      </c>
    </row>
    <row r="594" hidden="1" outlineLevel="2">
      <c r="A594" s="83" t="s">
        <v>117</v>
      </c>
      <c r="B594" s="259" t="s">
        <v>118</v>
      </c>
      <c r="C594" s="124" t="s">
        <v>119</v>
      </c>
      <c r="D594" s="124" t="s">
        <v>118</v>
      </c>
      <c r="E594" s="124" t="s">
        <v>119</v>
      </c>
      <c r="F594" s="124" t="s">
        <v>118</v>
      </c>
      <c r="G594" s="124" t="s">
        <v>119</v>
      </c>
      <c r="H594" s="124" t="s">
        <v>119</v>
      </c>
      <c r="I594" s="126" t="s">
        <v>119</v>
      </c>
    </row>
    <row r="595" hidden="1" outlineLevel="2">
      <c r="A595" s="83" t="s">
        <v>120</v>
      </c>
      <c r="B595" s="271">
        <f>IF(B585&lt;B586,B586,B585) *
IF(B593="AM",
    IF(B594="Oricle",3.5,
    IF(B594="Other Brands",4,
    IF(B594="Oricle Prio",0.6,""))),
 IF(B593="MID",
    IF(B594="Oricle",2.5,
    IF(B594="Other Brands",3,
    IF(B594="Oricle Prio",0.6,""))),
 IF(B593="GY",
    IF(B594="Oricle",1,
    IF(B594="Other Brands",1,
    IF(B594="Oricle Prio",0.3,""))),"")))-10</f>
        <v>80</v>
      </c>
      <c r="C595" s="273">
        <f>IF(C585&lt;C586,C586,C585) *
IF(C593="AM",
    IF(C594="Oricle",3,
    IF(C594="Other Brands",4,
    IF(C594="Oricle Prio",0.6,""))),
 IF(C593="MID",
    IF(C594="Oricle",2.5,
    IF(C594="Other Brands",3,
    IF(C594="Oricle Prio",0.6,""))),
 IF(C593="GY",
    IF(C594="Oricle",1,
    IF(C594="Other Brands",1,
    IF(C594="Oricle Prio",0.3,""))),"")))</f>
        <v>121.02</v>
      </c>
      <c r="D595" s="273">
        <f>IF(D585&lt;D586,D586,D585) *
IF(D593="AM",
    IF(D594="Oricle",3.5,
    IF(D594="Other Brands",4,
    IF(D594="Oricle Prio",0.6,""))),
 IF(D593="MID",
    IF(D594="Oricle",2.5,
    IF(D594="Other Brands",3,
    IF(D594="Oricle Prio",0.6,""))),
 IF(D593="GY",
    IF(D594="Oricle",1,
    IF(D594="Other Brands",1,
    IF(D594="Oricle Prio",0.3,""))),"")))</f>
        <v>161.6</v>
      </c>
      <c r="E595" s="273">
        <f>IF(E585&lt;E586,E586,E585) *
IF(E593="AM",
    IF(E594="Oricle",3.5,
    IF(E594="Other Brands",4,
    IF(E594="Oricle Prio",0.6,""))),
 IF(E593="MID",
    IF(E594="Oricle",2.5,
    IF(E594="Other Brands",3,
    IF(E594="Oricle Prio",0.6,""))),
 IF(E593="GY",
    IF(E594="Oricle",1,
    IF(E594="Other Brands",1,
    IF(E594="Oricle Prio",0.3,""))),"")))-12</f>
        <v>80.625</v>
      </c>
      <c r="F595" s="273">
        <f>IF(F585&lt;F586,F586,F585) *
IF(F593="AM",
    IF(F594="Oricle",3.5,
    IF(F594="Other Brands",4,
    IF(F594="Oricle Prio",0.6,""))),
 IF(F593="MID",
    IF(F594="Oricle",2.5,
    IF(F594="Other Brands",3,
    IF(F594="Oricle Prio",0.6,""))),
 IF(F593="GY",
    IF(F594="Oricle",1,
    IF(F594="Other Brands",1,
    IF(F594="Oricle Prio",0.3,""))),"")))</f>
        <v>120.03</v>
      </c>
      <c r="G595" s="273">
        <f>IF(G585&lt;G586,G586,G585) *
IF(G593="AM",
    IF(G594="Oricle",3,
    IF(G594="Other Brands",4,
    IF(G594="Oricle Prio",0.6,""))),
 IF(G593="MID",
    IF(G594="Oricle",2.5,
    IF(G594="Other Brands",3,
    IF(G594="Oricle Prio",0.6,""))),
 IF(G593="GY",
    IF(G594="Oricle",1,
    IF(G594="Other Brands",1,
    IF(G594="Oricle Prio",0.3,""))),"")))</f>
        <v>120</v>
      </c>
      <c r="H595" s="273">
        <f t="shared" ref="H595:I595" si="227">IF(H585&lt;H586,H586,H585) *
IF(H593="AM",
    IF(H594="Oricle",3.5,
    IF(H594="Other Brands",4,
    IF(H594="Oricle Prio",0.6,""))),
 IF(H593="MID",
    IF(H594="Oricle",2.5,
    IF(H594="Other Brands",3,
    IF(H594="Oricle Prio",0.6,""))),
 IF(H593="GY",
    IF(H594="Oricle",1,
    IF(H594="Other Brands",1,
    IF(H594="Oricle Prio",0.3,""))),"")))</f>
        <v>100</v>
      </c>
      <c r="I595" s="273">
        <f t="shared" si="227"/>
        <v>100</v>
      </c>
    </row>
    <row r="596" hidden="1" outlineLevel="2">
      <c r="A596" s="83" t="s">
        <v>131</v>
      </c>
      <c r="B596" s="306" t="s">
        <v>1164</v>
      </c>
      <c r="C596" s="123" t="s">
        <v>830</v>
      </c>
      <c r="D596" s="123" t="s">
        <v>1008</v>
      </c>
      <c r="E596" s="123" t="s">
        <v>1166</v>
      </c>
      <c r="F596" s="123" t="s">
        <v>596</v>
      </c>
      <c r="G596" s="123" t="s">
        <v>307</v>
      </c>
      <c r="H596" s="123" t="s">
        <v>1071</v>
      </c>
      <c r="I596" s="301" t="s">
        <v>312</v>
      </c>
    </row>
    <row r="597" hidden="1" outlineLevel="2">
      <c r="A597" s="83" t="s">
        <v>138</v>
      </c>
      <c r="B597" s="306" t="s">
        <v>1071</v>
      </c>
      <c r="C597" s="123" t="s">
        <v>952</v>
      </c>
      <c r="D597" s="123" t="s">
        <v>697</v>
      </c>
      <c r="E597" s="123" t="s">
        <v>1167</v>
      </c>
      <c r="F597" s="123" t="s">
        <v>759</v>
      </c>
      <c r="G597" s="123" t="s">
        <v>307</v>
      </c>
      <c r="H597" s="123" t="s">
        <v>828</v>
      </c>
      <c r="I597" s="301" t="s">
        <v>898</v>
      </c>
    </row>
    <row r="598" hidden="1" outlineLevel="2">
      <c r="A598" s="88" t="s">
        <v>149</v>
      </c>
      <c r="B598" s="152">
        <f t="shared" ref="B598:I598" si="228">IF(B596&gt;0,B597/B596,0)</f>
        <v>0.953125</v>
      </c>
      <c r="C598" s="153">
        <f t="shared" si="228"/>
        <v>0.9583333333</v>
      </c>
      <c r="D598" s="153">
        <f t="shared" si="228"/>
        <v>0.9838709677</v>
      </c>
      <c r="E598" s="153">
        <f t="shared" si="228"/>
        <v>0.962962963</v>
      </c>
      <c r="F598" s="153">
        <f t="shared" si="228"/>
        <v>0.9571428571</v>
      </c>
      <c r="G598" s="153">
        <f t="shared" si="228"/>
        <v>1</v>
      </c>
      <c r="H598" s="153">
        <f t="shared" si="228"/>
        <v>0.9672131148</v>
      </c>
      <c r="I598" s="154">
        <f t="shared" si="228"/>
        <v>0.9868421053</v>
      </c>
    </row>
    <row r="599" hidden="1" outlineLevel="2">
      <c r="A599" s="88" t="s">
        <v>156</v>
      </c>
      <c r="B599" s="152">
        <f t="shared" ref="B599:I599" si="229">IF(B595&gt;0,B597/B595,0)</f>
        <v>0.7625</v>
      </c>
      <c r="C599" s="153">
        <f t="shared" si="229"/>
        <v>0.7602049248</v>
      </c>
      <c r="D599" s="153">
        <f t="shared" si="229"/>
        <v>0.754950495</v>
      </c>
      <c r="E599" s="153">
        <f t="shared" si="229"/>
        <v>0.6449612403</v>
      </c>
      <c r="F599" s="153">
        <f t="shared" si="229"/>
        <v>0.5581937849</v>
      </c>
      <c r="G599" s="153">
        <f t="shared" si="229"/>
        <v>1.15</v>
      </c>
      <c r="H599" s="153">
        <f t="shared" si="229"/>
        <v>0.59</v>
      </c>
      <c r="I599" s="154">
        <f t="shared" si="229"/>
        <v>0.75</v>
      </c>
    </row>
    <row r="600" hidden="1" outlineLevel="2">
      <c r="A600" s="159" t="s">
        <v>13</v>
      </c>
      <c r="B600" s="297">
        <f t="shared" ref="B600:I600" si="230">average(B598:B599)</f>
        <v>0.8578125</v>
      </c>
      <c r="C600" s="298">
        <f t="shared" si="230"/>
        <v>0.8592691291</v>
      </c>
      <c r="D600" s="298">
        <f t="shared" si="230"/>
        <v>0.8694107314</v>
      </c>
      <c r="E600" s="298">
        <f t="shared" si="230"/>
        <v>0.8039621016</v>
      </c>
      <c r="F600" s="298">
        <f t="shared" si="230"/>
        <v>0.757668321</v>
      </c>
      <c r="G600" s="298">
        <f t="shared" si="230"/>
        <v>1.075</v>
      </c>
      <c r="H600" s="298">
        <f t="shared" si="230"/>
        <v>0.7786065574</v>
      </c>
      <c r="I600" s="299">
        <f t="shared" si="230"/>
        <v>0.8684210526</v>
      </c>
    </row>
    <row r="601" hidden="1" outlineLevel="2">
      <c r="A601" s="51" t="s">
        <v>161</v>
      </c>
      <c r="B601" s="334"/>
      <c r="C601" s="54"/>
      <c r="D601" s="54"/>
      <c r="E601" s="54"/>
      <c r="F601" s="54"/>
      <c r="G601" s="54"/>
      <c r="H601" s="54"/>
      <c r="I601" s="335"/>
    </row>
    <row r="602" hidden="1" outlineLevel="2">
      <c r="A602" s="83" t="s">
        <v>162</v>
      </c>
      <c r="B602" s="292">
        <v>9.66</v>
      </c>
      <c r="C602" s="293">
        <v>9.58</v>
      </c>
      <c r="D602" s="293">
        <v>9.62</v>
      </c>
      <c r="E602" s="293">
        <v>9.66</v>
      </c>
      <c r="F602" s="293">
        <v>9.66</v>
      </c>
      <c r="G602" s="293">
        <v>9.72</v>
      </c>
      <c r="H602" s="293">
        <v>8.03</v>
      </c>
      <c r="I602" s="293">
        <v>9.54</v>
      </c>
    </row>
    <row r="603" hidden="1" outlineLevel="2">
      <c r="A603" s="88" t="s">
        <v>169</v>
      </c>
      <c r="B603" s="165">
        <v>10.0</v>
      </c>
      <c r="C603" s="166">
        <v>10.0</v>
      </c>
      <c r="D603" s="166">
        <v>10.0</v>
      </c>
      <c r="E603" s="166">
        <v>10.0</v>
      </c>
      <c r="F603" s="166">
        <v>10.0</v>
      </c>
      <c r="G603" s="166">
        <v>10.0</v>
      </c>
      <c r="H603" s="166">
        <v>10.0</v>
      </c>
      <c r="I603" s="168">
        <v>10.0</v>
      </c>
    </row>
    <row r="604" hidden="1" outlineLevel="2">
      <c r="A604" s="73" t="s">
        <v>170</v>
      </c>
      <c r="B604" s="297">
        <f t="shared" ref="B604:I604" si="231">IF(B602=0,0,B602/B603)</f>
        <v>0.966</v>
      </c>
      <c r="C604" s="298">
        <f t="shared" si="231"/>
        <v>0.958</v>
      </c>
      <c r="D604" s="298">
        <f t="shared" si="231"/>
        <v>0.962</v>
      </c>
      <c r="E604" s="298">
        <f t="shared" si="231"/>
        <v>0.966</v>
      </c>
      <c r="F604" s="298">
        <f t="shared" si="231"/>
        <v>0.966</v>
      </c>
      <c r="G604" s="298">
        <f t="shared" si="231"/>
        <v>0.972</v>
      </c>
      <c r="H604" s="298">
        <f t="shared" si="231"/>
        <v>0.803</v>
      </c>
      <c r="I604" s="299">
        <f t="shared" si="231"/>
        <v>0.954</v>
      </c>
    </row>
    <row r="605" hidden="1" outlineLevel="2">
      <c r="A605" s="51" t="s">
        <v>173</v>
      </c>
      <c r="B605" s="53"/>
      <c r="C605" s="54"/>
      <c r="D605" s="54"/>
      <c r="E605" s="54"/>
      <c r="F605" s="54"/>
      <c r="G605" s="54"/>
      <c r="H605" s="54"/>
      <c r="I605" s="56"/>
    </row>
    <row r="606" hidden="1" outlineLevel="2">
      <c r="A606" s="83" t="s">
        <v>175</v>
      </c>
      <c r="B606" s="330"/>
      <c r="C606" s="331"/>
      <c r="D606" s="345"/>
      <c r="E606" s="331"/>
      <c r="F606" s="331"/>
      <c r="G606" s="331"/>
      <c r="H606" s="331"/>
      <c r="I606" s="332"/>
    </row>
    <row r="607" hidden="1" outlineLevel="2">
      <c r="A607" s="180" t="s">
        <v>179</v>
      </c>
      <c r="B607" s="53"/>
      <c r="C607" s="54"/>
      <c r="D607" s="54"/>
      <c r="E607" s="54"/>
      <c r="F607" s="54"/>
      <c r="G607" s="54"/>
      <c r="H607" s="54"/>
      <c r="I607" s="56"/>
    </row>
    <row r="608" hidden="1" outlineLevel="2">
      <c r="A608" s="88" t="s">
        <v>180</v>
      </c>
      <c r="B608" s="181">
        <f t="shared" ref="B608:I608" si="232">B587*25</f>
        <v>24.61666667</v>
      </c>
      <c r="C608" s="182">
        <f t="shared" si="232"/>
        <v>25.2125</v>
      </c>
      <c r="D608" s="182">
        <f t="shared" si="232"/>
        <v>25.25</v>
      </c>
      <c r="E608" s="182">
        <f t="shared" si="232"/>
        <v>25.03378378</v>
      </c>
      <c r="F608" s="182">
        <f t="shared" si="232"/>
        <v>27.03378378</v>
      </c>
      <c r="G608" s="182">
        <f t="shared" si="232"/>
        <v>24.74375</v>
      </c>
      <c r="H608" s="182">
        <f t="shared" si="232"/>
        <v>22.78125</v>
      </c>
      <c r="I608" s="183">
        <f t="shared" si="232"/>
        <v>23.26875</v>
      </c>
    </row>
    <row r="609" hidden="1" outlineLevel="2">
      <c r="A609" s="88" t="s">
        <v>182</v>
      </c>
      <c r="B609" s="181">
        <f t="shared" ref="B609:I609" si="233">B591*35</f>
        <v>35</v>
      </c>
      <c r="C609" s="182">
        <f t="shared" si="233"/>
        <v>35</v>
      </c>
      <c r="D609" s="182">
        <f t="shared" si="233"/>
        <v>35</v>
      </c>
      <c r="E609" s="182">
        <f t="shared" si="233"/>
        <v>35</v>
      </c>
      <c r="F609" s="182">
        <f t="shared" si="233"/>
        <v>35</v>
      </c>
      <c r="G609" s="182">
        <f t="shared" si="233"/>
        <v>35</v>
      </c>
      <c r="H609" s="182">
        <f t="shared" si="233"/>
        <v>35</v>
      </c>
      <c r="I609" s="183">
        <f t="shared" si="233"/>
        <v>35</v>
      </c>
    </row>
    <row r="610" hidden="1" outlineLevel="2">
      <c r="A610" s="88" t="s">
        <v>184</v>
      </c>
      <c r="B610" s="181">
        <f t="shared" ref="B610:I610" si="234">IF(AND(B591&lt;85%, B600&gt;100%), 25, B600*25)</f>
        <v>21.4453125</v>
      </c>
      <c r="C610" s="182">
        <f t="shared" si="234"/>
        <v>21.48172823</v>
      </c>
      <c r="D610" s="182">
        <f t="shared" si="234"/>
        <v>21.73526828</v>
      </c>
      <c r="E610" s="182">
        <f t="shared" si="234"/>
        <v>20.09905254</v>
      </c>
      <c r="F610" s="182">
        <f t="shared" si="234"/>
        <v>18.94170803</v>
      </c>
      <c r="G610" s="182">
        <f t="shared" si="234"/>
        <v>26.875</v>
      </c>
      <c r="H610" s="182">
        <f t="shared" si="234"/>
        <v>19.46516393</v>
      </c>
      <c r="I610" s="183">
        <f t="shared" si="234"/>
        <v>21.71052632</v>
      </c>
    </row>
    <row r="611" hidden="1" outlineLevel="2">
      <c r="A611" s="88" t="s">
        <v>187</v>
      </c>
      <c r="B611" s="181">
        <f t="shared" ref="B611:I611" si="235">B604*15</f>
        <v>14.49</v>
      </c>
      <c r="C611" s="182">
        <f t="shared" si="235"/>
        <v>14.37</v>
      </c>
      <c r="D611" s="182">
        <f t="shared" si="235"/>
        <v>14.43</v>
      </c>
      <c r="E611" s="182">
        <f t="shared" si="235"/>
        <v>14.49</v>
      </c>
      <c r="F611" s="182">
        <f t="shared" si="235"/>
        <v>14.49</v>
      </c>
      <c r="G611" s="182">
        <f t="shared" si="235"/>
        <v>14.58</v>
      </c>
      <c r="H611" s="182">
        <f t="shared" si="235"/>
        <v>12.045</v>
      </c>
      <c r="I611" s="183">
        <f t="shared" si="235"/>
        <v>14.31</v>
      </c>
    </row>
    <row r="612" hidden="1" outlineLevel="2">
      <c r="A612" s="88" t="s">
        <v>188</v>
      </c>
      <c r="B612" s="181">
        <f t="shared" ref="B612:I612" si="236">B606*-10</f>
        <v>0</v>
      </c>
      <c r="C612" s="182">
        <f t="shared" si="236"/>
        <v>0</v>
      </c>
      <c r="D612" s="182">
        <f t="shared" si="236"/>
        <v>0</v>
      </c>
      <c r="E612" s="182">
        <f t="shared" si="236"/>
        <v>0</v>
      </c>
      <c r="F612" s="182">
        <f t="shared" si="236"/>
        <v>0</v>
      </c>
      <c r="G612" s="182">
        <f t="shared" si="236"/>
        <v>0</v>
      </c>
      <c r="H612" s="182">
        <f t="shared" si="236"/>
        <v>0</v>
      </c>
      <c r="I612" s="183">
        <f t="shared" si="236"/>
        <v>0</v>
      </c>
    </row>
    <row r="613" hidden="1" outlineLevel="2">
      <c r="A613" s="187" t="s">
        <v>190</v>
      </c>
      <c r="B613" s="181">
        <f t="shared" ref="B613:I613" si="237">B608+B609+B610+B611+B612</f>
        <v>95.55197917</v>
      </c>
      <c r="C613" s="182">
        <f t="shared" si="237"/>
        <v>96.06422823</v>
      </c>
      <c r="D613" s="182">
        <f t="shared" si="237"/>
        <v>96.41526828</v>
      </c>
      <c r="E613" s="182">
        <f t="shared" si="237"/>
        <v>94.62283632</v>
      </c>
      <c r="F613" s="182">
        <f t="shared" si="237"/>
        <v>95.46549181</v>
      </c>
      <c r="G613" s="182">
        <f t="shared" si="237"/>
        <v>101.19875</v>
      </c>
      <c r="H613" s="182">
        <f t="shared" si="237"/>
        <v>89.29141393</v>
      </c>
      <c r="I613" s="183">
        <f t="shared" si="237"/>
        <v>94.28927632</v>
      </c>
    </row>
    <row r="614" hidden="1" outlineLevel="2">
      <c r="A614" s="73" t="s">
        <v>193</v>
      </c>
      <c r="B614" s="74">
        <f t="shared" ref="B614:I614" si="238">B613/100</f>
        <v>0.9555197917</v>
      </c>
      <c r="C614" s="75">
        <f t="shared" si="238"/>
        <v>0.9606422823</v>
      </c>
      <c r="D614" s="369">
        <f t="shared" si="238"/>
        <v>0.9641526828</v>
      </c>
      <c r="E614" s="75">
        <f t="shared" si="238"/>
        <v>0.9462283632</v>
      </c>
      <c r="F614" s="75">
        <f t="shared" si="238"/>
        <v>0.9546549181</v>
      </c>
      <c r="G614" s="75">
        <f t="shared" si="238"/>
        <v>1.0119875</v>
      </c>
      <c r="H614" s="75">
        <f t="shared" si="238"/>
        <v>0.8929141393</v>
      </c>
      <c r="I614" s="77">
        <f t="shared" si="238"/>
        <v>0.9428927632</v>
      </c>
    </row>
    <row r="615" hidden="1" outlineLevel="2">
      <c r="A615" s="180" t="s">
        <v>203</v>
      </c>
      <c r="B615" s="361" t="s">
        <v>204</v>
      </c>
      <c r="C615" s="362" t="s">
        <v>204</v>
      </c>
      <c r="D615" s="362" t="s">
        <v>204</v>
      </c>
      <c r="E615" s="362" t="s">
        <v>204</v>
      </c>
      <c r="F615" s="362" t="s">
        <v>204</v>
      </c>
      <c r="G615" s="362" t="s">
        <v>206</v>
      </c>
      <c r="H615" s="362" t="s">
        <v>204</v>
      </c>
      <c r="I615" s="362" t="s">
        <v>204</v>
      </c>
    </row>
    <row r="616" hidden="1" outlineLevel="2">
      <c r="A616" s="180" t="s">
        <v>208</v>
      </c>
      <c r="B616" s="216"/>
      <c r="C616" s="217"/>
      <c r="D616" s="350"/>
      <c r="E616" s="217"/>
      <c r="F616" s="217"/>
      <c r="G616" s="217"/>
      <c r="H616" s="217"/>
      <c r="I616" s="364"/>
    </row>
    <row r="617" hidden="1" outlineLevel="1">
      <c r="A617" s="32"/>
      <c r="B617" s="33" t="s">
        <v>1187</v>
      </c>
      <c r="C617" s="34"/>
      <c r="D617" s="34"/>
      <c r="E617" s="34"/>
      <c r="F617" s="34"/>
      <c r="G617" s="34"/>
      <c r="H617" s="34"/>
      <c r="I617" s="35"/>
    </row>
    <row r="618" hidden="1" outlineLevel="2">
      <c r="A618" s="228"/>
      <c r="B618" s="317" t="s">
        <v>56</v>
      </c>
      <c r="C618" s="318" t="s">
        <v>57</v>
      </c>
      <c r="D618" s="318" t="s">
        <v>21</v>
      </c>
      <c r="E618" s="318" t="s">
        <v>32</v>
      </c>
      <c r="F618" s="318" t="s">
        <v>58</v>
      </c>
      <c r="G618" s="319" t="s">
        <v>59</v>
      </c>
      <c r="H618" s="320" t="s">
        <v>7</v>
      </c>
      <c r="I618" s="320" t="s">
        <v>503</v>
      </c>
    </row>
    <row r="619" hidden="1" outlineLevel="2">
      <c r="A619" s="44" t="s">
        <v>60</v>
      </c>
      <c r="B619" s="289" t="s">
        <v>1187</v>
      </c>
      <c r="C619" s="290"/>
      <c r="D619" s="290"/>
      <c r="E619" s="290"/>
      <c r="F619" s="290"/>
      <c r="G619" s="290"/>
      <c r="H619" s="290"/>
      <c r="I619" s="291"/>
    </row>
    <row r="620" hidden="1" outlineLevel="2">
      <c r="A620" s="51" t="s">
        <v>64</v>
      </c>
      <c r="B620" s="53"/>
      <c r="C620" s="54"/>
      <c r="D620" s="54"/>
      <c r="E620" s="54"/>
      <c r="F620" s="54"/>
      <c r="G620" s="54"/>
      <c r="H620" s="54"/>
      <c r="I620" s="56"/>
    </row>
    <row r="621" hidden="1" outlineLevel="2">
      <c r="A621" s="58" t="s">
        <v>69</v>
      </c>
      <c r="B621" s="292">
        <v>38.06</v>
      </c>
      <c r="C621" s="293">
        <v>32.29</v>
      </c>
      <c r="D621" s="371">
        <v>40.0</v>
      </c>
      <c r="E621" s="293">
        <v>32.04</v>
      </c>
      <c r="F621" s="293">
        <f>40.06-3</f>
        <v>37.06</v>
      </c>
      <c r="G621" s="293">
        <v>40.56</v>
      </c>
      <c r="H621" s="293">
        <v>40.04</v>
      </c>
      <c r="I621" s="354">
        <v>37.34</v>
      </c>
    </row>
    <row r="622" hidden="1" outlineLevel="2">
      <c r="A622" s="68" t="s">
        <v>75</v>
      </c>
      <c r="B622" s="296">
        <v>37.0</v>
      </c>
      <c r="C622" s="296">
        <v>32.0</v>
      </c>
      <c r="D622" s="70">
        <v>40.0</v>
      </c>
      <c r="E622" s="296">
        <v>32.0</v>
      </c>
      <c r="F622" s="296">
        <v>37.0</v>
      </c>
      <c r="G622" s="296">
        <v>40.0</v>
      </c>
      <c r="H622" s="296">
        <v>40.0</v>
      </c>
      <c r="I622" s="355">
        <v>40.0</v>
      </c>
    </row>
    <row r="623" hidden="1" outlineLevel="2">
      <c r="A623" s="73" t="s">
        <v>76</v>
      </c>
      <c r="B623" s="297">
        <f t="shared" ref="B623:I623" si="239">B621/B622</f>
        <v>1.028648649</v>
      </c>
      <c r="C623" s="298">
        <f t="shared" si="239"/>
        <v>1.0090625</v>
      </c>
      <c r="D623" s="298">
        <f t="shared" si="239"/>
        <v>1</v>
      </c>
      <c r="E623" s="298">
        <f t="shared" si="239"/>
        <v>1.00125</v>
      </c>
      <c r="F623" s="298">
        <f t="shared" si="239"/>
        <v>1.001621622</v>
      </c>
      <c r="G623" s="298">
        <f t="shared" si="239"/>
        <v>1.014</v>
      </c>
      <c r="H623" s="298">
        <f t="shared" si="239"/>
        <v>1.001</v>
      </c>
      <c r="I623" s="299">
        <f t="shared" si="239"/>
        <v>0.9335</v>
      </c>
    </row>
    <row r="624" hidden="1" outlineLevel="2">
      <c r="A624" s="51" t="s">
        <v>79</v>
      </c>
      <c r="B624" s="53"/>
      <c r="C624" s="54"/>
      <c r="D624" s="54"/>
      <c r="E624" s="54"/>
      <c r="F624" s="54"/>
      <c r="G624" s="54"/>
      <c r="H624" s="54"/>
      <c r="I624" s="56"/>
    </row>
    <row r="625" hidden="1" outlineLevel="2">
      <c r="A625" s="83" t="s">
        <v>81</v>
      </c>
      <c r="B625" s="292">
        <v>40.0</v>
      </c>
      <c r="C625" s="293">
        <v>40.0</v>
      </c>
      <c r="D625" s="293">
        <v>40.0</v>
      </c>
      <c r="E625" s="293">
        <v>40.0</v>
      </c>
      <c r="F625" s="293">
        <v>19.0</v>
      </c>
      <c r="G625" s="293">
        <v>40.0</v>
      </c>
      <c r="H625" s="293">
        <v>40.0</v>
      </c>
      <c r="I625" s="294">
        <v>40.0</v>
      </c>
    </row>
    <row r="626" hidden="1" outlineLevel="2">
      <c r="A626" s="88" t="s">
        <v>86</v>
      </c>
      <c r="B626" s="260">
        <v>40.0</v>
      </c>
      <c r="C626" s="261">
        <v>40.0</v>
      </c>
      <c r="D626" s="261">
        <v>40.0</v>
      </c>
      <c r="E626" s="261">
        <v>40.0</v>
      </c>
      <c r="F626" s="261">
        <v>40.0</v>
      </c>
      <c r="G626" s="261">
        <v>40.0</v>
      </c>
      <c r="H626" s="261">
        <v>40.0</v>
      </c>
      <c r="I626" s="262">
        <v>40.0</v>
      </c>
    </row>
    <row r="627" hidden="1" outlineLevel="2">
      <c r="A627" s="73" t="s">
        <v>96</v>
      </c>
      <c r="B627" s="297">
        <f t="shared" ref="B627:I627" si="240">B625/B626</f>
        <v>1</v>
      </c>
      <c r="C627" s="298">
        <f t="shared" si="240"/>
        <v>1</v>
      </c>
      <c r="D627" s="298">
        <f t="shared" si="240"/>
        <v>1</v>
      </c>
      <c r="E627" s="298">
        <f t="shared" si="240"/>
        <v>1</v>
      </c>
      <c r="F627" s="298">
        <f t="shared" si="240"/>
        <v>0.475</v>
      </c>
      <c r="G627" s="298">
        <f t="shared" si="240"/>
        <v>1</v>
      </c>
      <c r="H627" s="298">
        <f t="shared" si="240"/>
        <v>1</v>
      </c>
      <c r="I627" s="299">
        <f t="shared" si="240"/>
        <v>1</v>
      </c>
    </row>
    <row r="628" hidden="1" outlineLevel="2">
      <c r="A628" s="51" t="s">
        <v>99</v>
      </c>
      <c r="B628" s="53"/>
      <c r="C628" s="54"/>
      <c r="D628" s="54"/>
      <c r="E628" s="54"/>
      <c r="F628" s="54"/>
      <c r="G628" s="54"/>
      <c r="H628" s="54"/>
      <c r="I628" s="56"/>
    </row>
    <row r="629" hidden="1" outlineLevel="2">
      <c r="A629" s="83" t="s">
        <v>101</v>
      </c>
      <c r="B629" s="259" t="s">
        <v>109</v>
      </c>
      <c r="C629" s="124" t="s">
        <v>113</v>
      </c>
      <c r="D629" s="124" t="s">
        <v>113</v>
      </c>
      <c r="E629" s="124" t="s">
        <v>109</v>
      </c>
      <c r="F629" s="124" t="s">
        <v>109</v>
      </c>
      <c r="G629" s="123" t="s">
        <v>113</v>
      </c>
      <c r="H629" s="124" t="s">
        <v>109</v>
      </c>
      <c r="I629" s="126" t="s">
        <v>109</v>
      </c>
    </row>
    <row r="630" hidden="1" outlineLevel="2">
      <c r="A630" s="83" t="s">
        <v>117</v>
      </c>
      <c r="B630" s="259" t="s">
        <v>118</v>
      </c>
      <c r="C630" s="124" t="s">
        <v>119</v>
      </c>
      <c r="D630" s="124" t="s">
        <v>118</v>
      </c>
      <c r="E630" s="124" t="s">
        <v>119</v>
      </c>
      <c r="F630" s="124" t="s">
        <v>118</v>
      </c>
      <c r="G630" s="124" t="s">
        <v>119</v>
      </c>
      <c r="H630" s="124" t="s">
        <v>119</v>
      </c>
      <c r="I630" s="126" t="s">
        <v>119</v>
      </c>
    </row>
    <row r="631" hidden="1" outlineLevel="2">
      <c r="A631" s="83" t="s">
        <v>120</v>
      </c>
      <c r="B631" s="271">
        <f>IF(B621&lt;B622,B622,B621) *
IF(B629="AM",
    IF(B630="Oricle",3.5,
    IF(B630="Other Brands",4,
    IF(B630="Oricle Prio",0.6,""))),
 IF(B629="MID",
    IF(B630="Oricle",2.5,
    IF(B630="Other Brands",3,
    IF(B630="Oricle Prio",0.6,""))),
 IF(B629="GY",
    IF(B630="Oricle",1,
    IF(B630="Other Brands",1,
    IF(B630="Oricle Prio",0.3,""))),"")))-10</f>
        <v>104.18</v>
      </c>
      <c r="C631" s="273">
        <f>IF(C621&lt;C622,C622,C621) *
IF(C629="AM",
    IF(C630="Oricle",3,
    IF(C630="Other Brands",4,
    IF(C630="Oricle Prio",0.6,""))),
 IF(C629="MID",
    IF(C630="Oricle",2.5,
    IF(C630="Other Brands",3,
    IF(C630="Oricle Prio",0.6,""))),
 IF(C629="GY",
    IF(C630="Oricle",1,
    IF(C630="Other Brands",1,
    IF(C630="Oricle Prio",0.3,""))),"")))</f>
        <v>96.87</v>
      </c>
      <c r="D631" s="273">
        <f>IF(D621&lt;D622,D622,D621) *
IF(D629="AM",
    IF(D630="Oricle",3.5,
    IF(D630="Other Brands",4,
    IF(D630="Oricle Prio",0.6,""))),
 IF(D629="MID",
    IF(D630="Oricle",2.5,
    IF(D630="Other Brands",3,
    IF(D630="Oricle Prio",0.6,""))),
 IF(D629="GY",
    IF(D630="Oricle",1,
    IF(D630="Other Brands",1,
    IF(D630="Oricle Prio",0.3,""))),"")))</f>
        <v>160</v>
      </c>
      <c r="E631" s="273">
        <f>IF(E621&lt;E622,E622,E621) *
IF(E629="AM",
    IF(E630="Oricle",3.5,
    IF(E630="Other Brands",4,
    IF(E630="Oricle Prio",0.6,""))),
 IF(E629="MID",
    IF(E630="Oricle",2.5,
    IF(E630="Other Brands",3,
    IF(E630="Oricle Prio",0.6,""))),
 IF(E629="GY",
    IF(E630="Oricle",1,
    IF(E630="Other Brands",1,
    IF(E630="Oricle Prio",0.3,""))),"")))-12</f>
        <v>68.1</v>
      </c>
      <c r="F631" s="273">
        <f>IF(F621&lt;F622,F622,F621) *
IF(F629="AM",
    IF(F630="Oricle",3.5,
    IF(F630="Other Brands",4,
    IF(F630="Oricle Prio",0.6,""))),
 IF(F629="MID",
    IF(F630="Oricle",2.5,
    IF(F630="Other Brands",3,
    IF(F630="Oricle Prio",0.6,""))),
 IF(F629="GY",
    IF(F630="Oricle",1,
    IF(F630="Other Brands",1,
    IF(F630="Oricle Prio",0.3,""))),"")))</f>
        <v>111.18</v>
      </c>
      <c r="G631" s="273">
        <f>IF(G621&lt;G622,G622,G621) *
IF(G629="AM",
    IF(G630="Oricle",3,
    IF(G630="Other Brands",4,
    IF(G630="Oricle Prio",0.6,""))),
 IF(G629="MID",
    IF(G630="Oricle",2.5,
    IF(G630="Other Brands",3,
    IF(G630="Oricle Prio",0.6,""))),
 IF(G629="GY",
    IF(G630="Oricle",1,
    IF(G630="Other Brands",1,
    IF(G630="Oricle Prio",0.3,""))),"")))</f>
        <v>121.68</v>
      </c>
      <c r="H631" s="273">
        <f t="shared" ref="H631:I631" si="241">IF(H621&lt;H622,H622,H621) *
IF(H629="AM",
    IF(H630="Oricle",3.5,
    IF(H630="Other Brands",4,
    IF(H630="Oricle Prio",0.6,""))),
 IF(H629="MID",
    IF(H630="Oricle",2.5,
    IF(H630="Other Brands",3,
    IF(H630="Oricle Prio",0.6,""))),
 IF(H629="GY",
    IF(H630="Oricle",1,
    IF(H630="Other Brands",1,
    IF(H630="Oricle Prio",0.3,""))),"")))</f>
        <v>100.1</v>
      </c>
      <c r="I631" s="273">
        <f t="shared" si="241"/>
        <v>100</v>
      </c>
    </row>
    <row r="632" hidden="1" outlineLevel="2">
      <c r="A632" s="83" t="s">
        <v>131</v>
      </c>
      <c r="B632" s="306" t="s">
        <v>1166</v>
      </c>
      <c r="C632" s="123" t="s">
        <v>653</v>
      </c>
      <c r="D632" s="123" t="s">
        <v>1211</v>
      </c>
      <c r="E632" s="123" t="s">
        <v>1212</v>
      </c>
      <c r="F632" s="123" t="s">
        <v>1164</v>
      </c>
      <c r="G632" s="123" t="s">
        <v>702</v>
      </c>
      <c r="H632" s="123" t="s">
        <v>253</v>
      </c>
      <c r="I632" s="123" t="s">
        <v>253</v>
      </c>
    </row>
    <row r="633" hidden="1" outlineLevel="2">
      <c r="A633" s="83" t="s">
        <v>138</v>
      </c>
      <c r="B633" s="306" t="s">
        <v>1167</v>
      </c>
      <c r="C633" s="123" t="s">
        <v>1214</v>
      </c>
      <c r="D633" s="123" t="s">
        <v>1211</v>
      </c>
      <c r="E633" s="123" t="s">
        <v>1215</v>
      </c>
      <c r="F633" s="123" t="s">
        <v>828</v>
      </c>
      <c r="G633" s="123" t="s">
        <v>1217</v>
      </c>
      <c r="H633" s="123" t="s">
        <v>900</v>
      </c>
      <c r="I633" s="123" t="s">
        <v>900</v>
      </c>
    </row>
    <row r="634" hidden="1" outlineLevel="2">
      <c r="A634" s="88" t="s">
        <v>149</v>
      </c>
      <c r="B634" s="152">
        <f t="shared" ref="B634:I634" si="242">IF(B632&gt;0,B633/B632,0)</f>
        <v>0.962962963</v>
      </c>
      <c r="C634" s="153">
        <f t="shared" si="242"/>
        <v>0.9864864865</v>
      </c>
      <c r="D634" s="153">
        <f t="shared" si="242"/>
        <v>1</v>
      </c>
      <c r="E634" s="153">
        <f t="shared" si="242"/>
        <v>0.9649122807</v>
      </c>
      <c r="F634" s="153">
        <f t="shared" si="242"/>
        <v>0.921875</v>
      </c>
      <c r="G634" s="153">
        <f t="shared" si="242"/>
        <v>0.98125</v>
      </c>
      <c r="H634" s="153">
        <f t="shared" si="242"/>
        <v>0.9777777778</v>
      </c>
      <c r="I634" s="154">
        <f t="shared" si="242"/>
        <v>0.9777777778</v>
      </c>
    </row>
    <row r="635" hidden="1" outlineLevel="2">
      <c r="A635" s="88" t="s">
        <v>156</v>
      </c>
      <c r="B635" s="152">
        <f t="shared" ref="B635:I635" si="243">IF(B631&gt;0,B633/B631,0)</f>
        <v>0.4991361106</v>
      </c>
      <c r="C635" s="153">
        <f t="shared" si="243"/>
        <v>0.7535872819</v>
      </c>
      <c r="D635" s="153">
        <f t="shared" si="243"/>
        <v>0.5125</v>
      </c>
      <c r="E635" s="153">
        <f t="shared" si="243"/>
        <v>0.8076358297</v>
      </c>
      <c r="F635" s="153">
        <f t="shared" si="243"/>
        <v>0.530670984</v>
      </c>
      <c r="G635" s="153">
        <f t="shared" si="243"/>
        <v>1.29026956</v>
      </c>
      <c r="H635" s="153">
        <f t="shared" si="243"/>
        <v>0.8791208791</v>
      </c>
      <c r="I635" s="154">
        <f t="shared" si="243"/>
        <v>0.88</v>
      </c>
    </row>
    <row r="636" hidden="1" outlineLevel="2">
      <c r="A636" s="159" t="s">
        <v>13</v>
      </c>
      <c r="B636" s="297">
        <f t="shared" ref="B636:I636" si="244">average(B634:B635)</f>
        <v>0.7310495368</v>
      </c>
      <c r="C636" s="298">
        <f t="shared" si="244"/>
        <v>0.8700368842</v>
      </c>
      <c r="D636" s="298">
        <f t="shared" si="244"/>
        <v>0.75625</v>
      </c>
      <c r="E636" s="298">
        <f t="shared" si="244"/>
        <v>0.8862740552</v>
      </c>
      <c r="F636" s="298">
        <f t="shared" si="244"/>
        <v>0.726272992</v>
      </c>
      <c r="G636" s="298">
        <f t="shared" si="244"/>
        <v>1.13575978</v>
      </c>
      <c r="H636" s="298">
        <f t="shared" si="244"/>
        <v>0.9284493284</v>
      </c>
      <c r="I636" s="299">
        <f t="shared" si="244"/>
        <v>0.9288888889</v>
      </c>
    </row>
    <row r="637" hidden="1" outlineLevel="2">
      <c r="A637" s="51" t="s">
        <v>161</v>
      </c>
      <c r="B637" s="334"/>
      <c r="C637" s="54"/>
      <c r="D637" s="54"/>
      <c r="E637" s="54"/>
      <c r="F637" s="54"/>
      <c r="G637" s="54"/>
      <c r="H637" s="54"/>
      <c r="I637" s="335"/>
    </row>
    <row r="638" hidden="1" outlineLevel="2">
      <c r="A638" s="83" t="s">
        <v>162</v>
      </c>
      <c r="B638" s="292">
        <v>9.0</v>
      </c>
      <c r="C638" s="293">
        <v>10.0</v>
      </c>
      <c r="D638" s="293">
        <v>9.23</v>
      </c>
      <c r="E638" s="293">
        <v>9.66</v>
      </c>
      <c r="F638" s="293">
        <v>9.25</v>
      </c>
      <c r="G638" s="293">
        <v>9.61</v>
      </c>
      <c r="H638" s="293">
        <v>9.34</v>
      </c>
      <c r="I638" s="293">
        <v>9.23</v>
      </c>
    </row>
    <row r="639" hidden="1" outlineLevel="2">
      <c r="A639" s="88" t="s">
        <v>169</v>
      </c>
      <c r="B639" s="165">
        <v>10.0</v>
      </c>
      <c r="C639" s="166">
        <v>10.0</v>
      </c>
      <c r="D639" s="166">
        <v>10.0</v>
      </c>
      <c r="E639" s="166">
        <v>10.0</v>
      </c>
      <c r="F639" s="166">
        <v>10.0</v>
      </c>
      <c r="G639" s="166">
        <v>10.0</v>
      </c>
      <c r="H639" s="166">
        <v>10.0</v>
      </c>
      <c r="I639" s="168">
        <v>10.0</v>
      </c>
    </row>
    <row r="640" hidden="1" outlineLevel="2">
      <c r="A640" s="73" t="s">
        <v>170</v>
      </c>
      <c r="B640" s="297">
        <f t="shared" ref="B640:I640" si="245">IF(B638=0,0,B638/B639)</f>
        <v>0.9</v>
      </c>
      <c r="C640" s="298">
        <f t="shared" si="245"/>
        <v>1</v>
      </c>
      <c r="D640" s="298">
        <f t="shared" si="245"/>
        <v>0.923</v>
      </c>
      <c r="E640" s="298">
        <f t="shared" si="245"/>
        <v>0.966</v>
      </c>
      <c r="F640" s="298">
        <f t="shared" si="245"/>
        <v>0.925</v>
      </c>
      <c r="G640" s="298">
        <f t="shared" si="245"/>
        <v>0.961</v>
      </c>
      <c r="H640" s="298">
        <f t="shared" si="245"/>
        <v>0.934</v>
      </c>
      <c r="I640" s="299">
        <f t="shared" si="245"/>
        <v>0.923</v>
      </c>
    </row>
    <row r="641" hidden="1" outlineLevel="2">
      <c r="A641" s="51" t="s">
        <v>173</v>
      </c>
      <c r="B641" s="53"/>
      <c r="C641" s="54"/>
      <c r="D641" s="54"/>
      <c r="E641" s="54"/>
      <c r="F641" s="54"/>
      <c r="G641" s="54"/>
      <c r="H641" s="54"/>
      <c r="I641" s="56"/>
    </row>
    <row r="642" hidden="1" outlineLevel="2">
      <c r="A642" s="83" t="s">
        <v>175</v>
      </c>
      <c r="B642" s="330"/>
      <c r="C642" s="331"/>
      <c r="D642" s="345"/>
      <c r="E642" s="331"/>
      <c r="F642" s="331"/>
      <c r="G642" s="331"/>
      <c r="H642" s="331"/>
      <c r="I642" s="332"/>
    </row>
    <row r="643" hidden="1" outlineLevel="2">
      <c r="A643" s="180" t="s">
        <v>179</v>
      </c>
      <c r="B643" s="53"/>
      <c r="C643" s="54"/>
      <c r="D643" s="54"/>
      <c r="E643" s="54"/>
      <c r="F643" s="54"/>
      <c r="G643" s="54"/>
      <c r="H643" s="54"/>
      <c r="I643" s="56"/>
    </row>
    <row r="644" hidden="1" outlineLevel="2">
      <c r="A644" s="88" t="s">
        <v>180</v>
      </c>
      <c r="B644" s="181">
        <f t="shared" ref="B644:I644" si="246">B623*25</f>
        <v>25.71621622</v>
      </c>
      <c r="C644" s="182">
        <f t="shared" si="246"/>
        <v>25.2265625</v>
      </c>
      <c r="D644" s="182">
        <f t="shared" si="246"/>
        <v>25</v>
      </c>
      <c r="E644" s="182">
        <f t="shared" si="246"/>
        <v>25.03125</v>
      </c>
      <c r="F644" s="182">
        <f t="shared" si="246"/>
        <v>25.04054054</v>
      </c>
      <c r="G644" s="182">
        <f t="shared" si="246"/>
        <v>25.35</v>
      </c>
      <c r="H644" s="182">
        <f t="shared" si="246"/>
        <v>25.025</v>
      </c>
      <c r="I644" s="183">
        <f t="shared" si="246"/>
        <v>23.3375</v>
      </c>
    </row>
    <row r="645" hidden="1" outlineLevel="2">
      <c r="A645" s="88" t="s">
        <v>182</v>
      </c>
      <c r="B645" s="181">
        <f t="shared" ref="B645:I645" si="247">B627*35</f>
        <v>35</v>
      </c>
      <c r="C645" s="182">
        <f t="shared" si="247"/>
        <v>35</v>
      </c>
      <c r="D645" s="182">
        <f t="shared" si="247"/>
        <v>35</v>
      </c>
      <c r="E645" s="182">
        <f t="shared" si="247"/>
        <v>35</v>
      </c>
      <c r="F645" s="182">
        <f t="shared" si="247"/>
        <v>16.625</v>
      </c>
      <c r="G645" s="182">
        <f t="shared" si="247"/>
        <v>35</v>
      </c>
      <c r="H645" s="182">
        <f t="shared" si="247"/>
        <v>35</v>
      </c>
      <c r="I645" s="183">
        <f t="shared" si="247"/>
        <v>35</v>
      </c>
    </row>
    <row r="646" hidden="1" outlineLevel="2">
      <c r="A646" s="88" t="s">
        <v>184</v>
      </c>
      <c r="B646" s="181">
        <f t="shared" ref="B646:I646" si="248">IF(AND(B627&lt;85%, B636&gt;100%), 25, B636*25)</f>
        <v>18.27623842</v>
      </c>
      <c r="C646" s="182">
        <f t="shared" si="248"/>
        <v>21.75092211</v>
      </c>
      <c r="D646" s="182">
        <f t="shared" si="248"/>
        <v>18.90625</v>
      </c>
      <c r="E646" s="182">
        <f t="shared" si="248"/>
        <v>22.15685138</v>
      </c>
      <c r="F646" s="182">
        <f t="shared" si="248"/>
        <v>18.1568248</v>
      </c>
      <c r="G646" s="182">
        <f t="shared" si="248"/>
        <v>28.39399449</v>
      </c>
      <c r="H646" s="182">
        <f t="shared" si="248"/>
        <v>23.21123321</v>
      </c>
      <c r="I646" s="183">
        <f t="shared" si="248"/>
        <v>23.22222222</v>
      </c>
    </row>
    <row r="647" hidden="1" outlineLevel="2">
      <c r="A647" s="88" t="s">
        <v>187</v>
      </c>
      <c r="B647" s="181">
        <f t="shared" ref="B647:I647" si="249">B640*15</f>
        <v>13.5</v>
      </c>
      <c r="C647" s="182">
        <f t="shared" si="249"/>
        <v>15</v>
      </c>
      <c r="D647" s="182">
        <f t="shared" si="249"/>
        <v>13.845</v>
      </c>
      <c r="E647" s="182">
        <f t="shared" si="249"/>
        <v>14.49</v>
      </c>
      <c r="F647" s="182">
        <f t="shared" si="249"/>
        <v>13.875</v>
      </c>
      <c r="G647" s="182">
        <f t="shared" si="249"/>
        <v>14.415</v>
      </c>
      <c r="H647" s="182">
        <f t="shared" si="249"/>
        <v>14.01</v>
      </c>
      <c r="I647" s="183">
        <f t="shared" si="249"/>
        <v>13.845</v>
      </c>
    </row>
    <row r="648" hidden="1" outlineLevel="2">
      <c r="A648" s="88" t="s">
        <v>188</v>
      </c>
      <c r="B648" s="181">
        <f t="shared" ref="B648:I648" si="250">B642*-10</f>
        <v>0</v>
      </c>
      <c r="C648" s="182">
        <f t="shared" si="250"/>
        <v>0</v>
      </c>
      <c r="D648" s="182">
        <f t="shared" si="250"/>
        <v>0</v>
      </c>
      <c r="E648" s="182">
        <f t="shared" si="250"/>
        <v>0</v>
      </c>
      <c r="F648" s="182">
        <f t="shared" si="250"/>
        <v>0</v>
      </c>
      <c r="G648" s="182">
        <f t="shared" si="250"/>
        <v>0</v>
      </c>
      <c r="H648" s="182">
        <f t="shared" si="250"/>
        <v>0</v>
      </c>
      <c r="I648" s="183">
        <f t="shared" si="250"/>
        <v>0</v>
      </c>
    </row>
    <row r="649" hidden="1" outlineLevel="2">
      <c r="A649" s="187" t="s">
        <v>190</v>
      </c>
      <c r="B649" s="181">
        <f t="shared" ref="B649:I649" si="251">B644+B645+B646+B647+B648</f>
        <v>92.49245464</v>
      </c>
      <c r="C649" s="182">
        <f t="shared" si="251"/>
        <v>96.97748461</v>
      </c>
      <c r="D649" s="182">
        <f t="shared" si="251"/>
        <v>92.75125</v>
      </c>
      <c r="E649" s="182">
        <f t="shared" si="251"/>
        <v>96.67810138</v>
      </c>
      <c r="F649" s="182">
        <f t="shared" si="251"/>
        <v>73.69736534</v>
      </c>
      <c r="G649" s="182">
        <f t="shared" si="251"/>
        <v>103.1589945</v>
      </c>
      <c r="H649" s="182">
        <f t="shared" si="251"/>
        <v>97.24623321</v>
      </c>
      <c r="I649" s="183">
        <f t="shared" si="251"/>
        <v>95.40472222</v>
      </c>
    </row>
    <row r="650" hidden="1" outlineLevel="2">
      <c r="A650" s="73" t="s">
        <v>193</v>
      </c>
      <c r="B650" s="74">
        <f t="shared" ref="B650:I650" si="252">B649/100</f>
        <v>0.9249245464</v>
      </c>
      <c r="C650" s="75">
        <f t="shared" si="252"/>
        <v>0.9697748461</v>
      </c>
      <c r="D650" s="369">
        <f t="shared" si="252"/>
        <v>0.9275125</v>
      </c>
      <c r="E650" s="75">
        <f t="shared" si="252"/>
        <v>0.9667810138</v>
      </c>
      <c r="F650" s="75">
        <f t="shared" si="252"/>
        <v>0.7369736534</v>
      </c>
      <c r="G650" s="75">
        <f t="shared" si="252"/>
        <v>1.031589945</v>
      </c>
      <c r="H650" s="75">
        <f t="shared" si="252"/>
        <v>0.9724623321</v>
      </c>
      <c r="I650" s="77">
        <f t="shared" si="252"/>
        <v>0.9540472222</v>
      </c>
    </row>
    <row r="651" hidden="1" outlineLevel="2">
      <c r="A651" s="180" t="s">
        <v>203</v>
      </c>
      <c r="B651" s="361" t="s">
        <v>204</v>
      </c>
      <c r="C651" s="362" t="s">
        <v>204</v>
      </c>
      <c r="D651" s="362" t="s">
        <v>204</v>
      </c>
      <c r="E651" s="362" t="s">
        <v>204</v>
      </c>
      <c r="F651" s="362" t="s">
        <v>207</v>
      </c>
      <c r="G651" s="362" t="s">
        <v>206</v>
      </c>
      <c r="H651" s="362" t="s">
        <v>204</v>
      </c>
      <c r="I651" s="362" t="s">
        <v>204</v>
      </c>
    </row>
    <row r="652" hidden="1" outlineLevel="2">
      <c r="A652" s="180" t="s">
        <v>208</v>
      </c>
      <c r="B652" s="216"/>
      <c r="C652" s="217"/>
      <c r="D652" s="350"/>
      <c r="E652" s="217"/>
      <c r="F652" s="217"/>
      <c r="G652" s="217"/>
      <c r="H652" s="217"/>
      <c r="I652" s="364"/>
    </row>
    <row r="653" collapsed="1">
      <c r="A653" s="416">
        <v>46174.0</v>
      </c>
      <c r="B653" s="417"/>
      <c r="C653" s="46"/>
      <c r="D653" s="46"/>
      <c r="E653" s="46"/>
      <c r="F653" s="46"/>
      <c r="G653" s="46"/>
      <c r="H653" s="46"/>
      <c r="I653" s="46"/>
    </row>
    <row r="654" hidden="1" outlineLevel="1" collapsed="1">
      <c r="A654" s="32"/>
      <c r="B654" s="33" t="s">
        <v>1244</v>
      </c>
      <c r="C654" s="34"/>
      <c r="D654" s="34"/>
      <c r="E654" s="34"/>
      <c r="F654" s="34"/>
      <c r="G654" s="34"/>
      <c r="H654" s="34"/>
      <c r="I654" s="35"/>
    </row>
    <row r="655" hidden="1" outlineLevel="2">
      <c r="A655" s="228"/>
      <c r="B655" s="317" t="s">
        <v>56</v>
      </c>
      <c r="C655" s="318" t="s">
        <v>57</v>
      </c>
      <c r="D655" s="318" t="s">
        <v>21</v>
      </c>
      <c r="E655" s="318" t="s">
        <v>32</v>
      </c>
      <c r="F655" s="318" t="s">
        <v>58</v>
      </c>
      <c r="G655" s="319" t="s">
        <v>59</v>
      </c>
      <c r="H655" s="320" t="s">
        <v>7</v>
      </c>
      <c r="I655" s="320" t="s">
        <v>503</v>
      </c>
    </row>
    <row r="656" hidden="1" outlineLevel="2">
      <c r="A656" s="44" t="s">
        <v>60</v>
      </c>
      <c r="B656" s="289" t="s">
        <v>1244</v>
      </c>
      <c r="C656" s="290"/>
      <c r="D656" s="290"/>
      <c r="E656" s="290"/>
      <c r="F656" s="290"/>
      <c r="G656" s="290"/>
      <c r="H656" s="290"/>
      <c r="I656" s="291"/>
    </row>
    <row r="657" hidden="1" outlineLevel="2">
      <c r="A657" s="51" t="s">
        <v>64</v>
      </c>
      <c r="B657" s="53"/>
      <c r="C657" s="54"/>
      <c r="D657" s="54"/>
      <c r="E657" s="54"/>
      <c r="F657" s="54"/>
      <c r="G657" s="54"/>
      <c r="H657" s="54"/>
      <c r="I657" s="56"/>
    </row>
    <row r="658" hidden="1" outlineLevel="2">
      <c r="A658" s="58" t="s">
        <v>69</v>
      </c>
      <c r="B658" s="292">
        <v>40.0</v>
      </c>
      <c r="C658" s="293">
        <v>38.25</v>
      </c>
      <c r="D658" s="371">
        <v>40.58</v>
      </c>
      <c r="E658" s="293">
        <v>40.0</v>
      </c>
      <c r="F658" s="293">
        <v>40.0</v>
      </c>
      <c r="G658" s="293">
        <v>41.06</v>
      </c>
      <c r="H658" s="293">
        <v>40.04</v>
      </c>
      <c r="I658" s="354">
        <v>37.28</v>
      </c>
    </row>
    <row r="659" hidden="1" outlineLevel="2">
      <c r="A659" s="68" t="s">
        <v>75</v>
      </c>
      <c r="B659" s="296">
        <v>37.0</v>
      </c>
      <c r="C659" s="296">
        <v>38.0</v>
      </c>
      <c r="D659" s="70">
        <v>40.0</v>
      </c>
      <c r="E659" s="296">
        <v>37.0</v>
      </c>
      <c r="F659" s="296">
        <v>37.0</v>
      </c>
      <c r="G659" s="296">
        <v>40.0</v>
      </c>
      <c r="H659" s="296">
        <v>40.0</v>
      </c>
      <c r="I659" s="355">
        <v>40.0</v>
      </c>
    </row>
    <row r="660" hidden="1" outlineLevel="2">
      <c r="A660" s="73" t="s">
        <v>76</v>
      </c>
      <c r="B660" s="297">
        <f t="shared" ref="B660:I660" si="253">B658/B659</f>
        <v>1.081081081</v>
      </c>
      <c r="C660" s="298">
        <f t="shared" si="253"/>
        <v>1.006578947</v>
      </c>
      <c r="D660" s="298">
        <f t="shared" si="253"/>
        <v>1.0145</v>
      </c>
      <c r="E660" s="298">
        <f t="shared" si="253"/>
        <v>1.081081081</v>
      </c>
      <c r="F660" s="298">
        <f t="shared" si="253"/>
        <v>1.081081081</v>
      </c>
      <c r="G660" s="298">
        <f t="shared" si="253"/>
        <v>1.0265</v>
      </c>
      <c r="H660" s="298">
        <f t="shared" si="253"/>
        <v>1.001</v>
      </c>
      <c r="I660" s="299">
        <f t="shared" si="253"/>
        <v>0.932</v>
      </c>
    </row>
    <row r="661" hidden="1" outlineLevel="2">
      <c r="A661" s="51" t="s">
        <v>79</v>
      </c>
      <c r="B661" s="53"/>
      <c r="C661" s="54"/>
      <c r="D661" s="54"/>
      <c r="E661" s="54"/>
      <c r="F661" s="54"/>
      <c r="G661" s="54"/>
      <c r="H661" s="54"/>
      <c r="I661" s="56"/>
    </row>
    <row r="662" hidden="1" outlineLevel="2">
      <c r="A662" s="83" t="s">
        <v>81</v>
      </c>
      <c r="B662" s="292">
        <v>40.0</v>
      </c>
      <c r="C662" s="293">
        <v>28.0</v>
      </c>
      <c r="D662" s="293">
        <v>40.0</v>
      </c>
      <c r="E662" s="293">
        <v>40.0</v>
      </c>
      <c r="F662" s="293">
        <v>40.0</v>
      </c>
      <c r="G662" s="293">
        <v>10.0</v>
      </c>
      <c r="H662" s="293">
        <v>40.0</v>
      </c>
      <c r="I662" s="294">
        <v>40.0</v>
      </c>
    </row>
    <row r="663" hidden="1" outlineLevel="2">
      <c r="A663" s="88" t="s">
        <v>86</v>
      </c>
      <c r="B663" s="260">
        <v>40.0</v>
      </c>
      <c r="C663" s="261">
        <v>40.0</v>
      </c>
      <c r="D663" s="261">
        <v>40.0</v>
      </c>
      <c r="E663" s="261">
        <v>40.0</v>
      </c>
      <c r="F663" s="261">
        <v>40.0</v>
      </c>
      <c r="G663" s="261">
        <v>40.0</v>
      </c>
      <c r="H663" s="261">
        <v>40.0</v>
      </c>
      <c r="I663" s="262">
        <v>40.0</v>
      </c>
    </row>
    <row r="664" hidden="1" outlineLevel="2">
      <c r="A664" s="73" t="s">
        <v>96</v>
      </c>
      <c r="B664" s="297">
        <f t="shared" ref="B664:I664" si="254">B662/B663</f>
        <v>1</v>
      </c>
      <c r="C664" s="298">
        <f t="shared" si="254"/>
        <v>0.7</v>
      </c>
      <c r="D664" s="298">
        <f t="shared" si="254"/>
        <v>1</v>
      </c>
      <c r="E664" s="298">
        <f t="shared" si="254"/>
        <v>1</v>
      </c>
      <c r="F664" s="298">
        <f t="shared" si="254"/>
        <v>1</v>
      </c>
      <c r="G664" s="298">
        <f t="shared" si="254"/>
        <v>0.25</v>
      </c>
      <c r="H664" s="298">
        <f t="shared" si="254"/>
        <v>1</v>
      </c>
      <c r="I664" s="299">
        <f t="shared" si="254"/>
        <v>1</v>
      </c>
    </row>
    <row r="665" hidden="1" outlineLevel="2">
      <c r="A665" s="51" t="s">
        <v>99</v>
      </c>
      <c r="B665" s="53"/>
      <c r="C665" s="54"/>
      <c r="D665" s="54"/>
      <c r="E665" s="54"/>
      <c r="F665" s="54"/>
      <c r="G665" s="54"/>
      <c r="H665" s="54"/>
      <c r="I665" s="56"/>
    </row>
    <row r="666" hidden="1" outlineLevel="2">
      <c r="A666" s="83" t="s">
        <v>101</v>
      </c>
      <c r="B666" s="259" t="s">
        <v>109</v>
      </c>
      <c r="C666" s="123" t="s">
        <v>113</v>
      </c>
      <c r="D666" s="123" t="s">
        <v>109</v>
      </c>
      <c r="E666" s="124" t="s">
        <v>109</v>
      </c>
      <c r="F666" s="124" t="s">
        <v>109</v>
      </c>
      <c r="G666" s="123" t="s">
        <v>113</v>
      </c>
      <c r="H666" s="124" t="s">
        <v>109</v>
      </c>
      <c r="I666" s="126" t="s">
        <v>109</v>
      </c>
    </row>
    <row r="667" hidden="1" outlineLevel="2">
      <c r="A667" s="83" t="s">
        <v>117</v>
      </c>
      <c r="B667" s="259" t="s">
        <v>118</v>
      </c>
      <c r="C667" s="124" t="s">
        <v>119</v>
      </c>
      <c r="D667" s="124" t="s">
        <v>118</v>
      </c>
      <c r="E667" s="124" t="s">
        <v>119</v>
      </c>
      <c r="F667" s="124" t="s">
        <v>118</v>
      </c>
      <c r="G667" s="124" t="s">
        <v>119</v>
      </c>
      <c r="H667" s="124" t="s">
        <v>119</v>
      </c>
      <c r="I667" s="126" t="s">
        <v>119</v>
      </c>
    </row>
    <row r="668" hidden="1" outlineLevel="2">
      <c r="A668" s="83" t="s">
        <v>120</v>
      </c>
      <c r="B668" s="271">
        <f>IF(B658&lt;B659,B659,B658) *
IF(B666="AM",
    IF(B667="Oricle",3.5,
    IF(B667="Other Brands",4,
    IF(B667="Oricle Prio",0.6,""))),
 IF(B666="MID",
    IF(B667="Oricle",2.5,
    IF(B667="Other Brands",3,
    IF(B667="Oricle Prio",0.6,""))),
 IF(B666="GY",
    IF(B667="Oricle",1,
    IF(B667="Other Brands",1,
    IF(B667="Oricle Prio",0.3,""))),"")))-10</f>
        <v>110</v>
      </c>
      <c r="C668" s="273">
        <f>IF(C658&lt;C659,C659,C658) *
IF(C666="AM",
    IF(C667="Oricle",3,
    IF(C667="Other Brands",4,
    IF(C667="Oricle Prio",0.6,""))),
 IF(C666="MID",
    IF(C667="Oricle",2.5,
    IF(C667="Other Brands",3,
    IF(C667="Oricle Prio",0.6,""))),
 IF(C666="GY",
    IF(C667="Oricle",1,
    IF(C667="Other Brands",1,
    IF(C667="Oricle Prio",0.3,""))),"")))</f>
        <v>114.75</v>
      </c>
      <c r="D668" s="273">
        <f>IF(D658&lt;D659,D659,D658) *
IF(D666="AM",
    IF(D667="Oricle",3.5,
    IF(D667="Other Brands",4,
    IF(D667="Oricle Prio",0.6,""))),
 IF(D666="MID",
    IF(D667="Oricle",2.5,
    IF(D667="Other Brands",3,
    IF(D667="Oricle Prio",0.6,""))),
 IF(D666="GY",
    IF(D667="Oricle",1,
    IF(D667="Other Brands",1,
    IF(D667="Oricle Prio",0.3,""))),"")))</f>
        <v>121.74</v>
      </c>
      <c r="E668" s="273">
        <f>IF(E658&lt;E659,E659,E658) *
IF(E666="AM",
    IF(E667="Oricle",3.5,
    IF(E667="Other Brands",4,
    IF(E667="Oricle Prio",0.6,""))),
 IF(E666="MID",
    IF(E667="Oricle",2.5,
    IF(E667="Other Brands",3,
    IF(E667="Oricle Prio",0.6,""))),
 IF(E666="GY",
    IF(E667="Oricle",1,
    IF(E667="Other Brands",1,
    IF(E667="Oricle Prio",0.3,""))),"")))-12</f>
        <v>88</v>
      </c>
      <c r="F668" s="273">
        <f>IF(F658&lt;F659,F659,F658) *
IF(F666="AM",
    IF(F667="Oricle",3.5,
    IF(F667="Other Brands",4,
    IF(F667="Oricle Prio",0.6,""))),
 IF(F666="MID",
    IF(F667="Oricle",2.5,
    IF(F667="Other Brands",3,
    IF(F667="Oricle Prio",0.6,""))),
 IF(F666="GY",
    IF(F667="Oricle",1,
    IF(F667="Other Brands",1,
    IF(F667="Oricle Prio",0.3,""))),"")))</f>
        <v>120</v>
      </c>
      <c r="G668" s="273">
        <f t="shared" ref="G668:H668" si="255">IF(G658&lt;G659,G659,G658) *
IF(G666="AM",
    IF(G667="Oricle",3,
    IF(G667="Other Brands",4,
    IF(G667="Oricle Prio",0.6,""))),
 IF(G666="MID",
    IF(G667="Oricle",2.5,
    IF(G667="Other Brands",3,
    IF(G667="Oricle Prio",0.6,""))),
 IF(G666="GY",
    IF(G667="Oricle",1,
    IF(G667="Other Brands",1,
    IF(G667="Oricle Prio",0.3,""))),"")))</f>
        <v>123.18</v>
      </c>
      <c r="H668" s="273">
        <f t="shared" si="255"/>
        <v>100.1</v>
      </c>
      <c r="I668" s="273">
        <f>IF(I658&lt;I659,I659,I658) *
IF(I666="AM",
    IF(I667="Oricle",3.5,
    IF(I667="Other Brands",4,
    IF(I667="Oricle Prio",0.6,""))),
 IF(I666="MID",
    IF(I667="Oricle",2.5,
    IF(I667="Other Brands",3,
    IF(I667="Oricle Prio",0.6,""))),
 IF(I666="GY",
    IF(I667="Oricle",1,
    IF(I667="Other Brands",1,
    IF(I667="Oricle Prio",0.3,""))),"")))</f>
        <v>100</v>
      </c>
    </row>
    <row r="669" hidden="1" outlineLevel="2">
      <c r="A669" s="83" t="s">
        <v>131</v>
      </c>
      <c r="B669" s="306" t="s">
        <v>825</v>
      </c>
      <c r="C669" s="123" t="s">
        <v>657</v>
      </c>
      <c r="D669" s="123" t="s">
        <v>1010</v>
      </c>
      <c r="E669" s="123" t="s">
        <v>1164</v>
      </c>
      <c r="F669" s="123" t="s">
        <v>1128</v>
      </c>
      <c r="G669" s="123" t="s">
        <v>136</v>
      </c>
      <c r="H669" s="123" t="s">
        <v>900</v>
      </c>
      <c r="I669" s="123" t="s">
        <v>1272</v>
      </c>
    </row>
    <row r="670" hidden="1" outlineLevel="2">
      <c r="A670" s="83" t="s">
        <v>138</v>
      </c>
      <c r="B670" s="306" t="s">
        <v>1164</v>
      </c>
      <c r="C670" s="123" t="s">
        <v>396</v>
      </c>
      <c r="D670" s="123" t="s">
        <v>1010</v>
      </c>
      <c r="E670" s="123" t="s">
        <v>824</v>
      </c>
      <c r="F670" s="123" t="s">
        <v>825</v>
      </c>
      <c r="G670" s="123" t="s">
        <v>1274</v>
      </c>
      <c r="H670" s="123" t="s">
        <v>660</v>
      </c>
      <c r="I670" s="123" t="s">
        <v>1272</v>
      </c>
    </row>
    <row r="671" hidden="1" outlineLevel="2">
      <c r="A671" s="88" t="s">
        <v>149</v>
      </c>
      <c r="B671" s="152">
        <f t="shared" ref="B671:I671" si="256">IF(B669&gt;0,B670/B669,0)</f>
        <v>0.9411764706</v>
      </c>
      <c r="C671" s="153">
        <f t="shared" si="256"/>
        <v>0.9724770642</v>
      </c>
      <c r="D671" s="153">
        <f t="shared" si="256"/>
        <v>1</v>
      </c>
      <c r="E671" s="153">
        <f t="shared" si="256"/>
        <v>0.9375</v>
      </c>
      <c r="F671" s="153">
        <f t="shared" si="256"/>
        <v>0.9577464789</v>
      </c>
      <c r="G671" s="153">
        <f t="shared" si="256"/>
        <v>0.9941520468</v>
      </c>
      <c r="H671" s="153">
        <f t="shared" si="256"/>
        <v>0.9772727273</v>
      </c>
      <c r="I671" s="154">
        <f t="shared" si="256"/>
        <v>1</v>
      </c>
    </row>
    <row r="672" hidden="1" outlineLevel="2">
      <c r="A672" s="88" t="s">
        <v>156</v>
      </c>
      <c r="B672" s="152">
        <f t="shared" ref="B672:I672" si="257">IF(B668&gt;0,B670/B668,0)</f>
        <v>0.5818181818</v>
      </c>
      <c r="C672" s="153">
        <f t="shared" si="257"/>
        <v>0.9237472767</v>
      </c>
      <c r="D672" s="153">
        <f t="shared" si="257"/>
        <v>0.7474946608</v>
      </c>
      <c r="E672" s="153">
        <f t="shared" si="257"/>
        <v>0.6818181818</v>
      </c>
      <c r="F672" s="153">
        <f t="shared" si="257"/>
        <v>0.5666666667</v>
      </c>
      <c r="G672" s="153">
        <f t="shared" si="257"/>
        <v>1.380094171</v>
      </c>
      <c r="H672" s="153">
        <f t="shared" si="257"/>
        <v>0.8591408591</v>
      </c>
      <c r="I672" s="154">
        <f t="shared" si="257"/>
        <v>0.84</v>
      </c>
    </row>
    <row r="673" hidden="1" outlineLevel="2">
      <c r="A673" s="159" t="s">
        <v>13</v>
      </c>
      <c r="B673" s="297">
        <f t="shared" ref="B673:I673" si="258">average(B671:B672)</f>
        <v>0.7614973262</v>
      </c>
      <c r="C673" s="298">
        <f t="shared" si="258"/>
        <v>0.9481121705</v>
      </c>
      <c r="D673" s="298">
        <f t="shared" si="258"/>
        <v>0.8737473304</v>
      </c>
      <c r="E673" s="298">
        <f t="shared" si="258"/>
        <v>0.8096590909</v>
      </c>
      <c r="F673" s="298">
        <f t="shared" si="258"/>
        <v>0.7622065728</v>
      </c>
      <c r="G673" s="298">
        <f t="shared" si="258"/>
        <v>1.187123109</v>
      </c>
      <c r="H673" s="298">
        <f t="shared" si="258"/>
        <v>0.9182067932</v>
      </c>
      <c r="I673" s="299">
        <f t="shared" si="258"/>
        <v>0.92</v>
      </c>
    </row>
    <row r="674" hidden="1" outlineLevel="2">
      <c r="A674" s="51" t="s">
        <v>161</v>
      </c>
      <c r="B674" s="334"/>
      <c r="C674" s="54"/>
      <c r="D674" s="54"/>
      <c r="E674" s="54"/>
      <c r="F674" s="54"/>
      <c r="G674" s="54"/>
      <c r="H674" s="54"/>
      <c r="I674" s="335"/>
    </row>
    <row r="675" hidden="1" outlineLevel="2">
      <c r="A675" s="83" t="s">
        <v>162</v>
      </c>
      <c r="B675" s="292">
        <v>9.33</v>
      </c>
      <c r="C675" s="293">
        <v>8.06</v>
      </c>
      <c r="D675" s="293">
        <v>9.12</v>
      </c>
      <c r="E675" s="293">
        <v>9.62</v>
      </c>
      <c r="F675" s="293">
        <v>9.33</v>
      </c>
      <c r="G675" s="293">
        <v>9.42</v>
      </c>
      <c r="H675" s="293">
        <v>9.66</v>
      </c>
      <c r="I675" s="293">
        <v>9.72</v>
      </c>
    </row>
    <row r="676" hidden="1" outlineLevel="2">
      <c r="A676" s="88" t="s">
        <v>169</v>
      </c>
      <c r="B676" s="165">
        <v>10.0</v>
      </c>
      <c r="C676" s="166">
        <v>10.0</v>
      </c>
      <c r="D676" s="166">
        <v>10.0</v>
      </c>
      <c r="E676" s="166">
        <v>10.0</v>
      </c>
      <c r="F676" s="166">
        <v>10.0</v>
      </c>
      <c r="G676" s="166">
        <v>10.0</v>
      </c>
      <c r="H676" s="166">
        <v>10.0</v>
      </c>
      <c r="I676" s="168">
        <v>10.0</v>
      </c>
    </row>
    <row r="677" hidden="1" outlineLevel="2">
      <c r="A677" s="73" t="s">
        <v>170</v>
      </c>
      <c r="B677" s="297">
        <f t="shared" ref="B677:I677" si="259">IF(B675=0,0,B675/B676)</f>
        <v>0.933</v>
      </c>
      <c r="C677" s="298">
        <f t="shared" si="259"/>
        <v>0.806</v>
      </c>
      <c r="D677" s="298">
        <f t="shared" si="259"/>
        <v>0.912</v>
      </c>
      <c r="E677" s="298">
        <f t="shared" si="259"/>
        <v>0.962</v>
      </c>
      <c r="F677" s="298">
        <f t="shared" si="259"/>
        <v>0.933</v>
      </c>
      <c r="G677" s="298">
        <f t="shared" si="259"/>
        <v>0.942</v>
      </c>
      <c r="H677" s="298">
        <f t="shared" si="259"/>
        <v>0.966</v>
      </c>
      <c r="I677" s="299">
        <f t="shared" si="259"/>
        <v>0.972</v>
      </c>
    </row>
    <row r="678" hidden="1" outlineLevel="2">
      <c r="A678" s="51" t="s">
        <v>173</v>
      </c>
      <c r="B678" s="53"/>
      <c r="C678" s="54"/>
      <c r="D678" s="54"/>
      <c r="E678" s="54"/>
      <c r="F678" s="54"/>
      <c r="G678" s="54"/>
      <c r="H678" s="54"/>
      <c r="I678" s="56"/>
    </row>
    <row r="679" hidden="1" outlineLevel="2">
      <c r="A679" s="83" t="s">
        <v>175</v>
      </c>
      <c r="B679" s="330"/>
      <c r="C679" s="331"/>
      <c r="D679" s="345"/>
      <c r="E679" s="331"/>
      <c r="F679" s="331"/>
      <c r="G679" s="331"/>
      <c r="H679" s="331"/>
      <c r="I679" s="332"/>
    </row>
    <row r="680" hidden="1" outlineLevel="2">
      <c r="A680" s="180" t="s">
        <v>179</v>
      </c>
      <c r="B680" s="53"/>
      <c r="C680" s="54"/>
      <c r="D680" s="54"/>
      <c r="E680" s="54"/>
      <c r="F680" s="54"/>
      <c r="G680" s="54"/>
      <c r="H680" s="54"/>
      <c r="I680" s="56"/>
    </row>
    <row r="681" hidden="1" outlineLevel="2">
      <c r="A681" s="88" t="s">
        <v>180</v>
      </c>
      <c r="B681" s="181">
        <f t="shared" ref="B681:I681" si="260">B660*25</f>
        <v>27.02702703</v>
      </c>
      <c r="C681" s="182">
        <f t="shared" si="260"/>
        <v>25.16447368</v>
      </c>
      <c r="D681" s="182">
        <f t="shared" si="260"/>
        <v>25.3625</v>
      </c>
      <c r="E681" s="182">
        <f t="shared" si="260"/>
        <v>27.02702703</v>
      </c>
      <c r="F681" s="182">
        <f t="shared" si="260"/>
        <v>27.02702703</v>
      </c>
      <c r="G681" s="182">
        <f t="shared" si="260"/>
        <v>25.6625</v>
      </c>
      <c r="H681" s="182">
        <f t="shared" si="260"/>
        <v>25.025</v>
      </c>
      <c r="I681" s="183">
        <f t="shared" si="260"/>
        <v>23.3</v>
      </c>
    </row>
    <row r="682" hidden="1" outlineLevel="2">
      <c r="A682" s="88" t="s">
        <v>182</v>
      </c>
      <c r="B682" s="181">
        <f t="shared" ref="B682:I682" si="261">B664*35</f>
        <v>35</v>
      </c>
      <c r="C682" s="182">
        <f t="shared" si="261"/>
        <v>24.5</v>
      </c>
      <c r="D682" s="182">
        <f t="shared" si="261"/>
        <v>35</v>
      </c>
      <c r="E682" s="182">
        <f t="shared" si="261"/>
        <v>35</v>
      </c>
      <c r="F682" s="182">
        <f t="shared" si="261"/>
        <v>35</v>
      </c>
      <c r="G682" s="182">
        <f t="shared" si="261"/>
        <v>8.75</v>
      </c>
      <c r="H682" s="182">
        <f t="shared" si="261"/>
        <v>35</v>
      </c>
      <c r="I682" s="183">
        <f t="shared" si="261"/>
        <v>35</v>
      </c>
    </row>
    <row r="683" hidden="1" outlineLevel="2">
      <c r="A683" s="88" t="s">
        <v>184</v>
      </c>
      <c r="B683" s="181">
        <f t="shared" ref="B683:I683" si="262">IF(AND(B664&lt;85%, B673&gt;100%), 25, B673*25)</f>
        <v>19.03743316</v>
      </c>
      <c r="C683" s="182">
        <f t="shared" si="262"/>
        <v>23.70280426</v>
      </c>
      <c r="D683" s="182">
        <f t="shared" si="262"/>
        <v>21.84368326</v>
      </c>
      <c r="E683" s="182">
        <f t="shared" si="262"/>
        <v>20.24147727</v>
      </c>
      <c r="F683" s="182">
        <f t="shared" si="262"/>
        <v>19.05516432</v>
      </c>
      <c r="G683" s="182">
        <f t="shared" si="262"/>
        <v>25</v>
      </c>
      <c r="H683" s="182">
        <f t="shared" si="262"/>
        <v>22.95516983</v>
      </c>
      <c r="I683" s="183">
        <f t="shared" si="262"/>
        <v>23</v>
      </c>
    </row>
    <row r="684" hidden="1" outlineLevel="2">
      <c r="A684" s="88" t="s">
        <v>187</v>
      </c>
      <c r="B684" s="181">
        <f t="shared" ref="B684:I684" si="263">B677*15</f>
        <v>13.995</v>
      </c>
      <c r="C684" s="182">
        <f t="shared" si="263"/>
        <v>12.09</v>
      </c>
      <c r="D684" s="182">
        <f t="shared" si="263"/>
        <v>13.68</v>
      </c>
      <c r="E684" s="182">
        <f t="shared" si="263"/>
        <v>14.43</v>
      </c>
      <c r="F684" s="182">
        <f t="shared" si="263"/>
        <v>13.995</v>
      </c>
      <c r="G684" s="182">
        <f t="shared" si="263"/>
        <v>14.13</v>
      </c>
      <c r="H684" s="182">
        <f t="shared" si="263"/>
        <v>14.49</v>
      </c>
      <c r="I684" s="183">
        <f t="shared" si="263"/>
        <v>14.58</v>
      </c>
    </row>
    <row r="685" hidden="1" outlineLevel="2">
      <c r="A685" s="88" t="s">
        <v>188</v>
      </c>
      <c r="B685" s="181">
        <f t="shared" ref="B685:I685" si="264">B679*-10</f>
        <v>0</v>
      </c>
      <c r="C685" s="182">
        <f t="shared" si="264"/>
        <v>0</v>
      </c>
      <c r="D685" s="182">
        <f t="shared" si="264"/>
        <v>0</v>
      </c>
      <c r="E685" s="182">
        <f t="shared" si="264"/>
        <v>0</v>
      </c>
      <c r="F685" s="182">
        <f t="shared" si="264"/>
        <v>0</v>
      </c>
      <c r="G685" s="182">
        <f t="shared" si="264"/>
        <v>0</v>
      </c>
      <c r="H685" s="182">
        <f t="shared" si="264"/>
        <v>0</v>
      </c>
      <c r="I685" s="183">
        <f t="shared" si="264"/>
        <v>0</v>
      </c>
    </row>
    <row r="686" hidden="1" outlineLevel="2">
      <c r="A686" s="187" t="s">
        <v>190</v>
      </c>
      <c r="B686" s="181">
        <f t="shared" ref="B686:I686" si="265">B681+B682+B683+B684+B685</f>
        <v>95.05946018</v>
      </c>
      <c r="C686" s="182">
        <f t="shared" si="265"/>
        <v>85.45727795</v>
      </c>
      <c r="D686" s="182">
        <f t="shared" si="265"/>
        <v>95.88618326</v>
      </c>
      <c r="E686" s="182">
        <f t="shared" si="265"/>
        <v>96.6985043</v>
      </c>
      <c r="F686" s="182">
        <f t="shared" si="265"/>
        <v>95.07719135</v>
      </c>
      <c r="G686" s="182">
        <f t="shared" si="265"/>
        <v>73.5425</v>
      </c>
      <c r="H686" s="182">
        <f t="shared" si="265"/>
        <v>97.47016983</v>
      </c>
      <c r="I686" s="183">
        <f t="shared" si="265"/>
        <v>95.88</v>
      </c>
    </row>
    <row r="687" hidden="1" outlineLevel="2">
      <c r="A687" s="73" t="s">
        <v>193</v>
      </c>
      <c r="B687" s="74">
        <f t="shared" ref="B687:I687" si="266">B686/100</f>
        <v>0.9505946018</v>
      </c>
      <c r="C687" s="75">
        <f t="shared" si="266"/>
        <v>0.8545727795</v>
      </c>
      <c r="D687" s="369">
        <f t="shared" si="266"/>
        <v>0.9588618326</v>
      </c>
      <c r="E687" s="75">
        <f t="shared" si="266"/>
        <v>0.966985043</v>
      </c>
      <c r="F687" s="75">
        <f t="shared" si="266"/>
        <v>0.9507719135</v>
      </c>
      <c r="G687" s="75">
        <f t="shared" si="266"/>
        <v>0.735425</v>
      </c>
      <c r="H687" s="75">
        <f t="shared" si="266"/>
        <v>0.9747016983</v>
      </c>
      <c r="I687" s="77">
        <f t="shared" si="266"/>
        <v>0.9588</v>
      </c>
    </row>
    <row r="688" hidden="1" outlineLevel="2">
      <c r="A688" s="180" t="s">
        <v>203</v>
      </c>
      <c r="B688" s="361" t="s">
        <v>204</v>
      </c>
      <c r="C688" s="362" t="s">
        <v>204</v>
      </c>
      <c r="D688" s="362" t="s">
        <v>204</v>
      </c>
      <c r="E688" s="362" t="s">
        <v>204</v>
      </c>
      <c r="F688" s="362" t="s">
        <v>204</v>
      </c>
      <c r="G688" s="362" t="s">
        <v>207</v>
      </c>
      <c r="H688" s="362" t="s">
        <v>206</v>
      </c>
      <c r="I688" s="362" t="s">
        <v>204</v>
      </c>
    </row>
    <row r="689" hidden="1" outlineLevel="2">
      <c r="A689" s="180" t="s">
        <v>208</v>
      </c>
      <c r="B689" s="216"/>
      <c r="C689" s="217"/>
      <c r="D689" s="350"/>
      <c r="E689" s="217"/>
      <c r="F689" s="217"/>
      <c r="G689" s="217"/>
      <c r="H689" s="217"/>
      <c r="I689" s="364"/>
    </row>
    <row r="690" hidden="1" outlineLevel="1" collapsed="1">
      <c r="A690" s="32"/>
      <c r="B690" s="33" t="s">
        <v>1298</v>
      </c>
      <c r="C690" s="34"/>
      <c r="D690" s="34"/>
      <c r="E690" s="34"/>
      <c r="F690" s="34"/>
      <c r="G690" s="34"/>
      <c r="H690" s="34"/>
      <c r="I690" s="35"/>
    </row>
    <row r="691" hidden="1" outlineLevel="2">
      <c r="A691" s="228"/>
      <c r="B691" s="317" t="s">
        <v>56</v>
      </c>
      <c r="C691" s="318" t="s">
        <v>57</v>
      </c>
      <c r="D691" s="318" t="s">
        <v>21</v>
      </c>
      <c r="E691" s="318" t="s">
        <v>32</v>
      </c>
      <c r="F691" s="318" t="s">
        <v>58</v>
      </c>
      <c r="G691" s="319" t="s">
        <v>59</v>
      </c>
      <c r="H691" s="320" t="s">
        <v>7</v>
      </c>
      <c r="I691" s="320" t="s">
        <v>503</v>
      </c>
    </row>
    <row r="692" hidden="1" outlineLevel="2">
      <c r="A692" s="44" t="s">
        <v>60</v>
      </c>
      <c r="B692" s="289" t="s">
        <v>1298</v>
      </c>
      <c r="C692" s="290"/>
      <c r="D692" s="290"/>
      <c r="E692" s="290"/>
      <c r="F692" s="290"/>
      <c r="G692" s="290"/>
      <c r="H692" s="290"/>
      <c r="I692" s="291"/>
    </row>
    <row r="693" hidden="1" outlineLevel="2">
      <c r="A693" s="51" t="s">
        <v>64</v>
      </c>
      <c r="B693" s="53"/>
      <c r="C693" s="54"/>
      <c r="D693" s="54"/>
      <c r="E693" s="54"/>
      <c r="F693" s="54"/>
      <c r="G693" s="54"/>
      <c r="H693" s="54"/>
      <c r="I693" s="56"/>
    </row>
    <row r="694" hidden="1" outlineLevel="2">
      <c r="A694" s="58" t="s">
        <v>69</v>
      </c>
      <c r="B694" s="292">
        <v>39.59</v>
      </c>
      <c r="C694" s="293">
        <v>40.43</v>
      </c>
      <c r="D694" s="293">
        <v>40.43</v>
      </c>
      <c r="E694" s="293">
        <v>40.04</v>
      </c>
      <c r="F694" s="293">
        <v>40.05</v>
      </c>
      <c r="G694" s="293">
        <v>40.59</v>
      </c>
      <c r="H694" s="293">
        <v>39.38</v>
      </c>
      <c r="I694" s="354">
        <v>40.01</v>
      </c>
    </row>
    <row r="695" hidden="1" outlineLevel="2">
      <c r="A695" s="68" t="s">
        <v>75</v>
      </c>
      <c r="B695" s="296">
        <v>37.0</v>
      </c>
      <c r="C695" s="296">
        <v>38.0</v>
      </c>
      <c r="D695" s="70">
        <v>40.0</v>
      </c>
      <c r="E695" s="296">
        <v>37.0</v>
      </c>
      <c r="F695" s="296">
        <v>37.0</v>
      </c>
      <c r="G695" s="296">
        <v>40.0</v>
      </c>
      <c r="H695" s="296">
        <v>40.0</v>
      </c>
      <c r="I695" s="355">
        <v>40.0</v>
      </c>
    </row>
    <row r="696" hidden="1" outlineLevel="2">
      <c r="A696" s="73" t="s">
        <v>76</v>
      </c>
      <c r="B696" s="297">
        <f t="shared" ref="B696:I696" si="267">B694/B695</f>
        <v>1.07</v>
      </c>
      <c r="C696" s="298">
        <f t="shared" si="267"/>
        <v>1.063947368</v>
      </c>
      <c r="D696" s="298">
        <f t="shared" si="267"/>
        <v>1.01075</v>
      </c>
      <c r="E696" s="298">
        <f t="shared" si="267"/>
        <v>1.082162162</v>
      </c>
      <c r="F696" s="298">
        <f t="shared" si="267"/>
        <v>1.082432432</v>
      </c>
      <c r="G696" s="298">
        <f t="shared" si="267"/>
        <v>1.01475</v>
      </c>
      <c r="H696" s="298">
        <f t="shared" si="267"/>
        <v>0.9845</v>
      </c>
      <c r="I696" s="299">
        <f t="shared" si="267"/>
        <v>1.00025</v>
      </c>
    </row>
    <row r="697" hidden="1" outlineLevel="2">
      <c r="A697" s="51" t="s">
        <v>79</v>
      </c>
      <c r="B697" s="53"/>
      <c r="C697" s="54"/>
      <c r="D697" s="54"/>
      <c r="E697" s="54"/>
      <c r="F697" s="54"/>
      <c r="G697" s="54"/>
      <c r="H697" s="54"/>
      <c r="I697" s="56"/>
    </row>
    <row r="698" hidden="1" outlineLevel="2">
      <c r="A698" s="83" t="s">
        <v>81</v>
      </c>
      <c r="B698" s="292">
        <v>40.0</v>
      </c>
      <c r="C698" s="293">
        <v>28.0</v>
      </c>
      <c r="D698" s="293">
        <v>37.0</v>
      </c>
      <c r="E698" s="293">
        <v>40.0</v>
      </c>
      <c r="F698" s="293">
        <v>40.0</v>
      </c>
      <c r="G698" s="293">
        <v>40.0</v>
      </c>
      <c r="H698" s="293">
        <v>40.0</v>
      </c>
      <c r="I698" s="294">
        <v>40.0</v>
      </c>
    </row>
    <row r="699" hidden="1" outlineLevel="2">
      <c r="A699" s="88" t="s">
        <v>86</v>
      </c>
      <c r="B699" s="260">
        <v>40.0</v>
      </c>
      <c r="C699" s="261">
        <v>40.0</v>
      </c>
      <c r="D699" s="261">
        <v>40.0</v>
      </c>
      <c r="E699" s="261">
        <v>40.0</v>
      </c>
      <c r="F699" s="261">
        <v>40.0</v>
      </c>
      <c r="G699" s="261">
        <v>40.0</v>
      </c>
      <c r="H699" s="261">
        <v>40.0</v>
      </c>
      <c r="I699" s="262">
        <v>40.0</v>
      </c>
    </row>
    <row r="700" hidden="1" outlineLevel="2">
      <c r="A700" s="73" t="s">
        <v>96</v>
      </c>
      <c r="B700" s="297">
        <f t="shared" ref="B700:I700" si="268">B698/B699</f>
        <v>1</v>
      </c>
      <c r="C700" s="298">
        <f t="shared" si="268"/>
        <v>0.7</v>
      </c>
      <c r="D700" s="298">
        <f t="shared" si="268"/>
        <v>0.925</v>
      </c>
      <c r="E700" s="298">
        <f t="shared" si="268"/>
        <v>1</v>
      </c>
      <c r="F700" s="298">
        <f t="shared" si="268"/>
        <v>1</v>
      </c>
      <c r="G700" s="298">
        <f t="shared" si="268"/>
        <v>1</v>
      </c>
      <c r="H700" s="298">
        <f t="shared" si="268"/>
        <v>1</v>
      </c>
      <c r="I700" s="299">
        <f t="shared" si="268"/>
        <v>1</v>
      </c>
    </row>
    <row r="701" hidden="1" outlineLevel="2">
      <c r="A701" s="51" t="s">
        <v>99</v>
      </c>
      <c r="B701" s="53"/>
      <c r="C701" s="54"/>
      <c r="D701" s="54"/>
      <c r="E701" s="54"/>
      <c r="F701" s="54"/>
      <c r="G701" s="54"/>
      <c r="H701" s="54"/>
      <c r="I701" s="56"/>
    </row>
    <row r="702" hidden="1" outlineLevel="2">
      <c r="A702" s="83" t="s">
        <v>101</v>
      </c>
      <c r="B702" s="259" t="s">
        <v>109</v>
      </c>
      <c r="C702" s="123" t="s">
        <v>113</v>
      </c>
      <c r="D702" s="123" t="s">
        <v>109</v>
      </c>
      <c r="E702" s="124" t="s">
        <v>109</v>
      </c>
      <c r="F702" s="124" t="s">
        <v>109</v>
      </c>
      <c r="G702" s="123" t="s">
        <v>113</v>
      </c>
      <c r="H702" s="124" t="s">
        <v>109</v>
      </c>
      <c r="I702" s="126" t="s">
        <v>109</v>
      </c>
    </row>
    <row r="703" hidden="1" outlineLevel="2">
      <c r="A703" s="83" t="s">
        <v>117</v>
      </c>
      <c r="B703" s="259" t="s">
        <v>118</v>
      </c>
      <c r="C703" s="124" t="s">
        <v>119</v>
      </c>
      <c r="D703" s="124" t="s">
        <v>118</v>
      </c>
      <c r="E703" s="124" t="s">
        <v>119</v>
      </c>
      <c r="F703" s="124" t="s">
        <v>118</v>
      </c>
      <c r="G703" s="124" t="s">
        <v>119</v>
      </c>
      <c r="H703" s="124" t="s">
        <v>119</v>
      </c>
      <c r="I703" s="126" t="s">
        <v>119</v>
      </c>
    </row>
    <row r="704" hidden="1" outlineLevel="2">
      <c r="A704" s="83" t="s">
        <v>120</v>
      </c>
      <c r="B704" s="271">
        <f>IF(B694&lt;B695,B695,B694) *
IF(B702="AM",
    IF(B703="Oricle",3.5,
    IF(B703="Other Brands",4,
    IF(B703="Oricle Prio",0.6,""))),
 IF(B702="MID",
    IF(B703="Oricle",2.5,
    IF(B703="Other Brands",3,
    IF(B703="Oricle Prio",0.6,""))),
 IF(B702="GY",
    IF(B703="Oricle",1,
    IF(B703="Other Brands",1,
    IF(B703="Oricle Prio",0.3,""))),"")))-10</f>
        <v>108.77</v>
      </c>
      <c r="C704" s="273">
        <f>IF(C694&lt;C695,C695,C694) *
IF(C702="AM",
    IF(C703="Oricle",3,
    IF(C703="Other Brands",4,
    IF(C703="Oricle Prio",0.6,""))),
 IF(C702="MID",
    IF(C703="Oricle",2.5,
    IF(C703="Other Brands",3,
    IF(C703="Oricle Prio",0.6,""))),
 IF(C702="GY",
    IF(C703="Oricle",1,
    IF(C703="Other Brands",1,
    IF(C703="Oricle Prio",0.3,""))),"")))</f>
        <v>121.29</v>
      </c>
      <c r="D704" s="273">
        <f>IF(D694&lt;D695,D695,D694) *
IF(D702="AM",
    IF(D703="Oricle",3.5,
    IF(D703="Other Brands",4,
    IF(D703="Oricle Prio",0.6,""))),
 IF(D702="MID",
    IF(D703="Oricle",2.5,
    IF(D703="Other Brands",3,
    IF(D703="Oricle Prio",0.6,""))),
 IF(D702="GY",
    IF(D703="Oricle",1,
    IF(D703="Other Brands",1,
    IF(D703="Oricle Prio",0.3,""))),"")))</f>
        <v>121.29</v>
      </c>
      <c r="E704" s="273">
        <f>IF(E694&lt;E695,E695,E694) *
IF(E702="AM",
    IF(E703="Oricle",3.5,
    IF(E703="Other Brands",4,
    IF(E703="Oricle Prio",0.6,""))),
 IF(E702="MID",
    IF(E703="Oricle",2.5,
    IF(E703="Other Brands",3,
    IF(E703="Oricle Prio",0.6,""))),
 IF(E702="GY",
    IF(E703="Oricle",1,
    IF(E703="Other Brands",1,
    IF(E703="Oricle Prio",0.3,""))),"")))-12</f>
        <v>88.1</v>
      </c>
      <c r="F704" s="273">
        <f>IF(F694&lt;F695,F695,F694) *
IF(F702="AM",
    IF(F703="Oricle",3.5,
    IF(F703="Other Brands",4,
    IF(F703="Oricle Prio",0.6,""))),
 IF(F702="MID",
    IF(F703="Oricle",2.5,
    IF(F703="Other Brands",3,
    IF(F703="Oricle Prio",0.6,""))),
 IF(F702="GY",
    IF(F703="Oricle",1,
    IF(F703="Other Brands",1,
    IF(F703="Oricle Prio",0.3,""))),"")))</f>
        <v>120.15</v>
      </c>
      <c r="G704" s="273">
        <f t="shared" ref="G704:H704" si="269">IF(G694&lt;G695,G695,G694) *
IF(G702="AM",
    IF(G703="Oricle",3,
    IF(G703="Other Brands",4,
    IF(G703="Oricle Prio",0.6,""))),
 IF(G702="MID",
    IF(G703="Oricle",2.5,
    IF(G703="Other Brands",3,
    IF(G703="Oricle Prio",0.6,""))),
 IF(G702="GY",
    IF(G703="Oricle",1,
    IF(G703="Other Brands",1,
    IF(G703="Oricle Prio",0.3,""))),"")))</f>
        <v>121.77</v>
      </c>
      <c r="H704" s="273">
        <f t="shared" si="269"/>
        <v>100</v>
      </c>
      <c r="I704" s="273">
        <f>IF(I694&lt;I695,I695,I694) *
IF(I702="AM",
    IF(I703="Oricle",3.5,
    IF(I703="Other Brands",4,
    IF(I703="Oricle Prio",0.6,""))),
 IF(I702="MID",
    IF(I703="Oricle",2.5,
    IF(I703="Other Brands",3,
    IF(I703="Oricle Prio",0.6,""))),
 IF(I702="GY",
    IF(I703="Oricle",1,
    IF(I703="Other Brands",1,
    IF(I703="Oricle Prio",0.3,""))),"")))</f>
        <v>100.025</v>
      </c>
    </row>
    <row r="705" hidden="1" outlineLevel="2">
      <c r="A705" s="83" t="s">
        <v>131</v>
      </c>
      <c r="B705" s="306" t="s">
        <v>703</v>
      </c>
      <c r="C705" s="123" t="s">
        <v>652</v>
      </c>
      <c r="D705" s="123" t="s">
        <v>395</v>
      </c>
      <c r="E705" s="123" t="s">
        <v>759</v>
      </c>
      <c r="F705" s="123" t="s">
        <v>1125</v>
      </c>
      <c r="G705" s="123" t="s">
        <v>314</v>
      </c>
      <c r="H705" s="123" t="s">
        <v>260</v>
      </c>
      <c r="I705" s="123" t="s">
        <v>660</v>
      </c>
    </row>
    <row r="706" hidden="1" outlineLevel="2">
      <c r="A706" s="83" t="s">
        <v>138</v>
      </c>
      <c r="B706" s="306" t="s">
        <v>825</v>
      </c>
      <c r="C706" s="123" t="s">
        <v>757</v>
      </c>
      <c r="D706" s="123" t="s">
        <v>1011</v>
      </c>
      <c r="E706" s="123" t="s">
        <v>1125</v>
      </c>
      <c r="F706" s="123" t="s">
        <v>1125</v>
      </c>
      <c r="G706" s="123" t="s">
        <v>132</v>
      </c>
      <c r="H706" s="123" t="s">
        <v>260</v>
      </c>
      <c r="I706" s="123" t="s">
        <v>954</v>
      </c>
    </row>
    <row r="707" hidden="1" outlineLevel="2">
      <c r="A707" s="88" t="s">
        <v>149</v>
      </c>
      <c r="B707" s="152">
        <f t="shared" ref="B707:I707" si="270">IF(B705&gt;0,B706/B705,0)</f>
        <v>0.9855072464</v>
      </c>
      <c r="C707" s="153">
        <f t="shared" si="270"/>
        <v>0.9545454545</v>
      </c>
      <c r="D707" s="153">
        <f t="shared" si="270"/>
        <v>0.9595959596</v>
      </c>
      <c r="E707" s="153">
        <f t="shared" si="270"/>
        <v>0.9701492537</v>
      </c>
      <c r="F707" s="153">
        <f t="shared" si="270"/>
        <v>1</v>
      </c>
      <c r="G707" s="153">
        <f t="shared" si="270"/>
        <v>0.9795918367</v>
      </c>
      <c r="H707" s="153">
        <f t="shared" si="270"/>
        <v>1</v>
      </c>
      <c r="I707" s="154">
        <f t="shared" si="270"/>
        <v>0.9651162791</v>
      </c>
    </row>
    <row r="708" hidden="1" outlineLevel="2">
      <c r="A708" s="88" t="s">
        <v>156</v>
      </c>
      <c r="B708" s="152">
        <f t="shared" ref="B708:I708" si="271">IF(B704&gt;0,B706/B704,0)</f>
        <v>0.6251723821</v>
      </c>
      <c r="C708" s="153">
        <f t="shared" si="271"/>
        <v>0.8656937917</v>
      </c>
      <c r="D708" s="153">
        <f t="shared" si="271"/>
        <v>0.783246764</v>
      </c>
      <c r="E708" s="153">
        <f t="shared" si="271"/>
        <v>0.7377979569</v>
      </c>
      <c r="F708" s="153">
        <f t="shared" si="271"/>
        <v>0.5409904286</v>
      </c>
      <c r="G708" s="153">
        <f t="shared" si="271"/>
        <v>1.18255728</v>
      </c>
      <c r="H708" s="153">
        <f t="shared" si="271"/>
        <v>0.89</v>
      </c>
      <c r="I708" s="154">
        <f t="shared" si="271"/>
        <v>0.8297925519</v>
      </c>
    </row>
    <row r="709" hidden="1" outlineLevel="2">
      <c r="A709" s="159" t="s">
        <v>13</v>
      </c>
      <c r="B709" s="297">
        <f t="shared" ref="B709:I709" si="272">average(B707:B708)</f>
        <v>0.8053398142</v>
      </c>
      <c r="C709" s="298">
        <f t="shared" si="272"/>
        <v>0.9101196231</v>
      </c>
      <c r="D709" s="298">
        <f t="shared" si="272"/>
        <v>0.8714213618</v>
      </c>
      <c r="E709" s="298">
        <f t="shared" si="272"/>
        <v>0.8539736053</v>
      </c>
      <c r="F709" s="298">
        <f t="shared" si="272"/>
        <v>0.7704952143</v>
      </c>
      <c r="G709" s="298">
        <f t="shared" si="272"/>
        <v>1.081074558</v>
      </c>
      <c r="H709" s="298">
        <f t="shared" si="272"/>
        <v>0.945</v>
      </c>
      <c r="I709" s="299">
        <f t="shared" si="272"/>
        <v>0.8974544155</v>
      </c>
    </row>
    <row r="710" hidden="1" outlineLevel="2">
      <c r="A710" s="51" t="s">
        <v>161</v>
      </c>
      <c r="B710" s="334"/>
      <c r="C710" s="54"/>
      <c r="D710" s="54"/>
      <c r="E710" s="54"/>
      <c r="F710" s="54"/>
      <c r="G710" s="54"/>
      <c r="H710" s="54"/>
      <c r="I710" s="335"/>
    </row>
    <row r="711" hidden="1" outlineLevel="2">
      <c r="A711" s="83" t="s">
        <v>162</v>
      </c>
      <c r="B711" s="292">
        <v>10.0</v>
      </c>
      <c r="C711" s="293">
        <v>8.64</v>
      </c>
      <c r="D711" s="293">
        <v>8.28</v>
      </c>
      <c r="E711" s="293">
        <v>9.0</v>
      </c>
      <c r="F711" s="293">
        <v>10.0</v>
      </c>
      <c r="G711" s="293">
        <v>9.11</v>
      </c>
      <c r="H711" s="293">
        <v>9.44</v>
      </c>
      <c r="I711" s="293">
        <v>8.62</v>
      </c>
    </row>
    <row r="712" hidden="1" outlineLevel="2">
      <c r="A712" s="88" t="s">
        <v>169</v>
      </c>
      <c r="B712" s="165">
        <v>10.0</v>
      </c>
      <c r="C712" s="166">
        <v>10.0</v>
      </c>
      <c r="D712" s="166">
        <v>10.0</v>
      </c>
      <c r="E712" s="166">
        <v>10.0</v>
      </c>
      <c r="F712" s="166">
        <v>10.0</v>
      </c>
      <c r="G712" s="166">
        <v>10.0</v>
      </c>
      <c r="H712" s="166">
        <v>10.0</v>
      </c>
      <c r="I712" s="168">
        <v>10.0</v>
      </c>
    </row>
    <row r="713" hidden="1" outlineLevel="2">
      <c r="A713" s="73" t="s">
        <v>170</v>
      </c>
      <c r="B713" s="297">
        <f t="shared" ref="B713:I713" si="273">IF(B711=0,0,B711/B712)</f>
        <v>1</v>
      </c>
      <c r="C713" s="298">
        <f t="shared" si="273"/>
        <v>0.864</v>
      </c>
      <c r="D713" s="298">
        <f t="shared" si="273"/>
        <v>0.828</v>
      </c>
      <c r="E713" s="298">
        <f t="shared" si="273"/>
        <v>0.9</v>
      </c>
      <c r="F713" s="298">
        <f t="shared" si="273"/>
        <v>1</v>
      </c>
      <c r="G713" s="298">
        <f t="shared" si="273"/>
        <v>0.911</v>
      </c>
      <c r="H713" s="298">
        <f t="shared" si="273"/>
        <v>0.944</v>
      </c>
      <c r="I713" s="299">
        <f t="shared" si="273"/>
        <v>0.862</v>
      </c>
    </row>
    <row r="714" hidden="1" outlineLevel="2">
      <c r="A714" s="51" t="s">
        <v>173</v>
      </c>
      <c r="B714" s="53"/>
      <c r="C714" s="54"/>
      <c r="D714" s="54"/>
      <c r="E714" s="54"/>
      <c r="F714" s="54"/>
      <c r="G714" s="54"/>
      <c r="H714" s="54"/>
      <c r="I714" s="56"/>
    </row>
    <row r="715" hidden="1" outlineLevel="2">
      <c r="A715" s="83" t="s">
        <v>175</v>
      </c>
      <c r="B715" s="330"/>
      <c r="C715" s="331"/>
      <c r="D715" s="345"/>
      <c r="E715" s="331"/>
      <c r="F715" s="331"/>
      <c r="G715" s="331"/>
      <c r="H715" s="331"/>
      <c r="I715" s="332"/>
    </row>
    <row r="716" hidden="1" outlineLevel="2">
      <c r="A716" s="180" t="s">
        <v>179</v>
      </c>
      <c r="B716" s="53"/>
      <c r="C716" s="54"/>
      <c r="D716" s="54"/>
      <c r="E716" s="54"/>
      <c r="F716" s="54"/>
      <c r="G716" s="54"/>
      <c r="H716" s="54"/>
      <c r="I716" s="56"/>
    </row>
    <row r="717" hidden="1" outlineLevel="2">
      <c r="A717" s="88" t="s">
        <v>180</v>
      </c>
      <c r="B717" s="181">
        <f t="shared" ref="B717:I717" si="274">B696*25</f>
        <v>26.75</v>
      </c>
      <c r="C717" s="182">
        <f t="shared" si="274"/>
        <v>26.59868421</v>
      </c>
      <c r="D717" s="182">
        <f t="shared" si="274"/>
        <v>25.26875</v>
      </c>
      <c r="E717" s="182">
        <f t="shared" si="274"/>
        <v>27.05405405</v>
      </c>
      <c r="F717" s="182">
        <f t="shared" si="274"/>
        <v>27.06081081</v>
      </c>
      <c r="G717" s="182">
        <f t="shared" si="274"/>
        <v>25.36875</v>
      </c>
      <c r="H717" s="182">
        <f t="shared" si="274"/>
        <v>24.6125</v>
      </c>
      <c r="I717" s="183">
        <f t="shared" si="274"/>
        <v>25.00625</v>
      </c>
    </row>
    <row r="718" hidden="1" outlineLevel="2">
      <c r="A718" s="88" t="s">
        <v>182</v>
      </c>
      <c r="B718" s="181">
        <f t="shared" ref="B718:I718" si="275">B700*35</f>
        <v>35</v>
      </c>
      <c r="C718" s="182">
        <f t="shared" si="275"/>
        <v>24.5</v>
      </c>
      <c r="D718" s="182">
        <f t="shared" si="275"/>
        <v>32.375</v>
      </c>
      <c r="E718" s="182">
        <f t="shared" si="275"/>
        <v>35</v>
      </c>
      <c r="F718" s="182">
        <f t="shared" si="275"/>
        <v>35</v>
      </c>
      <c r="G718" s="182">
        <f t="shared" si="275"/>
        <v>35</v>
      </c>
      <c r="H718" s="182">
        <f t="shared" si="275"/>
        <v>35</v>
      </c>
      <c r="I718" s="183">
        <f t="shared" si="275"/>
        <v>35</v>
      </c>
    </row>
    <row r="719" hidden="1" outlineLevel="2">
      <c r="A719" s="88" t="s">
        <v>184</v>
      </c>
      <c r="B719" s="181">
        <f t="shared" ref="B719:I719" si="276">IF(AND(B700&lt;85%, B709&gt;100%), 25, B709*25)</f>
        <v>20.13349536</v>
      </c>
      <c r="C719" s="182">
        <f t="shared" si="276"/>
        <v>22.75299058</v>
      </c>
      <c r="D719" s="182">
        <f t="shared" si="276"/>
        <v>21.78553404</v>
      </c>
      <c r="E719" s="182">
        <f t="shared" si="276"/>
        <v>21.34934013</v>
      </c>
      <c r="F719" s="182">
        <f t="shared" si="276"/>
        <v>19.26238036</v>
      </c>
      <c r="G719" s="182">
        <f t="shared" si="276"/>
        <v>27.02686396</v>
      </c>
      <c r="H719" s="182">
        <f t="shared" si="276"/>
        <v>23.625</v>
      </c>
      <c r="I719" s="183">
        <f t="shared" si="276"/>
        <v>22.43636039</v>
      </c>
    </row>
    <row r="720" hidden="1" outlineLevel="2">
      <c r="A720" s="88" t="s">
        <v>187</v>
      </c>
      <c r="B720" s="181">
        <f t="shared" ref="B720:I720" si="277">B713*15</f>
        <v>15</v>
      </c>
      <c r="C720" s="182">
        <f t="shared" si="277"/>
        <v>12.96</v>
      </c>
      <c r="D720" s="182">
        <f t="shared" si="277"/>
        <v>12.42</v>
      </c>
      <c r="E720" s="182">
        <f t="shared" si="277"/>
        <v>13.5</v>
      </c>
      <c r="F720" s="182">
        <f t="shared" si="277"/>
        <v>15</v>
      </c>
      <c r="G720" s="182">
        <f t="shared" si="277"/>
        <v>13.665</v>
      </c>
      <c r="H720" s="182">
        <f t="shared" si="277"/>
        <v>14.16</v>
      </c>
      <c r="I720" s="183">
        <f t="shared" si="277"/>
        <v>12.93</v>
      </c>
    </row>
    <row r="721" hidden="1" outlineLevel="2">
      <c r="A721" s="88" t="s">
        <v>188</v>
      </c>
      <c r="B721" s="181">
        <f t="shared" ref="B721:I721" si="278">B715*-10</f>
        <v>0</v>
      </c>
      <c r="C721" s="182">
        <f t="shared" si="278"/>
        <v>0</v>
      </c>
      <c r="D721" s="182">
        <f t="shared" si="278"/>
        <v>0</v>
      </c>
      <c r="E721" s="182">
        <f t="shared" si="278"/>
        <v>0</v>
      </c>
      <c r="F721" s="182">
        <f t="shared" si="278"/>
        <v>0</v>
      </c>
      <c r="G721" s="182">
        <f t="shared" si="278"/>
        <v>0</v>
      </c>
      <c r="H721" s="182">
        <f t="shared" si="278"/>
        <v>0</v>
      </c>
      <c r="I721" s="183">
        <f t="shared" si="278"/>
        <v>0</v>
      </c>
    </row>
    <row r="722" hidden="1" outlineLevel="2">
      <c r="A722" s="187" t="s">
        <v>190</v>
      </c>
      <c r="B722" s="181">
        <f t="shared" ref="B722:I722" si="279">B717+B718+B719+B720+B721</f>
        <v>96.88349536</v>
      </c>
      <c r="C722" s="182">
        <f t="shared" si="279"/>
        <v>86.81167479</v>
      </c>
      <c r="D722" s="182">
        <f t="shared" si="279"/>
        <v>91.84928404</v>
      </c>
      <c r="E722" s="182">
        <f t="shared" si="279"/>
        <v>96.90339419</v>
      </c>
      <c r="F722" s="182">
        <f t="shared" si="279"/>
        <v>96.32319117</v>
      </c>
      <c r="G722" s="182">
        <f t="shared" si="279"/>
        <v>101.060614</v>
      </c>
      <c r="H722" s="182">
        <f t="shared" si="279"/>
        <v>97.3975</v>
      </c>
      <c r="I722" s="183">
        <f t="shared" si="279"/>
        <v>95.37261039</v>
      </c>
    </row>
    <row r="723" hidden="1" outlineLevel="2">
      <c r="A723" s="73" t="s">
        <v>193</v>
      </c>
      <c r="B723" s="74">
        <f t="shared" ref="B723:I723" si="280">B722/100</f>
        <v>0.9688349536</v>
      </c>
      <c r="C723" s="75">
        <f t="shared" si="280"/>
        <v>0.8681167479</v>
      </c>
      <c r="D723" s="369">
        <f t="shared" si="280"/>
        <v>0.9184928404</v>
      </c>
      <c r="E723" s="75">
        <f t="shared" si="280"/>
        <v>0.9690339419</v>
      </c>
      <c r="F723" s="75">
        <f t="shared" si="280"/>
        <v>0.9632319117</v>
      </c>
      <c r="G723" s="75">
        <f t="shared" si="280"/>
        <v>1.01060614</v>
      </c>
      <c r="H723" s="75">
        <f t="shared" si="280"/>
        <v>0.973975</v>
      </c>
      <c r="I723" s="77">
        <f t="shared" si="280"/>
        <v>0.9537261039</v>
      </c>
    </row>
    <row r="724" hidden="1" outlineLevel="2">
      <c r="A724" s="180" t="s">
        <v>203</v>
      </c>
      <c r="B724" s="361" t="s">
        <v>204</v>
      </c>
      <c r="C724" s="362" t="s">
        <v>204</v>
      </c>
      <c r="D724" s="362" t="s">
        <v>204</v>
      </c>
      <c r="E724" s="362" t="s">
        <v>204</v>
      </c>
      <c r="F724" s="362" t="s">
        <v>204</v>
      </c>
      <c r="G724" s="362" t="s">
        <v>206</v>
      </c>
      <c r="H724" s="362" t="s">
        <v>204</v>
      </c>
      <c r="I724" s="362" t="s">
        <v>204</v>
      </c>
    </row>
    <row r="725" hidden="1" outlineLevel="2">
      <c r="A725" s="180" t="s">
        <v>208</v>
      </c>
      <c r="B725" s="216"/>
      <c r="C725" s="217"/>
      <c r="D725" s="350"/>
      <c r="E725" s="217"/>
      <c r="F725" s="217"/>
      <c r="G725" s="217"/>
      <c r="H725" s="217"/>
      <c r="I725" s="364"/>
    </row>
    <row r="726" hidden="1" outlineLevel="1" collapsed="1">
      <c r="A726" s="32"/>
      <c r="B726" s="33" t="s">
        <v>1346</v>
      </c>
      <c r="C726" s="34"/>
      <c r="D726" s="34"/>
      <c r="E726" s="34"/>
      <c r="F726" s="34"/>
      <c r="G726" s="34"/>
      <c r="H726" s="34"/>
      <c r="I726" s="35"/>
    </row>
    <row r="727" hidden="1" outlineLevel="2">
      <c r="A727" s="228"/>
      <c r="B727" s="317" t="s">
        <v>56</v>
      </c>
      <c r="C727" s="318" t="s">
        <v>57</v>
      </c>
      <c r="D727" s="318" t="s">
        <v>21</v>
      </c>
      <c r="E727" s="318" t="s">
        <v>32</v>
      </c>
      <c r="F727" s="318" t="s">
        <v>58</v>
      </c>
      <c r="G727" s="319" t="s">
        <v>59</v>
      </c>
      <c r="H727" s="320" t="s">
        <v>7</v>
      </c>
      <c r="I727" s="320" t="s">
        <v>503</v>
      </c>
    </row>
    <row r="728" hidden="1" outlineLevel="2">
      <c r="A728" s="44" t="s">
        <v>60</v>
      </c>
      <c r="B728" s="289" t="s">
        <v>1346</v>
      </c>
      <c r="C728" s="290"/>
      <c r="D728" s="290"/>
      <c r="E728" s="290"/>
      <c r="F728" s="290"/>
      <c r="G728" s="290"/>
      <c r="H728" s="290"/>
      <c r="I728" s="291"/>
    </row>
    <row r="729" hidden="1" outlineLevel="2">
      <c r="A729" s="51" t="s">
        <v>64</v>
      </c>
      <c r="B729" s="53"/>
      <c r="C729" s="54"/>
      <c r="D729" s="54"/>
      <c r="E729" s="54"/>
      <c r="F729" s="54"/>
      <c r="G729" s="54"/>
      <c r="H729" s="54"/>
      <c r="I729" s="56"/>
    </row>
    <row r="730" hidden="1" outlineLevel="2">
      <c r="A730" s="58" t="s">
        <v>69</v>
      </c>
      <c r="B730" s="292">
        <v>40.0</v>
      </c>
      <c r="C730" s="293">
        <v>40.41</v>
      </c>
      <c r="D730" s="293">
        <v>40.42</v>
      </c>
      <c r="E730" s="293">
        <v>40.0</v>
      </c>
      <c r="F730" s="293">
        <v>36.08</v>
      </c>
      <c r="G730" s="293">
        <v>41.21</v>
      </c>
      <c r="H730" s="293">
        <v>20.0</v>
      </c>
      <c r="I730" s="354">
        <v>40.17</v>
      </c>
    </row>
    <row r="731" hidden="1" outlineLevel="2">
      <c r="A731" s="68" t="s">
        <v>75</v>
      </c>
      <c r="B731" s="296">
        <v>35.0</v>
      </c>
      <c r="C731" s="296">
        <v>38.0</v>
      </c>
      <c r="D731" s="70">
        <v>40.0</v>
      </c>
      <c r="E731" s="296">
        <v>32.0</v>
      </c>
      <c r="F731" s="296">
        <v>32.0</v>
      </c>
      <c r="G731" s="296">
        <v>40.0</v>
      </c>
      <c r="H731" s="296">
        <v>40.0</v>
      </c>
      <c r="I731" s="355">
        <v>40.0</v>
      </c>
    </row>
    <row r="732" hidden="1" outlineLevel="2">
      <c r="A732" s="73" t="s">
        <v>76</v>
      </c>
      <c r="B732" s="297">
        <f t="shared" ref="B732:I732" si="281">B730/B731</f>
        <v>1.142857143</v>
      </c>
      <c r="C732" s="298">
        <f t="shared" si="281"/>
        <v>1.063421053</v>
      </c>
      <c r="D732" s="298">
        <f t="shared" si="281"/>
        <v>1.0105</v>
      </c>
      <c r="E732" s="298">
        <f t="shared" si="281"/>
        <v>1.25</v>
      </c>
      <c r="F732" s="298">
        <f t="shared" si="281"/>
        <v>1.1275</v>
      </c>
      <c r="G732" s="298">
        <f t="shared" si="281"/>
        <v>1.03025</v>
      </c>
      <c r="H732" s="298">
        <f t="shared" si="281"/>
        <v>0.5</v>
      </c>
      <c r="I732" s="299">
        <f t="shared" si="281"/>
        <v>1.00425</v>
      </c>
    </row>
    <row r="733" hidden="1" outlineLevel="2">
      <c r="A733" s="51" t="s">
        <v>79</v>
      </c>
      <c r="B733" s="53"/>
      <c r="C733" s="54"/>
      <c r="D733" s="54"/>
      <c r="E733" s="54"/>
      <c r="F733" s="54"/>
      <c r="G733" s="54"/>
      <c r="H733" s="54"/>
      <c r="I733" s="56"/>
    </row>
    <row r="734" hidden="1" outlineLevel="2">
      <c r="A734" s="83" t="s">
        <v>81</v>
      </c>
      <c r="B734" s="292">
        <v>40.0</v>
      </c>
      <c r="C734" s="293">
        <v>40.0</v>
      </c>
      <c r="D734" s="293">
        <v>40.0</v>
      </c>
      <c r="E734" s="293">
        <v>40.0</v>
      </c>
      <c r="F734" s="293">
        <v>40.0</v>
      </c>
      <c r="G734" s="293">
        <v>40.0</v>
      </c>
      <c r="H734" s="293">
        <v>40.0</v>
      </c>
      <c r="I734" s="294">
        <v>34.0</v>
      </c>
    </row>
    <row r="735" hidden="1" outlineLevel="2">
      <c r="A735" s="88" t="s">
        <v>86</v>
      </c>
      <c r="B735" s="260">
        <v>40.0</v>
      </c>
      <c r="C735" s="261">
        <v>40.0</v>
      </c>
      <c r="D735" s="261">
        <v>40.0</v>
      </c>
      <c r="E735" s="261">
        <v>40.0</v>
      </c>
      <c r="F735" s="261">
        <v>40.0</v>
      </c>
      <c r="G735" s="261">
        <v>40.0</v>
      </c>
      <c r="H735" s="261">
        <v>40.0</v>
      </c>
      <c r="I735" s="262">
        <v>40.0</v>
      </c>
    </row>
    <row r="736" hidden="1" outlineLevel="2">
      <c r="A736" s="73" t="s">
        <v>96</v>
      </c>
      <c r="B736" s="297">
        <f t="shared" ref="B736:I736" si="282">B734/B735</f>
        <v>1</v>
      </c>
      <c r="C736" s="298">
        <f t="shared" si="282"/>
        <v>1</v>
      </c>
      <c r="D736" s="298">
        <f t="shared" si="282"/>
        <v>1</v>
      </c>
      <c r="E736" s="298">
        <f t="shared" si="282"/>
        <v>1</v>
      </c>
      <c r="F736" s="298">
        <f t="shared" si="282"/>
        <v>1</v>
      </c>
      <c r="G736" s="298">
        <f t="shared" si="282"/>
        <v>1</v>
      </c>
      <c r="H736" s="298">
        <f t="shared" si="282"/>
        <v>1</v>
      </c>
      <c r="I736" s="299">
        <f t="shared" si="282"/>
        <v>0.85</v>
      </c>
    </row>
    <row r="737" hidden="1" outlineLevel="2">
      <c r="A737" s="51" t="s">
        <v>99</v>
      </c>
      <c r="B737" s="53"/>
      <c r="C737" s="54"/>
      <c r="D737" s="54"/>
      <c r="E737" s="54"/>
      <c r="F737" s="54"/>
      <c r="G737" s="54"/>
      <c r="H737" s="54"/>
      <c r="I737" s="56"/>
    </row>
    <row r="738" hidden="1" outlineLevel="2">
      <c r="A738" s="83" t="s">
        <v>101</v>
      </c>
      <c r="B738" s="259" t="s">
        <v>109</v>
      </c>
      <c r="C738" s="123" t="s">
        <v>113</v>
      </c>
      <c r="D738" s="123" t="s">
        <v>109</v>
      </c>
      <c r="E738" s="124" t="s">
        <v>109</v>
      </c>
      <c r="F738" s="124" t="s">
        <v>109</v>
      </c>
      <c r="G738" s="123" t="s">
        <v>113</v>
      </c>
      <c r="H738" s="124" t="s">
        <v>109</v>
      </c>
      <c r="I738" s="126" t="s">
        <v>109</v>
      </c>
    </row>
    <row r="739" hidden="1" outlineLevel="2">
      <c r="A739" s="83" t="s">
        <v>117</v>
      </c>
      <c r="B739" s="259" t="s">
        <v>118</v>
      </c>
      <c r="C739" s="124" t="s">
        <v>119</v>
      </c>
      <c r="D739" s="124" t="s">
        <v>118</v>
      </c>
      <c r="E739" s="124" t="s">
        <v>119</v>
      </c>
      <c r="F739" s="124" t="s">
        <v>118</v>
      </c>
      <c r="G739" s="124" t="s">
        <v>119</v>
      </c>
      <c r="H739" s="124" t="s">
        <v>119</v>
      </c>
      <c r="I739" s="126" t="s">
        <v>119</v>
      </c>
    </row>
    <row r="740" hidden="1" outlineLevel="2">
      <c r="A740" s="83" t="s">
        <v>120</v>
      </c>
      <c r="B740" s="271">
        <f>IF(B730&lt;B731,B731,B730) *
IF(B738="AM",
    IF(B739="Oricle",3.5,
    IF(B739="Other Brands",4,
    IF(B739="Oricle Prio",0.6,""))),
 IF(B738="MID",
    IF(B739="Oricle",2.5,
    IF(B739="Other Brands",3,
    IF(B739="Oricle Prio",0.6,""))),
 IF(B738="GY",
    IF(B739="Oricle",1,
    IF(B739="Other Brands",1,
    IF(B739="Oricle Prio",0.3,""))),"")))-10</f>
        <v>110</v>
      </c>
      <c r="C740" s="273">
        <f>IF(C730&lt;C731,C731,C730) *
IF(C738="AM",
    IF(C739="Oricle",3,
    IF(C739="Other Brands",4,
    IF(C739="Oricle Prio",0.6,""))),
 IF(C738="MID",
    IF(C739="Oricle",2.5,
    IF(C739="Other Brands",3,
    IF(C739="Oricle Prio",0.6,""))),
 IF(C738="GY",
    IF(C739="Oricle",1,
    IF(C739="Other Brands",1,
    IF(C739="Oricle Prio",0.3,""))),"")))</f>
        <v>121.23</v>
      </c>
      <c r="D740" s="273">
        <f>IF(D730&lt;D731,D731,D730) *
IF(D738="AM",
    IF(D739="Oricle",3.5,
    IF(D739="Other Brands",4,
    IF(D739="Oricle Prio",0.6,""))),
 IF(D738="MID",
    IF(D739="Oricle",2.5,
    IF(D739="Other Brands",3,
    IF(D739="Oricle Prio",0.6,""))),
 IF(D738="GY",
    IF(D739="Oricle",1,
    IF(D739="Other Brands",1,
    IF(D739="Oricle Prio",0.3,""))),"")))</f>
        <v>121.26</v>
      </c>
      <c r="E740" s="273">
        <f>IF(E730&lt;E731,E731,E730) *
IF(E738="AM",
    IF(E739="Oricle",3.5,
    IF(E739="Other Brands",4,
    IF(E739="Oricle Prio",0.6,""))),
 IF(E738="MID",
    IF(E739="Oricle",2.5,
    IF(E739="Other Brands",3,
    IF(E739="Oricle Prio",0.6,""))),
 IF(E738="GY",
    IF(E739="Oricle",1,
    IF(E739="Other Brands",1,
    IF(E739="Oricle Prio",0.3,""))),"")))-15</f>
        <v>85</v>
      </c>
      <c r="F740" s="273">
        <f>IF(F730&lt;F731,F731,F730) *
IF(F738="AM",
    IF(F739="Oricle",3.5,
    IF(F739="Other Brands",4,
    IF(F739="Oricle Prio",0.6,""))),
 IF(F738="MID",
    IF(F739="Oricle",2.5,
    IF(F739="Other Brands",3,
    IF(F739="Oricle Prio",0.6,""))),
 IF(F738="GY",
    IF(F739="Oricle",1,
    IF(F739="Other Brands",1,
    IF(F739="Oricle Prio",0.3,""))),"")))</f>
        <v>108.24</v>
      </c>
      <c r="G740" s="273">
        <f t="shared" ref="G740:H740" si="283">IF(G730&lt;G731,G731,G730) *
IF(G738="AM",
    IF(G739="Oricle",3,
    IF(G739="Other Brands",4,
    IF(G739="Oricle Prio",0.6,""))),
 IF(G738="MID",
    IF(G739="Oricle",2.5,
    IF(G739="Other Brands",3,
    IF(G739="Oricle Prio",0.6,""))),
 IF(G738="GY",
    IF(G739="Oricle",1,
    IF(G739="Other Brands",1,
    IF(G739="Oricle Prio",0.3,""))),"")))</f>
        <v>123.63</v>
      </c>
      <c r="H740" s="273">
        <f t="shared" si="283"/>
        <v>100</v>
      </c>
      <c r="I740" s="273">
        <f>IF(I730&lt;I731,I731,I730) *
IF(I738="AM",
    IF(I739="Oricle",3.5,
    IF(I739="Other Brands",4,
    IF(I739="Oricle Prio",0.6,""))),
 IF(I738="MID",
    IF(I739="Oricle",2.5,
    IF(I739="Other Brands",3,
    IF(I739="Oricle Prio",0.6,""))),
 IF(I738="GY",
    IF(I739="Oricle",1,
    IF(I739="Other Brands",1,
    IF(I739="Oricle Prio",0.3,""))),"")))</f>
        <v>100.425</v>
      </c>
    </row>
    <row r="741" hidden="1" outlineLevel="2">
      <c r="A741" s="83" t="s">
        <v>131</v>
      </c>
      <c r="B741" s="306" t="s">
        <v>592</v>
      </c>
      <c r="C741" s="123" t="s">
        <v>760</v>
      </c>
      <c r="D741" s="123" t="s">
        <v>696</v>
      </c>
      <c r="E741" s="123" t="s">
        <v>828</v>
      </c>
      <c r="F741" s="123" t="s">
        <v>1365</v>
      </c>
      <c r="G741" s="123" t="s">
        <v>314</v>
      </c>
      <c r="H741" s="123" t="s">
        <v>1366</v>
      </c>
      <c r="I741" s="123" t="s">
        <v>900</v>
      </c>
    </row>
    <row r="742" hidden="1" outlineLevel="2">
      <c r="A742" s="83" t="s">
        <v>138</v>
      </c>
      <c r="B742" s="306" t="s">
        <v>825</v>
      </c>
      <c r="C742" s="123" t="s">
        <v>539</v>
      </c>
      <c r="D742" s="123" t="s">
        <v>656</v>
      </c>
      <c r="E742" s="123" t="s">
        <v>1367</v>
      </c>
      <c r="F742" s="123" t="s">
        <v>1368</v>
      </c>
      <c r="G742" s="123" t="s">
        <v>463</v>
      </c>
      <c r="H742" s="123" t="s">
        <v>1370</v>
      </c>
      <c r="I742" s="123" t="s">
        <v>761</v>
      </c>
    </row>
    <row r="743" hidden="1" outlineLevel="2">
      <c r="A743" s="88" t="s">
        <v>149</v>
      </c>
      <c r="B743" s="152">
        <f t="shared" ref="B743:I743" si="284">IF(B741&gt;0,B742/B741,0)</f>
        <v>0.9444444444</v>
      </c>
      <c r="C743" s="153">
        <f t="shared" si="284"/>
        <v>0.9439252336</v>
      </c>
      <c r="D743" s="153">
        <f t="shared" si="284"/>
        <v>0.9851851852</v>
      </c>
      <c r="E743" s="153">
        <f t="shared" si="284"/>
        <v>0.9830508475</v>
      </c>
      <c r="F743" s="153">
        <f t="shared" si="284"/>
        <v>0.950617284</v>
      </c>
      <c r="G743" s="153">
        <f t="shared" si="284"/>
        <v>0.9863945578</v>
      </c>
      <c r="H743" s="153">
        <f t="shared" si="284"/>
        <v>0.972972973</v>
      </c>
      <c r="I743" s="154">
        <f t="shared" si="284"/>
        <v>0.9659090909</v>
      </c>
    </row>
    <row r="744" hidden="1" outlineLevel="2">
      <c r="A744" s="88" t="s">
        <v>156</v>
      </c>
      <c r="B744" s="152">
        <f t="shared" ref="B744:I744" si="285">IF(B740&gt;0,B742/B740,0)</f>
        <v>0.6181818182</v>
      </c>
      <c r="C744" s="153">
        <f t="shared" si="285"/>
        <v>0.8331271138</v>
      </c>
      <c r="D744" s="153">
        <f t="shared" si="285"/>
        <v>1.096816757</v>
      </c>
      <c r="E744" s="153">
        <f t="shared" si="285"/>
        <v>0.6823529412</v>
      </c>
      <c r="F744" s="153">
        <f t="shared" si="285"/>
        <v>0.7113821138</v>
      </c>
      <c r="G744" s="153">
        <f t="shared" si="285"/>
        <v>1.172854485</v>
      </c>
      <c r="H744" s="153">
        <f t="shared" si="285"/>
        <v>0.36</v>
      </c>
      <c r="I744" s="154">
        <f t="shared" si="285"/>
        <v>0.8464027882</v>
      </c>
    </row>
    <row r="745" hidden="1" outlineLevel="2">
      <c r="A745" s="159" t="s">
        <v>13</v>
      </c>
      <c r="B745" s="297">
        <f t="shared" ref="B745:I745" si="286">average(B743:B744)</f>
        <v>0.7813131313</v>
      </c>
      <c r="C745" s="298">
        <f t="shared" si="286"/>
        <v>0.8885261737</v>
      </c>
      <c r="D745" s="298">
        <f t="shared" si="286"/>
        <v>1.041000971</v>
      </c>
      <c r="E745" s="298">
        <f t="shared" si="286"/>
        <v>0.8327018943</v>
      </c>
      <c r="F745" s="298">
        <f t="shared" si="286"/>
        <v>0.8309996989</v>
      </c>
      <c r="G745" s="298">
        <f t="shared" si="286"/>
        <v>1.079624521</v>
      </c>
      <c r="H745" s="298">
        <f t="shared" si="286"/>
        <v>0.6664864865</v>
      </c>
      <c r="I745" s="299">
        <f t="shared" si="286"/>
        <v>0.9061559395</v>
      </c>
    </row>
    <row r="746" hidden="1" outlineLevel="2">
      <c r="A746" s="51" t="s">
        <v>161</v>
      </c>
      <c r="B746" s="334"/>
      <c r="C746" s="54"/>
      <c r="D746" s="54"/>
      <c r="E746" s="54"/>
      <c r="F746" s="54"/>
      <c r="G746" s="54"/>
      <c r="H746" s="54"/>
      <c r="I746" s="335"/>
    </row>
    <row r="747" hidden="1" outlineLevel="2">
      <c r="A747" s="83" t="s">
        <v>162</v>
      </c>
      <c r="B747" s="292">
        <v>9.33</v>
      </c>
      <c r="C747" s="293">
        <v>8.3</v>
      </c>
      <c r="D747" s="293">
        <v>9.96</v>
      </c>
      <c r="E747" s="293">
        <v>10.0</v>
      </c>
      <c r="F747" s="293">
        <v>9.0</v>
      </c>
      <c r="G747" s="293">
        <v>9.44</v>
      </c>
      <c r="H747" s="293">
        <v>7.0</v>
      </c>
      <c r="I747" s="293">
        <v>9.62</v>
      </c>
    </row>
    <row r="748" hidden="1" outlineLevel="2">
      <c r="A748" s="88" t="s">
        <v>169</v>
      </c>
      <c r="B748" s="165">
        <v>10.0</v>
      </c>
      <c r="C748" s="166">
        <v>10.0</v>
      </c>
      <c r="D748" s="166">
        <v>10.0</v>
      </c>
      <c r="E748" s="166">
        <v>10.0</v>
      </c>
      <c r="F748" s="166">
        <v>10.0</v>
      </c>
      <c r="G748" s="166">
        <v>10.0</v>
      </c>
      <c r="H748" s="166">
        <v>10.0</v>
      </c>
      <c r="I748" s="168">
        <v>10.0</v>
      </c>
    </row>
    <row r="749" hidden="1" outlineLevel="2">
      <c r="A749" s="73" t="s">
        <v>170</v>
      </c>
      <c r="B749" s="297">
        <f t="shared" ref="B749:I749" si="287">IF(B747=0,0,B747/B748)</f>
        <v>0.933</v>
      </c>
      <c r="C749" s="298">
        <f t="shared" si="287"/>
        <v>0.83</v>
      </c>
      <c r="D749" s="298">
        <f t="shared" si="287"/>
        <v>0.996</v>
      </c>
      <c r="E749" s="298">
        <f t="shared" si="287"/>
        <v>1</v>
      </c>
      <c r="F749" s="298">
        <f t="shared" si="287"/>
        <v>0.9</v>
      </c>
      <c r="G749" s="298">
        <f t="shared" si="287"/>
        <v>0.944</v>
      </c>
      <c r="H749" s="298">
        <f t="shared" si="287"/>
        <v>0.7</v>
      </c>
      <c r="I749" s="299">
        <f t="shared" si="287"/>
        <v>0.962</v>
      </c>
    </row>
    <row r="750" hidden="1" outlineLevel="2">
      <c r="A750" s="51" t="s">
        <v>173</v>
      </c>
      <c r="B750" s="53"/>
      <c r="C750" s="54"/>
      <c r="D750" s="54"/>
      <c r="E750" s="54"/>
      <c r="F750" s="54"/>
      <c r="G750" s="54"/>
      <c r="H750" s="54"/>
      <c r="I750" s="56"/>
    </row>
    <row r="751" hidden="1" outlineLevel="2">
      <c r="A751" s="83" t="s">
        <v>175</v>
      </c>
      <c r="B751" s="330"/>
      <c r="C751" s="331"/>
      <c r="D751" s="345"/>
      <c r="E751" s="331"/>
      <c r="F751" s="331"/>
      <c r="G751" s="331"/>
      <c r="H751" s="331"/>
      <c r="I751" s="332"/>
    </row>
    <row r="752" hidden="1" outlineLevel="2">
      <c r="A752" s="180" t="s">
        <v>179</v>
      </c>
      <c r="B752" s="53"/>
      <c r="C752" s="54"/>
      <c r="D752" s="54"/>
      <c r="E752" s="54"/>
      <c r="F752" s="54"/>
      <c r="G752" s="54"/>
      <c r="H752" s="54"/>
      <c r="I752" s="56"/>
    </row>
    <row r="753" hidden="1" outlineLevel="2">
      <c r="A753" s="88" t="s">
        <v>180</v>
      </c>
      <c r="B753" s="181">
        <f t="shared" ref="B753:I753" si="288">B732*25</f>
        <v>28.57142857</v>
      </c>
      <c r="C753" s="182">
        <f t="shared" si="288"/>
        <v>26.58552632</v>
      </c>
      <c r="D753" s="182">
        <f t="shared" si="288"/>
        <v>25.2625</v>
      </c>
      <c r="E753" s="182">
        <f t="shared" si="288"/>
        <v>31.25</v>
      </c>
      <c r="F753" s="182">
        <f t="shared" si="288"/>
        <v>28.1875</v>
      </c>
      <c r="G753" s="182">
        <f t="shared" si="288"/>
        <v>25.75625</v>
      </c>
      <c r="H753" s="182">
        <f t="shared" si="288"/>
        <v>12.5</v>
      </c>
      <c r="I753" s="183">
        <f t="shared" si="288"/>
        <v>25.10625</v>
      </c>
    </row>
    <row r="754" hidden="1" outlineLevel="2">
      <c r="A754" s="88" t="s">
        <v>182</v>
      </c>
      <c r="B754" s="181">
        <f t="shared" ref="B754:I754" si="289">B736*35</f>
        <v>35</v>
      </c>
      <c r="C754" s="182">
        <f t="shared" si="289"/>
        <v>35</v>
      </c>
      <c r="D754" s="182">
        <f t="shared" si="289"/>
        <v>35</v>
      </c>
      <c r="E754" s="182">
        <f t="shared" si="289"/>
        <v>35</v>
      </c>
      <c r="F754" s="182">
        <f t="shared" si="289"/>
        <v>35</v>
      </c>
      <c r="G754" s="182">
        <f t="shared" si="289"/>
        <v>35</v>
      </c>
      <c r="H754" s="182">
        <f t="shared" si="289"/>
        <v>35</v>
      </c>
      <c r="I754" s="183">
        <f t="shared" si="289"/>
        <v>29.75</v>
      </c>
    </row>
    <row r="755" hidden="1" outlineLevel="2">
      <c r="A755" s="88" t="s">
        <v>184</v>
      </c>
      <c r="B755" s="181">
        <f t="shared" ref="B755:I755" si="290">IF(AND(B736&lt;85%, B745&gt;100%), 25, B745*25)</f>
        <v>19.53282828</v>
      </c>
      <c r="C755" s="182">
        <f t="shared" si="290"/>
        <v>22.21315434</v>
      </c>
      <c r="D755" s="182">
        <f t="shared" si="290"/>
        <v>26.02502428</v>
      </c>
      <c r="E755" s="182">
        <f t="shared" si="290"/>
        <v>20.81754736</v>
      </c>
      <c r="F755" s="182">
        <f t="shared" si="290"/>
        <v>20.77499247</v>
      </c>
      <c r="G755" s="182">
        <f t="shared" si="290"/>
        <v>26.99061304</v>
      </c>
      <c r="H755" s="182">
        <f t="shared" si="290"/>
        <v>16.66216216</v>
      </c>
      <c r="I755" s="183">
        <f t="shared" si="290"/>
        <v>22.65389849</v>
      </c>
    </row>
    <row r="756" hidden="1" outlineLevel="2">
      <c r="A756" s="88" t="s">
        <v>187</v>
      </c>
      <c r="B756" s="181">
        <f t="shared" ref="B756:I756" si="291">B749*15</f>
        <v>13.995</v>
      </c>
      <c r="C756" s="182">
        <f t="shared" si="291"/>
        <v>12.45</v>
      </c>
      <c r="D756" s="182">
        <f t="shared" si="291"/>
        <v>14.94</v>
      </c>
      <c r="E756" s="182">
        <f t="shared" si="291"/>
        <v>15</v>
      </c>
      <c r="F756" s="182">
        <f t="shared" si="291"/>
        <v>13.5</v>
      </c>
      <c r="G756" s="182">
        <f t="shared" si="291"/>
        <v>14.16</v>
      </c>
      <c r="H756" s="182">
        <f t="shared" si="291"/>
        <v>10.5</v>
      </c>
      <c r="I756" s="183">
        <f t="shared" si="291"/>
        <v>14.43</v>
      </c>
    </row>
    <row r="757" hidden="1" outlineLevel="2">
      <c r="A757" s="88" t="s">
        <v>188</v>
      </c>
      <c r="B757" s="181">
        <f t="shared" ref="B757:I757" si="292">B751*-10</f>
        <v>0</v>
      </c>
      <c r="C757" s="182">
        <f t="shared" si="292"/>
        <v>0</v>
      </c>
      <c r="D757" s="182">
        <f t="shared" si="292"/>
        <v>0</v>
      </c>
      <c r="E757" s="182">
        <f t="shared" si="292"/>
        <v>0</v>
      </c>
      <c r="F757" s="182">
        <f t="shared" si="292"/>
        <v>0</v>
      </c>
      <c r="G757" s="182">
        <f t="shared" si="292"/>
        <v>0</v>
      </c>
      <c r="H757" s="182">
        <f t="shared" si="292"/>
        <v>0</v>
      </c>
      <c r="I757" s="183">
        <f t="shared" si="292"/>
        <v>0</v>
      </c>
    </row>
    <row r="758" hidden="1" outlineLevel="2">
      <c r="A758" s="187" t="s">
        <v>190</v>
      </c>
      <c r="B758" s="181">
        <f t="shared" ref="B758:I758" si="293">B753+B754+B755+B756+B757</f>
        <v>97.09925685</v>
      </c>
      <c r="C758" s="182">
        <f t="shared" si="293"/>
        <v>96.24868066</v>
      </c>
      <c r="D758" s="182">
        <f t="shared" si="293"/>
        <v>101.2275243</v>
      </c>
      <c r="E758" s="182">
        <f t="shared" si="293"/>
        <v>102.0675474</v>
      </c>
      <c r="F758" s="182">
        <f t="shared" si="293"/>
        <v>97.46249247</v>
      </c>
      <c r="G758" s="182">
        <f t="shared" si="293"/>
        <v>101.906863</v>
      </c>
      <c r="H758" s="182">
        <f t="shared" si="293"/>
        <v>74.66216216</v>
      </c>
      <c r="I758" s="183">
        <f t="shared" si="293"/>
        <v>91.94014849</v>
      </c>
    </row>
    <row r="759" hidden="1" outlineLevel="2">
      <c r="A759" s="73" t="s">
        <v>193</v>
      </c>
      <c r="B759" s="74">
        <f t="shared" ref="B759:I759" si="294">B758/100</f>
        <v>0.9709925685</v>
      </c>
      <c r="C759" s="75">
        <f t="shared" si="294"/>
        <v>0.9624868066</v>
      </c>
      <c r="D759" s="369">
        <f t="shared" si="294"/>
        <v>1.012275243</v>
      </c>
      <c r="E759" s="75">
        <f t="shared" si="294"/>
        <v>1.020675474</v>
      </c>
      <c r="F759" s="75">
        <f t="shared" si="294"/>
        <v>0.9746249247</v>
      </c>
      <c r="G759" s="75">
        <f t="shared" si="294"/>
        <v>1.01906863</v>
      </c>
      <c r="H759" s="75">
        <f t="shared" si="294"/>
        <v>0.7466216216</v>
      </c>
      <c r="I759" s="77">
        <f t="shared" si="294"/>
        <v>0.9194014849</v>
      </c>
    </row>
    <row r="760" hidden="1" outlineLevel="2">
      <c r="A760" s="180" t="s">
        <v>203</v>
      </c>
      <c r="B760" s="361" t="s">
        <v>204</v>
      </c>
      <c r="C760" s="362" t="s">
        <v>204</v>
      </c>
      <c r="D760" s="362" t="s">
        <v>204</v>
      </c>
      <c r="E760" s="362" t="s">
        <v>206</v>
      </c>
      <c r="F760" s="362" t="s">
        <v>204</v>
      </c>
      <c r="G760" s="362" t="s">
        <v>204</v>
      </c>
      <c r="H760" s="362" t="s">
        <v>204</v>
      </c>
      <c r="I760" s="362" t="s">
        <v>204</v>
      </c>
    </row>
    <row r="761" hidden="1" outlineLevel="2">
      <c r="A761" s="180" t="s">
        <v>208</v>
      </c>
      <c r="B761" s="216"/>
      <c r="C761" s="217"/>
      <c r="D761" s="350"/>
      <c r="E761" s="217"/>
      <c r="F761" s="217"/>
      <c r="G761" s="217"/>
      <c r="H761" s="217"/>
      <c r="I761" s="364"/>
    </row>
    <row r="762" hidden="1" outlineLevel="1" collapsed="1">
      <c r="A762" s="32"/>
      <c r="B762" s="33" t="s">
        <v>1406</v>
      </c>
      <c r="C762" s="34"/>
      <c r="D762" s="34"/>
      <c r="E762" s="34"/>
      <c r="F762" s="34"/>
      <c r="G762" s="34"/>
      <c r="H762" s="34"/>
      <c r="I762" s="35"/>
    </row>
    <row r="763" hidden="1" outlineLevel="2">
      <c r="A763" s="228"/>
      <c r="B763" s="317" t="s">
        <v>56</v>
      </c>
      <c r="C763" s="318" t="s">
        <v>57</v>
      </c>
      <c r="D763" s="318" t="s">
        <v>21</v>
      </c>
      <c r="E763" s="318" t="s">
        <v>32</v>
      </c>
      <c r="F763" s="318" t="s">
        <v>58</v>
      </c>
      <c r="G763" s="319" t="s">
        <v>59</v>
      </c>
      <c r="H763" s="320" t="s">
        <v>7</v>
      </c>
      <c r="I763" s="320" t="s">
        <v>503</v>
      </c>
    </row>
    <row r="764" hidden="1" outlineLevel="2">
      <c r="A764" s="44" t="s">
        <v>60</v>
      </c>
      <c r="B764" s="289" t="s">
        <v>1406</v>
      </c>
      <c r="C764" s="290"/>
      <c r="D764" s="290"/>
      <c r="E764" s="290"/>
      <c r="F764" s="290"/>
      <c r="G764" s="290"/>
      <c r="H764" s="290"/>
      <c r="I764" s="291"/>
    </row>
    <row r="765" hidden="1" outlineLevel="2">
      <c r="A765" s="51" t="s">
        <v>64</v>
      </c>
      <c r="B765" s="53"/>
      <c r="C765" s="54"/>
      <c r="D765" s="54"/>
      <c r="E765" s="54"/>
      <c r="F765" s="54"/>
      <c r="G765" s="54"/>
      <c r="H765" s="54"/>
      <c r="I765" s="56"/>
    </row>
    <row r="766" hidden="1" outlineLevel="2">
      <c r="A766" s="58" t="s">
        <v>69</v>
      </c>
      <c r="B766" s="292">
        <v>36.53</v>
      </c>
      <c r="C766" s="293">
        <v>39.39</v>
      </c>
      <c r="D766" s="293">
        <v>40.36</v>
      </c>
      <c r="E766" s="293">
        <v>39.54</v>
      </c>
      <c r="F766" s="293">
        <v>37.37</v>
      </c>
      <c r="G766" s="293">
        <v>41.07</v>
      </c>
      <c r="H766" s="293">
        <v>40.06</v>
      </c>
      <c r="I766" s="354">
        <v>40.11</v>
      </c>
    </row>
    <row r="767" hidden="1" outlineLevel="2">
      <c r="A767" s="68" t="s">
        <v>75</v>
      </c>
      <c r="B767" s="296">
        <v>37.0</v>
      </c>
      <c r="C767" s="296">
        <v>38.0</v>
      </c>
      <c r="D767" s="70">
        <v>40.0</v>
      </c>
      <c r="E767" s="296">
        <v>37.0</v>
      </c>
      <c r="F767" s="296">
        <v>37.0</v>
      </c>
      <c r="G767" s="296">
        <v>40.0</v>
      </c>
      <c r="H767" s="296">
        <v>40.0</v>
      </c>
      <c r="I767" s="355">
        <v>40.0</v>
      </c>
    </row>
    <row r="768" hidden="1" outlineLevel="2">
      <c r="A768" s="73" t="s">
        <v>76</v>
      </c>
      <c r="B768" s="297">
        <f t="shared" ref="B768:I768" si="295">B766/B767</f>
        <v>0.9872972973</v>
      </c>
      <c r="C768" s="298">
        <f t="shared" si="295"/>
        <v>1.036578947</v>
      </c>
      <c r="D768" s="298">
        <f t="shared" si="295"/>
        <v>1.009</v>
      </c>
      <c r="E768" s="298">
        <f t="shared" si="295"/>
        <v>1.068648649</v>
      </c>
      <c r="F768" s="298">
        <f t="shared" si="295"/>
        <v>1.01</v>
      </c>
      <c r="G768" s="298">
        <f t="shared" si="295"/>
        <v>1.02675</v>
      </c>
      <c r="H768" s="298">
        <f t="shared" si="295"/>
        <v>1.0015</v>
      </c>
      <c r="I768" s="299">
        <f t="shared" si="295"/>
        <v>1.00275</v>
      </c>
    </row>
    <row r="769" hidden="1" outlineLevel="2">
      <c r="A769" s="51" t="s">
        <v>79</v>
      </c>
      <c r="B769" s="53"/>
      <c r="C769" s="54"/>
      <c r="D769" s="54"/>
      <c r="E769" s="54"/>
      <c r="F769" s="54"/>
      <c r="G769" s="54"/>
      <c r="H769" s="54"/>
      <c r="I769" s="56"/>
    </row>
    <row r="770" hidden="1" outlineLevel="2">
      <c r="A770" s="83" t="s">
        <v>81</v>
      </c>
      <c r="B770" s="292">
        <v>40.0</v>
      </c>
      <c r="C770" s="293">
        <v>40.0</v>
      </c>
      <c r="D770" s="293">
        <v>40.0</v>
      </c>
      <c r="E770" s="293">
        <v>40.0</v>
      </c>
      <c r="F770" s="293">
        <v>40.0</v>
      </c>
      <c r="G770" s="293">
        <v>40.0</v>
      </c>
      <c r="H770" s="293">
        <v>40.0</v>
      </c>
      <c r="I770" s="294">
        <v>34.0</v>
      </c>
    </row>
    <row r="771" hidden="1" outlineLevel="2">
      <c r="A771" s="88" t="s">
        <v>86</v>
      </c>
      <c r="B771" s="260">
        <v>40.0</v>
      </c>
      <c r="C771" s="261">
        <v>40.0</v>
      </c>
      <c r="D771" s="261">
        <v>40.0</v>
      </c>
      <c r="E771" s="261">
        <v>40.0</v>
      </c>
      <c r="F771" s="261">
        <v>40.0</v>
      </c>
      <c r="G771" s="261">
        <v>40.0</v>
      </c>
      <c r="H771" s="261">
        <v>40.0</v>
      </c>
      <c r="I771" s="262">
        <v>40.0</v>
      </c>
    </row>
    <row r="772" hidden="1" outlineLevel="2">
      <c r="A772" s="73" t="s">
        <v>96</v>
      </c>
      <c r="B772" s="297">
        <f t="shared" ref="B772:I772" si="296">B770/B771</f>
        <v>1</v>
      </c>
      <c r="C772" s="298">
        <f t="shared" si="296"/>
        <v>1</v>
      </c>
      <c r="D772" s="298">
        <f t="shared" si="296"/>
        <v>1</v>
      </c>
      <c r="E772" s="298">
        <f t="shared" si="296"/>
        <v>1</v>
      </c>
      <c r="F772" s="298">
        <f t="shared" si="296"/>
        <v>1</v>
      </c>
      <c r="G772" s="298">
        <f t="shared" si="296"/>
        <v>1</v>
      </c>
      <c r="H772" s="298">
        <f t="shared" si="296"/>
        <v>1</v>
      </c>
      <c r="I772" s="299">
        <f t="shared" si="296"/>
        <v>0.85</v>
      </c>
    </row>
    <row r="773" hidden="1" outlineLevel="2">
      <c r="A773" s="51" t="s">
        <v>99</v>
      </c>
      <c r="B773" s="53"/>
      <c r="C773" s="54"/>
      <c r="D773" s="54"/>
      <c r="E773" s="54"/>
      <c r="F773" s="54"/>
      <c r="G773" s="54"/>
      <c r="H773" s="54"/>
      <c r="I773" s="56"/>
    </row>
    <row r="774" hidden="1" outlineLevel="2">
      <c r="A774" s="83" t="s">
        <v>101</v>
      </c>
      <c r="B774" s="259" t="s">
        <v>109</v>
      </c>
      <c r="C774" s="123" t="s">
        <v>113</v>
      </c>
      <c r="D774" s="123" t="s">
        <v>109</v>
      </c>
      <c r="E774" s="124" t="s">
        <v>109</v>
      </c>
      <c r="F774" s="124" t="s">
        <v>109</v>
      </c>
      <c r="G774" s="123" t="s">
        <v>113</v>
      </c>
      <c r="H774" s="124" t="s">
        <v>109</v>
      </c>
      <c r="I774" s="126" t="s">
        <v>109</v>
      </c>
    </row>
    <row r="775" hidden="1" outlineLevel="2">
      <c r="A775" s="83" t="s">
        <v>117</v>
      </c>
      <c r="B775" s="259" t="s">
        <v>118</v>
      </c>
      <c r="C775" s="124" t="s">
        <v>119</v>
      </c>
      <c r="D775" s="124" t="s">
        <v>118</v>
      </c>
      <c r="E775" s="124" t="s">
        <v>119</v>
      </c>
      <c r="F775" s="124" t="s">
        <v>118</v>
      </c>
      <c r="G775" s="124" t="s">
        <v>119</v>
      </c>
      <c r="H775" s="124" t="s">
        <v>119</v>
      </c>
      <c r="I775" s="126" t="s">
        <v>119</v>
      </c>
    </row>
    <row r="776" hidden="1" outlineLevel="2">
      <c r="A776" s="83" t="s">
        <v>120</v>
      </c>
      <c r="B776" s="271">
        <f>IF(B766&lt;B767,B767,B766) *
IF(B774="AM",
    IF(B775="Oricle",3.5,
    IF(B775="Other Brands",4,
    IF(B775="Oricle Prio",0.6,""))),
 IF(B774="MID",
    IF(B775="Oricle",2.5,
    IF(B775="Other Brands",3,
    IF(B775="Oricle Prio",0.6,""))),
 IF(B774="GY",
    IF(B775="Oricle",1,
    IF(B775="Other Brands",1,
    IF(B775="Oricle Prio",0.3,""))),"")))-10</f>
        <v>101</v>
      </c>
      <c r="C776" s="273">
        <f>IF(C766&lt;C767,C767,C766) *
IF(C774="AM",
    IF(C775="Oricle",3,
    IF(C775="Other Brands",4,
    IF(C775="Oricle Prio",0.6,""))),
 IF(C774="MID",
    IF(C775="Oricle",2.5,
    IF(C775="Other Brands",3,
    IF(C775="Oricle Prio",0.6,""))),
 IF(C774="GY",
    IF(C775="Oricle",1,
    IF(C775="Other Brands",1,
    IF(C775="Oricle Prio",0.3,""))),"")))</f>
        <v>118.17</v>
      </c>
      <c r="D776" s="273">
        <f>IF(D766&lt;D767,D767,D766) *
IF(D774="AM",
    IF(D775="Oricle",3.5,
    IF(D775="Other Brands",4,
    IF(D775="Oricle Prio",0.6,""))),
 IF(D774="MID",
    IF(D775="Oricle",2.5,
    IF(D775="Other Brands",3,
    IF(D775="Oricle Prio",0.6,""))),
 IF(D774="GY",
    IF(D775="Oricle",1,
    IF(D775="Other Brands",1,
    IF(D775="Oricle Prio",0.3,""))),"")))</f>
        <v>121.08</v>
      </c>
      <c r="E776" s="273">
        <f>IF(E766&lt;E767,E767,E766) *
IF(E774="AM",
    IF(E775="Oricle",3.5,
    IF(E775="Other Brands",4,
    IF(E775="Oricle Prio",0.6,""))),
 IF(E774="MID",
    IF(E775="Oricle",2.5,
    IF(E775="Other Brands",3,
    IF(E775="Oricle Prio",0.6,""))),
 IF(E774="GY",
    IF(E775="Oricle",1,
    IF(E775="Other Brands",1,
    IF(E775="Oricle Prio",0.3,""))),"")))-15</f>
        <v>83.85</v>
      </c>
      <c r="F776" s="273">
        <f>IF(F766&lt;F767,F767,F766) *
IF(F774="AM",
    IF(F775="Oricle",3.5,
    IF(F775="Other Brands",4,
    IF(F775="Oricle Prio",0.6,""))),
 IF(F774="MID",
    IF(F775="Oricle",2.5,
    IF(F775="Other Brands",3,
    IF(F775="Oricle Prio",0.6,""))),
 IF(F774="GY",
    IF(F775="Oricle",1,
    IF(F775="Other Brands",1,
    IF(F775="Oricle Prio",0.3,""))),"")))</f>
        <v>112.11</v>
      </c>
      <c r="G776" s="273">
        <f t="shared" ref="G776:H776" si="297">IF(G766&lt;G767,G767,G766) *
IF(G774="AM",
    IF(G775="Oricle",3,
    IF(G775="Other Brands",4,
    IF(G775="Oricle Prio",0.6,""))),
 IF(G774="MID",
    IF(G775="Oricle",2.5,
    IF(G775="Other Brands",3,
    IF(G775="Oricle Prio",0.6,""))),
 IF(G774="GY",
    IF(G775="Oricle",1,
    IF(G775="Other Brands",1,
    IF(G775="Oricle Prio",0.3,""))),"")))</f>
        <v>123.21</v>
      </c>
      <c r="H776" s="273">
        <f t="shared" si="297"/>
        <v>100.15</v>
      </c>
      <c r="I776" s="273">
        <f>IF(I766&lt;I767,I767,I766) *
IF(I774="AM",
    IF(I775="Oricle",3.5,
    IF(I775="Other Brands",4,
    IF(I775="Oricle Prio",0.6,""))),
 IF(I774="MID",
    IF(I775="Oricle",2.5,
    IF(I775="Other Brands",3,
    IF(I775="Oricle Prio",0.6,""))),
 IF(I774="GY",
    IF(I775="Oricle",1,
    IF(I775="Other Brands",1,
    IF(I775="Oricle Prio",0.3,""))),"")))</f>
        <v>100.275</v>
      </c>
    </row>
    <row r="777" hidden="1" outlineLevel="2">
      <c r="A777" s="83" t="s">
        <v>131</v>
      </c>
      <c r="B777" s="306" t="s">
        <v>253</v>
      </c>
      <c r="C777" s="123" t="s">
        <v>1442</v>
      </c>
      <c r="D777" s="123" t="s">
        <v>137</v>
      </c>
      <c r="E777" s="123" t="s">
        <v>1068</v>
      </c>
      <c r="F777" s="123" t="s">
        <v>1365</v>
      </c>
      <c r="G777" s="123" t="s">
        <v>829</v>
      </c>
      <c r="H777" s="123" t="s">
        <v>390</v>
      </c>
      <c r="I777" s="123" t="s">
        <v>761</v>
      </c>
    </row>
    <row r="778" hidden="1" outlineLevel="2">
      <c r="A778" s="83" t="s">
        <v>138</v>
      </c>
      <c r="B778" s="306" t="s">
        <v>900</v>
      </c>
      <c r="C778" s="123" t="s">
        <v>534</v>
      </c>
      <c r="D778" s="123" t="s">
        <v>256</v>
      </c>
      <c r="E778" s="123" t="s">
        <v>955</v>
      </c>
      <c r="F778" s="123" t="s">
        <v>1444</v>
      </c>
      <c r="G778" s="123" t="s">
        <v>141</v>
      </c>
      <c r="H778" s="123" t="s">
        <v>757</v>
      </c>
      <c r="I778" s="123" t="s">
        <v>954</v>
      </c>
    </row>
    <row r="779" hidden="1" outlineLevel="2">
      <c r="A779" s="88" t="s">
        <v>149</v>
      </c>
      <c r="B779" s="152">
        <f t="shared" ref="B779:I779" si="298">IF(B777&gt;0,B778/B777,0)</f>
        <v>0.9777777778</v>
      </c>
      <c r="C779" s="153">
        <f t="shared" si="298"/>
        <v>0.982300885</v>
      </c>
      <c r="D779" s="153">
        <f t="shared" si="298"/>
        <v>0.976744186</v>
      </c>
      <c r="E779" s="153">
        <f t="shared" si="298"/>
        <v>0.9841269841</v>
      </c>
      <c r="F779" s="153">
        <f t="shared" si="298"/>
        <v>0.987654321</v>
      </c>
      <c r="G779" s="153">
        <f t="shared" si="298"/>
        <v>0.9776119403</v>
      </c>
      <c r="H779" s="153">
        <f t="shared" si="298"/>
        <v>0.9722222222</v>
      </c>
      <c r="I779" s="154">
        <f t="shared" si="298"/>
        <v>0.9764705882</v>
      </c>
    </row>
    <row r="780" hidden="1" outlineLevel="2">
      <c r="A780" s="88" t="s">
        <v>156</v>
      </c>
      <c r="B780" s="152">
        <f t="shared" ref="B780:I780" si="299">IF(B776&gt;0,B778/B776,0)</f>
        <v>0.8712871287</v>
      </c>
      <c r="C780" s="153">
        <f t="shared" si="299"/>
        <v>0.9393247017</v>
      </c>
      <c r="D780" s="153">
        <f t="shared" si="299"/>
        <v>1.040634291</v>
      </c>
      <c r="E780" s="153">
        <f t="shared" si="299"/>
        <v>0.7394156231</v>
      </c>
      <c r="F780" s="153">
        <f t="shared" si="299"/>
        <v>0.713584872</v>
      </c>
      <c r="G780" s="153">
        <f t="shared" si="299"/>
        <v>1.063225388</v>
      </c>
      <c r="H780" s="153">
        <f t="shared" si="299"/>
        <v>1.048427359</v>
      </c>
      <c r="I780" s="154">
        <f t="shared" si="299"/>
        <v>0.8277237597</v>
      </c>
    </row>
    <row r="781" hidden="1" outlineLevel="2">
      <c r="A781" s="159" t="s">
        <v>13</v>
      </c>
      <c r="B781" s="297">
        <f t="shared" ref="B781:I781" si="300">average(B779:B780)</f>
        <v>0.9245324532</v>
      </c>
      <c r="C781" s="298">
        <f t="shared" si="300"/>
        <v>0.9608127933</v>
      </c>
      <c r="D781" s="298">
        <f t="shared" si="300"/>
        <v>1.008689239</v>
      </c>
      <c r="E781" s="298">
        <f t="shared" si="300"/>
        <v>0.8617713036</v>
      </c>
      <c r="F781" s="298">
        <f t="shared" si="300"/>
        <v>0.8506195965</v>
      </c>
      <c r="G781" s="298">
        <f t="shared" si="300"/>
        <v>1.020418664</v>
      </c>
      <c r="H781" s="298">
        <f t="shared" si="300"/>
        <v>1.010324791</v>
      </c>
      <c r="I781" s="299">
        <f t="shared" si="300"/>
        <v>0.9020971739</v>
      </c>
    </row>
    <row r="782" hidden="1" outlineLevel="2">
      <c r="A782" s="51" t="s">
        <v>161</v>
      </c>
      <c r="B782" s="334"/>
      <c r="C782" s="54"/>
      <c r="D782" s="54"/>
      <c r="E782" s="54"/>
      <c r="F782" s="54"/>
      <c r="G782" s="54"/>
      <c r="H782" s="54"/>
      <c r="I782" s="335"/>
    </row>
    <row r="783" hidden="1" outlineLevel="2">
      <c r="A783" s="83" t="s">
        <v>162</v>
      </c>
      <c r="B783" s="292">
        <v>9.66</v>
      </c>
      <c r="C783" s="293">
        <v>8.42</v>
      </c>
      <c r="D783" s="293">
        <v>9.59</v>
      </c>
      <c r="E783" s="293">
        <v>10.0</v>
      </c>
      <c r="F783" s="293">
        <v>10.0</v>
      </c>
      <c r="G783" s="293">
        <v>9.25</v>
      </c>
      <c r="H783" s="293">
        <v>9.43</v>
      </c>
      <c r="I783" s="293">
        <v>8.58</v>
      </c>
    </row>
    <row r="784" hidden="1" outlineLevel="2">
      <c r="A784" s="88" t="s">
        <v>169</v>
      </c>
      <c r="B784" s="165">
        <v>10.0</v>
      </c>
      <c r="C784" s="166">
        <v>10.0</v>
      </c>
      <c r="D784" s="166">
        <v>10.0</v>
      </c>
      <c r="E784" s="166">
        <v>10.0</v>
      </c>
      <c r="F784" s="166">
        <v>10.0</v>
      </c>
      <c r="G784" s="166">
        <v>10.0</v>
      </c>
      <c r="H784" s="166">
        <v>10.0</v>
      </c>
      <c r="I784" s="168">
        <v>10.0</v>
      </c>
    </row>
    <row r="785" hidden="1" outlineLevel="2">
      <c r="A785" s="73" t="s">
        <v>170</v>
      </c>
      <c r="B785" s="297">
        <f t="shared" ref="B785:I785" si="301">IF(B783=0,0,B783/B784)</f>
        <v>0.966</v>
      </c>
      <c r="C785" s="298">
        <f t="shared" si="301"/>
        <v>0.842</v>
      </c>
      <c r="D785" s="298">
        <f t="shared" si="301"/>
        <v>0.959</v>
      </c>
      <c r="E785" s="298">
        <f t="shared" si="301"/>
        <v>1</v>
      </c>
      <c r="F785" s="298">
        <f t="shared" si="301"/>
        <v>1</v>
      </c>
      <c r="G785" s="298">
        <f t="shared" si="301"/>
        <v>0.925</v>
      </c>
      <c r="H785" s="298">
        <f t="shared" si="301"/>
        <v>0.943</v>
      </c>
      <c r="I785" s="299">
        <f t="shared" si="301"/>
        <v>0.858</v>
      </c>
    </row>
    <row r="786" hidden="1" outlineLevel="2">
      <c r="A786" s="51" t="s">
        <v>173</v>
      </c>
      <c r="B786" s="53"/>
      <c r="C786" s="54"/>
      <c r="D786" s="54"/>
      <c r="E786" s="54"/>
      <c r="F786" s="54"/>
      <c r="G786" s="54"/>
      <c r="H786" s="54"/>
      <c r="I786" s="56"/>
    </row>
    <row r="787" hidden="1" outlineLevel="2">
      <c r="A787" s="83" t="s">
        <v>175</v>
      </c>
      <c r="B787" s="330"/>
      <c r="C787" s="331"/>
      <c r="D787" s="345"/>
      <c r="E787" s="331"/>
      <c r="F787" s="331"/>
      <c r="G787" s="331"/>
      <c r="H787" s="331"/>
      <c r="I787" s="332"/>
    </row>
    <row r="788" hidden="1" outlineLevel="2">
      <c r="A788" s="180" t="s">
        <v>179</v>
      </c>
      <c r="B788" s="53"/>
      <c r="C788" s="54"/>
      <c r="D788" s="54"/>
      <c r="E788" s="54"/>
      <c r="F788" s="54"/>
      <c r="G788" s="54"/>
      <c r="H788" s="54"/>
      <c r="I788" s="56"/>
    </row>
    <row r="789" hidden="1" outlineLevel="2">
      <c r="A789" s="88" t="s">
        <v>180</v>
      </c>
      <c r="B789" s="181">
        <f t="shared" ref="B789:I789" si="302">B768*25</f>
        <v>24.68243243</v>
      </c>
      <c r="C789" s="182">
        <f t="shared" si="302"/>
        <v>25.91447368</v>
      </c>
      <c r="D789" s="182">
        <f t="shared" si="302"/>
        <v>25.225</v>
      </c>
      <c r="E789" s="182">
        <f t="shared" si="302"/>
        <v>26.71621622</v>
      </c>
      <c r="F789" s="182">
        <f t="shared" si="302"/>
        <v>25.25</v>
      </c>
      <c r="G789" s="182">
        <f t="shared" si="302"/>
        <v>25.66875</v>
      </c>
      <c r="H789" s="182">
        <f t="shared" si="302"/>
        <v>25.0375</v>
      </c>
      <c r="I789" s="183">
        <f t="shared" si="302"/>
        <v>25.06875</v>
      </c>
    </row>
    <row r="790" hidden="1" outlineLevel="2">
      <c r="A790" s="88" t="s">
        <v>182</v>
      </c>
      <c r="B790" s="181">
        <f t="shared" ref="B790:I790" si="303">B772*35</f>
        <v>35</v>
      </c>
      <c r="C790" s="182">
        <f t="shared" si="303"/>
        <v>35</v>
      </c>
      <c r="D790" s="182">
        <f t="shared" si="303"/>
        <v>35</v>
      </c>
      <c r="E790" s="182">
        <f t="shared" si="303"/>
        <v>35</v>
      </c>
      <c r="F790" s="182">
        <f t="shared" si="303"/>
        <v>35</v>
      </c>
      <c r="G790" s="182">
        <f t="shared" si="303"/>
        <v>35</v>
      </c>
      <c r="H790" s="182">
        <f t="shared" si="303"/>
        <v>35</v>
      </c>
      <c r="I790" s="183">
        <f t="shared" si="303"/>
        <v>29.75</v>
      </c>
    </row>
    <row r="791" hidden="1" outlineLevel="2">
      <c r="A791" s="88" t="s">
        <v>184</v>
      </c>
      <c r="B791" s="181">
        <f t="shared" ref="B791:I791" si="304">IF(AND(B772&lt;85%, B781&gt;100%), 25, B781*25)</f>
        <v>23.11331133</v>
      </c>
      <c r="C791" s="182">
        <f t="shared" si="304"/>
        <v>24.02031983</v>
      </c>
      <c r="D791" s="182">
        <f t="shared" si="304"/>
        <v>25.21723097</v>
      </c>
      <c r="E791" s="182">
        <f t="shared" si="304"/>
        <v>21.54428259</v>
      </c>
      <c r="F791" s="182">
        <f t="shared" si="304"/>
        <v>21.26548991</v>
      </c>
      <c r="G791" s="182">
        <f t="shared" si="304"/>
        <v>25.5104666</v>
      </c>
      <c r="H791" s="182">
        <f t="shared" si="304"/>
        <v>25.25811976</v>
      </c>
      <c r="I791" s="183">
        <f t="shared" si="304"/>
        <v>22.55242935</v>
      </c>
    </row>
    <row r="792" hidden="1" outlineLevel="2">
      <c r="A792" s="88" t="s">
        <v>187</v>
      </c>
      <c r="B792" s="181">
        <f t="shared" ref="B792:I792" si="305">B785*15</f>
        <v>14.49</v>
      </c>
      <c r="C792" s="182">
        <f t="shared" si="305"/>
        <v>12.63</v>
      </c>
      <c r="D792" s="182">
        <f t="shared" si="305"/>
        <v>14.385</v>
      </c>
      <c r="E792" s="182">
        <f t="shared" si="305"/>
        <v>15</v>
      </c>
      <c r="F792" s="182">
        <f t="shared" si="305"/>
        <v>15</v>
      </c>
      <c r="G792" s="182">
        <f t="shared" si="305"/>
        <v>13.875</v>
      </c>
      <c r="H792" s="182">
        <f t="shared" si="305"/>
        <v>14.145</v>
      </c>
      <c r="I792" s="183">
        <f t="shared" si="305"/>
        <v>12.87</v>
      </c>
    </row>
    <row r="793" hidden="1" outlineLevel="2">
      <c r="A793" s="88" t="s">
        <v>188</v>
      </c>
      <c r="B793" s="181">
        <f t="shared" ref="B793:I793" si="306">B787*-10</f>
        <v>0</v>
      </c>
      <c r="C793" s="182">
        <f t="shared" si="306"/>
        <v>0</v>
      </c>
      <c r="D793" s="182">
        <f t="shared" si="306"/>
        <v>0</v>
      </c>
      <c r="E793" s="182">
        <f t="shared" si="306"/>
        <v>0</v>
      </c>
      <c r="F793" s="182">
        <f t="shared" si="306"/>
        <v>0</v>
      </c>
      <c r="G793" s="182">
        <f t="shared" si="306"/>
        <v>0</v>
      </c>
      <c r="H793" s="182">
        <f t="shared" si="306"/>
        <v>0</v>
      </c>
      <c r="I793" s="183">
        <f t="shared" si="306"/>
        <v>0</v>
      </c>
    </row>
    <row r="794" hidden="1" outlineLevel="2">
      <c r="A794" s="187" t="s">
        <v>190</v>
      </c>
      <c r="B794" s="181">
        <f t="shared" ref="B794:I794" si="307">B789+B790+B791+B792+B793</f>
        <v>97.28574376</v>
      </c>
      <c r="C794" s="182">
        <f t="shared" si="307"/>
        <v>97.56479352</v>
      </c>
      <c r="D794" s="182">
        <f t="shared" si="307"/>
        <v>99.82723097</v>
      </c>
      <c r="E794" s="182">
        <f t="shared" si="307"/>
        <v>98.26049881</v>
      </c>
      <c r="F794" s="182">
        <f t="shared" si="307"/>
        <v>96.51548991</v>
      </c>
      <c r="G794" s="182">
        <f t="shared" si="307"/>
        <v>100.0542166</v>
      </c>
      <c r="H794" s="182">
        <f t="shared" si="307"/>
        <v>99.44061976</v>
      </c>
      <c r="I794" s="183">
        <f t="shared" si="307"/>
        <v>90.24117935</v>
      </c>
    </row>
    <row r="795" hidden="1" outlineLevel="2">
      <c r="A795" s="73" t="s">
        <v>193</v>
      </c>
      <c r="B795" s="74">
        <f t="shared" ref="B795:I795" si="308">B794/100</f>
        <v>0.9728574376</v>
      </c>
      <c r="C795" s="75">
        <f t="shared" si="308"/>
        <v>0.9756479352</v>
      </c>
      <c r="D795" s="369">
        <f t="shared" si="308"/>
        <v>0.9982723097</v>
      </c>
      <c r="E795" s="75">
        <f t="shared" si="308"/>
        <v>0.9826049881</v>
      </c>
      <c r="F795" s="75">
        <f t="shared" si="308"/>
        <v>0.9651548991</v>
      </c>
      <c r="G795" s="75">
        <f t="shared" si="308"/>
        <v>1.000542166</v>
      </c>
      <c r="H795" s="75">
        <f t="shared" si="308"/>
        <v>0.9944061976</v>
      </c>
      <c r="I795" s="77">
        <f t="shared" si="308"/>
        <v>0.9024117935</v>
      </c>
    </row>
    <row r="796" hidden="1" outlineLevel="2">
      <c r="A796" s="180" t="s">
        <v>203</v>
      </c>
      <c r="B796" s="361" t="s">
        <v>204</v>
      </c>
      <c r="C796" s="362" t="s">
        <v>204</v>
      </c>
      <c r="D796" s="362" t="s">
        <v>204</v>
      </c>
      <c r="E796" s="362" t="s">
        <v>204</v>
      </c>
      <c r="F796" s="362" t="s">
        <v>204</v>
      </c>
      <c r="G796" s="362" t="s">
        <v>206</v>
      </c>
      <c r="H796" s="362" t="s">
        <v>204</v>
      </c>
      <c r="I796" s="362" t="s">
        <v>204</v>
      </c>
    </row>
    <row r="797" hidden="1" outlineLevel="2">
      <c r="A797" s="180" t="s">
        <v>208</v>
      </c>
      <c r="B797" s="216"/>
      <c r="C797" s="217"/>
      <c r="D797" s="350"/>
      <c r="E797" s="217"/>
      <c r="F797" s="217"/>
      <c r="G797" s="217"/>
      <c r="H797" s="217"/>
      <c r="I797" s="364"/>
    </row>
    <row r="798" hidden="1" outlineLevel="1">
      <c r="A798" s="32"/>
      <c r="B798" s="33" t="s">
        <v>1469</v>
      </c>
      <c r="C798" s="34"/>
      <c r="D798" s="34"/>
      <c r="E798" s="34"/>
      <c r="F798" s="34"/>
      <c r="G798" s="34"/>
      <c r="H798" s="34"/>
      <c r="I798" s="35"/>
    </row>
    <row r="799" hidden="1" outlineLevel="1">
      <c r="A799" s="228"/>
      <c r="B799" s="317" t="s">
        <v>56</v>
      </c>
      <c r="C799" s="318" t="s">
        <v>57</v>
      </c>
      <c r="D799" s="318" t="s">
        <v>21</v>
      </c>
      <c r="E799" s="318" t="s">
        <v>32</v>
      </c>
      <c r="F799" s="318" t="s">
        <v>58</v>
      </c>
      <c r="G799" s="319" t="s">
        <v>59</v>
      </c>
      <c r="H799" s="320" t="s">
        <v>7</v>
      </c>
      <c r="I799" s="320" t="s">
        <v>503</v>
      </c>
    </row>
    <row r="800" hidden="1" outlineLevel="1">
      <c r="A800" s="44" t="s">
        <v>60</v>
      </c>
      <c r="B800" s="289" t="s">
        <v>1469</v>
      </c>
      <c r="C800" s="290"/>
      <c r="D800" s="290"/>
      <c r="E800" s="290"/>
      <c r="F800" s="290"/>
      <c r="G800" s="290"/>
      <c r="H800" s="290"/>
      <c r="I800" s="291"/>
    </row>
    <row r="801" hidden="1" outlineLevel="1">
      <c r="A801" s="51" t="s">
        <v>64</v>
      </c>
      <c r="B801" s="53"/>
      <c r="C801" s="54"/>
      <c r="D801" s="54"/>
      <c r="E801" s="54"/>
      <c r="F801" s="54"/>
      <c r="G801" s="54"/>
      <c r="H801" s="54"/>
      <c r="I801" s="56"/>
    </row>
    <row r="802" hidden="1" outlineLevel="1">
      <c r="A802" s="58" t="s">
        <v>69</v>
      </c>
      <c r="B802" s="292">
        <v>36.54</v>
      </c>
      <c r="C802" s="293">
        <v>40.4</v>
      </c>
      <c r="D802" s="293">
        <v>41.13</v>
      </c>
      <c r="E802" s="293">
        <v>40.05</v>
      </c>
      <c r="F802" s="293">
        <v>39.33</v>
      </c>
      <c r="G802" s="293">
        <v>41.09</v>
      </c>
      <c r="H802" s="293">
        <v>30.03</v>
      </c>
      <c r="I802" s="354">
        <v>39.55</v>
      </c>
    </row>
    <row r="803" hidden="1" outlineLevel="1">
      <c r="A803" s="68" t="s">
        <v>75</v>
      </c>
      <c r="B803" s="296">
        <v>37.0</v>
      </c>
      <c r="C803" s="296">
        <v>38.0</v>
      </c>
      <c r="D803" s="70">
        <v>40.0</v>
      </c>
      <c r="E803" s="296">
        <v>37.0</v>
      </c>
      <c r="F803" s="296">
        <v>37.0</v>
      </c>
      <c r="G803" s="296">
        <v>40.0</v>
      </c>
      <c r="H803" s="296">
        <v>40.0</v>
      </c>
      <c r="I803" s="355">
        <v>40.0</v>
      </c>
    </row>
    <row r="804" hidden="1" outlineLevel="1">
      <c r="A804" s="73" t="s">
        <v>76</v>
      </c>
      <c r="B804" s="297">
        <f t="shared" ref="B804:I804" si="309">B802/B803</f>
        <v>0.9875675676</v>
      </c>
      <c r="C804" s="298">
        <f t="shared" si="309"/>
        <v>1.063157895</v>
      </c>
      <c r="D804" s="298">
        <f t="shared" si="309"/>
        <v>1.02825</v>
      </c>
      <c r="E804" s="298">
        <f t="shared" si="309"/>
        <v>1.082432432</v>
      </c>
      <c r="F804" s="298">
        <f t="shared" si="309"/>
        <v>1.062972973</v>
      </c>
      <c r="G804" s="298">
        <f t="shared" si="309"/>
        <v>1.02725</v>
      </c>
      <c r="H804" s="298">
        <f t="shared" si="309"/>
        <v>0.75075</v>
      </c>
      <c r="I804" s="299">
        <f t="shared" si="309"/>
        <v>0.98875</v>
      </c>
    </row>
    <row r="805" hidden="1" outlineLevel="1">
      <c r="A805" s="51" t="s">
        <v>79</v>
      </c>
      <c r="B805" s="53"/>
      <c r="C805" s="54"/>
      <c r="D805" s="54"/>
      <c r="E805" s="54"/>
      <c r="F805" s="54"/>
      <c r="G805" s="54"/>
      <c r="H805" s="54"/>
      <c r="I805" s="56"/>
    </row>
    <row r="806" hidden="1" outlineLevel="1">
      <c r="A806" s="83" t="s">
        <v>81</v>
      </c>
      <c r="B806" s="292">
        <v>40.0</v>
      </c>
      <c r="C806" s="293">
        <v>40.0</v>
      </c>
      <c r="D806" s="293">
        <v>25.0</v>
      </c>
      <c r="E806" s="293">
        <v>40.0</v>
      </c>
      <c r="F806" s="293">
        <v>40.0</v>
      </c>
      <c r="G806" s="293">
        <v>39.53</v>
      </c>
      <c r="H806" s="293">
        <v>40.0</v>
      </c>
      <c r="I806" s="294">
        <v>40.0</v>
      </c>
    </row>
    <row r="807" hidden="1" outlineLevel="1">
      <c r="A807" s="88" t="s">
        <v>86</v>
      </c>
      <c r="B807" s="260">
        <v>40.0</v>
      </c>
      <c r="C807" s="261">
        <v>40.0</v>
      </c>
      <c r="D807" s="261">
        <v>40.0</v>
      </c>
      <c r="E807" s="261">
        <v>40.0</v>
      </c>
      <c r="F807" s="261">
        <v>40.0</v>
      </c>
      <c r="G807" s="261">
        <v>40.0</v>
      </c>
      <c r="H807" s="261">
        <v>40.0</v>
      </c>
      <c r="I807" s="262">
        <v>40.0</v>
      </c>
    </row>
    <row r="808" hidden="1" outlineLevel="1">
      <c r="A808" s="73" t="s">
        <v>96</v>
      </c>
      <c r="B808" s="297">
        <f t="shared" ref="B808:I808" si="310">B806/B807</f>
        <v>1</v>
      </c>
      <c r="C808" s="298">
        <f t="shared" si="310"/>
        <v>1</v>
      </c>
      <c r="D808" s="298">
        <f t="shared" si="310"/>
        <v>0.625</v>
      </c>
      <c r="E808" s="298">
        <f t="shared" si="310"/>
        <v>1</v>
      </c>
      <c r="F808" s="298">
        <f t="shared" si="310"/>
        <v>1</v>
      </c>
      <c r="G808" s="298">
        <f t="shared" si="310"/>
        <v>0.98825</v>
      </c>
      <c r="H808" s="298">
        <f t="shared" si="310"/>
        <v>1</v>
      </c>
      <c r="I808" s="299">
        <f t="shared" si="310"/>
        <v>1</v>
      </c>
    </row>
    <row r="809" hidden="1" outlineLevel="1">
      <c r="A809" s="51" t="s">
        <v>99</v>
      </c>
      <c r="B809" s="53"/>
      <c r="C809" s="54"/>
      <c r="D809" s="54"/>
      <c r="E809" s="54"/>
      <c r="F809" s="54"/>
      <c r="G809" s="54"/>
      <c r="H809" s="54"/>
      <c r="I809" s="56"/>
    </row>
    <row r="810" hidden="1" outlineLevel="1">
      <c r="A810" s="83" t="s">
        <v>101</v>
      </c>
      <c r="B810" s="259" t="s">
        <v>109</v>
      </c>
      <c r="C810" s="123" t="s">
        <v>113</v>
      </c>
      <c r="D810" s="123" t="s">
        <v>109</v>
      </c>
      <c r="E810" s="124" t="s">
        <v>109</v>
      </c>
      <c r="F810" s="124" t="s">
        <v>109</v>
      </c>
      <c r="G810" s="123" t="s">
        <v>113</v>
      </c>
      <c r="H810" s="124" t="s">
        <v>109</v>
      </c>
      <c r="I810" s="126" t="s">
        <v>109</v>
      </c>
    </row>
    <row r="811" hidden="1" outlineLevel="1">
      <c r="A811" s="83" t="s">
        <v>117</v>
      </c>
      <c r="B811" s="259" t="s">
        <v>118</v>
      </c>
      <c r="C811" s="124" t="s">
        <v>119</v>
      </c>
      <c r="D811" s="124" t="s">
        <v>118</v>
      </c>
      <c r="E811" s="124" t="s">
        <v>119</v>
      </c>
      <c r="F811" s="124" t="s">
        <v>118</v>
      </c>
      <c r="G811" s="124" t="s">
        <v>119</v>
      </c>
      <c r="H811" s="124" t="s">
        <v>119</v>
      </c>
      <c r="I811" s="126" t="s">
        <v>119</v>
      </c>
    </row>
    <row r="812" hidden="1" outlineLevel="1">
      <c r="A812" s="83" t="s">
        <v>120</v>
      </c>
      <c r="B812" s="271">
        <f>IF(B802&lt;B803,B803,B802) *
IF(B810="AM",
    IF(B811="Oricle",3.5,
    IF(B811="Other Brands",4,
    IF(B811="Oricle Prio",0.6,""))),
 IF(B810="MID",
    IF(B811="Oricle",2.5,
    IF(B811="Other Brands",3,
    IF(B811="Oricle Prio",0.6,""))),
 IF(B810="GY",
    IF(B811="Oricle",1,
    IF(B811="Other Brands",1,
    IF(B811="Oricle Prio",0.3,""))),"")))-10</f>
        <v>101</v>
      </c>
      <c r="C812" s="273">
        <f>IF(C802&lt;C803,C803,C802) *
IF(C810="AM",
    IF(C811="Oricle",3,
    IF(C811="Other Brands",4,
    IF(C811="Oricle Prio",0.6,""))),
 IF(C810="MID",
    IF(C811="Oricle",2.5,
    IF(C811="Other Brands",3,
    IF(C811="Oricle Prio",0.6,""))),
 IF(C810="GY",
    IF(C811="Oricle",1,
    IF(C811="Other Brands",1,
    IF(C811="Oricle Prio",0.3,""))),"")))</f>
        <v>121.2</v>
      </c>
      <c r="D812" s="273">
        <f>IF(D802&lt;D803,D803,D802) *
IF(D810="AM",
    IF(D811="Oricle",3.5,
    IF(D811="Other Brands",4,
    IF(D811="Oricle Prio",0.6,""))),
 IF(D810="MID",
    IF(D811="Oricle",2.5,
    IF(D811="Other Brands",3,
    IF(D811="Oricle Prio",0.6,""))),
 IF(D810="GY",
    IF(D811="Oricle",1,
    IF(D811="Other Brands",1,
    IF(D811="Oricle Prio",0.3,""))),"")))</f>
        <v>123.39</v>
      </c>
      <c r="E812" s="273">
        <f>IF(E802&lt;E803,E803,E802) *
IF(E810="AM",
    IF(E811="Oricle",3.5,
    IF(E811="Other Brands",4,
    IF(E811="Oricle Prio",0.6,""))),
 IF(E810="MID",
    IF(E811="Oricle",2.5,
    IF(E811="Other Brands",3,
    IF(E811="Oricle Prio",0.6,""))),
 IF(E810="GY",
    IF(E811="Oricle",1,
    IF(E811="Other Brands",1,
    IF(E811="Oricle Prio",0.3,""))),"")))-15</f>
        <v>85.125</v>
      </c>
      <c r="F812" s="273">
        <f>IF(F802&lt;F803,F803,F802) *
IF(F810="AM",
    IF(F811="Oricle",3.5,
    IF(F811="Other Brands",4,
    IF(F811="Oricle Prio",0.6,""))),
 IF(F810="MID",
    IF(F811="Oricle",2.5,
    IF(F811="Other Brands",3,
    IF(F811="Oricle Prio",0.6,""))),
 IF(F810="GY",
    IF(F811="Oricle",1,
    IF(F811="Other Brands",1,
    IF(F811="Oricle Prio",0.3,""))),"")))</f>
        <v>117.99</v>
      </c>
      <c r="G812" s="273">
        <f t="shared" ref="G812:H812" si="311">IF(G802&lt;G803,G803,G802) *
IF(G810="AM",
    IF(G811="Oricle",3,
    IF(G811="Other Brands",4,
    IF(G811="Oricle Prio",0.6,""))),
 IF(G810="MID",
    IF(G811="Oricle",2.5,
    IF(G811="Other Brands",3,
    IF(G811="Oricle Prio",0.6,""))),
 IF(G810="GY",
    IF(G811="Oricle",1,
    IF(G811="Other Brands",1,
    IF(G811="Oricle Prio",0.3,""))),"")))</f>
        <v>123.27</v>
      </c>
      <c r="H812" s="273">
        <f t="shared" si="311"/>
        <v>100</v>
      </c>
      <c r="I812" s="273">
        <f>IF(I802&lt;I803,I803,I802) *
IF(I810="AM",
    IF(I811="Oricle",3.5,
    IF(I811="Other Brands",4,
    IF(I811="Oricle Prio",0.6,""))),
 IF(I810="MID",
    IF(I811="Oricle",2.5,
    IF(I811="Other Brands",3,
    IF(I811="Oricle Prio",0.6,""))),
 IF(I810="GY",
    IF(I811="Oricle",1,
    IF(I811="Other Brands",1,
    IF(I811="Oricle Prio",0.3,""))),"")))</f>
        <v>100</v>
      </c>
    </row>
    <row r="813" hidden="1" outlineLevel="1">
      <c r="A813" s="83" t="s">
        <v>131</v>
      </c>
      <c r="B813" s="306" t="s">
        <v>652</v>
      </c>
      <c r="C813" s="123" t="s">
        <v>657</v>
      </c>
      <c r="D813" s="123" t="s">
        <v>462</v>
      </c>
      <c r="E813" s="123" t="s">
        <v>703</v>
      </c>
      <c r="F813" s="123" t="s">
        <v>760</v>
      </c>
      <c r="G813" s="123" t="s">
        <v>132</v>
      </c>
      <c r="H813" s="123" t="s">
        <v>759</v>
      </c>
      <c r="I813" s="123" t="s">
        <v>703</v>
      </c>
    </row>
    <row r="814" hidden="1" outlineLevel="1">
      <c r="A814" s="83" t="s">
        <v>138</v>
      </c>
      <c r="B814" s="306" t="s">
        <v>897</v>
      </c>
      <c r="C814" s="123" t="s">
        <v>657</v>
      </c>
      <c r="D814" s="123" t="s">
        <v>1442</v>
      </c>
      <c r="E814" s="123" t="s">
        <v>759</v>
      </c>
      <c r="F814" s="123" t="s">
        <v>396</v>
      </c>
      <c r="G814" s="123" t="s">
        <v>700</v>
      </c>
      <c r="H814" s="123" t="s">
        <v>1125</v>
      </c>
      <c r="I814" s="123" t="s">
        <v>825</v>
      </c>
    </row>
    <row r="815" hidden="1" outlineLevel="1">
      <c r="A815" s="88" t="s">
        <v>149</v>
      </c>
      <c r="B815" s="152">
        <f t="shared" ref="B815:I815" si="312">IF(B813&gt;0,B814/B813,0)</f>
        <v>0.9454545455</v>
      </c>
      <c r="C815" s="153">
        <f t="shared" si="312"/>
        <v>1</v>
      </c>
      <c r="D815" s="153">
        <f t="shared" si="312"/>
        <v>0.974137931</v>
      </c>
      <c r="E815" s="153">
        <f t="shared" si="312"/>
        <v>0.9710144928</v>
      </c>
      <c r="F815" s="153">
        <f t="shared" si="312"/>
        <v>0.9906542056</v>
      </c>
      <c r="G815" s="153">
        <f t="shared" si="312"/>
        <v>0.9930555556</v>
      </c>
      <c r="H815" s="153">
        <f t="shared" si="312"/>
        <v>0.9701492537</v>
      </c>
      <c r="I815" s="154">
        <f t="shared" si="312"/>
        <v>0.9855072464</v>
      </c>
    </row>
    <row r="816" hidden="1" outlineLevel="1">
      <c r="A816" s="88" t="s">
        <v>156</v>
      </c>
      <c r="B816" s="152">
        <f t="shared" ref="B816:I816" si="313">IF(B812&gt;0,B814/B812,0)</f>
        <v>1.02970297</v>
      </c>
      <c r="C816" s="153">
        <f t="shared" si="313"/>
        <v>0.899339934</v>
      </c>
      <c r="D816" s="153">
        <f t="shared" si="313"/>
        <v>0.9157954453</v>
      </c>
      <c r="E816" s="153">
        <f t="shared" si="313"/>
        <v>0.7870778267</v>
      </c>
      <c r="F816" s="153">
        <f t="shared" si="313"/>
        <v>0.8983812187</v>
      </c>
      <c r="G816" s="153">
        <f t="shared" si="313"/>
        <v>1.160055163</v>
      </c>
      <c r="H816" s="153">
        <f t="shared" si="313"/>
        <v>0.65</v>
      </c>
      <c r="I816" s="154">
        <f t="shared" si="313"/>
        <v>0.68</v>
      </c>
    </row>
    <row r="817" hidden="1" outlineLevel="1">
      <c r="A817" s="159" t="s">
        <v>13</v>
      </c>
      <c r="B817" s="297">
        <f t="shared" ref="B817:I817" si="314">average(B815:B816)</f>
        <v>0.9875787579</v>
      </c>
      <c r="C817" s="298">
        <f t="shared" si="314"/>
        <v>0.949669967</v>
      </c>
      <c r="D817" s="298">
        <f t="shared" si="314"/>
        <v>0.9449666882</v>
      </c>
      <c r="E817" s="298">
        <f t="shared" si="314"/>
        <v>0.8790461597</v>
      </c>
      <c r="F817" s="298">
        <f t="shared" si="314"/>
        <v>0.9445177122</v>
      </c>
      <c r="G817" s="298">
        <f t="shared" si="314"/>
        <v>1.07655536</v>
      </c>
      <c r="H817" s="298">
        <f t="shared" si="314"/>
        <v>0.8100746269</v>
      </c>
      <c r="I817" s="299">
        <f t="shared" si="314"/>
        <v>0.8327536232</v>
      </c>
    </row>
    <row r="818" hidden="1" outlineLevel="1">
      <c r="A818" s="51" t="s">
        <v>161</v>
      </c>
      <c r="B818" s="334"/>
      <c r="C818" s="54"/>
      <c r="D818" s="54"/>
      <c r="E818" s="54"/>
      <c r="F818" s="54"/>
      <c r="G818" s="54"/>
      <c r="H818" s="54"/>
      <c r="I818" s="335"/>
    </row>
    <row r="819" hidden="1" outlineLevel="1">
      <c r="A819" s="83" t="s">
        <v>162</v>
      </c>
      <c r="B819" s="292">
        <v>9.33</v>
      </c>
      <c r="C819" s="293">
        <v>8.57</v>
      </c>
      <c r="D819" s="293">
        <v>8.62</v>
      </c>
      <c r="E819" s="293">
        <v>9.0</v>
      </c>
      <c r="F819" s="293">
        <v>10.0</v>
      </c>
      <c r="G819" s="293">
        <v>9.42</v>
      </c>
      <c r="H819" s="293">
        <v>8.27</v>
      </c>
      <c r="I819" s="293">
        <v>9.8</v>
      </c>
    </row>
    <row r="820" hidden="1" outlineLevel="1">
      <c r="A820" s="88" t="s">
        <v>169</v>
      </c>
      <c r="B820" s="165">
        <v>10.0</v>
      </c>
      <c r="C820" s="166">
        <v>10.0</v>
      </c>
      <c r="D820" s="166">
        <v>10.0</v>
      </c>
      <c r="E820" s="166">
        <v>10.0</v>
      </c>
      <c r="F820" s="166">
        <v>10.0</v>
      </c>
      <c r="G820" s="166">
        <v>10.0</v>
      </c>
      <c r="H820" s="166">
        <v>10.0</v>
      </c>
      <c r="I820" s="168">
        <v>10.0</v>
      </c>
    </row>
    <row r="821" hidden="1" outlineLevel="1">
      <c r="A821" s="73" t="s">
        <v>170</v>
      </c>
      <c r="B821" s="297">
        <f t="shared" ref="B821:I821" si="315">IF(B819=0,0,B819/B820)</f>
        <v>0.933</v>
      </c>
      <c r="C821" s="298">
        <f t="shared" si="315"/>
        <v>0.857</v>
      </c>
      <c r="D821" s="298">
        <f t="shared" si="315"/>
        <v>0.862</v>
      </c>
      <c r="E821" s="298">
        <f t="shared" si="315"/>
        <v>0.9</v>
      </c>
      <c r="F821" s="298">
        <f t="shared" si="315"/>
        <v>1</v>
      </c>
      <c r="G821" s="298">
        <f t="shared" si="315"/>
        <v>0.942</v>
      </c>
      <c r="H821" s="298">
        <f t="shared" si="315"/>
        <v>0.827</v>
      </c>
      <c r="I821" s="299">
        <f t="shared" si="315"/>
        <v>0.98</v>
      </c>
    </row>
    <row r="822" hidden="1" outlineLevel="1">
      <c r="A822" s="51" t="s">
        <v>173</v>
      </c>
      <c r="B822" s="53"/>
      <c r="C822" s="54"/>
      <c r="D822" s="54"/>
      <c r="E822" s="54"/>
      <c r="F822" s="54"/>
      <c r="G822" s="54"/>
      <c r="H822" s="54"/>
      <c r="I822" s="56"/>
    </row>
    <row r="823" hidden="1" outlineLevel="1">
      <c r="A823" s="83" t="s">
        <v>175</v>
      </c>
      <c r="B823" s="330"/>
      <c r="C823" s="331"/>
      <c r="D823" s="345"/>
      <c r="E823" s="331"/>
      <c r="F823" s="331"/>
      <c r="G823" s="331"/>
      <c r="H823" s="331"/>
      <c r="I823" s="332"/>
    </row>
    <row r="824" hidden="1" outlineLevel="1">
      <c r="A824" s="180" t="s">
        <v>179</v>
      </c>
      <c r="B824" s="53"/>
      <c r="C824" s="54"/>
      <c r="D824" s="54"/>
      <c r="E824" s="54"/>
      <c r="F824" s="54"/>
      <c r="G824" s="54"/>
      <c r="H824" s="54"/>
      <c r="I824" s="56"/>
    </row>
    <row r="825" hidden="1" outlineLevel="1">
      <c r="A825" s="88" t="s">
        <v>180</v>
      </c>
      <c r="B825" s="181">
        <f t="shared" ref="B825:I825" si="316">B804*25</f>
        <v>24.68918919</v>
      </c>
      <c r="C825" s="182">
        <f t="shared" si="316"/>
        <v>26.57894737</v>
      </c>
      <c r="D825" s="182">
        <f t="shared" si="316"/>
        <v>25.70625</v>
      </c>
      <c r="E825" s="182">
        <f t="shared" si="316"/>
        <v>27.06081081</v>
      </c>
      <c r="F825" s="182">
        <f t="shared" si="316"/>
        <v>26.57432432</v>
      </c>
      <c r="G825" s="182">
        <f t="shared" si="316"/>
        <v>25.68125</v>
      </c>
      <c r="H825" s="182">
        <f t="shared" si="316"/>
        <v>18.76875</v>
      </c>
      <c r="I825" s="183">
        <f t="shared" si="316"/>
        <v>24.71875</v>
      </c>
    </row>
    <row r="826" hidden="1" outlineLevel="1">
      <c r="A826" s="88" t="s">
        <v>182</v>
      </c>
      <c r="B826" s="181">
        <f t="shared" ref="B826:I826" si="317">B808*35</f>
        <v>35</v>
      </c>
      <c r="C826" s="182">
        <f t="shared" si="317"/>
        <v>35</v>
      </c>
      <c r="D826" s="182">
        <f t="shared" si="317"/>
        <v>21.875</v>
      </c>
      <c r="E826" s="182">
        <f t="shared" si="317"/>
        <v>35</v>
      </c>
      <c r="F826" s="182">
        <f t="shared" si="317"/>
        <v>35</v>
      </c>
      <c r="G826" s="182">
        <f t="shared" si="317"/>
        <v>34.58875</v>
      </c>
      <c r="H826" s="182">
        <f t="shared" si="317"/>
        <v>35</v>
      </c>
      <c r="I826" s="183">
        <f t="shared" si="317"/>
        <v>35</v>
      </c>
    </row>
    <row r="827" hidden="1" outlineLevel="1">
      <c r="A827" s="88" t="s">
        <v>184</v>
      </c>
      <c r="B827" s="181">
        <f t="shared" ref="B827:I827" si="318">IF(AND(B808&lt;85%, B817&gt;100%), 25, B817*25)</f>
        <v>24.68946895</v>
      </c>
      <c r="C827" s="182">
        <f t="shared" si="318"/>
        <v>23.74174917</v>
      </c>
      <c r="D827" s="182">
        <f t="shared" si="318"/>
        <v>23.6241672</v>
      </c>
      <c r="E827" s="182">
        <f t="shared" si="318"/>
        <v>21.97615399</v>
      </c>
      <c r="F827" s="182">
        <f t="shared" si="318"/>
        <v>23.6129428</v>
      </c>
      <c r="G827" s="182">
        <f t="shared" si="318"/>
        <v>26.91388399</v>
      </c>
      <c r="H827" s="182">
        <f t="shared" si="318"/>
        <v>20.25186567</v>
      </c>
      <c r="I827" s="183">
        <f t="shared" si="318"/>
        <v>20.81884058</v>
      </c>
    </row>
    <row r="828" hidden="1" outlineLevel="1">
      <c r="A828" s="88" t="s">
        <v>187</v>
      </c>
      <c r="B828" s="181">
        <f t="shared" ref="B828:I828" si="319">B821*15</f>
        <v>13.995</v>
      </c>
      <c r="C828" s="182">
        <f t="shared" si="319"/>
        <v>12.855</v>
      </c>
      <c r="D828" s="182">
        <f t="shared" si="319"/>
        <v>12.93</v>
      </c>
      <c r="E828" s="182">
        <f t="shared" si="319"/>
        <v>13.5</v>
      </c>
      <c r="F828" s="182">
        <f t="shared" si="319"/>
        <v>15</v>
      </c>
      <c r="G828" s="182">
        <f t="shared" si="319"/>
        <v>14.13</v>
      </c>
      <c r="H828" s="182">
        <f t="shared" si="319"/>
        <v>12.405</v>
      </c>
      <c r="I828" s="183">
        <f t="shared" si="319"/>
        <v>14.7</v>
      </c>
    </row>
    <row r="829" hidden="1" outlineLevel="1">
      <c r="A829" s="88" t="s">
        <v>188</v>
      </c>
      <c r="B829" s="181">
        <f t="shared" ref="B829:I829" si="320">B823*-10</f>
        <v>0</v>
      </c>
      <c r="C829" s="182">
        <f t="shared" si="320"/>
        <v>0</v>
      </c>
      <c r="D829" s="182">
        <f t="shared" si="320"/>
        <v>0</v>
      </c>
      <c r="E829" s="182">
        <f t="shared" si="320"/>
        <v>0</v>
      </c>
      <c r="F829" s="182">
        <f t="shared" si="320"/>
        <v>0</v>
      </c>
      <c r="G829" s="182">
        <f t="shared" si="320"/>
        <v>0</v>
      </c>
      <c r="H829" s="182">
        <f t="shared" si="320"/>
        <v>0</v>
      </c>
      <c r="I829" s="183">
        <f t="shared" si="320"/>
        <v>0</v>
      </c>
    </row>
    <row r="830" hidden="1" outlineLevel="1">
      <c r="A830" s="187" t="s">
        <v>190</v>
      </c>
      <c r="B830" s="181">
        <f t="shared" ref="B830:I830" si="321">B825+B826+B827+B828+B829</f>
        <v>98.37365814</v>
      </c>
      <c r="C830" s="182">
        <f t="shared" si="321"/>
        <v>98.17569654</v>
      </c>
      <c r="D830" s="182">
        <f t="shared" si="321"/>
        <v>84.1354172</v>
      </c>
      <c r="E830" s="182">
        <f t="shared" si="321"/>
        <v>97.5369648</v>
      </c>
      <c r="F830" s="182">
        <f t="shared" si="321"/>
        <v>100.1872671</v>
      </c>
      <c r="G830" s="182">
        <f t="shared" si="321"/>
        <v>101.313884</v>
      </c>
      <c r="H830" s="182">
        <f t="shared" si="321"/>
        <v>86.42561567</v>
      </c>
      <c r="I830" s="183">
        <f t="shared" si="321"/>
        <v>95.23759058</v>
      </c>
    </row>
    <row r="831" hidden="1" outlineLevel="1">
      <c r="A831" s="73" t="s">
        <v>193</v>
      </c>
      <c r="B831" s="74">
        <f t="shared" ref="B831:I831" si="322">B830/100</f>
        <v>0.9837365814</v>
      </c>
      <c r="C831" s="75">
        <f t="shared" si="322"/>
        <v>0.9817569654</v>
      </c>
      <c r="D831" s="369">
        <f t="shared" si="322"/>
        <v>0.841354172</v>
      </c>
      <c r="E831" s="75">
        <f t="shared" si="322"/>
        <v>0.975369648</v>
      </c>
      <c r="F831" s="75">
        <f t="shared" si="322"/>
        <v>1.001872671</v>
      </c>
      <c r="G831" s="75">
        <f t="shared" si="322"/>
        <v>1.01313884</v>
      </c>
      <c r="H831" s="75">
        <f t="shared" si="322"/>
        <v>0.8642561567</v>
      </c>
      <c r="I831" s="77">
        <f t="shared" si="322"/>
        <v>0.9523759058</v>
      </c>
    </row>
    <row r="832" hidden="1" outlineLevel="1">
      <c r="A832" s="180" t="s">
        <v>203</v>
      </c>
      <c r="B832" s="361" t="s">
        <v>204</v>
      </c>
      <c r="C832" s="362" t="s">
        <v>204</v>
      </c>
      <c r="D832" s="362" t="s">
        <v>204</v>
      </c>
      <c r="E832" s="362" t="s">
        <v>204</v>
      </c>
      <c r="F832" s="362" t="s">
        <v>204</v>
      </c>
      <c r="G832" s="362" t="s">
        <v>206</v>
      </c>
      <c r="H832" s="362" t="s">
        <v>204</v>
      </c>
      <c r="I832" s="362" t="s">
        <v>204</v>
      </c>
    </row>
    <row r="833" hidden="1" outlineLevel="1">
      <c r="A833" s="180" t="s">
        <v>208</v>
      </c>
      <c r="B833" s="216"/>
      <c r="C833" s="217"/>
      <c r="D833" s="350"/>
      <c r="E833" s="217"/>
      <c r="F833" s="217"/>
      <c r="G833" s="217"/>
      <c r="H833" s="217"/>
      <c r="I833" s="364"/>
    </row>
    <row r="834" collapsed="1">
      <c r="A834" s="435">
        <v>46204.0</v>
      </c>
      <c r="B834" s="417"/>
      <c r="C834" s="46"/>
      <c r="D834" s="46"/>
      <c r="E834" s="46"/>
      <c r="F834" s="46"/>
      <c r="G834" s="46"/>
      <c r="H834" s="46"/>
      <c r="I834" s="46"/>
    </row>
    <row r="835" hidden="1" outlineLevel="1" collapsed="1">
      <c r="A835" s="32"/>
      <c r="B835" s="33" t="s">
        <v>1513</v>
      </c>
      <c r="C835" s="34"/>
      <c r="D835" s="34"/>
      <c r="E835" s="34"/>
      <c r="F835" s="34"/>
      <c r="G835" s="34"/>
      <c r="H835" s="34"/>
      <c r="I835" s="35"/>
    </row>
    <row r="836" hidden="1" outlineLevel="2">
      <c r="A836" s="228"/>
      <c r="B836" s="317" t="s">
        <v>56</v>
      </c>
      <c r="C836" s="318" t="s">
        <v>57</v>
      </c>
      <c r="D836" s="318" t="s">
        <v>21</v>
      </c>
      <c r="E836" s="318" t="s">
        <v>32</v>
      </c>
      <c r="F836" s="318" t="s">
        <v>58</v>
      </c>
      <c r="G836" s="319" t="s">
        <v>59</v>
      </c>
      <c r="H836" s="320" t="s">
        <v>7</v>
      </c>
      <c r="I836" s="320" t="s">
        <v>503</v>
      </c>
    </row>
    <row r="837" hidden="1" outlineLevel="2">
      <c r="A837" s="44" t="s">
        <v>60</v>
      </c>
      <c r="B837" s="289" t="s">
        <v>1513</v>
      </c>
      <c r="C837" s="290"/>
      <c r="D837" s="290"/>
      <c r="E837" s="290"/>
      <c r="F837" s="290"/>
      <c r="G837" s="290"/>
      <c r="H837" s="290"/>
      <c r="I837" s="291"/>
    </row>
    <row r="838" hidden="1" outlineLevel="2">
      <c r="A838" s="51" t="s">
        <v>64</v>
      </c>
      <c r="B838" s="53"/>
      <c r="C838" s="54"/>
      <c r="D838" s="54"/>
      <c r="E838" s="54"/>
      <c r="F838" s="54"/>
      <c r="G838" s="54"/>
      <c r="H838" s="54"/>
      <c r="I838" s="56"/>
    </row>
    <row r="839" hidden="1" outlineLevel="2">
      <c r="A839" s="58" t="s">
        <v>69</v>
      </c>
      <c r="B839" s="292">
        <v>40.03</v>
      </c>
      <c r="C839" s="293">
        <v>38.41</v>
      </c>
      <c r="D839" s="293">
        <v>41.11</v>
      </c>
      <c r="E839" s="293">
        <v>40.05</v>
      </c>
      <c r="F839" s="293">
        <v>36.08</v>
      </c>
      <c r="G839" s="293">
        <v>41.12</v>
      </c>
      <c r="H839" s="293">
        <v>40.51</v>
      </c>
      <c r="I839" s="354">
        <v>41.12</v>
      </c>
    </row>
    <row r="840" hidden="1" outlineLevel="2">
      <c r="A840" s="68" t="s">
        <v>75</v>
      </c>
      <c r="B840" s="296">
        <v>37.0</v>
      </c>
      <c r="C840" s="296">
        <v>38.0</v>
      </c>
      <c r="D840" s="70">
        <v>40.0</v>
      </c>
      <c r="E840" s="296">
        <v>37.0</v>
      </c>
      <c r="F840" s="296">
        <v>37.0</v>
      </c>
      <c r="G840" s="296">
        <v>40.0</v>
      </c>
      <c r="H840" s="296">
        <v>40.0</v>
      </c>
      <c r="I840" s="355">
        <v>40.0</v>
      </c>
    </row>
    <row r="841" hidden="1" outlineLevel="2">
      <c r="A841" s="73" t="s">
        <v>76</v>
      </c>
      <c r="B841" s="297">
        <f t="shared" ref="B841:I841" si="323">B839/B840</f>
        <v>1.081891892</v>
      </c>
      <c r="C841" s="298">
        <f t="shared" si="323"/>
        <v>1.010789474</v>
      </c>
      <c r="D841" s="298">
        <f t="shared" si="323"/>
        <v>1.02775</v>
      </c>
      <c r="E841" s="298">
        <f t="shared" si="323"/>
        <v>1.082432432</v>
      </c>
      <c r="F841" s="298">
        <f t="shared" si="323"/>
        <v>0.9751351351</v>
      </c>
      <c r="G841" s="298">
        <f t="shared" si="323"/>
        <v>1.028</v>
      </c>
      <c r="H841" s="298">
        <f t="shared" si="323"/>
        <v>1.01275</v>
      </c>
      <c r="I841" s="299">
        <f t="shared" si="323"/>
        <v>1.028</v>
      </c>
    </row>
    <row r="842" hidden="1" outlineLevel="2">
      <c r="A842" s="51" t="s">
        <v>79</v>
      </c>
      <c r="B842" s="53"/>
      <c r="C842" s="54"/>
      <c r="D842" s="54"/>
      <c r="E842" s="54"/>
      <c r="F842" s="54"/>
      <c r="G842" s="54"/>
      <c r="H842" s="54"/>
      <c r="I842" s="56"/>
    </row>
    <row r="843" hidden="1" outlineLevel="2">
      <c r="A843" s="83" t="s">
        <v>81</v>
      </c>
      <c r="B843" s="292">
        <v>40.0</v>
      </c>
      <c r="C843" s="293">
        <v>40.0</v>
      </c>
      <c r="D843" s="293">
        <v>40.0</v>
      </c>
      <c r="E843" s="293">
        <v>40.0</v>
      </c>
      <c r="F843" s="293">
        <v>40.0</v>
      </c>
      <c r="G843" s="293">
        <v>40.0</v>
      </c>
      <c r="H843" s="293">
        <v>40.0</v>
      </c>
      <c r="I843" s="294">
        <v>40.0</v>
      </c>
    </row>
    <row r="844" hidden="1" outlineLevel="2">
      <c r="A844" s="88" t="s">
        <v>86</v>
      </c>
      <c r="B844" s="260">
        <v>40.0</v>
      </c>
      <c r="C844" s="261">
        <v>40.0</v>
      </c>
      <c r="D844" s="261">
        <v>40.0</v>
      </c>
      <c r="E844" s="261">
        <v>40.0</v>
      </c>
      <c r="F844" s="261">
        <v>40.0</v>
      </c>
      <c r="G844" s="261">
        <v>40.0</v>
      </c>
      <c r="H844" s="261">
        <v>40.0</v>
      </c>
      <c r="I844" s="262">
        <v>40.0</v>
      </c>
    </row>
    <row r="845" hidden="1" outlineLevel="2">
      <c r="A845" s="73" t="s">
        <v>96</v>
      </c>
      <c r="B845" s="297">
        <f t="shared" ref="B845:I845" si="324">B843/B844</f>
        <v>1</v>
      </c>
      <c r="C845" s="298">
        <f t="shared" si="324"/>
        <v>1</v>
      </c>
      <c r="D845" s="298">
        <f t="shared" si="324"/>
        <v>1</v>
      </c>
      <c r="E845" s="298">
        <f t="shared" si="324"/>
        <v>1</v>
      </c>
      <c r="F845" s="298">
        <f t="shared" si="324"/>
        <v>1</v>
      </c>
      <c r="G845" s="298">
        <f t="shared" si="324"/>
        <v>1</v>
      </c>
      <c r="H845" s="298">
        <f t="shared" si="324"/>
        <v>1</v>
      </c>
      <c r="I845" s="299">
        <f t="shared" si="324"/>
        <v>1</v>
      </c>
    </row>
    <row r="846" hidden="1" outlineLevel="2">
      <c r="A846" s="51" t="s">
        <v>99</v>
      </c>
      <c r="B846" s="53"/>
      <c r="C846" s="54"/>
      <c r="D846" s="54"/>
      <c r="E846" s="54"/>
      <c r="F846" s="54"/>
      <c r="G846" s="54"/>
      <c r="H846" s="54"/>
      <c r="I846" s="56"/>
    </row>
    <row r="847" hidden="1" outlineLevel="2">
      <c r="A847" s="83" t="s">
        <v>101</v>
      </c>
      <c r="B847" s="259" t="s">
        <v>109</v>
      </c>
      <c r="C847" s="123" t="s">
        <v>113</v>
      </c>
      <c r="D847" s="123" t="s">
        <v>109</v>
      </c>
      <c r="E847" s="124" t="s">
        <v>109</v>
      </c>
      <c r="F847" s="124" t="s">
        <v>109</v>
      </c>
      <c r="G847" s="123" t="s">
        <v>113</v>
      </c>
      <c r="H847" s="124" t="s">
        <v>109</v>
      </c>
      <c r="I847" s="126" t="s">
        <v>109</v>
      </c>
    </row>
    <row r="848" hidden="1" outlineLevel="2">
      <c r="A848" s="83" t="s">
        <v>117</v>
      </c>
      <c r="B848" s="259" t="s">
        <v>118</v>
      </c>
      <c r="C848" s="124" t="s">
        <v>119</v>
      </c>
      <c r="D848" s="124" t="s">
        <v>118</v>
      </c>
      <c r="E848" s="124" t="s">
        <v>119</v>
      </c>
      <c r="F848" s="124" t="s">
        <v>118</v>
      </c>
      <c r="G848" s="124" t="s">
        <v>119</v>
      </c>
      <c r="H848" s="124" t="s">
        <v>119</v>
      </c>
      <c r="I848" s="126" t="s">
        <v>119</v>
      </c>
    </row>
    <row r="849" hidden="1" outlineLevel="2">
      <c r="A849" s="83" t="s">
        <v>120</v>
      </c>
      <c r="B849" s="271">
        <f>IF(B839&lt;B840,B840,B839) *
IF(B847="AM",
    IF(B848="Oricle",3.5,
    IF(B848="Other Brands",4,
    IF(B848="Oricle Prio",0.6,""))),
 IF(B847="MID",
    IF(B848="Oricle",2.5,
    IF(B848="Other Brands",3,
    IF(B848="Oricle Prio",0.6,""))),
 IF(B847="GY",
    IF(B848="Oricle",1,
    IF(B848="Other Brands",1,
    IF(B848="Oricle Prio",0.3,""))),"")))-10</f>
        <v>110.09</v>
      </c>
      <c r="C849" s="273">
        <f>IF(C839&lt;C840,C840,C839) *
IF(C847="AM",
    IF(C848="Oricle",3,
    IF(C848="Other Brands",4,
    IF(C848="Oricle Prio",0.6,""))),
 IF(C847="MID",
    IF(C848="Oricle",2.5,
    IF(C848="Other Brands",3,
    IF(C848="Oricle Prio",0.6,""))),
 IF(C847="GY",
    IF(C848="Oricle",1,
    IF(C848="Other Brands",1,
    IF(C848="Oricle Prio",0.3,""))),"")))</f>
        <v>115.23</v>
      </c>
      <c r="D849" s="273">
        <f>IF(D839&lt;D840,D840,D839) *
IF(D847="AM",
    IF(D848="Oricle",3.5,
    IF(D848="Other Brands",4,
    IF(D848="Oricle Prio",0.6,""))),
 IF(D847="MID",
    IF(D848="Oricle",2.5,
    IF(D848="Other Brands",3,
    IF(D848="Oricle Prio",0.6,""))),
 IF(D847="GY",
    IF(D848="Oricle",1,
    IF(D848="Other Brands",1,
    IF(D848="Oricle Prio",0.3,""))),"")))</f>
        <v>123.33</v>
      </c>
      <c r="E849" s="273">
        <f>IF(E839&lt;E840,E840,E839) *
IF(E847="AM",
    IF(E848="Oricle",3.5,
    IF(E848="Other Brands",4,
    IF(E848="Oricle Prio",0.6,""))),
 IF(E847="MID",
    IF(E848="Oricle",2.5,
    IF(E848="Other Brands",3,
    IF(E848="Oricle Prio",0.6,""))),
 IF(E847="GY",
    IF(E848="Oricle",1,
    IF(E848="Other Brands",1,
    IF(E848="Oricle Prio",0.3,""))),"")))-15</f>
        <v>85.125</v>
      </c>
      <c r="F849" s="273">
        <f>IF(F839&lt;F840,F840,F839) *
IF(F847="AM",
    IF(F848="Oricle",3.5,
    IF(F848="Other Brands",4,
    IF(F848="Oricle Prio",0.6,""))),
 IF(F847="MID",
    IF(F848="Oricle",2.5,
    IF(F848="Other Brands",3,
    IF(F848="Oricle Prio",0.6,""))),
 IF(F847="GY",
    IF(F848="Oricle",1,
    IF(F848="Other Brands",1,
    IF(F848="Oricle Prio",0.3,""))),"")))</f>
        <v>111</v>
      </c>
      <c r="G849" s="273">
        <f t="shared" ref="G849:H849" si="325">IF(G839&lt;G840,G840,G839) *
IF(G847="AM",
    IF(G848="Oricle",3,
    IF(G848="Other Brands",4,
    IF(G848="Oricle Prio",0.6,""))),
 IF(G847="MID",
    IF(G848="Oricle",2.5,
    IF(G848="Other Brands",3,
    IF(G848="Oricle Prio",0.6,""))),
 IF(G847="GY",
    IF(G848="Oricle",1,
    IF(G848="Other Brands",1,
    IF(G848="Oricle Prio",0.3,""))),"")))</f>
        <v>123.36</v>
      </c>
      <c r="H849" s="273">
        <f t="shared" si="325"/>
        <v>101.275</v>
      </c>
      <c r="I849" s="273">
        <f>IF(I839&lt;I840,I840,I839) *
IF(I847="AM",
    IF(I848="Oricle",3.5,
    IF(I848="Other Brands",4,
    IF(I848="Oricle Prio",0.6,""))),
 IF(I847="MID",
    IF(I848="Oricle",2.5,
    IF(I848="Other Brands",3,
    IF(I848="Oricle Prio",0.6,""))),
 IF(I847="GY",
    IF(I848="Oricle",1,
    IF(I848="Other Brands",1,
    IF(I848="Oricle Prio",0.3,""))),"")))</f>
        <v>102.8</v>
      </c>
    </row>
    <row r="850" hidden="1" outlineLevel="2">
      <c r="A850" s="83" t="s">
        <v>131</v>
      </c>
      <c r="B850" s="306" t="s">
        <v>1010</v>
      </c>
      <c r="C850" s="123" t="s">
        <v>471</v>
      </c>
      <c r="D850" s="123" t="s">
        <v>1540</v>
      </c>
      <c r="E850" s="123" t="s">
        <v>1444</v>
      </c>
      <c r="F850" s="123" t="s">
        <v>1010</v>
      </c>
      <c r="G850" s="123" t="s">
        <v>1542</v>
      </c>
      <c r="H850" s="123" t="s">
        <v>952</v>
      </c>
      <c r="I850" s="123" t="s">
        <v>1211</v>
      </c>
    </row>
    <row r="851" hidden="1" outlineLevel="2">
      <c r="A851" s="83" t="s">
        <v>138</v>
      </c>
      <c r="B851" s="306" t="s">
        <v>1010</v>
      </c>
      <c r="C851" s="123" t="s">
        <v>830</v>
      </c>
      <c r="D851" s="123" t="s">
        <v>313</v>
      </c>
      <c r="E851" s="123" t="s">
        <v>762</v>
      </c>
      <c r="F851" s="123" t="s">
        <v>900</v>
      </c>
      <c r="G851" s="123" t="s">
        <v>700</v>
      </c>
      <c r="H851" s="123" t="s">
        <v>658</v>
      </c>
      <c r="I851" s="123" t="s">
        <v>1211</v>
      </c>
    </row>
    <row r="852" hidden="1" outlineLevel="2">
      <c r="A852" s="88" t="s">
        <v>149</v>
      </c>
      <c r="B852" s="152">
        <f t="shared" ref="B852:I852" si="326">IF(B850&gt;0,B851/B850,0)</f>
        <v>1</v>
      </c>
      <c r="C852" s="153">
        <f t="shared" si="326"/>
        <v>0.96</v>
      </c>
      <c r="D852" s="153">
        <f t="shared" si="326"/>
        <v>0.9577464789</v>
      </c>
      <c r="E852" s="153">
        <f t="shared" si="326"/>
        <v>0.9875</v>
      </c>
      <c r="F852" s="153">
        <f t="shared" si="326"/>
        <v>0.967032967</v>
      </c>
      <c r="G852" s="153">
        <f t="shared" si="326"/>
        <v>0.9794520548</v>
      </c>
      <c r="H852" s="153">
        <f t="shared" si="326"/>
        <v>0.9456521739</v>
      </c>
      <c r="I852" s="154">
        <f t="shared" si="326"/>
        <v>1</v>
      </c>
    </row>
    <row r="853" hidden="1" outlineLevel="2">
      <c r="A853" s="88" t="s">
        <v>156</v>
      </c>
      <c r="B853" s="152">
        <f t="shared" ref="B853:I853" si="327">IF(B849&gt;0,B851/B849,0)</f>
        <v>0.8265964211</v>
      </c>
      <c r="C853" s="153">
        <f t="shared" si="327"/>
        <v>0.8331163759</v>
      </c>
      <c r="D853" s="153">
        <f t="shared" si="327"/>
        <v>1.102732506</v>
      </c>
      <c r="E853" s="153">
        <f t="shared" si="327"/>
        <v>0.9280469897</v>
      </c>
      <c r="F853" s="153">
        <f t="shared" si="327"/>
        <v>0.7927927928</v>
      </c>
      <c r="G853" s="153">
        <f t="shared" si="327"/>
        <v>1.15920882</v>
      </c>
      <c r="H853" s="153">
        <f t="shared" si="327"/>
        <v>0.8590471489</v>
      </c>
      <c r="I853" s="154">
        <f t="shared" si="327"/>
        <v>0.7976653696</v>
      </c>
    </row>
    <row r="854" hidden="1" outlineLevel="2">
      <c r="A854" s="159" t="s">
        <v>13</v>
      </c>
      <c r="B854" s="297">
        <f t="shared" ref="B854:I854" si="328">average(B852:B853)</f>
        <v>0.9132982106</v>
      </c>
      <c r="C854" s="298">
        <f t="shared" si="328"/>
        <v>0.896558188</v>
      </c>
      <c r="D854" s="298">
        <f t="shared" si="328"/>
        <v>1.030239493</v>
      </c>
      <c r="E854" s="298">
        <f t="shared" si="328"/>
        <v>0.9577734949</v>
      </c>
      <c r="F854" s="298">
        <f t="shared" si="328"/>
        <v>0.8799128799</v>
      </c>
      <c r="G854" s="298">
        <f t="shared" si="328"/>
        <v>1.069330437</v>
      </c>
      <c r="H854" s="298">
        <f t="shared" si="328"/>
        <v>0.9023496614</v>
      </c>
      <c r="I854" s="299">
        <f t="shared" si="328"/>
        <v>0.8988326848</v>
      </c>
    </row>
    <row r="855" hidden="1" outlineLevel="2">
      <c r="A855" s="51" t="s">
        <v>161</v>
      </c>
      <c r="B855" s="334"/>
      <c r="C855" s="54"/>
      <c r="D855" s="54"/>
      <c r="E855" s="54"/>
      <c r="F855" s="54"/>
      <c r="G855" s="54"/>
      <c r="H855" s="54"/>
      <c r="I855" s="335"/>
    </row>
    <row r="856" hidden="1" outlineLevel="2">
      <c r="A856" s="83" t="s">
        <v>162</v>
      </c>
      <c r="B856" s="292">
        <v>10.0</v>
      </c>
      <c r="C856" s="293">
        <v>8.69</v>
      </c>
      <c r="D856" s="293">
        <v>9.17</v>
      </c>
      <c r="E856" s="293">
        <v>9.33</v>
      </c>
      <c r="F856" s="293">
        <v>9.66</v>
      </c>
      <c r="G856" s="293">
        <v>9.14</v>
      </c>
      <c r="H856" s="293">
        <v>9.14</v>
      </c>
      <c r="I856" s="293">
        <v>9.49</v>
      </c>
    </row>
    <row r="857" hidden="1" outlineLevel="2">
      <c r="A857" s="88" t="s">
        <v>169</v>
      </c>
      <c r="B857" s="165">
        <v>10.0</v>
      </c>
      <c r="C857" s="166">
        <v>10.0</v>
      </c>
      <c r="D857" s="166">
        <v>10.0</v>
      </c>
      <c r="E857" s="166">
        <v>10.0</v>
      </c>
      <c r="F857" s="166">
        <v>10.0</v>
      </c>
      <c r="G857" s="166">
        <v>10.0</v>
      </c>
      <c r="H857" s="166">
        <v>10.0</v>
      </c>
      <c r="I857" s="168">
        <v>10.0</v>
      </c>
    </row>
    <row r="858" hidden="1" outlineLevel="2">
      <c r="A858" s="73" t="s">
        <v>170</v>
      </c>
      <c r="B858" s="297">
        <f t="shared" ref="B858:I858" si="329">IF(B856=0,0,B856/B857)</f>
        <v>1</v>
      </c>
      <c r="C858" s="298">
        <f t="shared" si="329"/>
        <v>0.869</v>
      </c>
      <c r="D858" s="298">
        <f t="shared" si="329"/>
        <v>0.917</v>
      </c>
      <c r="E858" s="298">
        <f t="shared" si="329"/>
        <v>0.933</v>
      </c>
      <c r="F858" s="298">
        <f t="shared" si="329"/>
        <v>0.966</v>
      </c>
      <c r="G858" s="298">
        <f t="shared" si="329"/>
        <v>0.914</v>
      </c>
      <c r="H858" s="298">
        <f t="shared" si="329"/>
        <v>0.914</v>
      </c>
      <c r="I858" s="299">
        <f t="shared" si="329"/>
        <v>0.949</v>
      </c>
    </row>
    <row r="859" hidden="1" outlineLevel="2">
      <c r="A859" s="51" t="s">
        <v>173</v>
      </c>
      <c r="B859" s="53"/>
      <c r="C859" s="54"/>
      <c r="D859" s="54"/>
      <c r="E859" s="54"/>
      <c r="F859" s="54"/>
      <c r="G859" s="54"/>
      <c r="H859" s="54"/>
      <c r="I859" s="56"/>
    </row>
    <row r="860" hidden="1" outlineLevel="2">
      <c r="A860" s="83" t="s">
        <v>175</v>
      </c>
      <c r="B860" s="330"/>
      <c r="C860" s="331"/>
      <c r="D860" s="345"/>
      <c r="E860" s="331"/>
      <c r="F860" s="331"/>
      <c r="G860" s="331"/>
      <c r="H860" s="331"/>
      <c r="I860" s="332"/>
    </row>
    <row r="861" hidden="1" outlineLevel="2">
      <c r="A861" s="180" t="s">
        <v>179</v>
      </c>
      <c r="B861" s="53"/>
      <c r="C861" s="54"/>
      <c r="D861" s="54"/>
      <c r="E861" s="54"/>
      <c r="F861" s="54"/>
      <c r="G861" s="54"/>
      <c r="H861" s="54"/>
      <c r="I861" s="56"/>
    </row>
    <row r="862" hidden="1" outlineLevel="2">
      <c r="A862" s="88" t="s">
        <v>180</v>
      </c>
      <c r="B862" s="181">
        <f t="shared" ref="B862:I862" si="330">B841*25</f>
        <v>27.0472973</v>
      </c>
      <c r="C862" s="182">
        <f t="shared" si="330"/>
        <v>25.26973684</v>
      </c>
      <c r="D862" s="182">
        <f t="shared" si="330"/>
        <v>25.69375</v>
      </c>
      <c r="E862" s="182">
        <f t="shared" si="330"/>
        <v>27.06081081</v>
      </c>
      <c r="F862" s="182">
        <f t="shared" si="330"/>
        <v>24.37837838</v>
      </c>
      <c r="G862" s="182">
        <f t="shared" si="330"/>
        <v>25.7</v>
      </c>
      <c r="H862" s="182">
        <f t="shared" si="330"/>
        <v>25.31875</v>
      </c>
      <c r="I862" s="183">
        <f t="shared" si="330"/>
        <v>25.7</v>
      </c>
    </row>
    <row r="863" hidden="1" outlineLevel="2">
      <c r="A863" s="88" t="s">
        <v>182</v>
      </c>
      <c r="B863" s="181">
        <f t="shared" ref="B863:I863" si="331">B845*35</f>
        <v>35</v>
      </c>
      <c r="C863" s="182">
        <f t="shared" si="331"/>
        <v>35</v>
      </c>
      <c r="D863" s="182">
        <f t="shared" si="331"/>
        <v>35</v>
      </c>
      <c r="E863" s="182">
        <f t="shared" si="331"/>
        <v>35</v>
      </c>
      <c r="F863" s="182">
        <f t="shared" si="331"/>
        <v>35</v>
      </c>
      <c r="G863" s="182">
        <f t="shared" si="331"/>
        <v>35</v>
      </c>
      <c r="H863" s="182">
        <f t="shared" si="331"/>
        <v>35</v>
      </c>
      <c r="I863" s="183">
        <f t="shared" si="331"/>
        <v>35</v>
      </c>
    </row>
    <row r="864" hidden="1" outlineLevel="2">
      <c r="A864" s="88" t="s">
        <v>184</v>
      </c>
      <c r="B864" s="181">
        <f t="shared" ref="B864:I864" si="332">IF(AND(B845&lt;85%, B854&gt;100%), 25, B854*25)</f>
        <v>22.83245526</v>
      </c>
      <c r="C864" s="182">
        <f t="shared" si="332"/>
        <v>22.4139547</v>
      </c>
      <c r="D864" s="182">
        <f t="shared" si="332"/>
        <v>25.75598731</v>
      </c>
      <c r="E864" s="182">
        <f t="shared" si="332"/>
        <v>23.94433737</v>
      </c>
      <c r="F864" s="182">
        <f t="shared" si="332"/>
        <v>21.997822</v>
      </c>
      <c r="G864" s="182">
        <f t="shared" si="332"/>
        <v>26.73326093</v>
      </c>
      <c r="H864" s="182">
        <f t="shared" si="332"/>
        <v>22.55874153</v>
      </c>
      <c r="I864" s="183">
        <f t="shared" si="332"/>
        <v>22.47081712</v>
      </c>
    </row>
    <row r="865" hidden="1" outlineLevel="2">
      <c r="A865" s="88" t="s">
        <v>187</v>
      </c>
      <c r="B865" s="181">
        <f t="shared" ref="B865:I865" si="333">B858*15</f>
        <v>15</v>
      </c>
      <c r="C865" s="182">
        <f t="shared" si="333"/>
        <v>13.035</v>
      </c>
      <c r="D865" s="182">
        <f t="shared" si="333"/>
        <v>13.755</v>
      </c>
      <c r="E865" s="182">
        <f t="shared" si="333"/>
        <v>13.995</v>
      </c>
      <c r="F865" s="182">
        <f t="shared" si="333"/>
        <v>14.49</v>
      </c>
      <c r="G865" s="182">
        <f t="shared" si="333"/>
        <v>13.71</v>
      </c>
      <c r="H865" s="182">
        <f t="shared" si="333"/>
        <v>13.71</v>
      </c>
      <c r="I865" s="183">
        <f t="shared" si="333"/>
        <v>14.235</v>
      </c>
    </row>
    <row r="866" hidden="1" outlineLevel="2">
      <c r="A866" s="88" t="s">
        <v>188</v>
      </c>
      <c r="B866" s="181">
        <f t="shared" ref="B866:I866" si="334">B860*-10</f>
        <v>0</v>
      </c>
      <c r="C866" s="182">
        <f t="shared" si="334"/>
        <v>0</v>
      </c>
      <c r="D866" s="182">
        <f t="shared" si="334"/>
        <v>0</v>
      </c>
      <c r="E866" s="182">
        <f t="shared" si="334"/>
        <v>0</v>
      </c>
      <c r="F866" s="182">
        <f t="shared" si="334"/>
        <v>0</v>
      </c>
      <c r="G866" s="182">
        <f t="shared" si="334"/>
        <v>0</v>
      </c>
      <c r="H866" s="182">
        <f t="shared" si="334"/>
        <v>0</v>
      </c>
      <c r="I866" s="183">
        <f t="shared" si="334"/>
        <v>0</v>
      </c>
    </row>
    <row r="867" hidden="1" outlineLevel="2">
      <c r="A867" s="187" t="s">
        <v>190</v>
      </c>
      <c r="B867" s="181">
        <f t="shared" ref="B867:I867" si="335">B862+B863+B864+B865+B866</f>
        <v>99.87975256</v>
      </c>
      <c r="C867" s="182">
        <f t="shared" si="335"/>
        <v>95.71869154</v>
      </c>
      <c r="D867" s="182">
        <f t="shared" si="335"/>
        <v>100.2047373</v>
      </c>
      <c r="E867" s="182">
        <f t="shared" si="335"/>
        <v>100.0001482</v>
      </c>
      <c r="F867" s="182">
        <f t="shared" si="335"/>
        <v>95.86620038</v>
      </c>
      <c r="G867" s="182">
        <f t="shared" si="335"/>
        <v>101.1432609</v>
      </c>
      <c r="H867" s="182">
        <f t="shared" si="335"/>
        <v>96.58749153</v>
      </c>
      <c r="I867" s="183">
        <f t="shared" si="335"/>
        <v>97.40581712</v>
      </c>
    </row>
    <row r="868" hidden="1" outlineLevel="2">
      <c r="A868" s="73" t="s">
        <v>193</v>
      </c>
      <c r="B868" s="74">
        <f t="shared" ref="B868:I868" si="336">B867/100</f>
        <v>0.9987975256</v>
      </c>
      <c r="C868" s="75">
        <f t="shared" si="336"/>
        <v>0.9571869154</v>
      </c>
      <c r="D868" s="369">
        <f t="shared" si="336"/>
        <v>1.002047373</v>
      </c>
      <c r="E868" s="75">
        <f t="shared" si="336"/>
        <v>1.000001482</v>
      </c>
      <c r="F868" s="75">
        <f t="shared" si="336"/>
        <v>0.9586620038</v>
      </c>
      <c r="G868" s="75">
        <f t="shared" si="336"/>
        <v>1.011432609</v>
      </c>
      <c r="H868" s="75">
        <f t="shared" si="336"/>
        <v>0.9658749153</v>
      </c>
      <c r="I868" s="77">
        <f t="shared" si="336"/>
        <v>0.9740581712</v>
      </c>
    </row>
    <row r="869" hidden="1" outlineLevel="2">
      <c r="A869" s="180" t="s">
        <v>203</v>
      </c>
      <c r="B869" s="361" t="s">
        <v>204</v>
      </c>
      <c r="C869" s="362" t="s">
        <v>204</v>
      </c>
      <c r="D869" s="362" t="s">
        <v>204</v>
      </c>
      <c r="E869" s="362" t="s">
        <v>204</v>
      </c>
      <c r="F869" s="362" t="s">
        <v>204</v>
      </c>
      <c r="G869" s="362" t="s">
        <v>206</v>
      </c>
      <c r="H869" s="362" t="s">
        <v>204</v>
      </c>
      <c r="I869" s="362" t="s">
        <v>204</v>
      </c>
    </row>
    <row r="870" hidden="1" outlineLevel="2">
      <c r="A870" s="180" t="s">
        <v>208</v>
      </c>
      <c r="B870" s="216"/>
      <c r="C870" s="217"/>
      <c r="D870" s="350"/>
      <c r="E870" s="217"/>
      <c r="F870" s="217"/>
      <c r="G870" s="217"/>
      <c r="H870" s="217"/>
      <c r="I870" s="364"/>
    </row>
    <row r="871" hidden="1" outlineLevel="1" collapsed="1">
      <c r="A871" s="32"/>
      <c r="B871" s="33" t="s">
        <v>1570</v>
      </c>
      <c r="C871" s="34"/>
      <c r="D871" s="34"/>
      <c r="E871" s="34"/>
      <c r="F871" s="34"/>
      <c r="G871" s="34"/>
      <c r="H871" s="34"/>
      <c r="I871" s="35"/>
    </row>
    <row r="872" hidden="1" outlineLevel="2">
      <c r="A872" s="228"/>
      <c r="B872" s="317" t="s">
        <v>56</v>
      </c>
      <c r="C872" s="318" t="s">
        <v>57</v>
      </c>
      <c r="D872" s="318" t="s">
        <v>21</v>
      </c>
      <c r="E872" s="318" t="s">
        <v>32</v>
      </c>
      <c r="F872" s="318" t="s">
        <v>58</v>
      </c>
      <c r="G872" s="319" t="s">
        <v>59</v>
      </c>
      <c r="H872" s="320" t="s">
        <v>7</v>
      </c>
      <c r="I872" s="320" t="s">
        <v>503</v>
      </c>
    </row>
    <row r="873" hidden="1" outlineLevel="2">
      <c r="A873" s="44" t="s">
        <v>60</v>
      </c>
      <c r="B873" s="289" t="s">
        <v>1570</v>
      </c>
      <c r="C873" s="290"/>
      <c r="D873" s="290"/>
      <c r="E873" s="290"/>
      <c r="F873" s="290"/>
      <c r="G873" s="290"/>
      <c r="H873" s="290"/>
      <c r="I873" s="291"/>
    </row>
    <row r="874" hidden="1" outlineLevel="2">
      <c r="A874" s="51" t="s">
        <v>64</v>
      </c>
      <c r="B874" s="53"/>
      <c r="C874" s="54"/>
      <c r="D874" s="54"/>
      <c r="E874" s="54"/>
      <c r="F874" s="54"/>
      <c r="G874" s="54"/>
      <c r="H874" s="54"/>
      <c r="I874" s="56"/>
    </row>
    <row r="875" hidden="1" outlineLevel="2">
      <c r="A875" s="58" t="s">
        <v>69</v>
      </c>
      <c r="B875" s="292">
        <v>37.49</v>
      </c>
      <c r="C875" s="293">
        <v>38.48</v>
      </c>
      <c r="D875" s="293">
        <v>45.27</v>
      </c>
      <c r="E875" s="293">
        <v>44.04</v>
      </c>
      <c r="F875" s="293">
        <v>43.55</v>
      </c>
      <c r="G875" s="293">
        <v>32.41</v>
      </c>
      <c r="H875" s="293">
        <v>28.28</v>
      </c>
      <c r="I875" s="354">
        <v>42.28</v>
      </c>
    </row>
    <row r="876" hidden="1" outlineLevel="2">
      <c r="A876" s="68" t="s">
        <v>75</v>
      </c>
      <c r="B876" s="296">
        <v>37.0</v>
      </c>
      <c r="C876" s="296">
        <v>38.0</v>
      </c>
      <c r="D876" s="70">
        <v>40.0</v>
      </c>
      <c r="E876" s="296">
        <v>37.0</v>
      </c>
      <c r="F876" s="296">
        <v>37.0</v>
      </c>
      <c r="G876" s="296">
        <v>32.0</v>
      </c>
      <c r="H876" s="296">
        <v>40.0</v>
      </c>
      <c r="I876" s="355">
        <v>40.0</v>
      </c>
    </row>
    <row r="877" hidden="1" outlineLevel="2">
      <c r="A877" s="73" t="s">
        <v>76</v>
      </c>
      <c r="B877" s="297">
        <f t="shared" ref="B877:I877" si="337">B875/B876</f>
        <v>1.013243243</v>
      </c>
      <c r="C877" s="298">
        <f t="shared" si="337"/>
        <v>1.012631579</v>
      </c>
      <c r="D877" s="298">
        <f t="shared" si="337"/>
        <v>1.13175</v>
      </c>
      <c r="E877" s="298">
        <f t="shared" si="337"/>
        <v>1.19027027</v>
      </c>
      <c r="F877" s="298">
        <f t="shared" si="337"/>
        <v>1.177027027</v>
      </c>
      <c r="G877" s="298">
        <f t="shared" si="337"/>
        <v>1.0128125</v>
      </c>
      <c r="H877" s="298">
        <f t="shared" si="337"/>
        <v>0.707</v>
      </c>
      <c r="I877" s="299">
        <f t="shared" si="337"/>
        <v>1.057</v>
      </c>
    </row>
    <row r="878" hidden="1" outlineLevel="2">
      <c r="A878" s="51" t="s">
        <v>79</v>
      </c>
      <c r="B878" s="53"/>
      <c r="C878" s="54"/>
      <c r="D878" s="54"/>
      <c r="E878" s="54"/>
      <c r="F878" s="54"/>
      <c r="G878" s="54"/>
      <c r="H878" s="54"/>
      <c r="I878" s="56"/>
    </row>
    <row r="879" hidden="1" outlineLevel="2">
      <c r="A879" s="83" t="s">
        <v>81</v>
      </c>
      <c r="B879" s="292">
        <v>40.0</v>
      </c>
      <c r="C879" s="293">
        <v>40.0</v>
      </c>
      <c r="D879" s="293">
        <v>34.0</v>
      </c>
      <c r="E879" s="293">
        <v>40.0</v>
      </c>
      <c r="F879" s="293">
        <v>40.0</v>
      </c>
      <c r="G879" s="293">
        <v>40.0</v>
      </c>
      <c r="H879" s="293">
        <v>40.0</v>
      </c>
      <c r="I879" s="294">
        <v>40.0</v>
      </c>
    </row>
    <row r="880" hidden="1" outlineLevel="2">
      <c r="A880" s="88" t="s">
        <v>86</v>
      </c>
      <c r="B880" s="260">
        <v>40.0</v>
      </c>
      <c r="C880" s="261">
        <v>40.0</v>
      </c>
      <c r="D880" s="261">
        <v>40.0</v>
      </c>
      <c r="E880" s="261">
        <v>40.0</v>
      </c>
      <c r="F880" s="261">
        <v>40.0</v>
      </c>
      <c r="G880" s="261">
        <v>40.0</v>
      </c>
      <c r="H880" s="261">
        <v>40.0</v>
      </c>
      <c r="I880" s="262">
        <v>40.0</v>
      </c>
    </row>
    <row r="881" hidden="1" outlineLevel="2">
      <c r="A881" s="73" t="s">
        <v>96</v>
      </c>
      <c r="B881" s="297">
        <f t="shared" ref="B881:I881" si="338">B879/B880</f>
        <v>1</v>
      </c>
      <c r="C881" s="298">
        <f t="shared" si="338"/>
        <v>1</v>
      </c>
      <c r="D881" s="298">
        <f t="shared" si="338"/>
        <v>0.85</v>
      </c>
      <c r="E881" s="298">
        <f t="shared" si="338"/>
        <v>1</v>
      </c>
      <c r="F881" s="298">
        <f t="shared" si="338"/>
        <v>1</v>
      </c>
      <c r="G881" s="298">
        <f t="shared" si="338"/>
        <v>1</v>
      </c>
      <c r="H881" s="298">
        <f t="shared" si="338"/>
        <v>1</v>
      </c>
      <c r="I881" s="299">
        <f t="shared" si="338"/>
        <v>1</v>
      </c>
    </row>
    <row r="882" hidden="1" outlineLevel="2">
      <c r="A882" s="51" t="s">
        <v>99</v>
      </c>
      <c r="B882" s="53"/>
      <c r="C882" s="54"/>
      <c r="D882" s="54"/>
      <c r="E882" s="54"/>
      <c r="F882" s="54"/>
      <c r="G882" s="54"/>
      <c r="H882" s="54"/>
      <c r="I882" s="56"/>
    </row>
    <row r="883" hidden="1" outlineLevel="2">
      <c r="A883" s="83" t="s">
        <v>101</v>
      </c>
      <c r="B883" s="259" t="s">
        <v>109</v>
      </c>
      <c r="C883" s="123" t="s">
        <v>113</v>
      </c>
      <c r="D883" s="123" t="s">
        <v>109</v>
      </c>
      <c r="E883" s="124" t="s">
        <v>109</v>
      </c>
      <c r="F883" s="124" t="s">
        <v>109</v>
      </c>
      <c r="G883" s="123" t="s">
        <v>113</v>
      </c>
      <c r="H883" s="124" t="s">
        <v>109</v>
      </c>
      <c r="I883" s="126" t="s">
        <v>109</v>
      </c>
    </row>
    <row r="884" hidden="1" outlineLevel="2">
      <c r="A884" s="83" t="s">
        <v>117</v>
      </c>
      <c r="B884" s="259" t="s">
        <v>118</v>
      </c>
      <c r="C884" s="124" t="s">
        <v>119</v>
      </c>
      <c r="D884" s="124" t="s">
        <v>118</v>
      </c>
      <c r="E884" s="124" t="s">
        <v>119</v>
      </c>
      <c r="F884" s="124" t="s">
        <v>118</v>
      </c>
      <c r="G884" s="124" t="s">
        <v>119</v>
      </c>
      <c r="H884" s="124" t="s">
        <v>119</v>
      </c>
      <c r="I884" s="126" t="s">
        <v>119</v>
      </c>
    </row>
    <row r="885" hidden="1" outlineLevel="2">
      <c r="A885" s="83" t="s">
        <v>120</v>
      </c>
      <c r="B885" s="271">
        <f>IF(B875&lt;B876,B876,B875) *
IF(B883="AM",
    IF(B884="Oricle",3.5,
    IF(B884="Other Brands",4,
    IF(B884="Oricle Prio",0.6,""))),
 IF(B883="MID",
    IF(B884="Oricle",2.5,
    IF(B884="Other Brands",3,
    IF(B884="Oricle Prio",0.6,""))),
 IF(B883="GY",
    IF(B884="Oricle",1,
    IF(B884="Other Brands",1,
    IF(B884="Oricle Prio",0.3,""))),"")))-10</f>
        <v>102.47</v>
      </c>
      <c r="C885" s="273">
        <f>IF(C875&lt;C876,C876,C875) *
IF(C883="AM",
    IF(C884="Oricle",3,
    IF(C884="Other Brands",4,
    IF(C884="Oricle Prio",0.6,""))),
 IF(C883="MID",
    IF(C884="Oricle",2.5,
    IF(C884="Other Brands",3,
    IF(C884="Oricle Prio",0.6,""))),
 IF(C883="GY",
    IF(C884="Oricle",1,
    IF(C884="Other Brands",1,
    IF(C884="Oricle Prio",0.3,""))),"")))</f>
        <v>115.44</v>
      </c>
      <c r="D885" s="273">
        <f>IF(D875&lt;D876,D876,D875) *
IF(D883="AM",
    IF(D884="Oricle",3.5,
    IF(D884="Other Brands",4,
    IF(D884="Oricle Prio",0.6,""))),
 IF(D883="MID",
    IF(D884="Oricle",2.5,
    IF(D884="Other Brands",3,
    IF(D884="Oricle Prio",0.6,""))),
 IF(D883="GY",
    IF(D884="Oricle",1,
    IF(D884="Other Brands",1,
    IF(D884="Oricle Prio",0.3,""))),"")))</f>
        <v>135.81</v>
      </c>
      <c r="E885" s="273">
        <f>IF(E875&lt;E876,E876,E875) *
IF(E883="AM",
    IF(E884="Oricle",3.5,
    IF(E884="Other Brands",4,
    IF(E884="Oricle Prio",0.6,""))),
 IF(E883="MID",
    IF(E884="Oricle",2.5,
    IF(E884="Other Brands",3,
    IF(E884="Oricle Prio",0.6,""))),
 IF(E883="GY",
    IF(E884="Oricle",1,
    IF(E884="Other Brands",1,
    IF(E884="Oricle Prio",0.3,""))),"")))-15</f>
        <v>95.1</v>
      </c>
      <c r="F885" s="273">
        <f>IF(F875&lt;F876,F876,F875) *
IF(F883="AM",
    IF(F884="Oricle",3.5,
    IF(F884="Other Brands",4,
    IF(F884="Oricle Prio",0.6,""))),
 IF(F883="MID",
    IF(F884="Oricle",2.5,
    IF(F884="Other Brands",3,
    IF(F884="Oricle Prio",0.6,""))),
 IF(F883="GY",
    IF(F884="Oricle",1,
    IF(F884="Other Brands",1,
    IF(F884="Oricle Prio",0.3,""))),"")))</f>
        <v>130.65</v>
      </c>
      <c r="G885" s="273">
        <f t="shared" ref="G885:H885" si="339">IF(G875&lt;G876,G876,G875) *
IF(G883="AM",
    IF(G884="Oricle",3,
    IF(G884="Other Brands",4,
    IF(G884="Oricle Prio",0.6,""))),
 IF(G883="MID",
    IF(G884="Oricle",2.5,
    IF(G884="Other Brands",3,
    IF(G884="Oricle Prio",0.6,""))),
 IF(G883="GY",
    IF(G884="Oricle",1,
    IF(G884="Other Brands",1,
    IF(G884="Oricle Prio",0.3,""))),"")))</f>
        <v>97.23</v>
      </c>
      <c r="H885" s="273">
        <f t="shared" si="339"/>
        <v>100</v>
      </c>
      <c r="I885" s="273">
        <f>IF(I875&lt;I876,I876,I875) *
IF(I883="AM",
    IF(I884="Oricle",3.5,
    IF(I884="Other Brands",4,
    IF(I884="Oricle Prio",0.6,""))),
 IF(I883="MID",
    IF(I884="Oricle",2.5,
    IF(I884="Other Brands",3,
    IF(I884="Oricle Prio",0.6,""))),
 IF(I883="GY",
    IF(I884="Oricle",1,
    IF(I884="Other Brands",1,
    IF(I884="Oricle Prio",0.3,""))),"")))</f>
        <v>105.7</v>
      </c>
    </row>
    <row r="886" hidden="1" outlineLevel="2">
      <c r="A886" s="83" t="s">
        <v>131</v>
      </c>
      <c r="B886" s="306" t="s">
        <v>760</v>
      </c>
      <c r="C886" s="123" t="s">
        <v>394</v>
      </c>
      <c r="D886" s="123" t="s">
        <v>309</v>
      </c>
      <c r="E886" s="123" t="s">
        <v>830</v>
      </c>
      <c r="F886" s="123" t="s">
        <v>1601</v>
      </c>
      <c r="G886" s="123" t="s">
        <v>139</v>
      </c>
      <c r="H886" s="123" t="s">
        <v>1367</v>
      </c>
      <c r="I886" s="123" t="s">
        <v>539</v>
      </c>
    </row>
    <row r="887" hidden="1" outlineLevel="2">
      <c r="A887" s="83" t="s">
        <v>138</v>
      </c>
      <c r="B887" s="306" t="s">
        <v>396</v>
      </c>
      <c r="C887" s="123" t="s">
        <v>1602</v>
      </c>
      <c r="D887" s="123" t="s">
        <v>251</v>
      </c>
      <c r="E887" s="123" t="s">
        <v>253</v>
      </c>
      <c r="F887" s="123" t="s">
        <v>697</v>
      </c>
      <c r="G887" s="123" t="s">
        <v>137</v>
      </c>
      <c r="H887" s="123" t="s">
        <v>1212</v>
      </c>
      <c r="I887" s="123" t="s">
        <v>471</v>
      </c>
    </row>
    <row r="888" hidden="1" outlineLevel="2">
      <c r="A888" s="88" t="s">
        <v>149</v>
      </c>
      <c r="B888" s="152">
        <f t="shared" ref="B888:I888" si="340">IF(B886&gt;0,B887/B886,0)</f>
        <v>0.9906542056</v>
      </c>
      <c r="C888" s="153">
        <f t="shared" si="340"/>
        <v>0.9583333333</v>
      </c>
      <c r="D888" s="153">
        <f t="shared" si="340"/>
        <v>0.9509202454</v>
      </c>
      <c r="E888" s="153">
        <f t="shared" si="340"/>
        <v>0.9375</v>
      </c>
      <c r="F888" s="153">
        <f t="shared" si="340"/>
        <v>0.976</v>
      </c>
      <c r="G888" s="153">
        <f t="shared" si="340"/>
        <v>0.914893617</v>
      </c>
      <c r="H888" s="153">
        <f t="shared" si="340"/>
        <v>0.9827586207</v>
      </c>
      <c r="I888" s="154">
        <f t="shared" si="340"/>
        <v>0.9900990099</v>
      </c>
    </row>
    <row r="889" hidden="1" outlineLevel="2">
      <c r="A889" s="88" t="s">
        <v>156</v>
      </c>
      <c r="B889" s="152">
        <f t="shared" ref="B889:I889" si="341">IF(B885&gt;0,B887/B885,0)</f>
        <v>1.034449107</v>
      </c>
      <c r="C889" s="153">
        <f t="shared" si="341"/>
        <v>0.9961884962</v>
      </c>
      <c r="D889" s="153">
        <f t="shared" si="341"/>
        <v>1.141300346</v>
      </c>
      <c r="E889" s="153">
        <f t="shared" si="341"/>
        <v>0.9463722397</v>
      </c>
      <c r="F889" s="153">
        <f t="shared" si="341"/>
        <v>0.9337925756</v>
      </c>
      <c r="G889" s="153">
        <f t="shared" si="341"/>
        <v>1.326751003</v>
      </c>
      <c r="H889" s="153">
        <f t="shared" si="341"/>
        <v>0.57</v>
      </c>
      <c r="I889" s="154">
        <f t="shared" si="341"/>
        <v>0.9460737938</v>
      </c>
    </row>
    <row r="890" hidden="1" outlineLevel="2">
      <c r="A890" s="159" t="s">
        <v>13</v>
      </c>
      <c r="B890" s="297">
        <f t="shared" ref="B890:I890" si="342">average(B888:B889)</f>
        <v>1.012551656</v>
      </c>
      <c r="C890" s="298">
        <f t="shared" si="342"/>
        <v>0.9772609148</v>
      </c>
      <c r="D890" s="298">
        <f t="shared" si="342"/>
        <v>1.046110296</v>
      </c>
      <c r="E890" s="298">
        <f t="shared" si="342"/>
        <v>0.9419361199</v>
      </c>
      <c r="F890" s="298">
        <f t="shared" si="342"/>
        <v>0.9548962878</v>
      </c>
      <c r="G890" s="298">
        <f t="shared" si="342"/>
        <v>1.12082231</v>
      </c>
      <c r="H890" s="298">
        <f t="shared" si="342"/>
        <v>0.7763793103</v>
      </c>
      <c r="I890" s="299">
        <f t="shared" si="342"/>
        <v>0.9680864018</v>
      </c>
    </row>
    <row r="891" hidden="1" outlineLevel="2">
      <c r="A891" s="51" t="s">
        <v>161</v>
      </c>
      <c r="B891" s="334"/>
      <c r="C891" s="54"/>
      <c r="D891" s="54"/>
      <c r="E891" s="54"/>
      <c r="F891" s="54"/>
      <c r="G891" s="54"/>
      <c r="H891" s="54"/>
      <c r="I891" s="335"/>
    </row>
    <row r="892" hidden="1" outlineLevel="2">
      <c r="A892" s="83" t="s">
        <v>162</v>
      </c>
      <c r="B892" s="292">
        <v>10.0</v>
      </c>
      <c r="C892" s="293">
        <v>8.85</v>
      </c>
      <c r="D892" s="293">
        <v>9.26</v>
      </c>
      <c r="E892" s="293">
        <v>8.58</v>
      </c>
      <c r="F892" s="293">
        <v>9.66</v>
      </c>
      <c r="G892" s="293">
        <v>8.99</v>
      </c>
      <c r="H892" s="293">
        <v>7.33</v>
      </c>
      <c r="I892" s="293">
        <v>9.54</v>
      </c>
    </row>
    <row r="893" hidden="1" outlineLevel="2">
      <c r="A893" s="88" t="s">
        <v>169</v>
      </c>
      <c r="B893" s="165">
        <v>10.0</v>
      </c>
      <c r="C893" s="166">
        <v>10.0</v>
      </c>
      <c r="D893" s="166">
        <v>10.0</v>
      </c>
      <c r="E893" s="166">
        <v>10.0</v>
      </c>
      <c r="F893" s="166">
        <v>10.0</v>
      </c>
      <c r="G893" s="166">
        <v>10.0</v>
      </c>
      <c r="H893" s="166">
        <v>10.0</v>
      </c>
      <c r="I893" s="168">
        <v>10.0</v>
      </c>
    </row>
    <row r="894" hidden="1" outlineLevel="2">
      <c r="A894" s="73" t="s">
        <v>170</v>
      </c>
      <c r="B894" s="297">
        <f t="shared" ref="B894:I894" si="343">IF(B892=0,0,B892/B893)</f>
        <v>1</v>
      </c>
      <c r="C894" s="298">
        <f t="shared" si="343"/>
        <v>0.885</v>
      </c>
      <c r="D894" s="298">
        <f t="shared" si="343"/>
        <v>0.926</v>
      </c>
      <c r="E894" s="298">
        <f t="shared" si="343"/>
        <v>0.858</v>
      </c>
      <c r="F894" s="298">
        <f t="shared" si="343"/>
        <v>0.966</v>
      </c>
      <c r="G894" s="298">
        <f t="shared" si="343"/>
        <v>0.899</v>
      </c>
      <c r="H894" s="298">
        <f t="shared" si="343"/>
        <v>0.733</v>
      </c>
      <c r="I894" s="299">
        <f t="shared" si="343"/>
        <v>0.954</v>
      </c>
    </row>
    <row r="895" hidden="1" outlineLevel="2">
      <c r="A895" s="51" t="s">
        <v>173</v>
      </c>
      <c r="B895" s="53"/>
      <c r="C895" s="54"/>
      <c r="D895" s="54"/>
      <c r="E895" s="54"/>
      <c r="F895" s="54"/>
      <c r="G895" s="54"/>
      <c r="H895" s="54"/>
      <c r="I895" s="56"/>
    </row>
    <row r="896" hidden="1" outlineLevel="2">
      <c r="A896" s="83" t="s">
        <v>175</v>
      </c>
      <c r="B896" s="330"/>
      <c r="C896" s="331"/>
      <c r="D896" s="345"/>
      <c r="E896" s="331"/>
      <c r="F896" s="331"/>
      <c r="G896" s="331"/>
      <c r="H896" s="331"/>
      <c r="I896" s="332"/>
    </row>
    <row r="897" hidden="1" outlineLevel="2">
      <c r="A897" s="180" t="s">
        <v>179</v>
      </c>
      <c r="B897" s="53"/>
      <c r="C897" s="54"/>
      <c r="D897" s="54"/>
      <c r="E897" s="54"/>
      <c r="F897" s="54"/>
      <c r="G897" s="54"/>
      <c r="H897" s="54"/>
      <c r="I897" s="56"/>
    </row>
    <row r="898" hidden="1" outlineLevel="2">
      <c r="A898" s="88" t="s">
        <v>180</v>
      </c>
      <c r="B898" s="181">
        <f t="shared" ref="B898:I898" si="344">B877*25</f>
        <v>25.33108108</v>
      </c>
      <c r="C898" s="182">
        <f t="shared" si="344"/>
        <v>25.31578947</v>
      </c>
      <c r="D898" s="182">
        <f t="shared" si="344"/>
        <v>28.29375</v>
      </c>
      <c r="E898" s="182">
        <f t="shared" si="344"/>
        <v>29.75675676</v>
      </c>
      <c r="F898" s="182">
        <f t="shared" si="344"/>
        <v>29.42567568</v>
      </c>
      <c r="G898" s="182">
        <f t="shared" si="344"/>
        <v>25.3203125</v>
      </c>
      <c r="H898" s="182">
        <f t="shared" si="344"/>
        <v>17.675</v>
      </c>
      <c r="I898" s="183">
        <f t="shared" si="344"/>
        <v>26.425</v>
      </c>
    </row>
    <row r="899" hidden="1" outlineLevel="2">
      <c r="A899" s="88" t="s">
        <v>182</v>
      </c>
      <c r="B899" s="181">
        <f t="shared" ref="B899:I899" si="345">B881*35</f>
        <v>35</v>
      </c>
      <c r="C899" s="182">
        <f t="shared" si="345"/>
        <v>35</v>
      </c>
      <c r="D899" s="182">
        <f t="shared" si="345"/>
        <v>29.75</v>
      </c>
      <c r="E899" s="182">
        <f t="shared" si="345"/>
        <v>35</v>
      </c>
      <c r="F899" s="182">
        <f t="shared" si="345"/>
        <v>35</v>
      </c>
      <c r="G899" s="182">
        <f t="shared" si="345"/>
        <v>35</v>
      </c>
      <c r="H899" s="182">
        <f t="shared" si="345"/>
        <v>35</v>
      </c>
      <c r="I899" s="183">
        <f t="shared" si="345"/>
        <v>35</v>
      </c>
    </row>
    <row r="900" hidden="1" outlineLevel="2">
      <c r="A900" s="88" t="s">
        <v>184</v>
      </c>
      <c r="B900" s="181">
        <f t="shared" ref="B900:I900" si="346">IF(AND(B881&lt;85%, B890&gt;100%), 25, B890*25)</f>
        <v>25.31379141</v>
      </c>
      <c r="C900" s="182">
        <f t="shared" si="346"/>
        <v>24.43152287</v>
      </c>
      <c r="D900" s="182">
        <f t="shared" si="346"/>
        <v>26.15275739</v>
      </c>
      <c r="E900" s="182">
        <f t="shared" si="346"/>
        <v>23.548403</v>
      </c>
      <c r="F900" s="182">
        <f t="shared" si="346"/>
        <v>23.87240719</v>
      </c>
      <c r="G900" s="182">
        <f t="shared" si="346"/>
        <v>28.02055775</v>
      </c>
      <c r="H900" s="182">
        <f t="shared" si="346"/>
        <v>19.40948276</v>
      </c>
      <c r="I900" s="183">
        <f t="shared" si="346"/>
        <v>24.20216005</v>
      </c>
    </row>
    <row r="901" hidden="1" outlineLevel="2">
      <c r="A901" s="88" t="s">
        <v>187</v>
      </c>
      <c r="B901" s="181">
        <f t="shared" ref="B901:I901" si="347">B894*15</f>
        <v>15</v>
      </c>
      <c r="C901" s="182">
        <f t="shared" si="347"/>
        <v>13.275</v>
      </c>
      <c r="D901" s="182">
        <f t="shared" si="347"/>
        <v>13.89</v>
      </c>
      <c r="E901" s="182">
        <f t="shared" si="347"/>
        <v>12.87</v>
      </c>
      <c r="F901" s="182">
        <f t="shared" si="347"/>
        <v>14.49</v>
      </c>
      <c r="G901" s="182">
        <f t="shared" si="347"/>
        <v>13.485</v>
      </c>
      <c r="H901" s="182">
        <f t="shared" si="347"/>
        <v>10.995</v>
      </c>
      <c r="I901" s="183">
        <f t="shared" si="347"/>
        <v>14.31</v>
      </c>
    </row>
    <row r="902" hidden="1" outlineLevel="2">
      <c r="A902" s="88" t="s">
        <v>188</v>
      </c>
      <c r="B902" s="181">
        <f t="shared" ref="B902:I902" si="348">B896*-10</f>
        <v>0</v>
      </c>
      <c r="C902" s="182">
        <f t="shared" si="348"/>
        <v>0</v>
      </c>
      <c r="D902" s="182">
        <f t="shared" si="348"/>
        <v>0</v>
      </c>
      <c r="E902" s="182">
        <f t="shared" si="348"/>
        <v>0</v>
      </c>
      <c r="F902" s="182">
        <f t="shared" si="348"/>
        <v>0</v>
      </c>
      <c r="G902" s="182">
        <f t="shared" si="348"/>
        <v>0</v>
      </c>
      <c r="H902" s="182">
        <f t="shared" si="348"/>
        <v>0</v>
      </c>
      <c r="I902" s="183">
        <f t="shared" si="348"/>
        <v>0</v>
      </c>
    </row>
    <row r="903" hidden="1" outlineLevel="2">
      <c r="A903" s="187" t="s">
        <v>190</v>
      </c>
      <c r="B903" s="181">
        <f t="shared" ref="B903:I903" si="349">B898+B899+B900+B901+B902</f>
        <v>100.6448725</v>
      </c>
      <c r="C903" s="182">
        <f t="shared" si="349"/>
        <v>98.02231234</v>
      </c>
      <c r="D903" s="182">
        <f t="shared" si="349"/>
        <v>98.08650739</v>
      </c>
      <c r="E903" s="182">
        <f t="shared" si="349"/>
        <v>101.1751598</v>
      </c>
      <c r="F903" s="182">
        <f t="shared" si="349"/>
        <v>102.7880829</v>
      </c>
      <c r="G903" s="182">
        <f t="shared" si="349"/>
        <v>101.8258702</v>
      </c>
      <c r="H903" s="182">
        <f t="shared" si="349"/>
        <v>83.07948276</v>
      </c>
      <c r="I903" s="183">
        <f t="shared" si="349"/>
        <v>99.93716005</v>
      </c>
    </row>
    <row r="904" hidden="1" outlineLevel="2">
      <c r="A904" s="73" t="s">
        <v>193</v>
      </c>
      <c r="B904" s="74">
        <f t="shared" ref="B904:I904" si="350">B903/100</f>
        <v>1.006448725</v>
      </c>
      <c r="C904" s="75">
        <f t="shared" si="350"/>
        <v>0.9802231234</v>
      </c>
      <c r="D904" s="369">
        <f t="shared" si="350"/>
        <v>0.9808650739</v>
      </c>
      <c r="E904" s="75">
        <f t="shared" si="350"/>
        <v>1.011751598</v>
      </c>
      <c r="F904" s="75">
        <f t="shared" si="350"/>
        <v>1.027880829</v>
      </c>
      <c r="G904" s="75">
        <f t="shared" si="350"/>
        <v>1.018258702</v>
      </c>
      <c r="H904" s="75">
        <f t="shared" si="350"/>
        <v>0.8307948276</v>
      </c>
      <c r="I904" s="77">
        <f t="shared" si="350"/>
        <v>0.9993716005</v>
      </c>
    </row>
    <row r="905" hidden="1" outlineLevel="2">
      <c r="A905" s="180" t="s">
        <v>203</v>
      </c>
      <c r="B905" s="361" t="s">
        <v>204</v>
      </c>
      <c r="C905" s="362" t="s">
        <v>204</v>
      </c>
      <c r="D905" s="362" t="s">
        <v>204</v>
      </c>
      <c r="E905" s="362" t="s">
        <v>204</v>
      </c>
      <c r="F905" s="362" t="s">
        <v>206</v>
      </c>
      <c r="G905" s="362" t="s">
        <v>204</v>
      </c>
      <c r="H905" s="362" t="s">
        <v>204</v>
      </c>
      <c r="I905" s="362" t="s">
        <v>204</v>
      </c>
    </row>
    <row r="906" hidden="1" outlineLevel="2">
      <c r="A906" s="180" t="s">
        <v>208</v>
      </c>
      <c r="B906" s="216"/>
      <c r="C906" s="217"/>
      <c r="D906" s="350"/>
      <c r="E906" s="217"/>
      <c r="F906" s="437"/>
      <c r="G906" s="217"/>
      <c r="H906" s="217"/>
      <c r="I906" s="364"/>
    </row>
    <row r="907" hidden="1" outlineLevel="1" collapsed="1">
      <c r="A907" s="32"/>
      <c r="B907" s="33" t="s">
        <v>1627</v>
      </c>
      <c r="C907" s="34"/>
      <c r="D907" s="34"/>
      <c r="E907" s="34"/>
      <c r="F907" s="34"/>
      <c r="G907" s="34"/>
      <c r="H907" s="34"/>
      <c r="I907" s="35"/>
    </row>
    <row r="908" hidden="1" outlineLevel="2">
      <c r="A908" s="228"/>
      <c r="B908" s="317" t="s">
        <v>56</v>
      </c>
      <c r="C908" s="318" t="s">
        <v>57</v>
      </c>
      <c r="D908" s="318" t="s">
        <v>21</v>
      </c>
      <c r="E908" s="318" t="s">
        <v>32</v>
      </c>
      <c r="F908" s="318" t="s">
        <v>58</v>
      </c>
      <c r="G908" s="319" t="s">
        <v>59</v>
      </c>
      <c r="H908" s="320" t="s">
        <v>7</v>
      </c>
      <c r="I908" s="320" t="s">
        <v>503</v>
      </c>
    </row>
    <row r="909" hidden="1" outlineLevel="2">
      <c r="A909" s="44" t="s">
        <v>60</v>
      </c>
      <c r="B909" s="289" t="s">
        <v>1627</v>
      </c>
      <c r="C909" s="290"/>
      <c r="D909" s="290"/>
      <c r="E909" s="290"/>
      <c r="F909" s="290"/>
      <c r="G909" s="290"/>
      <c r="H909" s="290"/>
      <c r="I909" s="291"/>
    </row>
    <row r="910" hidden="1" outlineLevel="2">
      <c r="A910" s="51" t="s">
        <v>64</v>
      </c>
      <c r="B910" s="53"/>
      <c r="C910" s="54"/>
      <c r="D910" s="54"/>
      <c r="E910" s="54"/>
      <c r="F910" s="54"/>
      <c r="G910" s="54"/>
      <c r="H910" s="54"/>
      <c r="I910" s="56"/>
    </row>
    <row r="911" hidden="1" outlineLevel="2">
      <c r="A911" s="58" t="s">
        <v>69</v>
      </c>
      <c r="B911" s="292">
        <v>44.18</v>
      </c>
      <c r="C911" s="293">
        <v>40.45</v>
      </c>
      <c r="D911" s="293">
        <v>47.17</v>
      </c>
      <c r="E911" s="293">
        <v>44.04</v>
      </c>
      <c r="F911" s="293">
        <v>42.08</v>
      </c>
      <c r="G911" s="293">
        <v>43.25</v>
      </c>
      <c r="H911" s="293">
        <v>44.26</v>
      </c>
      <c r="I911" s="354">
        <v>44.17</v>
      </c>
    </row>
    <row r="912" hidden="1" outlineLevel="2">
      <c r="A912" s="68" t="s">
        <v>75</v>
      </c>
      <c r="B912" s="296">
        <v>40.0</v>
      </c>
      <c r="C912" s="296">
        <v>40.0</v>
      </c>
      <c r="D912" s="70">
        <v>40.0</v>
      </c>
      <c r="E912" s="296">
        <v>37.0</v>
      </c>
      <c r="F912" s="296">
        <v>37.0</v>
      </c>
      <c r="G912" s="296">
        <v>40.0</v>
      </c>
      <c r="H912" s="296">
        <v>40.0</v>
      </c>
      <c r="I912" s="355">
        <v>40.0</v>
      </c>
    </row>
    <row r="913" hidden="1" outlineLevel="2">
      <c r="A913" s="73" t="s">
        <v>76</v>
      </c>
      <c r="B913" s="297">
        <f t="shared" ref="B913:I913" si="351">B911/B912</f>
        <v>1.1045</v>
      </c>
      <c r="C913" s="298">
        <f t="shared" si="351"/>
        <v>1.01125</v>
      </c>
      <c r="D913" s="298">
        <f t="shared" si="351"/>
        <v>1.17925</v>
      </c>
      <c r="E913" s="298">
        <f t="shared" si="351"/>
        <v>1.19027027</v>
      </c>
      <c r="F913" s="298">
        <f t="shared" si="351"/>
        <v>1.137297297</v>
      </c>
      <c r="G913" s="298">
        <f t="shared" si="351"/>
        <v>1.08125</v>
      </c>
      <c r="H913" s="298">
        <f t="shared" si="351"/>
        <v>1.1065</v>
      </c>
      <c r="I913" s="299">
        <f t="shared" si="351"/>
        <v>1.10425</v>
      </c>
    </row>
    <row r="914" hidden="1" outlineLevel="2">
      <c r="A914" s="51" t="s">
        <v>79</v>
      </c>
      <c r="B914" s="53"/>
      <c r="C914" s="54"/>
      <c r="D914" s="54"/>
      <c r="E914" s="54"/>
      <c r="F914" s="54"/>
      <c r="G914" s="54"/>
      <c r="H914" s="54"/>
      <c r="I914" s="56"/>
    </row>
    <row r="915" hidden="1" outlineLevel="2">
      <c r="A915" s="83" t="s">
        <v>81</v>
      </c>
      <c r="B915" s="292">
        <v>40.0</v>
      </c>
      <c r="C915" s="293">
        <v>40.0</v>
      </c>
      <c r="D915" s="293">
        <v>35.5</v>
      </c>
      <c r="E915" s="293">
        <v>40.0</v>
      </c>
      <c r="F915" s="293">
        <v>31.0</v>
      </c>
      <c r="G915" s="293">
        <v>40.0</v>
      </c>
      <c r="H915" s="293">
        <v>40.0</v>
      </c>
      <c r="I915" s="294">
        <v>40.0</v>
      </c>
    </row>
    <row r="916" hidden="1" outlineLevel="2">
      <c r="A916" s="88" t="s">
        <v>86</v>
      </c>
      <c r="B916" s="260">
        <v>40.0</v>
      </c>
      <c r="C916" s="261">
        <v>40.0</v>
      </c>
      <c r="D916" s="261">
        <v>40.0</v>
      </c>
      <c r="E916" s="261">
        <v>40.0</v>
      </c>
      <c r="F916" s="261">
        <v>40.0</v>
      </c>
      <c r="G916" s="261">
        <v>40.0</v>
      </c>
      <c r="H916" s="261">
        <v>40.0</v>
      </c>
      <c r="I916" s="262">
        <v>40.0</v>
      </c>
    </row>
    <row r="917" hidden="1" outlineLevel="2">
      <c r="A917" s="73" t="s">
        <v>96</v>
      </c>
      <c r="B917" s="297">
        <f t="shared" ref="B917:I917" si="352">B915/B916</f>
        <v>1</v>
      </c>
      <c r="C917" s="298">
        <f t="shared" si="352"/>
        <v>1</v>
      </c>
      <c r="D917" s="298">
        <f t="shared" si="352"/>
        <v>0.8875</v>
      </c>
      <c r="E917" s="298">
        <f t="shared" si="352"/>
        <v>1</v>
      </c>
      <c r="F917" s="298">
        <f t="shared" si="352"/>
        <v>0.775</v>
      </c>
      <c r="G917" s="298">
        <f t="shared" si="352"/>
        <v>1</v>
      </c>
      <c r="H917" s="298">
        <f t="shared" si="352"/>
        <v>1</v>
      </c>
      <c r="I917" s="299">
        <f t="shared" si="352"/>
        <v>1</v>
      </c>
    </row>
    <row r="918" hidden="1" outlineLevel="2">
      <c r="A918" s="51" t="s">
        <v>99</v>
      </c>
      <c r="B918" s="53"/>
      <c r="C918" s="54"/>
      <c r="D918" s="54"/>
      <c r="E918" s="54"/>
      <c r="F918" s="54"/>
      <c r="G918" s="54"/>
      <c r="H918" s="54"/>
      <c r="I918" s="56"/>
    </row>
    <row r="919" hidden="1" outlineLevel="2">
      <c r="A919" s="83" t="s">
        <v>101</v>
      </c>
      <c r="B919" s="259" t="s">
        <v>109</v>
      </c>
      <c r="C919" s="123" t="s">
        <v>113</v>
      </c>
      <c r="D919" s="123" t="s">
        <v>113</v>
      </c>
      <c r="E919" s="124" t="s">
        <v>109</v>
      </c>
      <c r="F919" s="124" t="s">
        <v>109</v>
      </c>
      <c r="G919" s="123" t="s">
        <v>113</v>
      </c>
      <c r="H919" s="123" t="s">
        <v>113</v>
      </c>
      <c r="I919" s="126" t="s">
        <v>109</v>
      </c>
    </row>
    <row r="920" hidden="1" outlineLevel="2">
      <c r="A920" s="83" t="s">
        <v>117</v>
      </c>
      <c r="B920" s="259" t="s">
        <v>118</v>
      </c>
      <c r="C920" s="124" t="s">
        <v>119</v>
      </c>
      <c r="D920" s="124" t="s">
        <v>118</v>
      </c>
      <c r="E920" s="124" t="s">
        <v>119</v>
      </c>
      <c r="F920" s="124" t="s">
        <v>118</v>
      </c>
      <c r="G920" s="124" t="s">
        <v>119</v>
      </c>
      <c r="H920" s="124" t="s">
        <v>119</v>
      </c>
      <c r="I920" s="126" t="s">
        <v>119</v>
      </c>
    </row>
    <row r="921" hidden="1" outlineLevel="2">
      <c r="A921" s="83" t="s">
        <v>120</v>
      </c>
      <c r="B921" s="271">
        <f>IF(B911&lt;B912,B912,B911) *
IF(B919="AM",
    IF(B920="Oricle",3.5,
    IF(B920="Other Brands",4,
    IF(B920="Oricle Prio",0.6,""))),
 IF(B919="MID",
    IF(B920="Oricle",2.5,
    IF(B920="Other Brands",3,
    IF(B920="Oricle Prio",0.6,""))),
 IF(B919="GY",
    IF(B920="Oricle",1,
    IF(B920="Other Brands",1,
    IF(B920="Oricle Prio",0.3,""))),"")))-10</f>
        <v>122.54</v>
      </c>
      <c r="C921" s="273">
        <f>IF(C911&lt;C912,C912,C911) *
IF(C919="AM",
    IF(C920="Oricle",3,
    IF(C920="Other Brands",4,
    IF(C920="Oricle Prio",0.6,""))),
 IF(C919="MID",
    IF(C920="Oricle",2.5,
    IF(C920="Other Brands",3,
    IF(C920="Oricle Prio",0.6,""))),
 IF(C919="GY",
    IF(C920="Oricle",1,
    IF(C920="Other Brands",1,
    IF(C920="Oricle Prio",0.3,""))),"")))</f>
        <v>121.35</v>
      </c>
      <c r="D921" s="273">
        <f>IF(D911&lt;D912,D912,D911) *
IF(D919="AM",
    IF(D920="Oricle",3.5,
    IF(D920="Other Brands",4,
    IF(D920="Oricle Prio",0.6,""))),
 IF(D919="MID",
    IF(D920="Oricle",2.5,
    IF(D920="Other Brands",3,
    IF(D920="Oricle Prio",0.6,""))),
 IF(D919="GY",
    IF(D920="Oricle",1,
    IF(D920="Other Brands",1,
    IF(D920="Oricle Prio",0.3,""))),"")))</f>
        <v>188.68</v>
      </c>
      <c r="E921" s="273">
        <f>IF(E911&lt;E912,E912,E911) *
IF(E919="AM",
    IF(E920="Oricle",3.5,
    IF(E920="Other Brands",4,
    IF(E920="Oricle Prio",0.6,""))),
 IF(E919="MID",
    IF(E920="Oricle",2.5,
    IF(E920="Other Brands",3,
    IF(E920="Oricle Prio",0.6,""))),
 IF(E919="GY",
    IF(E920="Oricle",1,
    IF(E920="Other Brands",1,
    IF(E920="Oricle Prio",0.3,""))),"")))-15</f>
        <v>95.1</v>
      </c>
      <c r="F921" s="273">
        <f>IF(F911&lt;F912,F912,F911) *
IF(F919="AM",
    IF(F920="Oricle",3.5,
    IF(F920="Other Brands",4,
    IF(F920="Oricle Prio",0.6,""))),
 IF(F919="MID",
    IF(F920="Oricle",2.5,
    IF(F920="Other Brands",3,
    IF(F920="Oricle Prio",0.6,""))),
 IF(F919="GY",
    IF(F920="Oricle",1,
    IF(F920="Other Brands",1,
    IF(F920="Oricle Prio",0.3,""))),"")))</f>
        <v>126.24</v>
      </c>
      <c r="G921" s="273">
        <f t="shared" ref="G921:H921" si="353">IF(G911&lt;G912,G912,G911) *
IF(G919="AM",
    IF(G920="Oricle",3,
    IF(G920="Other Brands",4,
    IF(G920="Oricle Prio",0.6,""))),
 IF(G919="MID",
    IF(G920="Oricle",2.5,
    IF(G920="Other Brands",3,
    IF(G920="Oricle Prio",0.6,""))),
 IF(G919="GY",
    IF(G920="Oricle",1,
    IF(G920="Other Brands",1,
    IF(G920="Oricle Prio",0.3,""))),"")))</f>
        <v>129.75</v>
      </c>
      <c r="H921" s="273">
        <f t="shared" si="353"/>
        <v>132.78</v>
      </c>
      <c r="I921" s="273">
        <f>IF(I911&lt;I912,I912,I911) *
IF(I919="AM",
    IF(I920="Oricle",3.5,
    IF(I920="Other Brands",4,
    IF(I920="Oricle Prio",0.6,""))),
 IF(I919="MID",
    IF(I920="Oricle",2.5,
    IF(I920="Other Brands",3,
    IF(I920="Oricle Prio",0.6,""))),
 IF(I919="GY",
    IF(I920="Oricle",1,
    IF(I920="Other Brands",1,
    IF(I920="Oricle Prio",0.3,""))),"")))</f>
        <v>110.425</v>
      </c>
    </row>
    <row r="922" hidden="1" outlineLevel="2">
      <c r="A922" s="83" t="s">
        <v>131</v>
      </c>
      <c r="B922" s="306" t="s">
        <v>465</v>
      </c>
      <c r="C922" s="123" t="s">
        <v>537</v>
      </c>
      <c r="D922" s="123" t="s">
        <v>1653</v>
      </c>
      <c r="E922" s="123" t="s">
        <v>952</v>
      </c>
      <c r="F922" s="123" t="s">
        <v>133</v>
      </c>
      <c r="G922" s="123" t="s">
        <v>316</v>
      </c>
      <c r="H922" s="123" t="s">
        <v>134</v>
      </c>
      <c r="I922" s="123" t="s">
        <v>402</v>
      </c>
    </row>
    <row r="923" hidden="1" outlineLevel="2">
      <c r="A923" s="83" t="s">
        <v>138</v>
      </c>
      <c r="B923" s="306" t="s">
        <v>700</v>
      </c>
      <c r="C923" s="123" t="s">
        <v>537</v>
      </c>
      <c r="D923" s="123" t="s">
        <v>1274</v>
      </c>
      <c r="E923" s="123" t="s">
        <v>900</v>
      </c>
      <c r="F923" s="123" t="s">
        <v>462</v>
      </c>
      <c r="G923" s="123" t="s">
        <v>1656</v>
      </c>
      <c r="H923" s="123" t="s">
        <v>829</v>
      </c>
      <c r="I923" s="123" t="s">
        <v>1657</v>
      </c>
    </row>
    <row r="924" hidden="1" outlineLevel="2">
      <c r="A924" s="88" t="s">
        <v>149</v>
      </c>
      <c r="B924" s="152">
        <f t="shared" ref="B924:I924" si="354">IF(B922&gt;0,B923/B922,0)</f>
        <v>0.9533333333</v>
      </c>
      <c r="C924" s="153">
        <f t="shared" si="354"/>
        <v>1</v>
      </c>
      <c r="D924" s="153">
        <f t="shared" si="354"/>
        <v>0.9714285714</v>
      </c>
      <c r="E924" s="153">
        <f t="shared" si="354"/>
        <v>0.9565217391</v>
      </c>
      <c r="F924" s="153">
        <f t="shared" si="354"/>
        <v>0.974789916</v>
      </c>
      <c r="G924" s="153">
        <f t="shared" si="354"/>
        <v>0.9813664596</v>
      </c>
      <c r="H924" s="153">
        <f t="shared" si="354"/>
        <v>0.9781021898</v>
      </c>
      <c r="I924" s="154">
        <f t="shared" si="354"/>
        <v>0.9897959184</v>
      </c>
    </row>
    <row r="925" hidden="1" outlineLevel="2">
      <c r="A925" s="88" t="s">
        <v>156</v>
      </c>
      <c r="B925" s="152">
        <f t="shared" ref="B925:I925" si="355">IF(B921&gt;0,B923/B921,0)</f>
        <v>1.166965889</v>
      </c>
      <c r="C925" s="153">
        <f t="shared" si="355"/>
        <v>0.9229501442</v>
      </c>
      <c r="D925" s="153">
        <f t="shared" si="355"/>
        <v>0.900996396</v>
      </c>
      <c r="E925" s="153">
        <f t="shared" si="355"/>
        <v>0.9253417455</v>
      </c>
      <c r="F925" s="153">
        <f t="shared" si="355"/>
        <v>0.9188846641</v>
      </c>
      <c r="G925" s="153">
        <f t="shared" si="355"/>
        <v>1.217726397</v>
      </c>
      <c r="H925" s="153">
        <f t="shared" si="355"/>
        <v>1.009188131</v>
      </c>
      <c r="I925" s="154">
        <f t="shared" si="355"/>
        <v>0.8784242699</v>
      </c>
    </row>
    <row r="926" hidden="1" outlineLevel="2">
      <c r="A926" s="159" t="s">
        <v>13</v>
      </c>
      <c r="B926" s="297">
        <f t="shared" ref="B926:I926" si="356">average(B924:B925)</f>
        <v>1.060149611</v>
      </c>
      <c r="C926" s="298">
        <f t="shared" si="356"/>
        <v>0.9614750721</v>
      </c>
      <c r="D926" s="298">
        <f t="shared" si="356"/>
        <v>0.9362124837</v>
      </c>
      <c r="E926" s="298">
        <f t="shared" si="356"/>
        <v>0.9409317423</v>
      </c>
      <c r="F926" s="298">
        <f t="shared" si="356"/>
        <v>0.94683729</v>
      </c>
      <c r="G926" s="298">
        <f t="shared" si="356"/>
        <v>1.099546428</v>
      </c>
      <c r="H926" s="298">
        <f t="shared" si="356"/>
        <v>0.9936451603</v>
      </c>
      <c r="I926" s="299">
        <f t="shared" si="356"/>
        <v>0.9341100941</v>
      </c>
    </row>
    <row r="927" hidden="1" outlineLevel="2">
      <c r="A927" s="51" t="s">
        <v>161</v>
      </c>
      <c r="B927" s="334"/>
      <c r="C927" s="54"/>
      <c r="D927" s="54"/>
      <c r="E927" s="54"/>
      <c r="F927" s="54"/>
      <c r="G927" s="54"/>
      <c r="H927" s="54"/>
      <c r="I927" s="335"/>
    </row>
    <row r="928" hidden="1" outlineLevel="2">
      <c r="A928" s="83" t="s">
        <v>162</v>
      </c>
      <c r="B928" s="292">
        <v>9.66</v>
      </c>
      <c r="C928" s="293">
        <v>7.84</v>
      </c>
      <c r="D928" s="293">
        <v>8.54</v>
      </c>
      <c r="E928" s="293">
        <v>9.0</v>
      </c>
      <c r="F928" s="293">
        <v>9.0</v>
      </c>
      <c r="G928" s="293">
        <v>8.77</v>
      </c>
      <c r="H928" s="293">
        <v>8.95</v>
      </c>
      <c r="I928" s="293">
        <v>8.28</v>
      </c>
    </row>
    <row r="929" hidden="1" outlineLevel="2">
      <c r="A929" s="88" t="s">
        <v>169</v>
      </c>
      <c r="B929" s="165">
        <v>10.0</v>
      </c>
      <c r="C929" s="166">
        <v>10.0</v>
      </c>
      <c r="D929" s="166">
        <v>10.0</v>
      </c>
      <c r="E929" s="166">
        <v>10.0</v>
      </c>
      <c r="F929" s="166">
        <v>10.0</v>
      </c>
      <c r="G929" s="166">
        <v>10.0</v>
      </c>
      <c r="H929" s="166">
        <v>10.0</v>
      </c>
      <c r="I929" s="168">
        <v>10.0</v>
      </c>
    </row>
    <row r="930" hidden="1" outlineLevel="2">
      <c r="A930" s="73" t="s">
        <v>170</v>
      </c>
      <c r="B930" s="297">
        <f t="shared" ref="B930:I930" si="357">IF(B928=0,0,B928/B929)</f>
        <v>0.966</v>
      </c>
      <c r="C930" s="298">
        <f t="shared" si="357"/>
        <v>0.784</v>
      </c>
      <c r="D930" s="298">
        <f t="shared" si="357"/>
        <v>0.854</v>
      </c>
      <c r="E930" s="298">
        <f t="shared" si="357"/>
        <v>0.9</v>
      </c>
      <c r="F930" s="298">
        <f t="shared" si="357"/>
        <v>0.9</v>
      </c>
      <c r="G930" s="298">
        <f t="shared" si="357"/>
        <v>0.877</v>
      </c>
      <c r="H930" s="298">
        <f t="shared" si="357"/>
        <v>0.895</v>
      </c>
      <c r="I930" s="299">
        <f t="shared" si="357"/>
        <v>0.828</v>
      </c>
    </row>
    <row r="931" hidden="1" outlineLevel="2">
      <c r="A931" s="51" t="s">
        <v>173</v>
      </c>
      <c r="B931" s="53"/>
      <c r="C931" s="54"/>
      <c r="D931" s="54"/>
      <c r="E931" s="54"/>
      <c r="F931" s="54"/>
      <c r="G931" s="54"/>
      <c r="H931" s="54"/>
      <c r="I931" s="56"/>
    </row>
    <row r="932" hidden="1" outlineLevel="2">
      <c r="A932" s="83" t="s">
        <v>175</v>
      </c>
      <c r="B932" s="330"/>
      <c r="C932" s="331"/>
      <c r="D932" s="345"/>
      <c r="E932" s="331"/>
      <c r="F932" s="331"/>
      <c r="G932" s="331"/>
      <c r="H932" s="331"/>
      <c r="I932" s="332"/>
    </row>
    <row r="933" hidden="1" outlineLevel="2">
      <c r="A933" s="180" t="s">
        <v>179</v>
      </c>
      <c r="B933" s="53"/>
      <c r="C933" s="54"/>
      <c r="D933" s="54"/>
      <c r="E933" s="54"/>
      <c r="F933" s="54"/>
      <c r="G933" s="54"/>
      <c r="H933" s="54"/>
      <c r="I933" s="56"/>
    </row>
    <row r="934" hidden="1" outlineLevel="2">
      <c r="A934" s="88" t="s">
        <v>180</v>
      </c>
      <c r="B934" s="181">
        <f t="shared" ref="B934:I934" si="358">B913*25</f>
        <v>27.6125</v>
      </c>
      <c r="C934" s="182">
        <f t="shared" si="358"/>
        <v>25.28125</v>
      </c>
      <c r="D934" s="182">
        <f t="shared" si="358"/>
        <v>29.48125</v>
      </c>
      <c r="E934" s="182">
        <f t="shared" si="358"/>
        <v>29.75675676</v>
      </c>
      <c r="F934" s="182">
        <f t="shared" si="358"/>
        <v>28.43243243</v>
      </c>
      <c r="G934" s="182">
        <f t="shared" si="358"/>
        <v>27.03125</v>
      </c>
      <c r="H934" s="182">
        <f t="shared" si="358"/>
        <v>27.6625</v>
      </c>
      <c r="I934" s="183">
        <f t="shared" si="358"/>
        <v>27.60625</v>
      </c>
    </row>
    <row r="935" hidden="1" outlineLevel="2">
      <c r="A935" s="88" t="s">
        <v>182</v>
      </c>
      <c r="B935" s="181">
        <f t="shared" ref="B935:I935" si="359">B917*35</f>
        <v>35</v>
      </c>
      <c r="C935" s="182">
        <f t="shared" si="359"/>
        <v>35</v>
      </c>
      <c r="D935" s="182">
        <f t="shared" si="359"/>
        <v>31.0625</v>
      </c>
      <c r="E935" s="182">
        <f t="shared" si="359"/>
        <v>35</v>
      </c>
      <c r="F935" s="182">
        <f t="shared" si="359"/>
        <v>27.125</v>
      </c>
      <c r="G935" s="182">
        <f t="shared" si="359"/>
        <v>35</v>
      </c>
      <c r="H935" s="182">
        <f t="shared" si="359"/>
        <v>35</v>
      </c>
      <c r="I935" s="183">
        <f t="shared" si="359"/>
        <v>35</v>
      </c>
    </row>
    <row r="936" hidden="1" outlineLevel="2">
      <c r="A936" s="88" t="s">
        <v>184</v>
      </c>
      <c r="B936" s="181">
        <f t="shared" ref="B936:I936" si="360">IF(AND(B917&lt;85%, B926&gt;100%), 25, B926*25)</f>
        <v>26.50374028</v>
      </c>
      <c r="C936" s="182">
        <f t="shared" si="360"/>
        <v>24.0368768</v>
      </c>
      <c r="D936" s="182">
        <f t="shared" si="360"/>
        <v>23.40531209</v>
      </c>
      <c r="E936" s="182">
        <f t="shared" si="360"/>
        <v>23.52329356</v>
      </c>
      <c r="F936" s="182">
        <f t="shared" si="360"/>
        <v>23.67093225</v>
      </c>
      <c r="G936" s="182">
        <f t="shared" si="360"/>
        <v>27.48866071</v>
      </c>
      <c r="H936" s="182">
        <f t="shared" si="360"/>
        <v>24.84112901</v>
      </c>
      <c r="I936" s="183">
        <f t="shared" si="360"/>
        <v>23.35275235</v>
      </c>
    </row>
    <row r="937" hidden="1" outlineLevel="2">
      <c r="A937" s="88" t="s">
        <v>187</v>
      </c>
      <c r="B937" s="181">
        <f t="shared" ref="B937:I937" si="361">B930*15</f>
        <v>14.49</v>
      </c>
      <c r="C937" s="182">
        <f t="shared" si="361"/>
        <v>11.76</v>
      </c>
      <c r="D937" s="182">
        <f t="shared" si="361"/>
        <v>12.81</v>
      </c>
      <c r="E937" s="182">
        <f t="shared" si="361"/>
        <v>13.5</v>
      </c>
      <c r="F937" s="182">
        <f t="shared" si="361"/>
        <v>13.5</v>
      </c>
      <c r="G937" s="182">
        <f t="shared" si="361"/>
        <v>13.155</v>
      </c>
      <c r="H937" s="182">
        <f t="shared" si="361"/>
        <v>13.425</v>
      </c>
      <c r="I937" s="183">
        <f t="shared" si="361"/>
        <v>12.42</v>
      </c>
    </row>
    <row r="938" hidden="1" outlineLevel="2">
      <c r="A938" s="88" t="s">
        <v>188</v>
      </c>
      <c r="B938" s="181">
        <f t="shared" ref="B938:I938" si="362">B932*-10</f>
        <v>0</v>
      </c>
      <c r="C938" s="182">
        <f t="shared" si="362"/>
        <v>0</v>
      </c>
      <c r="D938" s="182">
        <f t="shared" si="362"/>
        <v>0</v>
      </c>
      <c r="E938" s="182">
        <f t="shared" si="362"/>
        <v>0</v>
      </c>
      <c r="F938" s="182">
        <f t="shared" si="362"/>
        <v>0</v>
      </c>
      <c r="G938" s="182">
        <f t="shared" si="362"/>
        <v>0</v>
      </c>
      <c r="H938" s="182">
        <f t="shared" si="362"/>
        <v>0</v>
      </c>
      <c r="I938" s="183">
        <f t="shared" si="362"/>
        <v>0</v>
      </c>
    </row>
    <row r="939" hidden="1" outlineLevel="2">
      <c r="A939" s="187" t="s">
        <v>190</v>
      </c>
      <c r="B939" s="181">
        <f t="shared" ref="B939:I939" si="363">B934+B935+B936+B937+B938</f>
        <v>103.6062403</v>
      </c>
      <c r="C939" s="182">
        <f t="shared" si="363"/>
        <v>96.0781268</v>
      </c>
      <c r="D939" s="182">
        <f t="shared" si="363"/>
        <v>96.75906209</v>
      </c>
      <c r="E939" s="182">
        <f t="shared" si="363"/>
        <v>101.7800503</v>
      </c>
      <c r="F939" s="182">
        <f t="shared" si="363"/>
        <v>92.72836468</v>
      </c>
      <c r="G939" s="182">
        <f t="shared" si="363"/>
        <v>102.6749107</v>
      </c>
      <c r="H939" s="182">
        <f t="shared" si="363"/>
        <v>100.928629</v>
      </c>
      <c r="I939" s="183">
        <f t="shared" si="363"/>
        <v>98.37900235</v>
      </c>
    </row>
    <row r="940" hidden="1" outlineLevel="2">
      <c r="A940" s="73" t="s">
        <v>193</v>
      </c>
      <c r="B940" s="74">
        <f t="shared" ref="B940:I940" si="364">B939/100</f>
        <v>1.036062403</v>
      </c>
      <c r="C940" s="75">
        <f t="shared" si="364"/>
        <v>0.960781268</v>
      </c>
      <c r="D940" s="369">
        <f t="shared" si="364"/>
        <v>0.9675906209</v>
      </c>
      <c r="E940" s="75">
        <f t="shared" si="364"/>
        <v>1.017800503</v>
      </c>
      <c r="F940" s="75">
        <f t="shared" si="364"/>
        <v>0.9272836468</v>
      </c>
      <c r="G940" s="75">
        <f t="shared" si="364"/>
        <v>1.026749107</v>
      </c>
      <c r="H940" s="75">
        <f t="shared" si="364"/>
        <v>1.00928629</v>
      </c>
      <c r="I940" s="77">
        <f t="shared" si="364"/>
        <v>0.9837900235</v>
      </c>
    </row>
    <row r="941" hidden="1" outlineLevel="2">
      <c r="A941" s="180" t="s">
        <v>203</v>
      </c>
      <c r="B941" s="361" t="s">
        <v>206</v>
      </c>
      <c r="C941" s="362" t="s">
        <v>204</v>
      </c>
      <c r="D941" s="362" t="s">
        <v>204</v>
      </c>
      <c r="E941" s="362" t="s">
        <v>204</v>
      </c>
      <c r="F941" s="362" t="s">
        <v>204</v>
      </c>
      <c r="G941" s="362" t="s">
        <v>204</v>
      </c>
      <c r="H941" s="362" t="s">
        <v>204</v>
      </c>
      <c r="I941" s="362" t="s">
        <v>204</v>
      </c>
    </row>
    <row r="942" hidden="1" outlineLevel="2">
      <c r="A942" s="180" t="s">
        <v>208</v>
      </c>
      <c r="B942" s="216"/>
      <c r="C942" s="217"/>
      <c r="D942" s="350"/>
      <c r="E942" s="217"/>
      <c r="F942" s="437"/>
      <c r="G942" s="217"/>
      <c r="H942" s="217"/>
      <c r="I942" s="364"/>
    </row>
    <row r="943" hidden="1" outlineLevel="1">
      <c r="A943" s="32"/>
      <c r="B943" s="33" t="s">
        <v>1678</v>
      </c>
      <c r="C943" s="34"/>
      <c r="D943" s="34"/>
      <c r="E943" s="34"/>
      <c r="F943" s="34"/>
      <c r="G943" s="34"/>
      <c r="H943" s="34"/>
      <c r="I943" s="35"/>
    </row>
    <row r="944" hidden="1" outlineLevel="1">
      <c r="A944" s="228"/>
      <c r="B944" s="317" t="s">
        <v>56</v>
      </c>
      <c r="C944" s="318" t="s">
        <v>57</v>
      </c>
      <c r="D944" s="318" t="s">
        <v>21</v>
      </c>
      <c r="E944" s="318" t="s">
        <v>32</v>
      </c>
      <c r="F944" s="318" t="s">
        <v>58</v>
      </c>
      <c r="G944" s="319" t="s">
        <v>59</v>
      </c>
      <c r="H944" s="320" t="s">
        <v>7</v>
      </c>
      <c r="I944" s="320" t="s">
        <v>503</v>
      </c>
    </row>
    <row r="945" hidden="1" outlineLevel="1">
      <c r="A945" s="44" t="s">
        <v>60</v>
      </c>
      <c r="B945" s="289" t="s">
        <v>1678</v>
      </c>
      <c r="C945" s="290"/>
      <c r="D945" s="290"/>
      <c r="E945" s="290"/>
      <c r="F945" s="290"/>
      <c r="G945" s="290"/>
      <c r="H945" s="290"/>
      <c r="I945" s="291"/>
    </row>
    <row r="946" hidden="1" outlineLevel="1">
      <c r="A946" s="51" t="s">
        <v>64</v>
      </c>
      <c r="B946" s="53"/>
      <c r="C946" s="54"/>
      <c r="D946" s="54"/>
      <c r="E946" s="54"/>
      <c r="F946" s="54"/>
      <c r="G946" s="54"/>
      <c r="H946" s="54"/>
      <c r="I946" s="56"/>
    </row>
    <row r="947" hidden="1" outlineLevel="1">
      <c r="A947" s="58" t="s">
        <v>69</v>
      </c>
      <c r="B947" s="292">
        <v>42.44</v>
      </c>
      <c r="C947" s="293">
        <v>31.59</v>
      </c>
      <c r="D947" s="293">
        <v>49.02</v>
      </c>
      <c r="E947" s="293">
        <v>44.05</v>
      </c>
      <c r="F947" s="293">
        <v>44.08</v>
      </c>
      <c r="G947" s="293">
        <v>45.04</v>
      </c>
      <c r="H947" s="293">
        <v>39.22</v>
      </c>
      <c r="I947" s="354">
        <v>44.06</v>
      </c>
    </row>
    <row r="948" hidden="1" outlineLevel="1">
      <c r="A948" s="68" t="s">
        <v>75</v>
      </c>
      <c r="B948" s="296">
        <v>40.0</v>
      </c>
      <c r="C948" s="296">
        <v>34.0</v>
      </c>
      <c r="D948" s="70">
        <v>40.0</v>
      </c>
      <c r="E948" s="296">
        <v>37.0</v>
      </c>
      <c r="F948" s="296">
        <v>37.0</v>
      </c>
      <c r="G948" s="296">
        <v>40.0</v>
      </c>
      <c r="H948" s="296">
        <v>40.0</v>
      </c>
      <c r="I948" s="355">
        <v>40.0</v>
      </c>
    </row>
    <row r="949" hidden="1" outlineLevel="1">
      <c r="A949" s="73" t="s">
        <v>76</v>
      </c>
      <c r="B949" s="297">
        <f t="shared" ref="B949:I949" si="365">B947/B948</f>
        <v>1.061</v>
      </c>
      <c r="C949" s="298">
        <f t="shared" si="365"/>
        <v>0.9291176471</v>
      </c>
      <c r="D949" s="298">
        <f t="shared" si="365"/>
        <v>1.2255</v>
      </c>
      <c r="E949" s="298">
        <f t="shared" si="365"/>
        <v>1.190540541</v>
      </c>
      <c r="F949" s="298">
        <f t="shared" si="365"/>
        <v>1.191351351</v>
      </c>
      <c r="G949" s="298">
        <f t="shared" si="365"/>
        <v>1.126</v>
      </c>
      <c r="H949" s="298">
        <f t="shared" si="365"/>
        <v>0.9805</v>
      </c>
      <c r="I949" s="299">
        <f t="shared" si="365"/>
        <v>1.1015</v>
      </c>
    </row>
    <row r="950" hidden="1" outlineLevel="1">
      <c r="A950" s="51" t="s">
        <v>79</v>
      </c>
      <c r="B950" s="53"/>
      <c r="C950" s="54"/>
      <c r="D950" s="54"/>
      <c r="E950" s="54"/>
      <c r="F950" s="54"/>
      <c r="G950" s="54"/>
      <c r="H950" s="54"/>
      <c r="I950" s="56"/>
    </row>
    <row r="951" hidden="1" outlineLevel="1">
      <c r="A951" s="83" t="s">
        <v>81</v>
      </c>
      <c r="B951" s="292">
        <v>40.0</v>
      </c>
      <c r="C951" s="293">
        <v>40.0</v>
      </c>
      <c r="D951" s="293">
        <v>40.0</v>
      </c>
      <c r="E951" s="293">
        <v>39.63</v>
      </c>
      <c r="F951" s="293">
        <v>31.0</v>
      </c>
      <c r="G951" s="293">
        <v>40.0</v>
      </c>
      <c r="H951" s="293">
        <v>40.0</v>
      </c>
      <c r="I951" s="294">
        <v>40.0</v>
      </c>
    </row>
    <row r="952" hidden="1" outlineLevel="1">
      <c r="A952" s="88" t="s">
        <v>86</v>
      </c>
      <c r="B952" s="260">
        <v>40.0</v>
      </c>
      <c r="C952" s="261">
        <v>40.0</v>
      </c>
      <c r="D952" s="261">
        <v>40.0</v>
      </c>
      <c r="E952" s="261">
        <v>40.0</v>
      </c>
      <c r="F952" s="261">
        <v>40.0</v>
      </c>
      <c r="G952" s="261">
        <v>40.0</v>
      </c>
      <c r="H952" s="261">
        <v>40.0</v>
      </c>
      <c r="I952" s="262">
        <v>40.0</v>
      </c>
    </row>
    <row r="953" hidden="1" outlineLevel="1">
      <c r="A953" s="73" t="s">
        <v>96</v>
      </c>
      <c r="B953" s="297">
        <f t="shared" ref="B953:I953" si="366">B951/B952</f>
        <v>1</v>
      </c>
      <c r="C953" s="298">
        <f t="shared" si="366"/>
        <v>1</v>
      </c>
      <c r="D953" s="298">
        <f t="shared" si="366"/>
        <v>1</v>
      </c>
      <c r="E953" s="298">
        <f t="shared" si="366"/>
        <v>0.99075</v>
      </c>
      <c r="F953" s="298">
        <f t="shared" si="366"/>
        <v>0.775</v>
      </c>
      <c r="G953" s="298">
        <f t="shared" si="366"/>
        <v>1</v>
      </c>
      <c r="H953" s="298">
        <f t="shared" si="366"/>
        <v>1</v>
      </c>
      <c r="I953" s="299">
        <f t="shared" si="366"/>
        <v>1</v>
      </c>
    </row>
    <row r="954" hidden="1" outlineLevel="1">
      <c r="A954" s="51" t="s">
        <v>99</v>
      </c>
      <c r="B954" s="53"/>
      <c r="C954" s="54"/>
      <c r="D954" s="54"/>
      <c r="E954" s="54"/>
      <c r="F954" s="54"/>
      <c r="G954" s="54"/>
      <c r="H954" s="54"/>
      <c r="I954" s="56"/>
    </row>
    <row r="955" hidden="1" outlineLevel="1">
      <c r="A955" s="83" t="s">
        <v>101</v>
      </c>
      <c r="B955" s="259" t="s">
        <v>109</v>
      </c>
      <c r="C955" s="123" t="s">
        <v>113</v>
      </c>
      <c r="D955" s="123" t="s">
        <v>113</v>
      </c>
      <c r="E955" s="124" t="s">
        <v>109</v>
      </c>
      <c r="F955" s="124" t="s">
        <v>109</v>
      </c>
      <c r="G955" s="123" t="s">
        <v>113</v>
      </c>
      <c r="H955" s="123" t="s">
        <v>113</v>
      </c>
      <c r="I955" s="126" t="s">
        <v>109</v>
      </c>
    </row>
    <row r="956" hidden="1" outlineLevel="1">
      <c r="A956" s="83" t="s">
        <v>117</v>
      </c>
      <c r="B956" s="259" t="s">
        <v>118</v>
      </c>
      <c r="C956" s="124" t="s">
        <v>119</v>
      </c>
      <c r="D956" s="124" t="s">
        <v>118</v>
      </c>
      <c r="E956" s="124" t="s">
        <v>119</v>
      </c>
      <c r="F956" s="124" t="s">
        <v>118</v>
      </c>
      <c r="G956" s="124" t="s">
        <v>119</v>
      </c>
      <c r="H956" s="124" t="s">
        <v>119</v>
      </c>
      <c r="I956" s="126" t="s">
        <v>119</v>
      </c>
    </row>
    <row r="957" hidden="1" outlineLevel="1">
      <c r="A957" s="83" t="s">
        <v>120</v>
      </c>
      <c r="B957" s="271">
        <f>IF(B947&lt;B948,B948,B947) *
IF(B955="AM",
    IF(B956="Oricle",3.5,
    IF(B956="Other Brands",4,
    IF(B956="Oricle Prio",0.6,""))),
 IF(B955="MID",
    IF(B956="Oricle",2.5,
    IF(B956="Other Brands",3,
    IF(B956="Oricle Prio",0.6,""))),
 IF(B955="GY",
    IF(B956="Oricle",1,
    IF(B956="Other Brands",1,
    IF(B956="Oricle Prio",0.3,""))),"")))-10</f>
        <v>117.32</v>
      </c>
      <c r="C957" s="273">
        <f>IF(C947&lt;C948,C948,C947) *
IF(C955="AM",
    IF(C956="Oricle",3,
    IF(C956="Other Brands",4,
    IF(C956="Oricle Prio",0.6,""))),
 IF(C955="MID",
    IF(C956="Oricle",2.5,
    IF(C956="Other Brands",3,
    IF(C956="Oricle Prio",0.6,""))),
 IF(C955="GY",
    IF(C956="Oricle",1,
    IF(C956="Other Brands",1,
    IF(C956="Oricle Prio",0.3,""))),"")))</f>
        <v>102</v>
      </c>
      <c r="D957" s="273">
        <f>IF(D947&lt;D948,D948,D947) *
IF(D955="AM",
    IF(D956="Oricle",3.5,
    IF(D956="Other Brands",4,
    IF(D956="Oricle Prio",0.6,""))),
 IF(D955="MID",
    IF(D956="Oricle",2.5,
    IF(D956="Other Brands",3,
    IF(D956="Oricle Prio",0.6,""))),
 IF(D955="GY",
    IF(D956="Oricle",1,
    IF(D956="Other Brands",1,
    IF(D956="Oricle Prio",0.3,""))),"")))</f>
        <v>196.08</v>
      </c>
      <c r="E957" s="273">
        <f>IF(E947&lt;E948,E948,E947) *
IF(E955="AM",
    IF(E956="Oricle",3.5,
    IF(E956="Other Brands",4,
    IF(E956="Oricle Prio",0.6,""))),
 IF(E955="MID",
    IF(E956="Oricle",2.5,
    IF(E956="Other Brands",3,
    IF(E956="Oricle Prio",0.6,""))),
 IF(E955="GY",
    IF(E956="Oricle",1,
    IF(E956="Other Brands",1,
    IF(E956="Oricle Prio",0.3,""))),"")))-15</f>
        <v>95.125</v>
      </c>
      <c r="F957" s="273">
        <f>IF(F947&lt;F948,F948,F947) *
IF(F955="AM",
    IF(F956="Oricle",3.5,
    IF(F956="Other Brands",4,
    IF(F956="Oricle Prio",0.6,""))),
 IF(F955="MID",
    IF(F956="Oricle",2.5,
    IF(F956="Other Brands",3,
    IF(F956="Oricle Prio",0.6,""))),
 IF(F955="GY",
    IF(F956="Oricle",1,
    IF(F956="Other Brands",1,
    IF(F956="Oricle Prio",0.3,""))),"")))</f>
        <v>132.24</v>
      </c>
      <c r="G957" s="273">
        <f t="shared" ref="G957:H957" si="367">IF(G947&lt;G948,G948,G947) *
IF(G955="AM",
    IF(G956="Oricle",3,
    IF(G956="Other Brands",4,
    IF(G956="Oricle Prio",0.6,""))),
 IF(G955="MID",
    IF(G956="Oricle",2.5,
    IF(G956="Other Brands",3,
    IF(G956="Oricle Prio",0.6,""))),
 IF(G955="GY",
    IF(G956="Oricle",1,
    IF(G956="Other Brands",1,
    IF(G956="Oricle Prio",0.3,""))),"")))</f>
        <v>135.12</v>
      </c>
      <c r="H957" s="273">
        <f t="shared" si="367"/>
        <v>120</v>
      </c>
      <c r="I957" s="273">
        <f>IF(I947&lt;I948,I948,I947) *
IF(I955="AM",
    IF(I956="Oricle",3.5,
    IF(I956="Other Brands",4,
    IF(I956="Oricle Prio",0.6,""))),
 IF(I955="MID",
    IF(I956="Oricle",2.5,
    IF(I956="Other Brands",3,
    IF(I956="Oricle Prio",0.6,""))),
 IF(I955="GY",
    IF(I956="Oricle",1,
    IF(I956="Other Brands",1,
    IF(I956="Oricle Prio",0.3,""))),"")))</f>
        <v>110.15</v>
      </c>
    </row>
    <row r="958" hidden="1" outlineLevel="1">
      <c r="A958" s="83" t="s">
        <v>131</v>
      </c>
      <c r="B958" s="306" t="s">
        <v>393</v>
      </c>
      <c r="C958" s="123" t="s">
        <v>591</v>
      </c>
      <c r="D958" s="123" t="s">
        <v>1704</v>
      </c>
      <c r="E958" s="123" t="s">
        <v>652</v>
      </c>
      <c r="F958" s="123" t="s">
        <v>313</v>
      </c>
      <c r="G958" s="123" t="s">
        <v>1705</v>
      </c>
      <c r="H958" s="123" t="s">
        <v>308</v>
      </c>
      <c r="I958" s="123" t="s">
        <v>539</v>
      </c>
    </row>
    <row r="959" hidden="1" outlineLevel="1">
      <c r="A959" s="83" t="s">
        <v>138</v>
      </c>
      <c r="B959" s="306" t="s">
        <v>470</v>
      </c>
      <c r="C959" s="123" t="s">
        <v>1010</v>
      </c>
      <c r="D959" s="123" t="s">
        <v>1707</v>
      </c>
      <c r="E959" s="123" t="s">
        <v>396</v>
      </c>
      <c r="F959" s="123" t="s">
        <v>249</v>
      </c>
      <c r="G959" s="123" t="s">
        <v>1656</v>
      </c>
      <c r="H959" s="123" t="s">
        <v>314</v>
      </c>
      <c r="I959" s="123" t="s">
        <v>471</v>
      </c>
    </row>
    <row r="960" hidden="1" outlineLevel="1">
      <c r="A960" s="88" t="s">
        <v>149</v>
      </c>
      <c r="B960" s="152">
        <f t="shared" ref="B960:I960" si="368">IF(B958&gt;0,B959/B958,0)</f>
        <v>0.9738562092</v>
      </c>
      <c r="C960" s="153">
        <f t="shared" si="368"/>
        <v>0.9680851064</v>
      </c>
      <c r="D960" s="153">
        <f t="shared" si="368"/>
        <v>0.9591836735</v>
      </c>
      <c r="E960" s="153">
        <f t="shared" si="368"/>
        <v>0.9636363636</v>
      </c>
      <c r="F960" s="153">
        <f t="shared" si="368"/>
        <v>0.9558823529</v>
      </c>
      <c r="G960" s="153">
        <f t="shared" si="368"/>
        <v>0.8102564103</v>
      </c>
      <c r="H960" s="153">
        <f t="shared" si="368"/>
        <v>0.9735099338</v>
      </c>
      <c r="I960" s="154">
        <f t="shared" si="368"/>
        <v>0.9900990099</v>
      </c>
    </row>
    <row r="961" hidden="1" outlineLevel="1">
      <c r="A961" s="88" t="s">
        <v>156</v>
      </c>
      <c r="B961" s="152">
        <f t="shared" ref="B961:I961" si="369">IF(B957&gt;0,B959/B957,0)</f>
        <v>1.270030685</v>
      </c>
      <c r="C961" s="153">
        <f t="shared" si="369"/>
        <v>0.8921568627</v>
      </c>
      <c r="D961" s="153">
        <f t="shared" si="369"/>
        <v>0.9587923297</v>
      </c>
      <c r="E961" s="153">
        <f t="shared" si="369"/>
        <v>1.114323259</v>
      </c>
      <c r="F961" s="153">
        <f t="shared" si="369"/>
        <v>0.983061101</v>
      </c>
      <c r="G961" s="153">
        <f t="shared" si="369"/>
        <v>1.169330965</v>
      </c>
      <c r="H961" s="153">
        <f t="shared" si="369"/>
        <v>1.225</v>
      </c>
      <c r="I961" s="154">
        <f t="shared" si="369"/>
        <v>0.9078529278</v>
      </c>
    </row>
    <row r="962" hidden="1" outlineLevel="1">
      <c r="A962" s="159" t="s">
        <v>13</v>
      </c>
      <c r="B962" s="297">
        <f t="shared" ref="B962:I962" si="370">average(B960:B961)</f>
        <v>1.121943447</v>
      </c>
      <c r="C962" s="298">
        <f t="shared" si="370"/>
        <v>0.9301209846</v>
      </c>
      <c r="D962" s="298">
        <f t="shared" si="370"/>
        <v>0.9589880016</v>
      </c>
      <c r="E962" s="298">
        <f t="shared" si="370"/>
        <v>1.038979811</v>
      </c>
      <c r="F962" s="298">
        <f t="shared" si="370"/>
        <v>0.969471727</v>
      </c>
      <c r="G962" s="298">
        <f t="shared" si="370"/>
        <v>0.9897936877</v>
      </c>
      <c r="H962" s="298">
        <f t="shared" si="370"/>
        <v>1.099254967</v>
      </c>
      <c r="I962" s="299">
        <f t="shared" si="370"/>
        <v>0.9489759689</v>
      </c>
    </row>
    <row r="963" hidden="1" outlineLevel="1">
      <c r="A963" s="51" t="s">
        <v>161</v>
      </c>
      <c r="B963" s="334"/>
      <c r="C963" s="54"/>
      <c r="D963" s="54"/>
      <c r="E963" s="54"/>
      <c r="F963" s="54"/>
      <c r="G963" s="54"/>
      <c r="H963" s="54"/>
      <c r="I963" s="335"/>
    </row>
    <row r="964" hidden="1" outlineLevel="1">
      <c r="A964" s="83" t="s">
        <v>162</v>
      </c>
      <c r="B964" s="292">
        <v>9.0</v>
      </c>
      <c r="C964" s="293">
        <v>8.26</v>
      </c>
      <c r="D964" s="293">
        <v>8.34</v>
      </c>
      <c r="E964" s="293">
        <v>8.33</v>
      </c>
      <c r="F964" s="293">
        <v>9.66</v>
      </c>
      <c r="G964" s="293">
        <v>8.25</v>
      </c>
      <c r="H964" s="293">
        <v>8.88</v>
      </c>
      <c r="I964" s="293">
        <v>8.24</v>
      </c>
    </row>
    <row r="965" hidden="1" outlineLevel="1">
      <c r="A965" s="88" t="s">
        <v>169</v>
      </c>
      <c r="B965" s="165">
        <v>10.0</v>
      </c>
      <c r="C965" s="166">
        <v>10.0</v>
      </c>
      <c r="D965" s="166">
        <v>10.0</v>
      </c>
      <c r="E965" s="166">
        <v>10.0</v>
      </c>
      <c r="F965" s="166">
        <v>10.0</v>
      </c>
      <c r="G965" s="166">
        <v>10.0</v>
      </c>
      <c r="H965" s="166">
        <v>10.0</v>
      </c>
      <c r="I965" s="168">
        <v>10.0</v>
      </c>
    </row>
    <row r="966" hidden="1" outlineLevel="1">
      <c r="A966" s="73" t="s">
        <v>170</v>
      </c>
      <c r="B966" s="297">
        <f t="shared" ref="B966:I966" si="371">IF(B964=0,0,B964/B965)</f>
        <v>0.9</v>
      </c>
      <c r="C966" s="298">
        <f t="shared" si="371"/>
        <v>0.826</v>
      </c>
      <c r="D966" s="298">
        <f t="shared" si="371"/>
        <v>0.834</v>
      </c>
      <c r="E966" s="298">
        <f t="shared" si="371"/>
        <v>0.833</v>
      </c>
      <c r="F966" s="298">
        <f t="shared" si="371"/>
        <v>0.966</v>
      </c>
      <c r="G966" s="298">
        <f t="shared" si="371"/>
        <v>0.825</v>
      </c>
      <c r="H966" s="298">
        <f t="shared" si="371"/>
        <v>0.888</v>
      </c>
      <c r="I966" s="299">
        <f t="shared" si="371"/>
        <v>0.824</v>
      </c>
    </row>
    <row r="967" hidden="1" outlineLevel="1">
      <c r="A967" s="51" t="s">
        <v>173</v>
      </c>
      <c r="B967" s="53"/>
      <c r="C967" s="54"/>
      <c r="D967" s="54"/>
      <c r="E967" s="54"/>
      <c r="F967" s="54"/>
      <c r="G967" s="54"/>
      <c r="H967" s="54"/>
      <c r="I967" s="56"/>
    </row>
    <row r="968" hidden="1" outlineLevel="1">
      <c r="A968" s="83" t="s">
        <v>175</v>
      </c>
      <c r="B968" s="330"/>
      <c r="C968" s="331"/>
      <c r="D968" s="345"/>
      <c r="E968" s="331"/>
      <c r="F968" s="331"/>
      <c r="G968" s="331"/>
      <c r="H968" s="331"/>
      <c r="I968" s="332"/>
    </row>
    <row r="969" hidden="1" outlineLevel="1">
      <c r="A969" s="180" t="s">
        <v>179</v>
      </c>
      <c r="B969" s="53"/>
      <c r="C969" s="54"/>
      <c r="D969" s="54"/>
      <c r="E969" s="54"/>
      <c r="F969" s="54"/>
      <c r="G969" s="54"/>
      <c r="H969" s="54"/>
      <c r="I969" s="56"/>
    </row>
    <row r="970" hidden="1" outlineLevel="1">
      <c r="A970" s="88" t="s">
        <v>180</v>
      </c>
      <c r="B970" s="181">
        <f t="shared" ref="B970:I970" si="372">B949*25</f>
        <v>26.525</v>
      </c>
      <c r="C970" s="182">
        <f t="shared" si="372"/>
        <v>23.22794118</v>
      </c>
      <c r="D970" s="182">
        <f t="shared" si="372"/>
        <v>30.6375</v>
      </c>
      <c r="E970" s="182">
        <f t="shared" si="372"/>
        <v>29.76351351</v>
      </c>
      <c r="F970" s="182">
        <f t="shared" si="372"/>
        <v>29.78378378</v>
      </c>
      <c r="G970" s="182">
        <f t="shared" si="372"/>
        <v>28.15</v>
      </c>
      <c r="H970" s="182">
        <f t="shared" si="372"/>
        <v>24.5125</v>
      </c>
      <c r="I970" s="183">
        <f t="shared" si="372"/>
        <v>27.5375</v>
      </c>
    </row>
    <row r="971" hidden="1" outlineLevel="1">
      <c r="A971" s="88" t="s">
        <v>182</v>
      </c>
      <c r="B971" s="181">
        <f t="shared" ref="B971:I971" si="373">B953*35</f>
        <v>35</v>
      </c>
      <c r="C971" s="182">
        <f t="shared" si="373"/>
        <v>35</v>
      </c>
      <c r="D971" s="182">
        <f t="shared" si="373"/>
        <v>35</v>
      </c>
      <c r="E971" s="182">
        <f t="shared" si="373"/>
        <v>34.67625</v>
      </c>
      <c r="F971" s="182">
        <f t="shared" si="373"/>
        <v>27.125</v>
      </c>
      <c r="G971" s="182">
        <f t="shared" si="373"/>
        <v>35</v>
      </c>
      <c r="H971" s="182">
        <f t="shared" si="373"/>
        <v>35</v>
      </c>
      <c r="I971" s="183">
        <f t="shared" si="373"/>
        <v>35</v>
      </c>
    </row>
    <row r="972" hidden="1" outlineLevel="1">
      <c r="A972" s="88" t="s">
        <v>184</v>
      </c>
      <c r="B972" s="181">
        <f t="shared" ref="B972:I972" si="374">IF(AND(B953&lt;85%, B962&gt;100%), 25, B962*25)</f>
        <v>28.04858618</v>
      </c>
      <c r="C972" s="182">
        <f t="shared" si="374"/>
        <v>23.25302461</v>
      </c>
      <c r="D972" s="182">
        <f t="shared" si="374"/>
        <v>23.97470004</v>
      </c>
      <c r="E972" s="182">
        <f t="shared" si="374"/>
        <v>25.97449528</v>
      </c>
      <c r="F972" s="182">
        <f t="shared" si="374"/>
        <v>24.23679317</v>
      </c>
      <c r="G972" s="182">
        <f t="shared" si="374"/>
        <v>24.74484219</v>
      </c>
      <c r="H972" s="182">
        <f t="shared" si="374"/>
        <v>27.48137417</v>
      </c>
      <c r="I972" s="183">
        <f t="shared" si="374"/>
        <v>23.72439922</v>
      </c>
    </row>
    <row r="973" hidden="1" outlineLevel="1">
      <c r="A973" s="88" t="s">
        <v>187</v>
      </c>
      <c r="B973" s="181">
        <f t="shared" ref="B973:I973" si="375">B966*15</f>
        <v>13.5</v>
      </c>
      <c r="C973" s="182">
        <f t="shared" si="375"/>
        <v>12.39</v>
      </c>
      <c r="D973" s="182">
        <f t="shared" si="375"/>
        <v>12.51</v>
      </c>
      <c r="E973" s="182">
        <f t="shared" si="375"/>
        <v>12.495</v>
      </c>
      <c r="F973" s="182">
        <f t="shared" si="375"/>
        <v>14.49</v>
      </c>
      <c r="G973" s="182">
        <f t="shared" si="375"/>
        <v>12.375</v>
      </c>
      <c r="H973" s="182">
        <f t="shared" si="375"/>
        <v>13.32</v>
      </c>
      <c r="I973" s="183">
        <f t="shared" si="375"/>
        <v>12.36</v>
      </c>
    </row>
    <row r="974" hidden="1" outlineLevel="1">
      <c r="A974" s="88" t="s">
        <v>188</v>
      </c>
      <c r="B974" s="181">
        <f t="shared" ref="B974:I974" si="376">B968*-10</f>
        <v>0</v>
      </c>
      <c r="C974" s="182">
        <f t="shared" si="376"/>
        <v>0</v>
      </c>
      <c r="D974" s="182">
        <f t="shared" si="376"/>
        <v>0</v>
      </c>
      <c r="E974" s="182">
        <f t="shared" si="376"/>
        <v>0</v>
      </c>
      <c r="F974" s="182">
        <f t="shared" si="376"/>
        <v>0</v>
      </c>
      <c r="G974" s="182">
        <f t="shared" si="376"/>
        <v>0</v>
      </c>
      <c r="H974" s="182">
        <f t="shared" si="376"/>
        <v>0</v>
      </c>
      <c r="I974" s="183">
        <f t="shared" si="376"/>
        <v>0</v>
      </c>
    </row>
    <row r="975" hidden="1" outlineLevel="1">
      <c r="A975" s="187" t="s">
        <v>190</v>
      </c>
      <c r="B975" s="181">
        <f t="shared" ref="B975:I975" si="377">B970+B971+B972+B973+B974</f>
        <v>103.0735862</v>
      </c>
      <c r="C975" s="182">
        <f t="shared" si="377"/>
        <v>93.87096579</v>
      </c>
      <c r="D975" s="182">
        <f t="shared" si="377"/>
        <v>102.1222</v>
      </c>
      <c r="E975" s="182">
        <f t="shared" si="377"/>
        <v>102.9092588</v>
      </c>
      <c r="F975" s="182">
        <f t="shared" si="377"/>
        <v>95.63557696</v>
      </c>
      <c r="G975" s="182">
        <f t="shared" si="377"/>
        <v>100.2698422</v>
      </c>
      <c r="H975" s="182">
        <f t="shared" si="377"/>
        <v>100.3138742</v>
      </c>
      <c r="I975" s="183">
        <f t="shared" si="377"/>
        <v>98.62189922</v>
      </c>
    </row>
    <row r="976" hidden="1" outlineLevel="1">
      <c r="A976" s="73" t="s">
        <v>193</v>
      </c>
      <c r="B976" s="74">
        <f t="shared" ref="B976:I976" si="378">B975/100</f>
        <v>1.030735862</v>
      </c>
      <c r="C976" s="75">
        <f t="shared" si="378"/>
        <v>0.9387096579</v>
      </c>
      <c r="D976" s="369">
        <f t="shared" si="378"/>
        <v>1.021222</v>
      </c>
      <c r="E976" s="75">
        <f t="shared" si="378"/>
        <v>1.029092588</v>
      </c>
      <c r="F976" s="75">
        <f t="shared" si="378"/>
        <v>0.9563557696</v>
      </c>
      <c r="G976" s="75">
        <f t="shared" si="378"/>
        <v>1.002698422</v>
      </c>
      <c r="H976" s="75">
        <f t="shared" si="378"/>
        <v>1.003138742</v>
      </c>
      <c r="I976" s="77">
        <f t="shared" si="378"/>
        <v>0.9862189922</v>
      </c>
    </row>
    <row r="977" hidden="1" outlineLevel="1">
      <c r="A977" s="180" t="s">
        <v>203</v>
      </c>
      <c r="B977" s="361" t="s">
        <v>206</v>
      </c>
      <c r="C977" s="362" t="s">
        <v>204</v>
      </c>
      <c r="D977" s="362" t="s">
        <v>204</v>
      </c>
      <c r="E977" s="362" t="s">
        <v>204</v>
      </c>
      <c r="F977" s="362" t="s">
        <v>204</v>
      </c>
      <c r="G977" s="362" t="s">
        <v>204</v>
      </c>
      <c r="H977" s="362" t="s">
        <v>204</v>
      </c>
      <c r="I977" s="362" t="s">
        <v>204</v>
      </c>
    </row>
    <row r="978" hidden="1" outlineLevel="1">
      <c r="A978" s="180" t="s">
        <v>208</v>
      </c>
      <c r="B978" s="216"/>
      <c r="C978" s="217"/>
      <c r="D978" s="350"/>
      <c r="E978" s="217"/>
      <c r="F978" s="437"/>
      <c r="G978" s="217"/>
      <c r="H978" s="217"/>
      <c r="I978" s="364"/>
    </row>
    <row r="979">
      <c r="A979" s="435">
        <v>46235.0</v>
      </c>
      <c r="B979" s="439"/>
      <c r="C979" s="46"/>
      <c r="D979" s="46"/>
      <c r="E979" s="46"/>
      <c r="F979" s="46"/>
      <c r="G979" s="46"/>
      <c r="H979" s="46"/>
      <c r="I979" s="46"/>
    </row>
    <row r="980">
      <c r="A980" s="440"/>
      <c r="B980" s="441" t="s">
        <v>8</v>
      </c>
      <c r="C980" s="34"/>
      <c r="D980" s="34"/>
      <c r="E980" s="34"/>
      <c r="F980" s="34"/>
      <c r="G980" s="34"/>
      <c r="H980" s="34"/>
      <c r="I980" s="35"/>
    </row>
    <row r="981" outlineLevel="1">
      <c r="A981" s="442"/>
      <c r="B981" s="443" t="s">
        <v>56</v>
      </c>
      <c r="C981" s="444" t="s">
        <v>57</v>
      </c>
      <c r="D981" s="444" t="s">
        <v>21</v>
      </c>
      <c r="E981" s="444" t="s">
        <v>32</v>
      </c>
      <c r="F981" s="444" t="s">
        <v>58</v>
      </c>
      <c r="G981" s="444" t="s">
        <v>59</v>
      </c>
      <c r="H981" s="445" t="s">
        <v>7</v>
      </c>
      <c r="I981" s="445" t="s">
        <v>503</v>
      </c>
    </row>
    <row r="982" outlineLevel="1">
      <c r="A982" s="44" t="s">
        <v>60</v>
      </c>
      <c r="B982" s="289" t="s">
        <v>8</v>
      </c>
      <c r="C982" s="290"/>
      <c r="D982" s="290"/>
      <c r="E982" s="290"/>
      <c r="F982" s="290"/>
      <c r="G982" s="290"/>
      <c r="H982" s="290"/>
      <c r="I982" s="291"/>
    </row>
    <row r="983" outlineLevel="1">
      <c r="A983" s="51" t="s">
        <v>64</v>
      </c>
      <c r="B983" s="446"/>
      <c r="C983" s="54"/>
      <c r="D983" s="54"/>
      <c r="E983" s="54"/>
      <c r="F983" s="54"/>
      <c r="G983" s="54"/>
      <c r="H983" s="54"/>
      <c r="I983" s="56"/>
    </row>
    <row r="984" outlineLevel="1">
      <c r="A984" s="83" t="s">
        <v>69</v>
      </c>
      <c r="B984" s="447"/>
      <c r="C984" s="448"/>
      <c r="D984" s="448"/>
      <c r="E984" s="448"/>
      <c r="F984" s="448"/>
      <c r="G984" s="448"/>
      <c r="H984" s="448"/>
      <c r="I984" s="449"/>
    </row>
    <row r="985" outlineLevel="1">
      <c r="A985" s="88" t="s">
        <v>75</v>
      </c>
      <c r="B985" s="70">
        <v>40.0</v>
      </c>
      <c r="C985" s="70">
        <v>34.0</v>
      </c>
      <c r="D985" s="70">
        <v>40.0</v>
      </c>
      <c r="E985" s="70">
        <v>37.0</v>
      </c>
      <c r="F985" s="70">
        <v>37.0</v>
      </c>
      <c r="G985" s="70">
        <v>40.0</v>
      </c>
      <c r="H985" s="70">
        <v>40.0</v>
      </c>
      <c r="I985" s="355">
        <v>40.0</v>
      </c>
    </row>
    <row r="986" outlineLevel="1">
      <c r="A986" s="73" t="s">
        <v>76</v>
      </c>
      <c r="B986" s="297">
        <f t="shared" ref="B986:I986" si="379">B984/B985</f>
        <v>0</v>
      </c>
      <c r="C986" s="298">
        <f t="shared" si="379"/>
        <v>0</v>
      </c>
      <c r="D986" s="298">
        <f t="shared" si="379"/>
        <v>0</v>
      </c>
      <c r="E986" s="298">
        <f t="shared" si="379"/>
        <v>0</v>
      </c>
      <c r="F986" s="298">
        <f t="shared" si="379"/>
        <v>0</v>
      </c>
      <c r="G986" s="298">
        <f t="shared" si="379"/>
        <v>0</v>
      </c>
      <c r="H986" s="298">
        <f t="shared" si="379"/>
        <v>0</v>
      </c>
      <c r="I986" s="299">
        <f t="shared" si="379"/>
        <v>0</v>
      </c>
    </row>
    <row r="987" outlineLevel="1">
      <c r="A987" s="51" t="s">
        <v>79</v>
      </c>
      <c r="B987" s="446"/>
      <c r="C987" s="54"/>
      <c r="D987" s="54"/>
      <c r="E987" s="54"/>
      <c r="F987" s="54"/>
      <c r="G987" s="54"/>
      <c r="H987" s="54"/>
      <c r="I987" s="56"/>
    </row>
    <row r="988" outlineLevel="1">
      <c r="A988" s="83" t="s">
        <v>81</v>
      </c>
      <c r="B988" s="447"/>
      <c r="C988" s="448"/>
      <c r="D988" s="448"/>
      <c r="E988" s="448"/>
      <c r="F988" s="448"/>
      <c r="G988" s="448"/>
      <c r="H988" s="448"/>
      <c r="I988" s="449"/>
    </row>
    <row r="989" outlineLevel="1">
      <c r="A989" s="88" t="s">
        <v>86</v>
      </c>
      <c r="B989" s="260">
        <v>40.0</v>
      </c>
      <c r="C989" s="261">
        <v>40.0</v>
      </c>
      <c r="D989" s="261">
        <v>40.0</v>
      </c>
      <c r="E989" s="261">
        <v>40.0</v>
      </c>
      <c r="F989" s="261">
        <v>40.0</v>
      </c>
      <c r="G989" s="261">
        <v>40.0</v>
      </c>
      <c r="H989" s="261">
        <v>40.0</v>
      </c>
      <c r="I989" s="262">
        <v>40.0</v>
      </c>
    </row>
    <row r="990" outlineLevel="1">
      <c r="A990" s="73" t="s">
        <v>96</v>
      </c>
      <c r="B990" s="297">
        <f t="shared" ref="B990:I990" si="380">B988/B989</f>
        <v>0</v>
      </c>
      <c r="C990" s="298">
        <f t="shared" si="380"/>
        <v>0</v>
      </c>
      <c r="D990" s="298">
        <f t="shared" si="380"/>
        <v>0</v>
      </c>
      <c r="E990" s="298">
        <f t="shared" si="380"/>
        <v>0</v>
      </c>
      <c r="F990" s="298">
        <f t="shared" si="380"/>
        <v>0</v>
      </c>
      <c r="G990" s="298">
        <f t="shared" si="380"/>
        <v>0</v>
      </c>
      <c r="H990" s="298">
        <f t="shared" si="380"/>
        <v>0</v>
      </c>
      <c r="I990" s="299">
        <f t="shared" si="380"/>
        <v>0</v>
      </c>
    </row>
    <row r="991" outlineLevel="1">
      <c r="A991" s="51" t="s">
        <v>99</v>
      </c>
      <c r="B991" s="446"/>
      <c r="C991" s="54"/>
      <c r="D991" s="54"/>
      <c r="E991" s="54"/>
      <c r="F991" s="54"/>
      <c r="G991" s="54"/>
      <c r="H991" s="54"/>
      <c r="I991" s="56"/>
    </row>
    <row r="992" outlineLevel="1">
      <c r="A992" s="83" t="s">
        <v>101</v>
      </c>
      <c r="B992" s="259" t="s">
        <v>109</v>
      </c>
      <c r="C992" s="124" t="s">
        <v>113</v>
      </c>
      <c r="D992" s="124" t="s">
        <v>113</v>
      </c>
      <c r="E992" s="124" t="s">
        <v>109</v>
      </c>
      <c r="F992" s="124" t="s">
        <v>109</v>
      </c>
      <c r="G992" s="124" t="s">
        <v>113</v>
      </c>
      <c r="H992" s="124" t="s">
        <v>113</v>
      </c>
      <c r="I992" s="126" t="s">
        <v>109</v>
      </c>
    </row>
    <row r="993" outlineLevel="1">
      <c r="A993" s="83" t="s">
        <v>117</v>
      </c>
      <c r="B993" s="259" t="s">
        <v>118</v>
      </c>
      <c r="C993" s="124" t="s">
        <v>119</v>
      </c>
      <c r="D993" s="124" t="s">
        <v>118</v>
      </c>
      <c r="E993" s="124" t="s">
        <v>119</v>
      </c>
      <c r="F993" s="124" t="s">
        <v>118</v>
      </c>
      <c r="G993" s="124" t="s">
        <v>119</v>
      </c>
      <c r="H993" s="124" t="s">
        <v>119</v>
      </c>
      <c r="I993" s="126" t="s">
        <v>119</v>
      </c>
    </row>
    <row r="994" outlineLevel="1">
      <c r="A994" s="83" t="s">
        <v>120</v>
      </c>
      <c r="B994" s="271">
        <f>IF(B984&lt;B985,B985,B984) *
IF(B992="AM",
    IF(B993="Oricle",3.5,
    IF(B993="Other Brands",4,
    IF(B993="Oricle Prio",0.6,""))),
 IF(B992="MID",
    IF(B993="Oricle",2.5,
    IF(B993="Other Brands",3,
    IF(B993="Oricle Prio",0.6,""))),
 IF(B992="GY",
    IF(B993="Oricle",1,
    IF(B993="Other Brands",1,
    IF(B993="Oricle Prio",0.3,""))),"")))-10</f>
        <v>110</v>
      </c>
      <c r="C994" s="273">
        <f>IF(C984&lt;C985,C985,C984) *
IF(C992="AM",
    IF(C993="Oricle",3,
    IF(C993="Other Brands",4,
    IF(C993="Oricle Prio",0.6,""))),
 IF(C992="MID",
    IF(C993="Oricle",2.5,
    IF(C993="Other Brands",3,
    IF(C993="Oricle Prio",0.6,""))),
 IF(C992="GY",
    IF(C993="Oricle",1,
    IF(C993="Other Brands",1,
    IF(C993="Oricle Prio",0.3,""))),"")))</f>
        <v>102</v>
      </c>
      <c r="D994" s="273">
        <f>IF(D984&lt;D985,D985,D984) *
IF(D992="AM",
    IF(D993="Oricle",3.5,
    IF(D993="Other Brands",4,
    IF(D993="Oricle Prio",0.6,""))),
 IF(D992="MID",
    IF(D993="Oricle",2.5,
    IF(D993="Other Brands",3,
    IF(D993="Oricle Prio",0.6,""))),
 IF(D992="GY",
    IF(D993="Oricle",1,
    IF(D993="Other Brands",1,
    IF(D993="Oricle Prio",0.3,""))),"")))</f>
        <v>160</v>
      </c>
      <c r="E994" s="273">
        <f>IF(E984&lt;E985,E985,E984) *
IF(E992="AM",
    IF(E993="Oricle",3.5,
    IF(E993="Other Brands",4,
    IF(E993="Oricle Prio",0.6,""))),
 IF(E992="MID",
    IF(E993="Oricle",2.5,
    IF(E993="Other Brands",3,
    IF(E993="Oricle Prio",0.6,""))),
 IF(E992="GY",
    IF(E993="Oricle",1,
    IF(E993="Other Brands",1,
    IF(E993="Oricle Prio",0.3,""))),"")))-15</f>
        <v>77.5</v>
      </c>
      <c r="F994" s="273">
        <f>IF(F984&lt;F985,F985,F984) *
IF(F992="AM",
    IF(F993="Oricle",3.5,
    IF(F993="Other Brands",4,
    IF(F993="Oricle Prio",0.6,""))),
 IF(F992="MID",
    IF(F993="Oricle",2.5,
    IF(F993="Other Brands",3,
    IF(F993="Oricle Prio",0.6,""))),
 IF(F992="GY",
    IF(F993="Oricle",1,
    IF(F993="Other Brands",1,
    IF(F993="Oricle Prio",0.3,""))),"")))</f>
        <v>111</v>
      </c>
      <c r="G994" s="273">
        <f t="shared" ref="G994:H994" si="381">IF(G984&lt;G985,G985,G984) *
IF(G992="AM",
    IF(G993="Oricle",3,
    IF(G993="Other Brands",4,
    IF(G993="Oricle Prio",0.6,""))),
 IF(G992="MID",
    IF(G993="Oricle",2.5,
    IF(G993="Other Brands",3,
    IF(G993="Oricle Prio",0.6,""))),
 IF(G992="GY",
    IF(G993="Oricle",1,
    IF(G993="Other Brands",1,
    IF(G993="Oricle Prio",0.3,""))),"")))</f>
        <v>120</v>
      </c>
      <c r="H994" s="273">
        <f t="shared" si="381"/>
        <v>120</v>
      </c>
      <c r="I994" s="273">
        <f>IF(I984&lt;I985,I985,I984) *
IF(I992="AM",
    IF(I993="Oricle",3.5,
    IF(I993="Other Brands",4,
    IF(I993="Oricle Prio",0.6,""))),
 IF(I992="MID",
    IF(I993="Oricle",2.5,
    IF(I993="Other Brands",3,
    IF(I993="Oricle Prio",0.6,""))),
 IF(I992="GY",
    IF(I993="Oricle",1,
    IF(I993="Other Brands",1,
    IF(I993="Oricle Prio",0.3,""))),"")))</f>
        <v>100</v>
      </c>
    </row>
    <row r="995" outlineLevel="1">
      <c r="A995" s="83" t="s">
        <v>131</v>
      </c>
      <c r="B995" s="450"/>
      <c r="C995" s="451"/>
      <c r="D995" s="451"/>
      <c r="E995" s="451"/>
      <c r="F995" s="451"/>
      <c r="G995" s="451"/>
      <c r="H995" s="451"/>
      <c r="I995" s="451"/>
    </row>
    <row r="996" outlineLevel="1">
      <c r="A996" s="83" t="s">
        <v>138</v>
      </c>
      <c r="B996" s="450"/>
      <c r="C996" s="451"/>
      <c r="D996" s="451"/>
      <c r="E996" s="451"/>
      <c r="F996" s="451"/>
      <c r="G996" s="451"/>
      <c r="H996" s="451"/>
      <c r="I996" s="451"/>
    </row>
    <row r="997" outlineLevel="1">
      <c r="A997" s="88" t="s">
        <v>149</v>
      </c>
      <c r="B997" s="152">
        <f t="shared" ref="B997:I997" si="382">IF(B995&gt;0,B996/B995,0)</f>
        <v>0</v>
      </c>
      <c r="C997" s="153">
        <f t="shared" si="382"/>
        <v>0</v>
      </c>
      <c r="D997" s="153">
        <f t="shared" si="382"/>
        <v>0</v>
      </c>
      <c r="E997" s="153">
        <f t="shared" si="382"/>
        <v>0</v>
      </c>
      <c r="F997" s="153">
        <f t="shared" si="382"/>
        <v>0</v>
      </c>
      <c r="G997" s="153">
        <f t="shared" si="382"/>
        <v>0</v>
      </c>
      <c r="H997" s="153">
        <f t="shared" si="382"/>
        <v>0</v>
      </c>
      <c r="I997" s="154">
        <f t="shared" si="382"/>
        <v>0</v>
      </c>
    </row>
    <row r="998" outlineLevel="1">
      <c r="A998" s="88" t="s">
        <v>156</v>
      </c>
      <c r="B998" s="152">
        <f t="shared" ref="B998:I998" si="383">IF(B994&gt;0,B996/B994,0)</f>
        <v>0</v>
      </c>
      <c r="C998" s="153">
        <f t="shared" si="383"/>
        <v>0</v>
      </c>
      <c r="D998" s="153">
        <f t="shared" si="383"/>
        <v>0</v>
      </c>
      <c r="E998" s="153">
        <f t="shared" si="383"/>
        <v>0</v>
      </c>
      <c r="F998" s="153">
        <f t="shared" si="383"/>
        <v>0</v>
      </c>
      <c r="G998" s="153">
        <f t="shared" si="383"/>
        <v>0</v>
      </c>
      <c r="H998" s="153">
        <f t="shared" si="383"/>
        <v>0</v>
      </c>
      <c r="I998" s="154">
        <f t="shared" si="383"/>
        <v>0</v>
      </c>
    </row>
    <row r="999" outlineLevel="1">
      <c r="A999" s="159" t="s">
        <v>13</v>
      </c>
      <c r="B999" s="297">
        <f t="shared" ref="B999:I999" si="384">average(B997:B998)</f>
        <v>0</v>
      </c>
      <c r="C999" s="298">
        <f t="shared" si="384"/>
        <v>0</v>
      </c>
      <c r="D999" s="298">
        <f t="shared" si="384"/>
        <v>0</v>
      </c>
      <c r="E999" s="298">
        <f t="shared" si="384"/>
        <v>0</v>
      </c>
      <c r="F999" s="298">
        <f t="shared" si="384"/>
        <v>0</v>
      </c>
      <c r="G999" s="298">
        <f t="shared" si="384"/>
        <v>0</v>
      </c>
      <c r="H999" s="298">
        <f t="shared" si="384"/>
        <v>0</v>
      </c>
      <c r="I999" s="299">
        <f t="shared" si="384"/>
        <v>0</v>
      </c>
    </row>
    <row r="1000" outlineLevel="1">
      <c r="A1000" s="51" t="s">
        <v>161</v>
      </c>
      <c r="B1000" s="452"/>
      <c r="C1000" s="54"/>
      <c r="D1000" s="54"/>
      <c r="E1000" s="54"/>
      <c r="F1000" s="54"/>
      <c r="G1000" s="54"/>
      <c r="H1000" s="54"/>
      <c r="I1000" s="335"/>
    </row>
    <row r="1001" outlineLevel="1">
      <c r="A1001" s="83" t="s">
        <v>162</v>
      </c>
      <c r="B1001" s="447"/>
      <c r="C1001" s="448"/>
      <c r="D1001" s="448"/>
      <c r="E1001" s="448"/>
      <c r="F1001" s="448"/>
      <c r="G1001" s="448"/>
      <c r="H1001" s="448"/>
      <c r="I1001" s="448"/>
    </row>
    <row r="1002" outlineLevel="1">
      <c r="A1002" s="88" t="s">
        <v>169</v>
      </c>
      <c r="B1002" s="165">
        <v>10.0</v>
      </c>
      <c r="C1002" s="166">
        <v>10.0</v>
      </c>
      <c r="D1002" s="166">
        <v>10.0</v>
      </c>
      <c r="E1002" s="166">
        <v>10.0</v>
      </c>
      <c r="F1002" s="166">
        <v>10.0</v>
      </c>
      <c r="G1002" s="166">
        <v>10.0</v>
      </c>
      <c r="H1002" s="166">
        <v>10.0</v>
      </c>
      <c r="I1002" s="168">
        <v>10.0</v>
      </c>
    </row>
    <row r="1003" outlineLevel="1">
      <c r="A1003" s="73" t="s">
        <v>170</v>
      </c>
      <c r="B1003" s="297">
        <f t="shared" ref="B1003:I1003" si="385">IF(B1001=0,0,B1001/B1002)</f>
        <v>0</v>
      </c>
      <c r="C1003" s="298">
        <f t="shared" si="385"/>
        <v>0</v>
      </c>
      <c r="D1003" s="298">
        <f t="shared" si="385"/>
        <v>0</v>
      </c>
      <c r="E1003" s="298">
        <f t="shared" si="385"/>
        <v>0</v>
      </c>
      <c r="F1003" s="298">
        <f t="shared" si="385"/>
        <v>0</v>
      </c>
      <c r="G1003" s="298">
        <f t="shared" si="385"/>
        <v>0</v>
      </c>
      <c r="H1003" s="298">
        <f t="shared" si="385"/>
        <v>0</v>
      </c>
      <c r="I1003" s="299">
        <f t="shared" si="385"/>
        <v>0</v>
      </c>
    </row>
    <row r="1004" outlineLevel="1">
      <c r="A1004" s="51" t="s">
        <v>173</v>
      </c>
      <c r="B1004" s="446"/>
      <c r="C1004" s="54"/>
      <c r="D1004" s="54"/>
      <c r="E1004" s="54"/>
      <c r="F1004" s="54"/>
      <c r="G1004" s="54"/>
      <c r="H1004" s="54"/>
      <c r="I1004" s="56"/>
    </row>
    <row r="1005" outlineLevel="1">
      <c r="A1005" s="83" t="s">
        <v>175</v>
      </c>
      <c r="B1005" s="447"/>
      <c r="C1005" s="448"/>
      <c r="D1005" s="448"/>
      <c r="E1005" s="448"/>
      <c r="F1005" s="448"/>
      <c r="G1005" s="448"/>
      <c r="H1005" s="448"/>
      <c r="I1005" s="449"/>
    </row>
    <row r="1006" outlineLevel="1">
      <c r="A1006" s="180" t="s">
        <v>179</v>
      </c>
      <c r="B1006" s="446"/>
      <c r="C1006" s="54"/>
      <c r="D1006" s="54"/>
      <c r="E1006" s="54"/>
      <c r="F1006" s="54"/>
      <c r="G1006" s="54"/>
      <c r="H1006" s="54"/>
      <c r="I1006" s="56"/>
    </row>
    <row r="1007" outlineLevel="1">
      <c r="A1007" s="88" t="s">
        <v>180</v>
      </c>
      <c r="B1007" s="181">
        <f t="shared" ref="B1007:I1007" si="386">B986*25</f>
        <v>0</v>
      </c>
      <c r="C1007" s="182">
        <f t="shared" si="386"/>
        <v>0</v>
      </c>
      <c r="D1007" s="182">
        <f t="shared" si="386"/>
        <v>0</v>
      </c>
      <c r="E1007" s="182">
        <f t="shared" si="386"/>
        <v>0</v>
      </c>
      <c r="F1007" s="182">
        <f t="shared" si="386"/>
        <v>0</v>
      </c>
      <c r="G1007" s="182">
        <f t="shared" si="386"/>
        <v>0</v>
      </c>
      <c r="H1007" s="182">
        <f t="shared" si="386"/>
        <v>0</v>
      </c>
      <c r="I1007" s="183">
        <f t="shared" si="386"/>
        <v>0</v>
      </c>
    </row>
    <row r="1008" outlineLevel="1">
      <c r="A1008" s="88" t="s">
        <v>182</v>
      </c>
      <c r="B1008" s="181">
        <f t="shared" ref="B1008:I1008" si="387">B990*35</f>
        <v>0</v>
      </c>
      <c r="C1008" s="182">
        <f t="shared" si="387"/>
        <v>0</v>
      </c>
      <c r="D1008" s="182">
        <f t="shared" si="387"/>
        <v>0</v>
      </c>
      <c r="E1008" s="182">
        <f t="shared" si="387"/>
        <v>0</v>
      </c>
      <c r="F1008" s="182">
        <f t="shared" si="387"/>
        <v>0</v>
      </c>
      <c r="G1008" s="182">
        <f t="shared" si="387"/>
        <v>0</v>
      </c>
      <c r="H1008" s="182">
        <f t="shared" si="387"/>
        <v>0</v>
      </c>
      <c r="I1008" s="183">
        <f t="shared" si="387"/>
        <v>0</v>
      </c>
    </row>
    <row r="1009" outlineLevel="1">
      <c r="A1009" s="88" t="s">
        <v>184</v>
      </c>
      <c r="B1009" s="181">
        <f t="shared" ref="B1009:I1009" si="388">IF(AND(B990&lt;85%, B999&gt;100%), 25, B999*25)</f>
        <v>0</v>
      </c>
      <c r="C1009" s="182">
        <f t="shared" si="388"/>
        <v>0</v>
      </c>
      <c r="D1009" s="182">
        <f t="shared" si="388"/>
        <v>0</v>
      </c>
      <c r="E1009" s="182">
        <f t="shared" si="388"/>
        <v>0</v>
      </c>
      <c r="F1009" s="182">
        <f t="shared" si="388"/>
        <v>0</v>
      </c>
      <c r="G1009" s="182">
        <f t="shared" si="388"/>
        <v>0</v>
      </c>
      <c r="H1009" s="182">
        <f t="shared" si="388"/>
        <v>0</v>
      </c>
      <c r="I1009" s="183">
        <f t="shared" si="388"/>
        <v>0</v>
      </c>
    </row>
    <row r="1010" outlineLevel="1">
      <c r="A1010" s="88" t="s">
        <v>187</v>
      </c>
      <c r="B1010" s="181">
        <f t="shared" ref="B1010:I1010" si="389">B1003*15</f>
        <v>0</v>
      </c>
      <c r="C1010" s="182">
        <f t="shared" si="389"/>
        <v>0</v>
      </c>
      <c r="D1010" s="182">
        <f t="shared" si="389"/>
        <v>0</v>
      </c>
      <c r="E1010" s="182">
        <f t="shared" si="389"/>
        <v>0</v>
      </c>
      <c r="F1010" s="182">
        <f t="shared" si="389"/>
        <v>0</v>
      </c>
      <c r="G1010" s="182">
        <f t="shared" si="389"/>
        <v>0</v>
      </c>
      <c r="H1010" s="182">
        <f t="shared" si="389"/>
        <v>0</v>
      </c>
      <c r="I1010" s="183">
        <f t="shared" si="389"/>
        <v>0</v>
      </c>
    </row>
    <row r="1011" outlineLevel="1">
      <c r="A1011" s="88" t="s">
        <v>188</v>
      </c>
      <c r="B1011" s="181">
        <f t="shared" ref="B1011:I1011" si="390">B1005*-10</f>
        <v>0</v>
      </c>
      <c r="C1011" s="182">
        <f t="shared" si="390"/>
        <v>0</v>
      </c>
      <c r="D1011" s="182">
        <f t="shared" si="390"/>
        <v>0</v>
      </c>
      <c r="E1011" s="182">
        <f t="shared" si="390"/>
        <v>0</v>
      </c>
      <c r="F1011" s="182">
        <f t="shared" si="390"/>
        <v>0</v>
      </c>
      <c r="G1011" s="182">
        <f t="shared" si="390"/>
        <v>0</v>
      </c>
      <c r="H1011" s="182">
        <f t="shared" si="390"/>
        <v>0</v>
      </c>
      <c r="I1011" s="183">
        <f t="shared" si="390"/>
        <v>0</v>
      </c>
    </row>
    <row r="1012" outlineLevel="1">
      <c r="A1012" s="187" t="s">
        <v>190</v>
      </c>
      <c r="B1012" s="181">
        <f t="shared" ref="B1012:I1012" si="391">B1007+B1008+B1009+B1010+B1011</f>
        <v>0</v>
      </c>
      <c r="C1012" s="182">
        <f t="shared" si="391"/>
        <v>0</v>
      </c>
      <c r="D1012" s="182">
        <f t="shared" si="391"/>
        <v>0</v>
      </c>
      <c r="E1012" s="182">
        <f t="shared" si="391"/>
        <v>0</v>
      </c>
      <c r="F1012" s="182">
        <f t="shared" si="391"/>
        <v>0</v>
      </c>
      <c r="G1012" s="182">
        <f t="shared" si="391"/>
        <v>0</v>
      </c>
      <c r="H1012" s="182">
        <f t="shared" si="391"/>
        <v>0</v>
      </c>
      <c r="I1012" s="183">
        <f t="shared" si="391"/>
        <v>0</v>
      </c>
    </row>
    <row r="1013" outlineLevel="1">
      <c r="A1013" s="73" t="s">
        <v>193</v>
      </c>
      <c r="B1013" s="74">
        <f t="shared" ref="B1013:I1013" si="392">B1012/100</f>
        <v>0</v>
      </c>
      <c r="C1013" s="75">
        <f t="shared" si="392"/>
        <v>0</v>
      </c>
      <c r="D1013" s="75">
        <f t="shared" si="392"/>
        <v>0</v>
      </c>
      <c r="E1013" s="75">
        <f t="shared" si="392"/>
        <v>0</v>
      </c>
      <c r="F1013" s="75">
        <f t="shared" si="392"/>
        <v>0</v>
      </c>
      <c r="G1013" s="75">
        <f t="shared" si="392"/>
        <v>0</v>
      </c>
      <c r="H1013" s="75">
        <f t="shared" si="392"/>
        <v>0</v>
      </c>
      <c r="I1013" s="77">
        <f t="shared" si="392"/>
        <v>0</v>
      </c>
    </row>
    <row r="1014" outlineLevel="1">
      <c r="A1014" s="180" t="s">
        <v>203</v>
      </c>
      <c r="B1014" s="453" t="s">
        <v>206</v>
      </c>
      <c r="C1014" s="454" t="s">
        <v>204</v>
      </c>
      <c r="D1014" s="454" t="s">
        <v>204</v>
      </c>
      <c r="E1014" s="454" t="s">
        <v>204</v>
      </c>
      <c r="F1014" s="454" t="s">
        <v>204</v>
      </c>
      <c r="G1014" s="454" t="s">
        <v>204</v>
      </c>
      <c r="H1014" s="4" t="s">
        <v>204</v>
      </c>
      <c r="I1014" s="4" t="s">
        <v>204</v>
      </c>
    </row>
    <row r="1015" outlineLevel="1">
      <c r="A1015" s="180" t="s">
        <v>208</v>
      </c>
      <c r="B1015" s="455"/>
      <c r="C1015" s="456"/>
      <c r="D1015" s="456"/>
      <c r="E1015" s="456"/>
      <c r="F1015" s="456"/>
      <c r="G1015" s="456"/>
      <c r="H1015" s="456"/>
      <c r="I1015" s="457"/>
    </row>
    <row r="1016">
      <c r="A1016" s="458"/>
      <c r="B1016" s="459"/>
      <c r="C1016" s="459"/>
      <c r="D1016" s="459"/>
      <c r="E1016" s="459"/>
      <c r="F1016" s="459"/>
      <c r="G1016" s="459"/>
      <c r="H1016" s="460"/>
      <c r="I1016" s="222"/>
    </row>
    <row r="1017">
      <c r="A1017" s="458"/>
      <c r="B1017" s="459"/>
      <c r="C1017" s="459"/>
      <c r="D1017" s="459"/>
      <c r="E1017" s="459"/>
      <c r="F1017" s="459"/>
      <c r="G1017" s="459"/>
      <c r="H1017" s="460"/>
      <c r="I1017" s="222"/>
    </row>
    <row r="1018">
      <c r="A1018" s="458"/>
      <c r="B1018" s="459"/>
      <c r="C1018" s="459"/>
      <c r="D1018" s="459"/>
      <c r="E1018" s="459"/>
      <c r="F1018" s="459"/>
      <c r="G1018" s="459"/>
      <c r="H1018" s="460"/>
      <c r="I1018" s="222"/>
    </row>
    <row r="1019">
      <c r="A1019" s="458"/>
      <c r="B1019" s="459"/>
      <c r="C1019" s="459"/>
      <c r="D1019" s="459"/>
      <c r="E1019" s="459"/>
      <c r="F1019" s="459"/>
      <c r="G1019" s="459"/>
      <c r="H1019" s="460"/>
      <c r="I1019" s="222"/>
    </row>
    <row r="1020">
      <c r="A1020" s="458"/>
      <c r="B1020" s="459"/>
      <c r="C1020" s="459"/>
      <c r="D1020" s="459"/>
      <c r="E1020" s="459"/>
      <c r="F1020" s="459"/>
      <c r="G1020" s="459"/>
      <c r="H1020" s="460"/>
      <c r="I1020" s="222"/>
    </row>
    <row r="1021">
      <c r="A1021" s="458"/>
      <c r="B1021" s="459"/>
      <c r="C1021" s="459"/>
      <c r="D1021" s="459"/>
      <c r="E1021" s="459"/>
      <c r="F1021" s="459"/>
      <c r="G1021" s="459"/>
      <c r="H1021" s="460"/>
      <c r="I1021" s="222"/>
    </row>
    <row r="1022">
      <c r="A1022" s="458"/>
      <c r="B1022" s="459"/>
      <c r="C1022" s="459"/>
      <c r="D1022" s="459"/>
      <c r="E1022" s="459"/>
      <c r="F1022" s="459"/>
      <c r="G1022" s="459"/>
      <c r="H1022" s="460"/>
      <c r="I1022" s="222"/>
    </row>
    <row r="1023">
      <c r="A1023" s="458"/>
      <c r="B1023" s="459"/>
      <c r="C1023" s="459"/>
      <c r="D1023" s="459"/>
      <c r="E1023" s="459"/>
      <c r="F1023" s="459"/>
      <c r="G1023" s="459"/>
      <c r="H1023" s="460"/>
      <c r="I1023" s="222"/>
    </row>
    <row r="1024">
      <c r="A1024" s="458"/>
      <c r="B1024" s="459"/>
      <c r="C1024" s="459"/>
      <c r="D1024" s="459"/>
      <c r="E1024" s="459"/>
      <c r="F1024" s="459"/>
      <c r="G1024" s="459"/>
      <c r="H1024" s="460"/>
      <c r="I1024" s="222"/>
    </row>
    <row r="1025">
      <c r="A1025" s="458"/>
      <c r="B1025" s="459"/>
      <c r="C1025" s="459"/>
      <c r="D1025" s="459"/>
      <c r="E1025" s="459"/>
      <c r="F1025" s="459"/>
      <c r="G1025" s="459"/>
      <c r="H1025" s="460"/>
      <c r="I1025" s="222"/>
    </row>
    <row r="1026">
      <c r="A1026" s="458"/>
      <c r="B1026" s="459"/>
      <c r="C1026" s="459"/>
      <c r="D1026" s="459"/>
      <c r="E1026" s="459"/>
      <c r="F1026" s="459"/>
      <c r="G1026" s="459"/>
      <c r="H1026" s="460"/>
      <c r="I1026" s="222"/>
    </row>
    <row r="1027">
      <c r="A1027" s="458"/>
      <c r="B1027" s="459"/>
      <c r="C1027" s="459"/>
      <c r="D1027" s="459"/>
      <c r="E1027" s="459"/>
      <c r="F1027" s="459"/>
      <c r="G1027" s="459"/>
      <c r="H1027" s="460"/>
      <c r="I1027" s="222"/>
    </row>
    <row r="1028">
      <c r="A1028" s="458"/>
      <c r="B1028" s="459"/>
      <c r="C1028" s="459"/>
      <c r="D1028" s="459"/>
      <c r="E1028" s="459"/>
      <c r="F1028" s="459"/>
      <c r="G1028" s="459"/>
      <c r="H1028" s="460"/>
      <c r="I1028" s="222"/>
    </row>
    <row r="1029">
      <c r="A1029" s="458"/>
      <c r="B1029" s="459"/>
      <c r="C1029" s="459"/>
      <c r="D1029" s="459"/>
      <c r="E1029" s="459"/>
      <c r="F1029" s="459"/>
      <c r="G1029" s="459"/>
      <c r="H1029" s="460"/>
      <c r="I1029" s="222"/>
    </row>
    <row r="1030">
      <c r="A1030" s="458"/>
      <c r="B1030" s="459"/>
      <c r="C1030" s="459"/>
      <c r="D1030" s="459"/>
      <c r="E1030" s="459"/>
      <c r="F1030" s="459"/>
      <c r="G1030" s="459"/>
      <c r="H1030" s="460"/>
      <c r="I1030" s="222"/>
    </row>
    <row r="1031">
      <c r="A1031" s="458"/>
      <c r="B1031" s="459"/>
      <c r="C1031" s="459"/>
      <c r="D1031" s="459"/>
      <c r="E1031" s="459"/>
      <c r="F1031" s="459"/>
      <c r="G1031" s="459"/>
      <c r="H1031" s="460"/>
      <c r="I1031" s="222"/>
    </row>
    <row r="1032">
      <c r="A1032" s="458"/>
      <c r="B1032" s="459"/>
      <c r="C1032" s="459"/>
      <c r="D1032" s="459"/>
      <c r="E1032" s="459"/>
      <c r="F1032" s="459"/>
      <c r="G1032" s="459"/>
      <c r="H1032" s="460"/>
      <c r="I1032" s="222"/>
    </row>
    <row r="1033">
      <c r="A1033" s="458"/>
      <c r="B1033" s="459"/>
      <c r="C1033" s="459"/>
      <c r="D1033" s="459"/>
      <c r="E1033" s="459"/>
      <c r="F1033" s="459"/>
      <c r="G1033" s="459"/>
      <c r="H1033" s="460"/>
      <c r="I1033" s="222"/>
    </row>
    <row r="1034">
      <c r="A1034" s="458"/>
      <c r="B1034" s="459"/>
      <c r="C1034" s="459"/>
      <c r="D1034" s="459"/>
      <c r="E1034" s="459"/>
      <c r="F1034" s="459"/>
      <c r="G1034" s="459"/>
      <c r="H1034" s="460"/>
      <c r="I1034" s="222"/>
    </row>
    <row r="1035">
      <c r="A1035" s="458"/>
      <c r="B1035" s="459"/>
      <c r="C1035" s="459"/>
      <c r="D1035" s="459"/>
      <c r="E1035" s="459"/>
      <c r="F1035" s="459"/>
      <c r="G1035" s="459"/>
      <c r="H1035" s="460"/>
      <c r="I1035" s="222"/>
    </row>
    <row r="1036">
      <c r="A1036" s="458"/>
      <c r="B1036" s="459"/>
      <c r="C1036" s="459"/>
      <c r="D1036" s="459"/>
      <c r="E1036" s="459"/>
      <c r="F1036" s="459"/>
      <c r="G1036" s="459"/>
      <c r="H1036" s="460"/>
      <c r="I1036" s="222"/>
    </row>
    <row r="1037">
      <c r="A1037" s="458"/>
      <c r="B1037" s="459"/>
      <c r="C1037" s="459"/>
      <c r="D1037" s="459"/>
      <c r="E1037" s="459"/>
      <c r="F1037" s="459"/>
      <c r="G1037" s="459"/>
      <c r="H1037" s="460"/>
      <c r="I1037" s="222"/>
    </row>
    <row r="1038">
      <c r="A1038" s="458"/>
      <c r="B1038" s="459"/>
      <c r="C1038" s="459"/>
      <c r="D1038" s="459"/>
      <c r="E1038" s="459"/>
      <c r="F1038" s="459"/>
      <c r="G1038" s="459"/>
      <c r="H1038" s="460"/>
      <c r="I1038" s="222"/>
    </row>
    <row r="1039">
      <c r="A1039" s="458"/>
      <c r="B1039" s="459"/>
      <c r="C1039" s="459"/>
      <c r="D1039" s="459"/>
      <c r="E1039" s="459"/>
      <c r="F1039" s="459"/>
      <c r="G1039" s="459"/>
      <c r="H1039" s="460"/>
      <c r="I1039" s="222"/>
    </row>
    <row r="1040">
      <c r="A1040" s="458"/>
      <c r="B1040" s="459"/>
      <c r="C1040" s="459"/>
      <c r="D1040" s="459"/>
      <c r="E1040" s="459"/>
      <c r="F1040" s="459"/>
      <c r="G1040" s="459"/>
      <c r="H1040" s="460"/>
      <c r="I1040" s="222"/>
    </row>
    <row r="1041">
      <c r="A1041" s="458"/>
      <c r="B1041" s="459"/>
      <c r="C1041" s="459"/>
      <c r="D1041" s="459"/>
      <c r="E1041" s="459"/>
      <c r="F1041" s="459"/>
      <c r="G1041" s="459"/>
      <c r="H1041" s="460"/>
      <c r="I1041" s="222"/>
    </row>
    <row r="1042">
      <c r="A1042" s="458"/>
      <c r="B1042" s="459"/>
      <c r="C1042" s="459"/>
      <c r="D1042" s="459"/>
      <c r="E1042" s="459"/>
      <c r="F1042" s="459"/>
      <c r="G1042" s="459"/>
      <c r="H1042" s="460"/>
      <c r="I1042" s="222"/>
    </row>
    <row r="1043">
      <c r="A1043" s="458"/>
      <c r="B1043" s="459"/>
      <c r="C1043" s="459"/>
      <c r="D1043" s="459"/>
      <c r="E1043" s="459"/>
      <c r="F1043" s="459"/>
      <c r="G1043" s="459"/>
      <c r="H1043" s="460"/>
      <c r="I1043" s="222"/>
    </row>
    <row r="1044">
      <c r="A1044" s="458"/>
      <c r="B1044" s="459"/>
      <c r="C1044" s="459"/>
      <c r="D1044" s="459"/>
      <c r="E1044" s="459"/>
      <c r="F1044" s="459"/>
      <c r="G1044" s="459"/>
      <c r="H1044" s="460"/>
      <c r="I1044" s="222"/>
    </row>
    <row r="1045">
      <c r="A1045" s="458"/>
      <c r="B1045" s="459"/>
      <c r="C1045" s="459"/>
      <c r="D1045" s="459"/>
      <c r="E1045" s="459"/>
      <c r="F1045" s="459"/>
      <c r="G1045" s="459"/>
      <c r="H1045" s="460"/>
      <c r="I1045" s="222"/>
    </row>
    <row r="1046">
      <c r="A1046" s="458"/>
      <c r="B1046" s="459"/>
      <c r="C1046" s="459"/>
      <c r="D1046" s="459"/>
      <c r="E1046" s="459"/>
      <c r="F1046" s="459"/>
      <c r="G1046" s="459"/>
      <c r="H1046" s="460"/>
      <c r="I1046" s="222"/>
    </row>
    <row r="1047">
      <c r="A1047" s="458"/>
      <c r="B1047" s="459"/>
      <c r="C1047" s="459"/>
      <c r="D1047" s="459"/>
      <c r="E1047" s="459"/>
      <c r="F1047" s="459"/>
      <c r="G1047" s="459"/>
      <c r="H1047" s="460"/>
      <c r="I1047" s="222"/>
    </row>
    <row r="1048">
      <c r="A1048" s="458"/>
      <c r="B1048" s="459"/>
      <c r="C1048" s="459"/>
      <c r="D1048" s="459"/>
      <c r="E1048" s="459"/>
      <c r="F1048" s="459"/>
      <c r="G1048" s="459"/>
      <c r="H1048" s="460"/>
      <c r="I1048" s="222"/>
    </row>
    <row r="1049">
      <c r="A1049" s="458"/>
      <c r="B1049" s="459"/>
      <c r="C1049" s="459"/>
      <c r="D1049" s="459"/>
      <c r="E1049" s="459"/>
      <c r="F1049" s="459"/>
      <c r="G1049" s="459"/>
      <c r="H1049" s="460"/>
      <c r="I1049" s="222"/>
    </row>
    <row r="1050">
      <c r="A1050" s="458"/>
      <c r="B1050" s="459"/>
      <c r="C1050" s="459"/>
      <c r="D1050" s="459"/>
      <c r="E1050" s="459"/>
      <c r="F1050" s="459"/>
      <c r="G1050" s="459"/>
      <c r="H1050" s="460"/>
      <c r="I1050" s="222"/>
    </row>
    <row r="1051">
      <c r="A1051" s="458"/>
      <c r="B1051" s="459"/>
      <c r="C1051" s="459"/>
      <c r="D1051" s="459"/>
      <c r="E1051" s="459"/>
      <c r="F1051" s="459"/>
      <c r="G1051" s="459"/>
      <c r="H1051" s="460"/>
      <c r="I1051" s="222"/>
    </row>
    <row r="1052">
      <c r="A1052" s="458"/>
      <c r="B1052" s="459"/>
      <c r="C1052" s="459"/>
      <c r="D1052" s="459"/>
      <c r="E1052" s="459"/>
      <c r="F1052" s="459"/>
      <c r="G1052" s="459"/>
      <c r="H1052" s="460"/>
      <c r="I1052" s="222"/>
    </row>
    <row r="1053">
      <c r="A1053" s="458"/>
      <c r="B1053" s="459"/>
      <c r="C1053" s="459"/>
      <c r="D1053" s="459"/>
      <c r="E1053" s="459"/>
      <c r="F1053" s="459"/>
      <c r="G1053" s="459"/>
      <c r="H1053" s="460"/>
      <c r="I1053" s="222"/>
    </row>
    <row r="1054">
      <c r="A1054" s="458"/>
      <c r="B1054" s="459"/>
      <c r="C1054" s="459"/>
      <c r="D1054" s="459"/>
      <c r="E1054" s="459"/>
      <c r="F1054" s="459"/>
      <c r="G1054" s="459"/>
      <c r="H1054" s="460"/>
      <c r="I1054" s="222"/>
    </row>
    <row r="1055">
      <c r="A1055" s="458"/>
      <c r="B1055" s="459"/>
      <c r="C1055" s="459"/>
      <c r="D1055" s="459"/>
      <c r="E1055" s="459"/>
      <c r="F1055" s="459"/>
      <c r="G1055" s="459"/>
      <c r="H1055" s="460"/>
      <c r="I1055" s="222"/>
    </row>
    <row r="1056">
      <c r="A1056" s="458"/>
      <c r="B1056" s="459"/>
      <c r="C1056" s="459"/>
      <c r="D1056" s="459"/>
      <c r="E1056" s="459"/>
      <c r="F1056" s="459"/>
      <c r="G1056" s="459"/>
      <c r="H1056" s="460"/>
      <c r="I1056" s="222"/>
    </row>
    <row r="1057">
      <c r="A1057" s="458"/>
      <c r="B1057" s="459"/>
      <c r="C1057" s="459"/>
      <c r="D1057" s="459"/>
      <c r="E1057" s="459"/>
      <c r="F1057" s="459"/>
      <c r="G1057" s="459"/>
      <c r="H1057" s="460"/>
      <c r="I1057" s="222"/>
    </row>
    <row r="1058">
      <c r="A1058" s="458"/>
      <c r="B1058" s="459"/>
      <c r="C1058" s="459"/>
      <c r="D1058" s="459"/>
      <c r="E1058" s="459"/>
      <c r="F1058" s="459"/>
      <c r="G1058" s="459"/>
      <c r="H1058" s="460"/>
      <c r="I1058" s="222"/>
    </row>
    <row r="1059">
      <c r="A1059" s="458"/>
      <c r="B1059" s="459"/>
      <c r="C1059" s="459"/>
      <c r="D1059" s="459"/>
      <c r="E1059" s="459"/>
      <c r="F1059" s="459"/>
      <c r="G1059" s="459"/>
      <c r="H1059" s="460"/>
      <c r="I1059" s="222"/>
    </row>
    <row r="1060">
      <c r="A1060" s="458"/>
      <c r="B1060" s="459"/>
      <c r="C1060" s="459"/>
      <c r="D1060" s="459"/>
      <c r="E1060" s="459"/>
      <c r="F1060" s="459"/>
      <c r="G1060" s="459"/>
      <c r="H1060" s="460"/>
      <c r="I1060" s="222"/>
    </row>
    <row r="1061">
      <c r="A1061" s="458"/>
      <c r="B1061" s="459"/>
      <c r="C1061" s="459"/>
      <c r="D1061" s="459"/>
      <c r="E1061" s="459"/>
      <c r="F1061" s="459"/>
      <c r="G1061" s="459"/>
      <c r="H1061" s="460"/>
      <c r="I1061" s="222"/>
    </row>
    <row r="1062">
      <c r="A1062" s="458"/>
      <c r="B1062" s="459"/>
      <c r="C1062" s="459"/>
      <c r="D1062" s="459"/>
      <c r="E1062" s="459"/>
      <c r="F1062" s="459"/>
      <c r="G1062" s="459"/>
      <c r="H1062" s="460"/>
      <c r="I1062" s="222"/>
    </row>
    <row r="1063">
      <c r="A1063" s="458"/>
      <c r="B1063" s="459"/>
      <c r="C1063" s="459"/>
      <c r="D1063" s="459"/>
      <c r="E1063" s="459"/>
      <c r="F1063" s="459"/>
      <c r="G1063" s="459"/>
      <c r="H1063" s="460"/>
      <c r="I1063" s="222"/>
    </row>
    <row r="1064">
      <c r="A1064" s="458"/>
      <c r="B1064" s="459"/>
      <c r="C1064" s="459"/>
      <c r="D1064" s="459"/>
      <c r="E1064" s="459"/>
      <c r="F1064" s="459"/>
      <c r="G1064" s="459"/>
      <c r="H1064" s="460"/>
      <c r="I1064" s="222"/>
    </row>
    <row r="1065">
      <c r="A1065" s="458"/>
      <c r="B1065" s="459"/>
      <c r="C1065" s="459"/>
      <c r="D1065" s="459"/>
      <c r="E1065" s="459"/>
      <c r="F1065" s="459"/>
      <c r="G1065" s="459"/>
      <c r="H1065" s="460"/>
      <c r="I1065" s="222"/>
    </row>
    <row r="1066">
      <c r="A1066" s="458"/>
      <c r="B1066" s="459"/>
      <c r="C1066" s="459"/>
      <c r="D1066" s="459"/>
      <c r="E1066" s="459"/>
      <c r="F1066" s="459"/>
      <c r="G1066" s="459"/>
      <c r="H1066" s="460"/>
      <c r="I1066" s="222"/>
    </row>
    <row r="1067">
      <c r="A1067" s="458"/>
      <c r="B1067" s="459"/>
      <c r="C1067" s="459"/>
      <c r="D1067" s="459"/>
      <c r="E1067" s="459"/>
      <c r="F1067" s="459"/>
      <c r="G1067" s="459"/>
      <c r="H1067" s="460"/>
      <c r="I1067" s="222"/>
    </row>
    <row r="1068">
      <c r="A1068" s="458"/>
      <c r="B1068" s="459"/>
      <c r="C1068" s="459"/>
      <c r="D1068" s="459"/>
      <c r="E1068" s="459"/>
      <c r="F1068" s="459"/>
      <c r="G1068" s="459"/>
      <c r="H1068" s="460"/>
      <c r="I1068" s="222"/>
    </row>
    <row r="1069">
      <c r="A1069" s="458"/>
      <c r="B1069" s="459"/>
      <c r="C1069" s="459"/>
      <c r="D1069" s="459"/>
      <c r="E1069" s="459"/>
      <c r="F1069" s="459"/>
      <c r="G1069" s="459"/>
      <c r="H1069" s="460"/>
      <c r="I1069" s="222"/>
    </row>
    <row r="1070">
      <c r="A1070" s="458"/>
      <c r="B1070" s="459"/>
      <c r="C1070" s="459"/>
      <c r="D1070" s="459"/>
      <c r="E1070" s="459"/>
      <c r="F1070" s="459"/>
      <c r="G1070" s="459"/>
      <c r="H1070" s="460"/>
      <c r="I1070" s="222"/>
    </row>
    <row r="1071">
      <c r="A1071" s="458"/>
      <c r="B1071" s="459"/>
      <c r="C1071" s="459"/>
      <c r="D1071" s="459"/>
      <c r="E1071" s="459"/>
      <c r="F1071" s="459"/>
      <c r="G1071" s="459"/>
      <c r="H1071" s="460"/>
      <c r="I1071" s="222"/>
    </row>
    <row r="1072">
      <c r="A1072" s="458"/>
      <c r="B1072" s="459"/>
      <c r="C1072" s="459"/>
      <c r="D1072" s="459"/>
      <c r="E1072" s="459"/>
      <c r="F1072" s="459"/>
      <c r="G1072" s="459"/>
      <c r="H1072" s="460"/>
      <c r="I1072" s="222"/>
    </row>
    <row r="1073">
      <c r="A1073" s="458"/>
      <c r="B1073" s="459"/>
      <c r="C1073" s="459"/>
      <c r="D1073" s="459"/>
      <c r="E1073" s="459"/>
      <c r="F1073" s="459"/>
      <c r="G1073" s="459"/>
      <c r="H1073" s="460"/>
      <c r="I1073" s="222"/>
    </row>
    <row r="1074">
      <c r="A1074" s="458"/>
      <c r="B1074" s="459"/>
      <c r="C1074" s="459"/>
      <c r="D1074" s="459"/>
      <c r="E1074" s="459"/>
      <c r="F1074" s="459"/>
      <c r="G1074" s="459"/>
      <c r="H1074" s="460"/>
      <c r="I1074" s="222"/>
    </row>
    <row r="1075">
      <c r="A1075" s="458"/>
      <c r="B1075" s="459"/>
      <c r="C1075" s="459"/>
      <c r="D1075" s="459"/>
      <c r="E1075" s="459"/>
      <c r="F1075" s="459"/>
      <c r="G1075" s="459"/>
      <c r="H1075" s="460"/>
      <c r="I1075" s="222"/>
    </row>
    <row r="1076">
      <c r="A1076" s="458"/>
      <c r="B1076" s="459"/>
      <c r="C1076" s="459"/>
      <c r="D1076" s="459"/>
      <c r="E1076" s="459"/>
      <c r="F1076" s="459"/>
      <c r="G1076" s="459"/>
      <c r="H1076" s="460"/>
      <c r="I1076" s="222"/>
    </row>
    <row r="1077">
      <c r="A1077" s="458"/>
      <c r="B1077" s="459"/>
      <c r="C1077" s="459"/>
      <c r="D1077" s="459"/>
      <c r="E1077" s="459"/>
      <c r="F1077" s="459"/>
      <c r="G1077" s="459"/>
      <c r="H1077" s="460"/>
      <c r="I1077" s="222"/>
    </row>
    <row r="1078">
      <c r="A1078" s="458"/>
      <c r="B1078" s="459"/>
      <c r="C1078" s="459"/>
      <c r="D1078" s="459"/>
      <c r="E1078" s="459"/>
      <c r="F1078" s="459"/>
      <c r="G1078" s="459"/>
      <c r="H1078" s="460"/>
      <c r="I1078" s="222"/>
    </row>
    <row r="1079">
      <c r="A1079" s="458"/>
      <c r="B1079" s="459"/>
      <c r="C1079" s="459"/>
      <c r="D1079" s="459"/>
      <c r="E1079" s="459"/>
      <c r="F1079" s="459"/>
      <c r="G1079" s="459"/>
      <c r="H1079" s="460"/>
      <c r="I1079" s="222"/>
    </row>
    <row r="1080">
      <c r="A1080" s="458"/>
      <c r="B1080" s="459"/>
      <c r="C1080" s="459"/>
      <c r="D1080" s="459"/>
      <c r="E1080" s="459"/>
      <c r="F1080" s="459"/>
      <c r="G1080" s="459"/>
      <c r="H1080" s="460"/>
      <c r="I1080" s="222"/>
    </row>
    <row r="1081">
      <c r="A1081" s="458"/>
      <c r="B1081" s="459"/>
      <c r="C1081" s="459"/>
      <c r="D1081" s="459"/>
      <c r="E1081" s="459"/>
      <c r="F1081" s="459"/>
      <c r="G1081" s="459"/>
      <c r="H1081" s="460"/>
      <c r="I1081" s="222"/>
    </row>
    <row r="1082">
      <c r="A1082" s="458"/>
      <c r="B1082" s="459"/>
      <c r="C1082" s="459"/>
      <c r="D1082" s="459"/>
      <c r="E1082" s="459"/>
      <c r="F1082" s="459"/>
      <c r="G1082" s="459"/>
      <c r="H1082" s="460"/>
      <c r="I1082" s="222"/>
    </row>
    <row r="1083">
      <c r="A1083" s="458"/>
      <c r="B1083" s="459"/>
      <c r="C1083" s="459"/>
      <c r="D1083" s="459"/>
      <c r="E1083" s="459"/>
      <c r="F1083" s="459"/>
      <c r="G1083" s="459"/>
      <c r="H1083" s="460"/>
      <c r="I1083" s="222"/>
    </row>
    <row r="1084">
      <c r="A1084" s="458"/>
      <c r="B1084" s="459"/>
      <c r="C1084" s="459"/>
      <c r="D1084" s="459"/>
      <c r="E1084" s="459"/>
      <c r="F1084" s="459"/>
      <c r="G1084" s="459"/>
      <c r="H1084" s="460"/>
      <c r="I1084" s="222"/>
    </row>
    <row r="1085">
      <c r="A1085" s="458"/>
      <c r="B1085" s="459"/>
      <c r="C1085" s="459"/>
      <c r="D1085" s="459"/>
      <c r="E1085" s="459"/>
      <c r="F1085" s="459"/>
      <c r="G1085" s="459"/>
      <c r="H1085" s="460"/>
      <c r="I1085" s="222"/>
    </row>
    <row r="1086">
      <c r="A1086" s="458"/>
      <c r="B1086" s="459"/>
      <c r="C1086" s="459"/>
      <c r="D1086" s="459"/>
      <c r="E1086" s="459"/>
      <c r="F1086" s="459"/>
      <c r="G1086" s="459"/>
      <c r="H1086" s="460"/>
      <c r="I1086" s="222"/>
    </row>
    <row r="1087">
      <c r="A1087" s="458"/>
      <c r="B1087" s="459"/>
      <c r="C1087" s="459"/>
      <c r="D1087" s="459"/>
      <c r="E1087" s="459"/>
      <c r="F1087" s="459"/>
      <c r="G1087" s="459"/>
      <c r="H1087" s="460"/>
      <c r="I1087" s="222"/>
    </row>
    <row r="1088">
      <c r="A1088" s="458"/>
      <c r="B1088" s="459"/>
      <c r="C1088" s="459"/>
      <c r="D1088" s="459"/>
      <c r="E1088" s="459"/>
      <c r="F1088" s="459"/>
      <c r="G1088" s="459"/>
      <c r="H1088" s="460"/>
      <c r="I1088" s="222"/>
    </row>
    <row r="1089">
      <c r="A1089" s="458"/>
      <c r="B1089" s="459"/>
      <c r="C1089" s="459"/>
      <c r="D1089" s="459"/>
      <c r="E1089" s="459"/>
      <c r="F1089" s="459"/>
      <c r="G1089" s="459"/>
      <c r="H1089" s="460"/>
      <c r="I1089" s="222"/>
    </row>
    <row r="1090">
      <c r="A1090" s="458"/>
      <c r="B1090" s="459"/>
      <c r="C1090" s="459"/>
      <c r="D1090" s="459"/>
      <c r="E1090" s="459"/>
      <c r="F1090" s="459"/>
      <c r="G1090" s="459"/>
      <c r="H1090" s="460"/>
      <c r="I1090" s="222"/>
    </row>
    <row r="1091">
      <c r="A1091" s="458"/>
      <c r="B1091" s="459"/>
      <c r="C1091" s="459"/>
      <c r="D1091" s="459"/>
      <c r="E1091" s="459"/>
      <c r="F1091" s="459"/>
      <c r="G1091" s="459"/>
      <c r="H1091" s="460"/>
      <c r="I1091" s="222"/>
    </row>
    <row r="1092">
      <c r="A1092" s="458"/>
      <c r="B1092" s="459"/>
      <c r="C1092" s="459"/>
      <c r="D1092" s="459"/>
      <c r="E1092" s="459"/>
      <c r="F1092" s="459"/>
      <c r="G1092" s="459"/>
      <c r="H1092" s="460"/>
      <c r="I1092" s="222"/>
    </row>
    <row r="1093">
      <c r="A1093" s="458"/>
      <c r="B1093" s="459"/>
      <c r="C1093" s="459"/>
      <c r="D1093" s="459"/>
      <c r="E1093" s="459"/>
      <c r="F1093" s="459"/>
      <c r="G1093" s="459"/>
      <c r="H1093" s="460"/>
      <c r="I1093" s="222"/>
    </row>
    <row r="1094">
      <c r="A1094" s="458"/>
      <c r="B1094" s="459"/>
      <c r="C1094" s="459"/>
      <c r="D1094" s="459"/>
      <c r="E1094" s="459"/>
      <c r="F1094" s="459"/>
      <c r="G1094" s="459"/>
      <c r="H1094" s="460"/>
      <c r="I1094" s="222"/>
    </row>
    <row r="1095">
      <c r="A1095" s="458"/>
      <c r="B1095" s="459"/>
      <c r="C1095" s="459"/>
      <c r="D1095" s="459"/>
      <c r="E1095" s="459"/>
      <c r="F1095" s="459"/>
      <c r="G1095" s="459"/>
      <c r="H1095" s="460"/>
      <c r="I1095" s="222"/>
    </row>
    <row r="1096">
      <c r="A1096" s="458"/>
      <c r="B1096" s="459"/>
      <c r="C1096" s="459"/>
      <c r="D1096" s="459"/>
      <c r="E1096" s="459"/>
      <c r="F1096" s="459"/>
      <c r="G1096" s="459"/>
      <c r="H1096" s="460"/>
      <c r="I1096" s="222"/>
    </row>
    <row r="1097">
      <c r="A1097" s="458"/>
      <c r="B1097" s="459"/>
      <c r="C1097" s="459"/>
      <c r="D1097" s="459"/>
      <c r="E1097" s="459"/>
      <c r="F1097" s="459"/>
      <c r="G1097" s="459"/>
      <c r="H1097" s="460"/>
      <c r="I1097" s="222"/>
    </row>
    <row r="1098">
      <c r="A1098" s="458"/>
      <c r="B1098" s="459"/>
      <c r="C1098" s="459"/>
      <c r="D1098" s="459"/>
      <c r="E1098" s="459"/>
      <c r="F1098" s="459"/>
      <c r="G1098" s="459"/>
      <c r="H1098" s="460"/>
      <c r="I1098" s="222"/>
    </row>
    <row r="1099">
      <c r="A1099" s="458"/>
      <c r="B1099" s="459"/>
      <c r="C1099" s="459"/>
      <c r="D1099" s="459"/>
      <c r="E1099" s="459"/>
      <c r="F1099" s="459"/>
      <c r="G1099" s="459"/>
      <c r="H1099" s="460"/>
      <c r="I1099" s="222"/>
    </row>
    <row r="1100">
      <c r="A1100" s="458"/>
      <c r="B1100" s="459"/>
      <c r="C1100" s="459"/>
      <c r="D1100" s="459"/>
      <c r="E1100" s="459"/>
      <c r="F1100" s="459"/>
      <c r="G1100" s="459"/>
      <c r="H1100" s="460"/>
      <c r="I1100" s="222"/>
    </row>
    <row r="1101">
      <c r="A1101" s="458"/>
      <c r="B1101" s="459"/>
      <c r="C1101" s="459"/>
      <c r="D1101" s="459"/>
      <c r="E1101" s="459"/>
      <c r="F1101" s="459"/>
      <c r="G1101" s="459"/>
      <c r="H1101" s="460"/>
      <c r="I1101" s="222"/>
    </row>
    <row r="1102">
      <c r="A1102" s="458"/>
      <c r="B1102" s="459"/>
      <c r="C1102" s="459"/>
      <c r="D1102" s="459"/>
      <c r="E1102" s="459"/>
      <c r="F1102" s="459"/>
      <c r="G1102" s="459"/>
      <c r="H1102" s="460"/>
      <c r="I1102" s="222"/>
    </row>
    <row r="1103">
      <c r="A1103" s="458"/>
      <c r="B1103" s="459"/>
      <c r="C1103" s="459"/>
      <c r="D1103" s="459"/>
      <c r="E1103" s="459"/>
      <c r="F1103" s="459"/>
      <c r="G1103" s="459"/>
      <c r="H1103" s="460"/>
      <c r="I1103" s="222"/>
    </row>
    <row r="1104">
      <c r="A1104" s="458"/>
      <c r="B1104" s="459"/>
      <c r="C1104" s="459"/>
      <c r="D1104" s="459"/>
      <c r="E1104" s="459"/>
      <c r="F1104" s="459"/>
      <c r="G1104" s="459"/>
      <c r="H1104" s="460"/>
      <c r="I1104" s="222"/>
    </row>
    <row r="1105">
      <c r="A1105" s="458"/>
      <c r="B1105" s="459"/>
      <c r="C1105" s="459"/>
      <c r="D1105" s="459"/>
      <c r="E1105" s="459"/>
      <c r="F1105" s="459"/>
      <c r="G1105" s="459"/>
      <c r="H1105" s="460"/>
      <c r="I1105" s="222"/>
    </row>
    <row r="1106">
      <c r="A1106" s="458"/>
      <c r="B1106" s="459"/>
      <c r="C1106" s="459"/>
      <c r="D1106" s="459"/>
      <c r="E1106" s="459"/>
      <c r="F1106" s="459"/>
      <c r="G1106" s="459"/>
      <c r="H1106" s="460"/>
      <c r="I1106" s="222"/>
    </row>
    <row r="1107">
      <c r="A1107" s="458"/>
      <c r="B1107" s="459"/>
      <c r="C1107" s="459"/>
      <c r="D1107" s="459"/>
      <c r="E1107" s="459"/>
      <c r="F1107" s="459"/>
      <c r="G1107" s="459"/>
      <c r="H1107" s="460"/>
      <c r="I1107" s="222"/>
    </row>
    <row r="1108">
      <c r="A1108" s="458"/>
      <c r="B1108" s="459"/>
      <c r="C1108" s="459"/>
      <c r="D1108" s="459"/>
      <c r="E1108" s="459"/>
      <c r="F1108" s="459"/>
      <c r="G1108" s="459"/>
      <c r="H1108" s="460"/>
      <c r="I1108" s="222"/>
    </row>
    <row r="1109">
      <c r="A1109" s="458"/>
      <c r="B1109" s="459"/>
      <c r="C1109" s="459"/>
      <c r="D1109" s="459"/>
      <c r="E1109" s="459"/>
      <c r="F1109" s="459"/>
      <c r="G1109" s="459"/>
      <c r="H1109" s="460"/>
      <c r="I1109" s="222"/>
    </row>
    <row r="1110">
      <c r="A1110" s="458"/>
      <c r="B1110" s="459"/>
      <c r="C1110" s="459"/>
      <c r="D1110" s="459"/>
      <c r="E1110" s="459"/>
      <c r="F1110" s="459"/>
      <c r="G1110" s="459"/>
      <c r="H1110" s="460"/>
      <c r="I1110" s="222"/>
    </row>
    <row r="1111">
      <c r="A1111" s="458"/>
      <c r="B1111" s="459"/>
      <c r="C1111" s="459"/>
      <c r="D1111" s="459"/>
      <c r="E1111" s="459"/>
      <c r="F1111" s="459"/>
      <c r="G1111" s="459"/>
      <c r="H1111" s="460"/>
      <c r="I1111" s="222"/>
    </row>
    <row r="1112">
      <c r="A1112" s="458"/>
      <c r="B1112" s="459"/>
      <c r="C1112" s="459"/>
      <c r="D1112" s="459"/>
      <c r="E1112" s="459"/>
      <c r="F1112" s="459"/>
      <c r="G1112" s="459"/>
      <c r="H1112" s="460"/>
      <c r="I1112" s="222"/>
    </row>
    <row r="1113">
      <c r="A1113" s="458"/>
      <c r="B1113" s="459"/>
      <c r="C1113" s="459"/>
      <c r="D1113" s="459"/>
      <c r="E1113" s="459"/>
      <c r="F1113" s="459"/>
      <c r="G1113" s="459"/>
      <c r="H1113" s="460"/>
      <c r="I1113" s="222"/>
    </row>
    <row r="1114">
      <c r="A1114" s="458"/>
      <c r="B1114" s="459"/>
      <c r="C1114" s="459"/>
      <c r="D1114" s="459"/>
      <c r="E1114" s="459"/>
      <c r="F1114" s="459"/>
      <c r="G1114" s="459"/>
      <c r="H1114" s="460"/>
      <c r="I1114" s="222"/>
    </row>
  </sheetData>
  <mergeCells count="231">
    <mergeCell ref="B183:I183"/>
    <mergeCell ref="B185:I185"/>
    <mergeCell ref="B186:I186"/>
    <mergeCell ref="B190:I190"/>
    <mergeCell ref="B194:I194"/>
    <mergeCell ref="B203:I203"/>
    <mergeCell ref="B207:I207"/>
    <mergeCell ref="B209:I209"/>
    <mergeCell ref="B219:I219"/>
    <mergeCell ref="B221:I221"/>
    <mergeCell ref="B222:I222"/>
    <mergeCell ref="B226:I226"/>
    <mergeCell ref="B230:I230"/>
    <mergeCell ref="B239:I239"/>
    <mergeCell ref="B1:H1"/>
    <mergeCell ref="B3:G3"/>
    <mergeCell ref="B4:G4"/>
    <mergeCell ref="B8:G8"/>
    <mergeCell ref="B12:G12"/>
    <mergeCell ref="B21:G21"/>
    <mergeCell ref="B25:G25"/>
    <mergeCell ref="B27:G27"/>
    <mergeCell ref="B37:I37"/>
    <mergeCell ref="B38:H38"/>
    <mergeCell ref="B40:H40"/>
    <mergeCell ref="B41:H41"/>
    <mergeCell ref="B45:G45"/>
    <mergeCell ref="B49:G49"/>
    <mergeCell ref="B58:G58"/>
    <mergeCell ref="B62:G62"/>
    <mergeCell ref="B64:G64"/>
    <mergeCell ref="B74:H74"/>
    <mergeCell ref="B76:H76"/>
    <mergeCell ref="B77:H77"/>
    <mergeCell ref="B81:H81"/>
    <mergeCell ref="B85:H85"/>
    <mergeCell ref="B94:H94"/>
    <mergeCell ref="B98:H98"/>
    <mergeCell ref="B100:H100"/>
    <mergeCell ref="B110:H110"/>
    <mergeCell ref="B112:H112"/>
    <mergeCell ref="B113:H113"/>
    <mergeCell ref="B117:H117"/>
    <mergeCell ref="B121:H121"/>
    <mergeCell ref="B130:H130"/>
    <mergeCell ref="B134:H134"/>
    <mergeCell ref="B136:H136"/>
    <mergeCell ref="B146:H146"/>
    <mergeCell ref="B148:H148"/>
    <mergeCell ref="B149:H149"/>
    <mergeCell ref="B153:H153"/>
    <mergeCell ref="B157:H157"/>
    <mergeCell ref="B166:H166"/>
    <mergeCell ref="B170:H170"/>
    <mergeCell ref="B172:H172"/>
    <mergeCell ref="B182:I182"/>
    <mergeCell ref="B243:I243"/>
    <mergeCell ref="B245:I245"/>
    <mergeCell ref="B255:I255"/>
    <mergeCell ref="B257:I257"/>
    <mergeCell ref="B258:I258"/>
    <mergeCell ref="B262:I262"/>
    <mergeCell ref="B266:I266"/>
    <mergeCell ref="B275:I275"/>
    <mergeCell ref="B279:I279"/>
    <mergeCell ref="B281:I281"/>
    <mergeCell ref="B291:I291"/>
    <mergeCell ref="B293:I293"/>
    <mergeCell ref="B294:I294"/>
    <mergeCell ref="B298:I298"/>
    <mergeCell ref="B302:I302"/>
    <mergeCell ref="B311:I311"/>
    <mergeCell ref="B315:I315"/>
    <mergeCell ref="B317:I317"/>
    <mergeCell ref="B327:I327"/>
    <mergeCell ref="B329:I329"/>
    <mergeCell ref="B330:I330"/>
    <mergeCell ref="B334:I334"/>
    <mergeCell ref="B338:I338"/>
    <mergeCell ref="B347:I347"/>
    <mergeCell ref="B351:I351"/>
    <mergeCell ref="B353:I353"/>
    <mergeCell ref="B363:I363"/>
    <mergeCell ref="B364:I364"/>
    <mergeCell ref="B366:I366"/>
    <mergeCell ref="B367:I367"/>
    <mergeCell ref="B371:I371"/>
    <mergeCell ref="B375:I375"/>
    <mergeCell ref="B384:I384"/>
    <mergeCell ref="B388:I388"/>
    <mergeCell ref="B390:I390"/>
    <mergeCell ref="B400:I400"/>
    <mergeCell ref="B402:I402"/>
    <mergeCell ref="B403:I403"/>
    <mergeCell ref="B407:I407"/>
    <mergeCell ref="B411:I411"/>
    <mergeCell ref="B420:I420"/>
    <mergeCell ref="B424:I424"/>
    <mergeCell ref="B426:I426"/>
    <mergeCell ref="B436:I436"/>
    <mergeCell ref="B438:I438"/>
    <mergeCell ref="B439:I439"/>
    <mergeCell ref="B443:I443"/>
    <mergeCell ref="B447:I447"/>
    <mergeCell ref="B456:I456"/>
    <mergeCell ref="B460:I460"/>
    <mergeCell ref="B462:I462"/>
    <mergeCell ref="B472:I472"/>
    <mergeCell ref="B474:I474"/>
    <mergeCell ref="B475:I475"/>
    <mergeCell ref="B479:I479"/>
    <mergeCell ref="B483:I483"/>
    <mergeCell ref="B492:I492"/>
    <mergeCell ref="B496:I496"/>
    <mergeCell ref="B498:I498"/>
    <mergeCell ref="B508:I508"/>
    <mergeCell ref="B509:I509"/>
    <mergeCell ref="B511:I511"/>
    <mergeCell ref="B512:I512"/>
    <mergeCell ref="B516:I516"/>
    <mergeCell ref="B520:I520"/>
    <mergeCell ref="B529:I529"/>
    <mergeCell ref="B533:I533"/>
    <mergeCell ref="B535:I535"/>
    <mergeCell ref="B545:I545"/>
    <mergeCell ref="B547:I547"/>
    <mergeCell ref="B548:I548"/>
    <mergeCell ref="B552:I552"/>
    <mergeCell ref="B556:I556"/>
    <mergeCell ref="B565:I565"/>
    <mergeCell ref="B569:I569"/>
    <mergeCell ref="B571:I571"/>
    <mergeCell ref="B581:I581"/>
    <mergeCell ref="B583:I583"/>
    <mergeCell ref="B584:I584"/>
    <mergeCell ref="B588:I588"/>
    <mergeCell ref="B592:I592"/>
    <mergeCell ref="B601:I601"/>
    <mergeCell ref="B605:I605"/>
    <mergeCell ref="B607:I607"/>
    <mergeCell ref="B617:I617"/>
    <mergeCell ref="B619:I619"/>
    <mergeCell ref="B620:I620"/>
    <mergeCell ref="B624:I624"/>
    <mergeCell ref="B628:I628"/>
    <mergeCell ref="B637:I637"/>
    <mergeCell ref="B641:I641"/>
    <mergeCell ref="B643:I643"/>
    <mergeCell ref="B653:I653"/>
    <mergeCell ref="B654:I654"/>
    <mergeCell ref="B656:I656"/>
    <mergeCell ref="B657:I657"/>
    <mergeCell ref="B661:I661"/>
    <mergeCell ref="B665:I665"/>
    <mergeCell ref="B674:I674"/>
    <mergeCell ref="B678:I678"/>
    <mergeCell ref="B680:I680"/>
    <mergeCell ref="B690:I690"/>
    <mergeCell ref="B692:I692"/>
    <mergeCell ref="B693:I693"/>
    <mergeCell ref="B697:I697"/>
    <mergeCell ref="B918:I918"/>
    <mergeCell ref="B927:I927"/>
    <mergeCell ref="B931:I931"/>
    <mergeCell ref="B933:I933"/>
    <mergeCell ref="B943:I943"/>
    <mergeCell ref="B945:I945"/>
    <mergeCell ref="B946:I946"/>
    <mergeCell ref="B982:I982"/>
    <mergeCell ref="B983:I983"/>
    <mergeCell ref="B987:I987"/>
    <mergeCell ref="B991:I991"/>
    <mergeCell ref="B1000:I1000"/>
    <mergeCell ref="B1004:I1004"/>
    <mergeCell ref="B1006:I1006"/>
    <mergeCell ref="B950:I950"/>
    <mergeCell ref="B954:I954"/>
    <mergeCell ref="B963:I963"/>
    <mergeCell ref="B967:I967"/>
    <mergeCell ref="B969:I969"/>
    <mergeCell ref="B979:I979"/>
    <mergeCell ref="B980:I980"/>
    <mergeCell ref="B701:I701"/>
    <mergeCell ref="B710:I710"/>
    <mergeCell ref="B714:I714"/>
    <mergeCell ref="B716:I716"/>
    <mergeCell ref="B726:I726"/>
    <mergeCell ref="B728:I728"/>
    <mergeCell ref="B729:I729"/>
    <mergeCell ref="B733:I733"/>
    <mergeCell ref="B737:I737"/>
    <mergeCell ref="B746:I746"/>
    <mergeCell ref="B750:I750"/>
    <mergeCell ref="B752:I752"/>
    <mergeCell ref="B762:I762"/>
    <mergeCell ref="B764:I764"/>
    <mergeCell ref="B765:I765"/>
    <mergeCell ref="B769:I769"/>
    <mergeCell ref="B773:I773"/>
    <mergeCell ref="B782:I782"/>
    <mergeCell ref="B786:I786"/>
    <mergeCell ref="B788:I788"/>
    <mergeCell ref="B798:I798"/>
    <mergeCell ref="B800:I800"/>
    <mergeCell ref="B801:I801"/>
    <mergeCell ref="B805:I805"/>
    <mergeCell ref="B809:I809"/>
    <mergeCell ref="B818:I818"/>
    <mergeCell ref="B822:I822"/>
    <mergeCell ref="B824:I824"/>
    <mergeCell ref="B834:I834"/>
    <mergeCell ref="B835:I835"/>
    <mergeCell ref="B837:I837"/>
    <mergeCell ref="B838:I838"/>
    <mergeCell ref="B842:I842"/>
    <mergeCell ref="B846:I846"/>
    <mergeCell ref="B855:I855"/>
    <mergeCell ref="B859:I859"/>
    <mergeCell ref="B861:I861"/>
    <mergeCell ref="B871:I871"/>
    <mergeCell ref="B873:I873"/>
    <mergeCell ref="B874:I874"/>
    <mergeCell ref="B878:I878"/>
    <mergeCell ref="B882:I882"/>
    <mergeCell ref="B891:I891"/>
    <mergeCell ref="B895:I895"/>
    <mergeCell ref="B897:I897"/>
    <mergeCell ref="B907:I907"/>
    <mergeCell ref="B909:I909"/>
    <mergeCell ref="B910:I910"/>
    <mergeCell ref="B914:I914"/>
  </mergeCells>
  <dataValidations>
    <dataValidation type="list" allowBlank="1" showErrorMessage="1" sqref="B13:I13 B50:I50 B86:I86 B122:I122 B158:I158 B195:I195 B231:I231 B267:I267 B303:I303 B339:I339 B376:I376 B412:I412 B448:I448 B484:I484 B521:I521 B557:I557 B593:I593 B629:I629 B666:I666 B702:I702 B738:I738 B774:I774 B810:I810 B847:I847 B883:I883 B919:I919 B955:I955 B992:I992">
      <formula1>"AM,MID,GY"</formula1>
    </dataValidation>
    <dataValidation type="list" allowBlank="1" showErrorMessage="1" sqref="B14:I14 B51:I51 B87:I87 B123:I123 B159:I159 B196:I196 B232:I232 B268:I268 B304:I304 B340:I340 B377:I377 B413:I413 B449:I449 B485:I485 B522:I522 B558:I558 B594:I594 B630:I630 B667:I667 B703:I703 B739:I739 B775:I775 B811:I811 B848:I848 B884:I884 B920:I920 B956:I956 B993:I993">
      <formula1>"Oricle,Other Brands,Oricle Prio"</formula1>
    </dataValidation>
    <dataValidation type="list" allowBlank="1" showErrorMessage="1" sqref="B35:I35 B72:I72 B108:I108 B144:I144 B180:I180 B217:I217 B253:I253 B289:I289 B325:I325 B361:I361 B398:I398 B434:I434 B470:I470 B506:I506 B543:I543 B579:I579 B615:I615 B651:I651 B688:I688 B724:I724 B760:I760 B796:I796 B832:I832 B869:I869 B905:I905 B941:I941 B977:I977 B1014:I1014">
      <formula1>"Top Performer,Low Performer,Good"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56.38"/>
  </cols>
  <sheetData>
    <row r="1" hidden="1" collapsed="1">
      <c r="A1" s="89">
        <v>45962.0</v>
      </c>
      <c r="B1" s="91"/>
      <c r="C1" s="91"/>
      <c r="D1" s="91"/>
      <c r="E1" s="94"/>
      <c r="F1" s="94"/>
      <c r="G1" s="96"/>
      <c r="H1" s="96"/>
      <c r="I1" s="96"/>
      <c r="J1" s="96"/>
      <c r="K1" s="96"/>
      <c r="L1" s="96"/>
      <c r="M1" s="101"/>
      <c r="N1" s="102"/>
    </row>
    <row r="2" hidden="1" outlineLevel="1" collapsed="1">
      <c r="A2" s="105" t="s">
        <v>97</v>
      </c>
      <c r="B2" s="106"/>
      <c r="C2" s="106"/>
      <c r="D2" s="107"/>
      <c r="E2" s="109"/>
      <c r="F2" s="109"/>
      <c r="G2" s="110"/>
      <c r="H2" s="110"/>
      <c r="I2" s="110"/>
      <c r="J2" s="110"/>
      <c r="K2" s="110"/>
      <c r="L2" s="110"/>
      <c r="M2" s="111"/>
      <c r="N2" s="113"/>
    </row>
    <row r="3" hidden="1" outlineLevel="2">
      <c r="A3" s="115" t="s">
        <v>98</v>
      </c>
      <c r="B3" s="115" t="s">
        <v>100</v>
      </c>
      <c r="C3" s="115" t="s">
        <v>102</v>
      </c>
      <c r="D3" s="119" t="s">
        <v>103</v>
      </c>
      <c r="E3" s="120" t="s">
        <v>104</v>
      </c>
      <c r="F3" s="120" t="s">
        <v>105</v>
      </c>
      <c r="G3" s="121" t="s">
        <v>106</v>
      </c>
      <c r="H3" s="121" t="s">
        <v>107</v>
      </c>
      <c r="I3" s="121" t="s">
        <v>108</v>
      </c>
      <c r="J3" s="121" t="s">
        <v>110</v>
      </c>
      <c r="K3" s="121" t="s">
        <v>111</v>
      </c>
      <c r="L3" s="121" t="s">
        <v>112</v>
      </c>
      <c r="M3" s="115" t="s">
        <v>114</v>
      </c>
      <c r="N3" s="119" t="s">
        <v>115</v>
      </c>
    </row>
    <row r="4" hidden="1" outlineLevel="2">
      <c r="A4" s="131" t="s">
        <v>116</v>
      </c>
      <c r="B4" s="132">
        <v>45971.0</v>
      </c>
      <c r="C4" s="133" t="str">
        <f t="shared" ref="C4:C18" si="1">IF(B4="", "", TEXT(B4, "ddd"))</f>
        <v>Mon</v>
      </c>
      <c r="D4" s="136">
        <f t="shared" ref="D4:D18" si="2">IF(E4="Yes",0.05,0)
+IF(F4="Yes",0.1,0)
+IF(G4="Yes",0.1,0)
+IF(H4="Yes",0.15,0)
+IF(I4="Yes",0.05,0)
+IF(J4="Yes",0.1,0)
+IF(K4="Yes",0.15,0)
+IF(L4="Yes",0.3,0)
</f>
        <v>1</v>
      </c>
      <c r="E4" s="137" t="s">
        <v>129</v>
      </c>
      <c r="F4" s="137" t="s">
        <v>129</v>
      </c>
      <c r="G4" s="137" t="s">
        <v>129</v>
      </c>
      <c r="H4" s="137" t="s">
        <v>129</v>
      </c>
      <c r="I4" s="137" t="s">
        <v>129</v>
      </c>
      <c r="J4" s="137" t="s">
        <v>129</v>
      </c>
      <c r="K4" s="137" t="s">
        <v>129</v>
      </c>
      <c r="L4" s="137" t="s">
        <v>129</v>
      </c>
      <c r="M4" s="141">
        <f t="shared" ref="M4:M18" si="3">IF(D4="", 0, 
    IF(D4&gt;=1, 5, 
    IF(D4&gt;=0.8, 4, 
    IF(D4&gt;=0.7, 3, 
    IF(D4&gt;=0.6, 2, 
    IF(D4&lt;0.5, 1, ""))))))</f>
        <v>5</v>
      </c>
      <c r="N4" s="143"/>
    </row>
    <row r="5" hidden="1" outlineLevel="2">
      <c r="A5" s="131" t="s">
        <v>140</v>
      </c>
      <c r="B5" s="132">
        <v>45971.0</v>
      </c>
      <c r="C5" s="133" t="str">
        <f t="shared" si="1"/>
        <v>Mon</v>
      </c>
      <c r="D5" s="136">
        <f t="shared" si="2"/>
        <v>1</v>
      </c>
      <c r="E5" s="137" t="s">
        <v>129</v>
      </c>
      <c r="F5" s="137" t="s">
        <v>129</v>
      </c>
      <c r="G5" s="137" t="s">
        <v>129</v>
      </c>
      <c r="H5" s="137" t="s">
        <v>129</v>
      </c>
      <c r="I5" s="137" t="s">
        <v>129</v>
      </c>
      <c r="J5" s="137" t="s">
        <v>129</v>
      </c>
      <c r="K5" s="137" t="s">
        <v>129</v>
      </c>
      <c r="L5" s="137" t="s">
        <v>129</v>
      </c>
      <c r="M5" s="141">
        <f t="shared" si="3"/>
        <v>5</v>
      </c>
      <c r="N5" s="147" t="s">
        <v>146</v>
      </c>
    </row>
    <row r="6" hidden="1" outlineLevel="2">
      <c r="A6" s="131" t="s">
        <v>148</v>
      </c>
      <c r="B6" s="132">
        <v>45971.0</v>
      </c>
      <c r="C6" s="133" t="str">
        <f t="shared" si="1"/>
        <v>Mon</v>
      </c>
      <c r="D6" s="136">
        <f t="shared" si="2"/>
        <v>1</v>
      </c>
      <c r="E6" s="137" t="s">
        <v>129</v>
      </c>
      <c r="F6" s="137" t="s">
        <v>129</v>
      </c>
      <c r="G6" s="137" t="s">
        <v>129</v>
      </c>
      <c r="H6" s="137" t="s">
        <v>129</v>
      </c>
      <c r="I6" s="137" t="s">
        <v>129</v>
      </c>
      <c r="J6" s="137" t="s">
        <v>129</v>
      </c>
      <c r="K6" s="137" t="s">
        <v>129</v>
      </c>
      <c r="L6" s="137" t="s">
        <v>129</v>
      </c>
      <c r="M6" s="141">
        <f t="shared" si="3"/>
        <v>5</v>
      </c>
      <c r="N6" s="147" t="s">
        <v>146</v>
      </c>
    </row>
    <row r="7" hidden="1" outlineLevel="2">
      <c r="A7" s="156" t="s">
        <v>155</v>
      </c>
      <c r="B7" s="132">
        <v>45972.0</v>
      </c>
      <c r="C7" s="133" t="str">
        <f t="shared" si="1"/>
        <v>Tue</v>
      </c>
      <c r="D7" s="136">
        <f t="shared" si="2"/>
        <v>1</v>
      </c>
      <c r="E7" s="137" t="s">
        <v>129</v>
      </c>
      <c r="F7" s="137" t="s">
        <v>129</v>
      </c>
      <c r="G7" s="137" t="s">
        <v>129</v>
      </c>
      <c r="H7" s="137" t="s">
        <v>129</v>
      </c>
      <c r="I7" s="137" t="s">
        <v>129</v>
      </c>
      <c r="J7" s="137" t="s">
        <v>129</v>
      </c>
      <c r="K7" s="137" t="s">
        <v>129</v>
      </c>
      <c r="L7" s="137" t="s">
        <v>129</v>
      </c>
      <c r="M7" s="141">
        <f t="shared" si="3"/>
        <v>5</v>
      </c>
      <c r="N7" s="143"/>
    </row>
    <row r="8" hidden="1" outlineLevel="2">
      <c r="A8" s="156" t="s">
        <v>159</v>
      </c>
      <c r="B8" s="132">
        <v>45972.0</v>
      </c>
      <c r="C8" s="133" t="str">
        <f t="shared" si="1"/>
        <v>Tue</v>
      </c>
      <c r="D8" s="136">
        <f t="shared" si="2"/>
        <v>1</v>
      </c>
      <c r="E8" s="137" t="s">
        <v>129</v>
      </c>
      <c r="F8" s="137" t="s">
        <v>129</v>
      </c>
      <c r="G8" s="137" t="s">
        <v>129</v>
      </c>
      <c r="H8" s="137" t="s">
        <v>129</v>
      </c>
      <c r="I8" s="137" t="s">
        <v>129</v>
      </c>
      <c r="J8" s="137" t="s">
        <v>129</v>
      </c>
      <c r="K8" s="137" t="s">
        <v>129</v>
      </c>
      <c r="L8" s="137" t="s">
        <v>129</v>
      </c>
      <c r="M8" s="141">
        <f t="shared" si="3"/>
        <v>5</v>
      </c>
      <c r="N8" s="143"/>
    </row>
    <row r="9" hidden="1" outlineLevel="2">
      <c r="A9" s="156" t="s">
        <v>163</v>
      </c>
      <c r="B9" s="132">
        <v>45972.0</v>
      </c>
      <c r="C9" s="133" t="str">
        <f t="shared" si="1"/>
        <v>Tue</v>
      </c>
      <c r="D9" s="136">
        <f t="shared" si="2"/>
        <v>1</v>
      </c>
      <c r="E9" s="137" t="s">
        <v>129</v>
      </c>
      <c r="F9" s="137" t="s">
        <v>129</v>
      </c>
      <c r="G9" s="137" t="s">
        <v>129</v>
      </c>
      <c r="H9" s="137" t="s">
        <v>129</v>
      </c>
      <c r="I9" s="137" t="s">
        <v>129</v>
      </c>
      <c r="J9" s="137" t="s">
        <v>129</v>
      </c>
      <c r="K9" s="137" t="s">
        <v>129</v>
      </c>
      <c r="L9" s="137" t="s">
        <v>129</v>
      </c>
      <c r="M9" s="141">
        <f t="shared" si="3"/>
        <v>5</v>
      </c>
      <c r="N9" s="143"/>
    </row>
    <row r="10" hidden="1" outlineLevel="2">
      <c r="A10" s="131" t="s">
        <v>171</v>
      </c>
      <c r="B10" s="132">
        <v>45973.0</v>
      </c>
      <c r="C10" s="133" t="str">
        <f t="shared" si="1"/>
        <v>Wed</v>
      </c>
      <c r="D10" s="136">
        <f t="shared" si="2"/>
        <v>1</v>
      </c>
      <c r="E10" s="137" t="s">
        <v>129</v>
      </c>
      <c r="F10" s="137" t="s">
        <v>129</v>
      </c>
      <c r="G10" s="137" t="s">
        <v>129</v>
      </c>
      <c r="H10" s="137" t="s">
        <v>129</v>
      </c>
      <c r="I10" s="137" t="s">
        <v>129</v>
      </c>
      <c r="J10" s="137" t="s">
        <v>129</v>
      </c>
      <c r="K10" s="137" t="s">
        <v>129</v>
      </c>
      <c r="L10" s="137" t="s">
        <v>129</v>
      </c>
      <c r="M10" s="141">
        <f t="shared" si="3"/>
        <v>5</v>
      </c>
      <c r="N10" s="143"/>
    </row>
    <row r="11" hidden="1" outlineLevel="2">
      <c r="A11" s="131" t="s">
        <v>172</v>
      </c>
      <c r="B11" s="132">
        <v>45973.0</v>
      </c>
      <c r="C11" s="133" t="str">
        <f t="shared" si="1"/>
        <v>Wed</v>
      </c>
      <c r="D11" s="136">
        <f t="shared" si="2"/>
        <v>0.85</v>
      </c>
      <c r="E11" s="137" t="s">
        <v>129</v>
      </c>
      <c r="F11" s="137" t="s">
        <v>129</v>
      </c>
      <c r="G11" s="137" t="s">
        <v>129</v>
      </c>
      <c r="H11" s="137" t="s">
        <v>174</v>
      </c>
      <c r="I11" s="137" t="s">
        <v>129</v>
      </c>
      <c r="J11" s="137" t="s">
        <v>129</v>
      </c>
      <c r="K11" s="137" t="s">
        <v>129</v>
      </c>
      <c r="L11" s="137" t="s">
        <v>129</v>
      </c>
      <c r="M11" s="141">
        <f t="shared" si="3"/>
        <v>4</v>
      </c>
      <c r="N11" s="147" t="s">
        <v>176</v>
      </c>
    </row>
    <row r="12" hidden="1" outlineLevel="2">
      <c r="A12" s="177" t="s">
        <v>178</v>
      </c>
      <c r="B12" s="132">
        <v>45973.0</v>
      </c>
      <c r="C12" s="133" t="str">
        <f t="shared" si="1"/>
        <v>Wed</v>
      </c>
      <c r="D12" s="136">
        <f t="shared" si="2"/>
        <v>1</v>
      </c>
      <c r="E12" s="137" t="s">
        <v>129</v>
      </c>
      <c r="F12" s="137" t="s">
        <v>129</v>
      </c>
      <c r="G12" s="137" t="s">
        <v>129</v>
      </c>
      <c r="H12" s="137" t="s">
        <v>129</v>
      </c>
      <c r="I12" s="137" t="s">
        <v>129</v>
      </c>
      <c r="J12" s="137" t="s">
        <v>129</v>
      </c>
      <c r="K12" s="137" t="s">
        <v>129</v>
      </c>
      <c r="L12" s="137" t="s">
        <v>129</v>
      </c>
      <c r="M12" s="141">
        <f t="shared" si="3"/>
        <v>5</v>
      </c>
      <c r="N12" s="143"/>
    </row>
    <row r="13" hidden="1" outlineLevel="2">
      <c r="A13" s="177" t="s">
        <v>181</v>
      </c>
      <c r="B13" s="132">
        <v>45974.0</v>
      </c>
      <c r="C13" s="133" t="str">
        <f t="shared" si="1"/>
        <v>Thu</v>
      </c>
      <c r="D13" s="136">
        <f t="shared" si="2"/>
        <v>1</v>
      </c>
      <c r="E13" s="137" t="s">
        <v>129</v>
      </c>
      <c r="F13" s="137" t="s">
        <v>129</v>
      </c>
      <c r="G13" s="137" t="s">
        <v>129</v>
      </c>
      <c r="H13" s="137" t="s">
        <v>129</v>
      </c>
      <c r="I13" s="137" t="s">
        <v>129</v>
      </c>
      <c r="J13" s="137" t="s">
        <v>129</v>
      </c>
      <c r="K13" s="137" t="s">
        <v>129</v>
      </c>
      <c r="L13" s="137" t="s">
        <v>129</v>
      </c>
      <c r="M13" s="141">
        <f t="shared" si="3"/>
        <v>5</v>
      </c>
      <c r="N13" s="143"/>
    </row>
    <row r="14" hidden="1" outlineLevel="2">
      <c r="A14" s="131" t="s">
        <v>183</v>
      </c>
      <c r="B14" s="132">
        <v>45974.0</v>
      </c>
      <c r="C14" s="133" t="str">
        <f t="shared" si="1"/>
        <v>Thu</v>
      </c>
      <c r="D14" s="136">
        <f t="shared" si="2"/>
        <v>1</v>
      </c>
      <c r="E14" s="137" t="s">
        <v>129</v>
      </c>
      <c r="F14" s="137" t="s">
        <v>129</v>
      </c>
      <c r="G14" s="137" t="s">
        <v>129</v>
      </c>
      <c r="H14" s="137" t="s">
        <v>129</v>
      </c>
      <c r="I14" s="137" t="s">
        <v>129</v>
      </c>
      <c r="J14" s="137" t="s">
        <v>129</v>
      </c>
      <c r="K14" s="137" t="s">
        <v>129</v>
      </c>
      <c r="L14" s="137" t="s">
        <v>129</v>
      </c>
      <c r="M14" s="141">
        <f t="shared" si="3"/>
        <v>5</v>
      </c>
      <c r="N14" s="143"/>
    </row>
    <row r="15" hidden="1" outlineLevel="2">
      <c r="A15" s="131" t="s">
        <v>185</v>
      </c>
      <c r="B15" s="132">
        <v>45974.0</v>
      </c>
      <c r="C15" s="133" t="str">
        <f t="shared" si="1"/>
        <v>Thu</v>
      </c>
      <c r="D15" s="136">
        <f t="shared" si="2"/>
        <v>1</v>
      </c>
      <c r="E15" s="137" t="s">
        <v>129</v>
      </c>
      <c r="F15" s="137" t="s">
        <v>129</v>
      </c>
      <c r="G15" s="137" t="s">
        <v>129</v>
      </c>
      <c r="H15" s="137" t="s">
        <v>129</v>
      </c>
      <c r="I15" s="137" t="s">
        <v>129</v>
      </c>
      <c r="J15" s="137" t="s">
        <v>129</v>
      </c>
      <c r="K15" s="137" t="s">
        <v>129</v>
      </c>
      <c r="L15" s="137" t="s">
        <v>129</v>
      </c>
      <c r="M15" s="141">
        <f t="shared" si="3"/>
        <v>5</v>
      </c>
      <c r="N15" s="143"/>
    </row>
    <row r="16" hidden="1" outlineLevel="2">
      <c r="A16" s="177" t="s">
        <v>186</v>
      </c>
      <c r="B16" s="132">
        <v>45975.0</v>
      </c>
      <c r="C16" s="186" t="str">
        <f t="shared" si="1"/>
        <v>Fri</v>
      </c>
      <c r="D16" s="136">
        <f t="shared" si="2"/>
        <v>1</v>
      </c>
      <c r="E16" s="137" t="s">
        <v>129</v>
      </c>
      <c r="F16" s="137" t="s">
        <v>129</v>
      </c>
      <c r="G16" s="137" t="s">
        <v>129</v>
      </c>
      <c r="H16" s="137" t="s">
        <v>129</v>
      </c>
      <c r="I16" s="137" t="s">
        <v>129</v>
      </c>
      <c r="J16" s="137" t="s">
        <v>129</v>
      </c>
      <c r="K16" s="137" t="s">
        <v>129</v>
      </c>
      <c r="L16" s="137" t="s">
        <v>129</v>
      </c>
      <c r="M16" s="141">
        <f t="shared" si="3"/>
        <v>5</v>
      </c>
      <c r="N16" s="143"/>
    </row>
    <row r="17" hidden="1" outlineLevel="2">
      <c r="A17" s="177" t="s">
        <v>189</v>
      </c>
      <c r="B17" s="132">
        <v>45975.0</v>
      </c>
      <c r="C17" s="186" t="str">
        <f t="shared" si="1"/>
        <v>Fri</v>
      </c>
      <c r="D17" s="136">
        <f t="shared" si="2"/>
        <v>1</v>
      </c>
      <c r="E17" s="137" t="s">
        <v>129</v>
      </c>
      <c r="F17" s="137" t="s">
        <v>129</v>
      </c>
      <c r="G17" s="137" t="s">
        <v>129</v>
      </c>
      <c r="H17" s="137" t="s">
        <v>129</v>
      </c>
      <c r="I17" s="137" t="s">
        <v>129</v>
      </c>
      <c r="J17" s="137" t="s">
        <v>129</v>
      </c>
      <c r="K17" s="137" t="s">
        <v>129</v>
      </c>
      <c r="L17" s="137" t="s">
        <v>129</v>
      </c>
      <c r="M17" s="141">
        <f t="shared" si="3"/>
        <v>5</v>
      </c>
      <c r="N17" s="143"/>
    </row>
    <row r="18" hidden="1" outlineLevel="2">
      <c r="A18" s="177" t="s">
        <v>191</v>
      </c>
      <c r="B18" s="132">
        <v>45975.0</v>
      </c>
      <c r="C18" s="186" t="str">
        <f t="shared" si="1"/>
        <v>Fri</v>
      </c>
      <c r="D18" s="136">
        <f t="shared" si="2"/>
        <v>1</v>
      </c>
      <c r="E18" s="137" t="s">
        <v>129</v>
      </c>
      <c r="F18" s="137" t="s">
        <v>129</v>
      </c>
      <c r="G18" s="137" t="s">
        <v>129</v>
      </c>
      <c r="H18" s="137" t="s">
        <v>129</v>
      </c>
      <c r="I18" s="137" t="s">
        <v>129</v>
      </c>
      <c r="J18" s="137" t="s">
        <v>129</v>
      </c>
      <c r="K18" s="137" t="s">
        <v>129</v>
      </c>
      <c r="L18" s="137" t="s">
        <v>129</v>
      </c>
      <c r="M18" s="141">
        <f t="shared" si="3"/>
        <v>5</v>
      </c>
      <c r="N18" s="143"/>
    </row>
    <row r="19" hidden="1" outlineLevel="2">
      <c r="B19" s="189"/>
      <c r="C19" s="191" t="s">
        <v>194</v>
      </c>
      <c r="D19" s="198">
        <f>AVERAGE(D3:D18)*0.3</f>
        <v>0.297</v>
      </c>
      <c r="E19" s="200"/>
      <c r="L19" s="191" t="s">
        <v>194</v>
      </c>
      <c r="M19" s="204">
        <f>SUM(M4:M18)/75*0.1</f>
        <v>0.09866666667</v>
      </c>
    </row>
    <row r="20" hidden="1" outlineLevel="1" collapsed="1">
      <c r="A20" s="206" t="s">
        <v>205</v>
      </c>
      <c r="B20" s="207"/>
      <c r="C20" s="207"/>
      <c r="D20" s="208"/>
      <c r="E20" s="109"/>
      <c r="F20" s="109"/>
      <c r="G20" s="110"/>
      <c r="H20" s="110"/>
      <c r="I20" s="110"/>
      <c r="J20" s="110"/>
      <c r="K20" s="110"/>
      <c r="L20" s="110"/>
      <c r="M20" s="111"/>
      <c r="N20" s="113"/>
    </row>
    <row r="21" hidden="1" outlineLevel="2">
      <c r="A21" s="115" t="s">
        <v>98</v>
      </c>
      <c r="B21" s="115" t="s">
        <v>100</v>
      </c>
      <c r="C21" s="115" t="s">
        <v>102</v>
      </c>
      <c r="D21" s="119" t="s">
        <v>103</v>
      </c>
      <c r="E21" s="120" t="s">
        <v>104</v>
      </c>
      <c r="F21" s="120" t="s">
        <v>105</v>
      </c>
      <c r="G21" s="121" t="s">
        <v>106</v>
      </c>
      <c r="H21" s="121" t="s">
        <v>107</v>
      </c>
      <c r="I21" s="121" t="s">
        <v>108</v>
      </c>
      <c r="J21" s="121" t="s">
        <v>110</v>
      </c>
      <c r="K21" s="121" t="s">
        <v>111</v>
      </c>
      <c r="L21" s="121" t="s">
        <v>112</v>
      </c>
      <c r="M21" s="115" t="s">
        <v>114</v>
      </c>
      <c r="N21" s="119" t="s">
        <v>115</v>
      </c>
    </row>
    <row r="22" hidden="1" outlineLevel="2">
      <c r="A22" s="219" t="s">
        <v>209</v>
      </c>
      <c r="B22" s="132">
        <v>45978.0</v>
      </c>
      <c r="C22" s="133" t="str">
        <f t="shared" ref="C22:C36" si="4">IF(B22="", "", TEXT(B22, "ddd"))</f>
        <v>Mon</v>
      </c>
      <c r="D22" s="136">
        <f t="shared" ref="D22:D36" si="5">IF(E22="Yes",0.05,0)
+IF(F22="Yes",0.1,0)
+IF(G22="Yes",0.1,0)
+IF(H22="Yes",0.15,0)
+IF(I22="Yes",0.05,0)
+IF(J22="Yes",0.1,0)
+IF(K22="Yes",0.15,0)
+IF(L22="Yes",0.3,0)
</f>
        <v>1</v>
      </c>
      <c r="E22" s="137" t="s">
        <v>129</v>
      </c>
      <c r="F22" s="137" t="s">
        <v>129</v>
      </c>
      <c r="G22" s="137" t="s">
        <v>129</v>
      </c>
      <c r="H22" s="137" t="s">
        <v>129</v>
      </c>
      <c r="I22" s="137" t="s">
        <v>129</v>
      </c>
      <c r="J22" s="137" t="s">
        <v>129</v>
      </c>
      <c r="K22" s="137" t="s">
        <v>129</v>
      </c>
      <c r="L22" s="137" t="s">
        <v>129</v>
      </c>
      <c r="M22" s="141">
        <f t="shared" ref="M22:M36" si="6">IF(D22="", 0, 
    IF(D22&gt;=1, 5, 
    IF(D22&gt;=0.8, 4, 
    IF(D22&gt;=0.7, 3, 
    IF(D22&gt;=0.6, 2, 
    IF(D22&lt;0.5, 1, ""))))))</f>
        <v>5</v>
      </c>
      <c r="N22" s="143"/>
    </row>
    <row r="23" hidden="1" outlineLevel="2">
      <c r="A23" s="219" t="s">
        <v>216</v>
      </c>
      <c r="B23" s="132">
        <v>45978.0</v>
      </c>
      <c r="C23" s="133" t="str">
        <f t="shared" si="4"/>
        <v>Mon</v>
      </c>
      <c r="D23" s="136">
        <f t="shared" si="5"/>
        <v>1</v>
      </c>
      <c r="E23" s="137" t="s">
        <v>129</v>
      </c>
      <c r="F23" s="137" t="s">
        <v>129</v>
      </c>
      <c r="G23" s="137" t="s">
        <v>129</v>
      </c>
      <c r="H23" s="137" t="s">
        <v>129</v>
      </c>
      <c r="I23" s="137" t="s">
        <v>129</v>
      </c>
      <c r="J23" s="137" t="s">
        <v>129</v>
      </c>
      <c r="K23" s="137" t="s">
        <v>129</v>
      </c>
      <c r="L23" s="137" t="s">
        <v>129</v>
      </c>
      <c r="M23" s="141">
        <f t="shared" si="6"/>
        <v>5</v>
      </c>
      <c r="N23" s="147"/>
    </row>
    <row r="24" hidden="1" outlineLevel="2">
      <c r="A24" s="219" t="s">
        <v>218</v>
      </c>
      <c r="B24" s="132">
        <v>45978.0</v>
      </c>
      <c r="C24" s="133" t="str">
        <f t="shared" si="4"/>
        <v>Mon</v>
      </c>
      <c r="D24" s="136">
        <f t="shared" si="5"/>
        <v>1</v>
      </c>
      <c r="E24" s="137" t="s">
        <v>129</v>
      </c>
      <c r="F24" s="137" t="s">
        <v>129</v>
      </c>
      <c r="G24" s="137" t="s">
        <v>129</v>
      </c>
      <c r="H24" s="137" t="s">
        <v>129</v>
      </c>
      <c r="I24" s="137" t="s">
        <v>129</v>
      </c>
      <c r="J24" s="137" t="s">
        <v>129</v>
      </c>
      <c r="K24" s="137" t="s">
        <v>129</v>
      </c>
      <c r="L24" s="137" t="s">
        <v>129</v>
      </c>
      <c r="M24" s="141">
        <f t="shared" si="6"/>
        <v>5</v>
      </c>
      <c r="N24" s="147"/>
    </row>
    <row r="25" hidden="1" outlineLevel="2">
      <c r="A25" s="255" t="s">
        <v>219</v>
      </c>
      <c r="B25" s="132">
        <v>45979.0</v>
      </c>
      <c r="C25" s="133" t="str">
        <f t="shared" si="4"/>
        <v>Tue</v>
      </c>
      <c r="D25" s="136">
        <f t="shared" si="5"/>
        <v>1</v>
      </c>
      <c r="E25" s="137" t="s">
        <v>129</v>
      </c>
      <c r="F25" s="137" t="s">
        <v>129</v>
      </c>
      <c r="G25" s="137" t="s">
        <v>129</v>
      </c>
      <c r="H25" s="137" t="s">
        <v>129</v>
      </c>
      <c r="I25" s="137" t="s">
        <v>129</v>
      </c>
      <c r="J25" s="137" t="s">
        <v>129</v>
      </c>
      <c r="K25" s="137" t="s">
        <v>129</v>
      </c>
      <c r="L25" s="137" t="s">
        <v>129</v>
      </c>
      <c r="M25" s="141">
        <f t="shared" si="6"/>
        <v>5</v>
      </c>
      <c r="N25" s="143"/>
    </row>
    <row r="26" hidden="1" outlineLevel="2">
      <c r="A26" s="255" t="s">
        <v>225</v>
      </c>
      <c r="B26" s="132">
        <v>45979.0</v>
      </c>
      <c r="C26" s="133" t="str">
        <f t="shared" si="4"/>
        <v>Tue</v>
      </c>
      <c r="D26" s="136">
        <f t="shared" si="5"/>
        <v>1</v>
      </c>
      <c r="E26" s="137" t="s">
        <v>129</v>
      </c>
      <c r="F26" s="137" t="s">
        <v>129</v>
      </c>
      <c r="G26" s="137" t="s">
        <v>129</v>
      </c>
      <c r="H26" s="137" t="s">
        <v>129</v>
      </c>
      <c r="I26" s="137" t="s">
        <v>129</v>
      </c>
      <c r="J26" s="137" t="s">
        <v>129</v>
      </c>
      <c r="K26" s="137" t="s">
        <v>129</v>
      </c>
      <c r="L26" s="137" t="s">
        <v>129</v>
      </c>
      <c r="M26" s="141">
        <f t="shared" si="6"/>
        <v>5</v>
      </c>
      <c r="N26" s="143"/>
    </row>
    <row r="27" hidden="1" outlineLevel="2">
      <c r="A27" s="255" t="s">
        <v>233</v>
      </c>
      <c r="B27" s="132">
        <v>45979.0</v>
      </c>
      <c r="C27" s="133" t="str">
        <f t="shared" si="4"/>
        <v>Tue</v>
      </c>
      <c r="D27" s="136">
        <f t="shared" si="5"/>
        <v>1</v>
      </c>
      <c r="E27" s="137" t="s">
        <v>129</v>
      </c>
      <c r="F27" s="137" t="s">
        <v>129</v>
      </c>
      <c r="G27" s="137" t="s">
        <v>129</v>
      </c>
      <c r="H27" s="137" t="s">
        <v>129</v>
      </c>
      <c r="I27" s="137" t="s">
        <v>129</v>
      </c>
      <c r="J27" s="137" t="s">
        <v>129</v>
      </c>
      <c r="K27" s="137" t="s">
        <v>129</v>
      </c>
      <c r="L27" s="137" t="s">
        <v>129</v>
      </c>
      <c r="M27" s="141">
        <f t="shared" si="6"/>
        <v>5</v>
      </c>
      <c r="N27" s="143"/>
    </row>
    <row r="28" hidden="1" outlineLevel="2">
      <c r="A28" s="219" t="s">
        <v>234</v>
      </c>
      <c r="B28" s="132">
        <v>45980.0</v>
      </c>
      <c r="C28" s="133" t="str">
        <f t="shared" si="4"/>
        <v>Wed</v>
      </c>
      <c r="D28" s="136">
        <f t="shared" si="5"/>
        <v>1</v>
      </c>
      <c r="E28" s="137" t="s">
        <v>129</v>
      </c>
      <c r="F28" s="137" t="s">
        <v>129</v>
      </c>
      <c r="G28" s="137" t="s">
        <v>129</v>
      </c>
      <c r="H28" s="137" t="s">
        <v>129</v>
      </c>
      <c r="I28" s="137" t="s">
        <v>129</v>
      </c>
      <c r="J28" s="137" t="s">
        <v>129</v>
      </c>
      <c r="K28" s="137" t="s">
        <v>129</v>
      </c>
      <c r="L28" s="137" t="s">
        <v>129</v>
      </c>
      <c r="M28" s="141">
        <f t="shared" si="6"/>
        <v>5</v>
      </c>
      <c r="N28" s="143"/>
    </row>
    <row r="29" hidden="1" outlineLevel="2">
      <c r="A29" s="219" t="s">
        <v>237</v>
      </c>
      <c r="B29" s="132">
        <v>45980.0</v>
      </c>
      <c r="C29" s="133" t="str">
        <f t="shared" si="4"/>
        <v>Wed</v>
      </c>
      <c r="D29" s="136">
        <f t="shared" si="5"/>
        <v>1</v>
      </c>
      <c r="E29" s="137" t="s">
        <v>129</v>
      </c>
      <c r="F29" s="137" t="s">
        <v>129</v>
      </c>
      <c r="G29" s="137" t="s">
        <v>129</v>
      </c>
      <c r="H29" s="137" t="s">
        <v>129</v>
      </c>
      <c r="I29" s="137" t="s">
        <v>129</v>
      </c>
      <c r="J29" s="137" t="s">
        <v>129</v>
      </c>
      <c r="K29" s="137" t="s">
        <v>129</v>
      </c>
      <c r="L29" s="137" t="s">
        <v>129</v>
      </c>
      <c r="M29" s="141">
        <f t="shared" si="6"/>
        <v>5</v>
      </c>
      <c r="N29" s="147"/>
    </row>
    <row r="30" hidden="1" outlineLevel="2">
      <c r="A30" s="219" t="s">
        <v>239</v>
      </c>
      <c r="B30" s="132">
        <v>45980.0</v>
      </c>
      <c r="C30" s="133" t="str">
        <f t="shared" si="4"/>
        <v>Wed</v>
      </c>
      <c r="D30" s="136">
        <f t="shared" si="5"/>
        <v>1</v>
      </c>
      <c r="E30" s="137" t="s">
        <v>129</v>
      </c>
      <c r="F30" s="137" t="s">
        <v>129</v>
      </c>
      <c r="G30" s="137" t="s">
        <v>129</v>
      </c>
      <c r="H30" s="137" t="s">
        <v>129</v>
      </c>
      <c r="I30" s="137" t="s">
        <v>129</v>
      </c>
      <c r="J30" s="137" t="s">
        <v>129</v>
      </c>
      <c r="K30" s="137" t="s">
        <v>129</v>
      </c>
      <c r="L30" s="137" t="s">
        <v>129</v>
      </c>
      <c r="M30" s="141">
        <f t="shared" si="6"/>
        <v>5</v>
      </c>
      <c r="N30" s="143"/>
    </row>
    <row r="31" hidden="1" outlineLevel="2">
      <c r="A31" s="131" t="s">
        <v>241</v>
      </c>
      <c r="B31" s="132">
        <v>45981.0</v>
      </c>
      <c r="C31" s="133" t="str">
        <f t="shared" si="4"/>
        <v>Thu</v>
      </c>
      <c r="D31" s="136">
        <f t="shared" si="5"/>
        <v>1</v>
      </c>
      <c r="E31" s="137" t="s">
        <v>129</v>
      </c>
      <c r="F31" s="137" t="s">
        <v>129</v>
      </c>
      <c r="G31" s="137" t="s">
        <v>129</v>
      </c>
      <c r="H31" s="137" t="s">
        <v>129</v>
      </c>
      <c r="I31" s="137" t="s">
        <v>129</v>
      </c>
      <c r="J31" s="137" t="s">
        <v>129</v>
      </c>
      <c r="K31" s="137" t="s">
        <v>129</v>
      </c>
      <c r="L31" s="137" t="s">
        <v>129</v>
      </c>
      <c r="M31" s="141">
        <f t="shared" si="6"/>
        <v>5</v>
      </c>
      <c r="N31" s="143"/>
    </row>
    <row r="32" hidden="1" outlineLevel="2">
      <c r="A32" s="131" t="s">
        <v>245</v>
      </c>
      <c r="B32" s="132">
        <v>45981.0</v>
      </c>
      <c r="C32" s="133" t="str">
        <f t="shared" si="4"/>
        <v>Thu</v>
      </c>
      <c r="D32" s="136">
        <f t="shared" si="5"/>
        <v>1</v>
      </c>
      <c r="E32" s="137" t="s">
        <v>129</v>
      </c>
      <c r="F32" s="137" t="s">
        <v>129</v>
      </c>
      <c r="G32" s="137" t="s">
        <v>129</v>
      </c>
      <c r="H32" s="137" t="s">
        <v>129</v>
      </c>
      <c r="I32" s="137" t="s">
        <v>129</v>
      </c>
      <c r="J32" s="137" t="s">
        <v>129</v>
      </c>
      <c r="K32" s="137" t="s">
        <v>129</v>
      </c>
      <c r="L32" s="137" t="s">
        <v>129</v>
      </c>
      <c r="M32" s="141">
        <f t="shared" si="6"/>
        <v>5</v>
      </c>
      <c r="N32" s="147" t="s">
        <v>247</v>
      </c>
    </row>
    <row r="33" hidden="1" outlineLevel="2">
      <c r="A33" s="131" t="s">
        <v>248</v>
      </c>
      <c r="B33" s="132">
        <v>45981.0</v>
      </c>
      <c r="C33" s="133" t="str">
        <f t="shared" si="4"/>
        <v>Thu</v>
      </c>
      <c r="D33" s="136">
        <f t="shared" si="5"/>
        <v>1</v>
      </c>
      <c r="E33" s="137" t="s">
        <v>129</v>
      </c>
      <c r="F33" s="137" t="s">
        <v>129</v>
      </c>
      <c r="G33" s="137" t="s">
        <v>129</v>
      </c>
      <c r="H33" s="137" t="s">
        <v>129</v>
      </c>
      <c r="I33" s="137" t="s">
        <v>129</v>
      </c>
      <c r="J33" s="137" t="s">
        <v>129</v>
      </c>
      <c r="K33" s="137" t="s">
        <v>129</v>
      </c>
      <c r="L33" s="137" t="s">
        <v>129</v>
      </c>
      <c r="M33" s="141">
        <f t="shared" si="6"/>
        <v>5</v>
      </c>
      <c r="N33" s="143"/>
    </row>
    <row r="34" hidden="1" outlineLevel="2">
      <c r="A34" s="131" t="s">
        <v>255</v>
      </c>
      <c r="B34" s="132">
        <v>45982.0</v>
      </c>
      <c r="C34" s="186" t="str">
        <f t="shared" si="4"/>
        <v>Fri</v>
      </c>
      <c r="D34" s="136">
        <f t="shared" si="5"/>
        <v>1</v>
      </c>
      <c r="E34" s="137" t="s">
        <v>129</v>
      </c>
      <c r="F34" s="137" t="s">
        <v>129</v>
      </c>
      <c r="G34" s="137" t="s">
        <v>129</v>
      </c>
      <c r="H34" s="137" t="s">
        <v>129</v>
      </c>
      <c r="I34" s="137" t="s">
        <v>129</v>
      </c>
      <c r="J34" s="137" t="s">
        <v>129</v>
      </c>
      <c r="K34" s="137" t="s">
        <v>129</v>
      </c>
      <c r="L34" s="137" t="s">
        <v>129</v>
      </c>
      <c r="M34" s="141">
        <f t="shared" si="6"/>
        <v>5</v>
      </c>
      <c r="N34" s="143"/>
    </row>
    <row r="35" hidden="1" outlineLevel="2">
      <c r="A35" s="131" t="s">
        <v>262</v>
      </c>
      <c r="B35" s="132">
        <v>45982.0</v>
      </c>
      <c r="C35" s="186" t="str">
        <f t="shared" si="4"/>
        <v>Fri</v>
      </c>
      <c r="D35" s="136">
        <f t="shared" si="5"/>
        <v>1</v>
      </c>
      <c r="E35" s="137" t="s">
        <v>129</v>
      </c>
      <c r="F35" s="137" t="s">
        <v>129</v>
      </c>
      <c r="G35" s="137" t="s">
        <v>129</v>
      </c>
      <c r="H35" s="137" t="s">
        <v>129</v>
      </c>
      <c r="I35" s="137" t="s">
        <v>129</v>
      </c>
      <c r="J35" s="137" t="s">
        <v>129</v>
      </c>
      <c r="K35" s="137" t="s">
        <v>129</v>
      </c>
      <c r="L35" s="137" t="s">
        <v>129</v>
      </c>
      <c r="M35" s="141">
        <f t="shared" si="6"/>
        <v>5</v>
      </c>
      <c r="N35" s="143"/>
    </row>
    <row r="36" hidden="1" outlineLevel="2">
      <c r="A36" s="131" t="s">
        <v>263</v>
      </c>
      <c r="B36" s="132">
        <v>45982.0</v>
      </c>
      <c r="C36" s="186" t="str">
        <f t="shared" si="4"/>
        <v>Fri</v>
      </c>
      <c r="D36" s="136">
        <f t="shared" si="5"/>
        <v>1</v>
      </c>
      <c r="E36" s="137" t="s">
        <v>129</v>
      </c>
      <c r="F36" s="137" t="s">
        <v>129</v>
      </c>
      <c r="G36" s="137" t="s">
        <v>129</v>
      </c>
      <c r="H36" s="137" t="s">
        <v>129</v>
      </c>
      <c r="I36" s="137" t="s">
        <v>129</v>
      </c>
      <c r="J36" s="137" t="s">
        <v>129</v>
      </c>
      <c r="K36" s="137" t="s">
        <v>129</v>
      </c>
      <c r="L36" s="137" t="s">
        <v>129</v>
      </c>
      <c r="M36" s="141">
        <f t="shared" si="6"/>
        <v>5</v>
      </c>
      <c r="N36" s="143"/>
    </row>
    <row r="37" hidden="1" outlineLevel="2">
      <c r="B37" s="189"/>
      <c r="C37" s="191" t="s">
        <v>194</v>
      </c>
      <c r="D37" s="204">
        <f>AVERAGE(D22:D36)</f>
        <v>1</v>
      </c>
      <c r="E37" s="200"/>
      <c r="L37" s="191" t="s">
        <v>194</v>
      </c>
      <c r="M37" s="204">
        <f>SUM(M22:M36)/75*0.1</f>
        <v>0.1</v>
      </c>
    </row>
    <row r="38" hidden="1" outlineLevel="1">
      <c r="A38" s="206" t="s">
        <v>266</v>
      </c>
      <c r="B38" s="207"/>
      <c r="C38" s="207"/>
      <c r="D38" s="208"/>
      <c r="E38" s="109"/>
      <c r="F38" s="109"/>
      <c r="G38" s="110"/>
      <c r="H38" s="110"/>
      <c r="I38" s="110"/>
      <c r="J38" s="110"/>
      <c r="K38" s="110"/>
      <c r="L38" s="110"/>
      <c r="M38" s="111"/>
      <c r="N38" s="113"/>
    </row>
    <row r="39" hidden="1" outlineLevel="1">
      <c r="A39" s="115" t="s">
        <v>98</v>
      </c>
      <c r="B39" s="115" t="s">
        <v>100</v>
      </c>
      <c r="C39" s="115" t="s">
        <v>102</v>
      </c>
      <c r="D39" s="119" t="s">
        <v>103</v>
      </c>
      <c r="E39" s="275" t="s">
        <v>269</v>
      </c>
      <c r="F39" s="275" t="s">
        <v>272</v>
      </c>
      <c r="G39" s="276" t="s">
        <v>273</v>
      </c>
      <c r="H39" s="121" t="s">
        <v>107</v>
      </c>
      <c r="I39" s="121" t="s">
        <v>108</v>
      </c>
      <c r="J39" s="121" t="s">
        <v>110</v>
      </c>
      <c r="K39" s="121" t="s">
        <v>111</v>
      </c>
      <c r="L39" s="276" t="s">
        <v>274</v>
      </c>
      <c r="M39" s="115" t="s">
        <v>114</v>
      </c>
      <c r="N39" s="119" t="s">
        <v>115</v>
      </c>
    </row>
    <row r="40" hidden="1" outlineLevel="1">
      <c r="A40" s="255" t="s">
        <v>275</v>
      </c>
      <c r="B40" s="132">
        <v>45985.0</v>
      </c>
      <c r="C40" s="133" t="str">
        <f t="shared" ref="C40:C54" si="7">IF(B40="", "", TEXT(B40, "ddd"))</f>
        <v>Mon</v>
      </c>
      <c r="D40" s="136">
        <f>IF(E40="Yes",0.05,0)
+IF(F40="Yes",0.15,0)
+IF(G40="Yes",0.15,0)
+IF(H40="Yes",0.15,0)
+IF(I40="Yes",0.05,0)
+IF(J40="Yes",0.1,0)
+IF(K40="Yes",0.15,0)
+IF(L40="Yes",0.2,0)
</f>
        <v>1</v>
      </c>
      <c r="E40" s="137" t="s">
        <v>129</v>
      </c>
      <c r="F40" s="137" t="s">
        <v>129</v>
      </c>
      <c r="G40" s="137" t="s">
        <v>129</v>
      </c>
      <c r="H40" s="137" t="s">
        <v>129</v>
      </c>
      <c r="I40" s="137" t="s">
        <v>129</v>
      </c>
      <c r="J40" s="137" t="s">
        <v>129</v>
      </c>
      <c r="K40" s="137" t="s">
        <v>129</v>
      </c>
      <c r="L40" s="137" t="s">
        <v>129</v>
      </c>
      <c r="M40" s="141">
        <f t="shared" ref="M40:M54" si="8">IF(D40="", 0, 
    IF(D40&gt;=1, 5, 
    IF(D40&gt;=0.8, 4, 
    IF(D40&gt;=0.7, 3, 
    IF(D40&gt;=0.6, 2, 
    IF(D40&lt;0.5, 1, ""))))))</f>
        <v>5</v>
      </c>
      <c r="N40" s="143"/>
    </row>
    <row r="41" hidden="1" outlineLevel="1">
      <c r="A41" s="255" t="s">
        <v>279</v>
      </c>
      <c r="B41" s="132">
        <v>45985.0</v>
      </c>
      <c r="C41" s="133" t="str">
        <f t="shared" si="7"/>
        <v>Mon</v>
      </c>
      <c r="D41" s="136">
        <f t="shared" ref="D41:D54" si="9">IF(E41="Yes",0.05,0)
+IF(F41="Yes",0.1,0)
+IF(G41="Yes",0.1,0)
+IF(H41="Yes",0.15,0)
+IF(I41="Yes",0.05,0)
+IF(J41="Yes",0.1,0)
+IF(K41="Yes",0.15,0)
+IF(L41="Yes",0.3,0)
</f>
        <v>1</v>
      </c>
      <c r="E41" s="137" t="s">
        <v>129</v>
      </c>
      <c r="F41" s="137" t="s">
        <v>129</v>
      </c>
      <c r="G41" s="137" t="s">
        <v>129</v>
      </c>
      <c r="H41" s="137" t="s">
        <v>129</v>
      </c>
      <c r="I41" s="137" t="s">
        <v>129</v>
      </c>
      <c r="J41" s="137" t="s">
        <v>129</v>
      </c>
      <c r="K41" s="137" t="s">
        <v>129</v>
      </c>
      <c r="L41" s="137" t="s">
        <v>129</v>
      </c>
      <c r="M41" s="141">
        <f t="shared" si="8"/>
        <v>5</v>
      </c>
      <c r="N41" s="147"/>
    </row>
    <row r="42" hidden="1" outlineLevel="1">
      <c r="A42" s="255" t="s">
        <v>281</v>
      </c>
      <c r="B42" s="132">
        <v>45985.0</v>
      </c>
      <c r="C42" s="133" t="str">
        <f t="shared" si="7"/>
        <v>Mon</v>
      </c>
      <c r="D42" s="136">
        <f t="shared" si="9"/>
        <v>1</v>
      </c>
      <c r="E42" s="137" t="s">
        <v>129</v>
      </c>
      <c r="F42" s="137" t="s">
        <v>129</v>
      </c>
      <c r="G42" s="137" t="s">
        <v>129</v>
      </c>
      <c r="H42" s="137" t="s">
        <v>129</v>
      </c>
      <c r="I42" s="137" t="s">
        <v>129</v>
      </c>
      <c r="J42" s="137" t="s">
        <v>129</v>
      </c>
      <c r="K42" s="137" t="s">
        <v>129</v>
      </c>
      <c r="L42" s="137" t="s">
        <v>129</v>
      </c>
      <c r="M42" s="141">
        <f t="shared" si="8"/>
        <v>5</v>
      </c>
      <c r="N42" s="147"/>
    </row>
    <row r="43" hidden="1" outlineLevel="1">
      <c r="A43" s="219" t="s">
        <v>282</v>
      </c>
      <c r="B43" s="132">
        <v>45986.0</v>
      </c>
      <c r="C43" s="133" t="str">
        <f t="shared" si="7"/>
        <v>Tue</v>
      </c>
      <c r="D43" s="136">
        <f t="shared" si="9"/>
        <v>1</v>
      </c>
      <c r="E43" s="137" t="s">
        <v>129</v>
      </c>
      <c r="F43" s="137" t="s">
        <v>129</v>
      </c>
      <c r="G43" s="137" t="s">
        <v>129</v>
      </c>
      <c r="H43" s="137" t="s">
        <v>129</v>
      </c>
      <c r="I43" s="137" t="s">
        <v>129</v>
      </c>
      <c r="J43" s="137" t="s">
        <v>129</v>
      </c>
      <c r="K43" s="137" t="s">
        <v>129</v>
      </c>
      <c r="L43" s="137" t="s">
        <v>129</v>
      </c>
      <c r="M43" s="141">
        <f t="shared" si="8"/>
        <v>5</v>
      </c>
      <c r="N43" s="143"/>
    </row>
    <row r="44" hidden="1" outlineLevel="1">
      <c r="A44" s="219" t="s">
        <v>284</v>
      </c>
      <c r="B44" s="132">
        <v>45986.0</v>
      </c>
      <c r="C44" s="133" t="str">
        <f t="shared" si="7"/>
        <v>Tue</v>
      </c>
      <c r="D44" s="136">
        <f t="shared" si="9"/>
        <v>1</v>
      </c>
      <c r="E44" s="137" t="s">
        <v>129</v>
      </c>
      <c r="F44" s="137" t="s">
        <v>129</v>
      </c>
      <c r="G44" s="137" t="s">
        <v>129</v>
      </c>
      <c r="H44" s="137" t="s">
        <v>129</v>
      </c>
      <c r="I44" s="137" t="s">
        <v>129</v>
      </c>
      <c r="J44" s="137" t="s">
        <v>129</v>
      </c>
      <c r="K44" s="137" t="s">
        <v>129</v>
      </c>
      <c r="L44" s="137" t="s">
        <v>129</v>
      </c>
      <c r="M44" s="141">
        <f t="shared" si="8"/>
        <v>5</v>
      </c>
      <c r="N44" s="143"/>
    </row>
    <row r="45" hidden="1" outlineLevel="1">
      <c r="A45" s="219" t="s">
        <v>291</v>
      </c>
      <c r="B45" s="132">
        <v>45986.0</v>
      </c>
      <c r="C45" s="133" t="str">
        <f t="shared" si="7"/>
        <v>Tue</v>
      </c>
      <c r="D45" s="136">
        <f t="shared" si="9"/>
        <v>1</v>
      </c>
      <c r="E45" s="137" t="s">
        <v>129</v>
      </c>
      <c r="F45" s="137" t="s">
        <v>129</v>
      </c>
      <c r="G45" s="137" t="s">
        <v>129</v>
      </c>
      <c r="H45" s="137" t="s">
        <v>129</v>
      </c>
      <c r="I45" s="137" t="s">
        <v>129</v>
      </c>
      <c r="J45" s="137" t="s">
        <v>129</v>
      </c>
      <c r="K45" s="137" t="s">
        <v>129</v>
      </c>
      <c r="L45" s="137" t="s">
        <v>129</v>
      </c>
      <c r="M45" s="141">
        <f t="shared" si="8"/>
        <v>5</v>
      </c>
      <c r="N45" s="143"/>
    </row>
    <row r="46" hidden="1" outlineLevel="1">
      <c r="A46" s="255" t="s">
        <v>294</v>
      </c>
      <c r="B46" s="132">
        <v>45987.0</v>
      </c>
      <c r="C46" s="133" t="str">
        <f t="shared" si="7"/>
        <v>Wed</v>
      </c>
      <c r="D46" s="136">
        <f t="shared" si="9"/>
        <v>1</v>
      </c>
      <c r="E46" s="137" t="s">
        <v>129</v>
      </c>
      <c r="F46" s="137" t="s">
        <v>129</v>
      </c>
      <c r="G46" s="137" t="s">
        <v>129</v>
      </c>
      <c r="H46" s="137" t="s">
        <v>129</v>
      </c>
      <c r="I46" s="137" t="s">
        <v>129</v>
      </c>
      <c r="J46" s="137" t="s">
        <v>129</v>
      </c>
      <c r="K46" s="137" t="s">
        <v>129</v>
      </c>
      <c r="L46" s="137" t="s">
        <v>129</v>
      </c>
      <c r="M46" s="141">
        <f t="shared" si="8"/>
        <v>5</v>
      </c>
      <c r="N46" s="143"/>
    </row>
    <row r="47" hidden="1" outlineLevel="1">
      <c r="A47" s="255" t="s">
        <v>295</v>
      </c>
      <c r="B47" s="132">
        <v>45987.0</v>
      </c>
      <c r="C47" s="133" t="str">
        <f t="shared" si="7"/>
        <v>Wed</v>
      </c>
      <c r="D47" s="136">
        <f t="shared" si="9"/>
        <v>1</v>
      </c>
      <c r="E47" s="137" t="s">
        <v>129</v>
      </c>
      <c r="F47" s="137" t="s">
        <v>129</v>
      </c>
      <c r="G47" s="137" t="s">
        <v>129</v>
      </c>
      <c r="H47" s="137" t="s">
        <v>129</v>
      </c>
      <c r="I47" s="137" t="s">
        <v>129</v>
      </c>
      <c r="J47" s="137" t="s">
        <v>129</v>
      </c>
      <c r="K47" s="137" t="s">
        <v>129</v>
      </c>
      <c r="L47" s="137" t="s">
        <v>129</v>
      </c>
      <c r="M47" s="141">
        <f t="shared" si="8"/>
        <v>5</v>
      </c>
      <c r="N47" s="147"/>
    </row>
    <row r="48" hidden="1" outlineLevel="1">
      <c r="A48" s="255" t="s">
        <v>297</v>
      </c>
      <c r="B48" s="132">
        <v>45988.0</v>
      </c>
      <c r="C48" s="133" t="str">
        <f t="shared" si="7"/>
        <v>Thu</v>
      </c>
      <c r="D48" s="136">
        <f t="shared" si="9"/>
        <v>1</v>
      </c>
      <c r="E48" s="137" t="s">
        <v>129</v>
      </c>
      <c r="F48" s="137" t="s">
        <v>129</v>
      </c>
      <c r="G48" s="137" t="s">
        <v>129</v>
      </c>
      <c r="H48" s="137" t="s">
        <v>129</v>
      </c>
      <c r="I48" s="137" t="s">
        <v>129</v>
      </c>
      <c r="J48" s="137" t="s">
        <v>129</v>
      </c>
      <c r="K48" s="137" t="s">
        <v>129</v>
      </c>
      <c r="L48" s="137" t="s">
        <v>129</v>
      </c>
      <c r="M48" s="141">
        <f t="shared" si="8"/>
        <v>5</v>
      </c>
      <c r="N48" s="143"/>
    </row>
    <row r="49" hidden="1" outlineLevel="1">
      <c r="A49" s="131" t="s">
        <v>298</v>
      </c>
      <c r="B49" s="132">
        <v>45988.0</v>
      </c>
      <c r="C49" s="133" t="str">
        <f t="shared" si="7"/>
        <v>Thu</v>
      </c>
      <c r="D49" s="136">
        <f t="shared" si="9"/>
        <v>1</v>
      </c>
      <c r="E49" s="137" t="s">
        <v>129</v>
      </c>
      <c r="F49" s="137" t="s">
        <v>129</v>
      </c>
      <c r="G49" s="137" t="s">
        <v>129</v>
      </c>
      <c r="H49" s="137" t="s">
        <v>129</v>
      </c>
      <c r="I49" s="137" t="s">
        <v>129</v>
      </c>
      <c r="J49" s="137" t="s">
        <v>129</v>
      </c>
      <c r="K49" s="137" t="s">
        <v>129</v>
      </c>
      <c r="L49" s="137" t="s">
        <v>129</v>
      </c>
      <c r="M49" s="141">
        <f t="shared" si="8"/>
        <v>5</v>
      </c>
      <c r="N49" s="143"/>
    </row>
    <row r="50" hidden="1" outlineLevel="1">
      <c r="A50" s="131" t="s">
        <v>299</v>
      </c>
      <c r="B50" s="132">
        <v>45988.0</v>
      </c>
      <c r="C50" s="133" t="str">
        <f t="shared" si="7"/>
        <v>Thu</v>
      </c>
      <c r="D50" s="136">
        <f t="shared" si="9"/>
        <v>1</v>
      </c>
      <c r="E50" s="137" t="s">
        <v>129</v>
      </c>
      <c r="F50" s="137" t="s">
        <v>129</v>
      </c>
      <c r="G50" s="137" t="s">
        <v>129</v>
      </c>
      <c r="H50" s="137" t="s">
        <v>129</v>
      </c>
      <c r="I50" s="137" t="s">
        <v>129</v>
      </c>
      <c r="J50" s="137" t="s">
        <v>129</v>
      </c>
      <c r="K50" s="137" t="s">
        <v>129</v>
      </c>
      <c r="L50" s="137" t="s">
        <v>129</v>
      </c>
      <c r="M50" s="141">
        <f t="shared" si="8"/>
        <v>5</v>
      </c>
      <c r="N50" s="147"/>
    </row>
    <row r="51" hidden="1" outlineLevel="1">
      <c r="A51" s="131" t="s">
        <v>301</v>
      </c>
      <c r="B51" s="132">
        <v>45988.0</v>
      </c>
      <c r="C51" s="133" t="str">
        <f t="shared" si="7"/>
        <v>Thu</v>
      </c>
      <c r="D51" s="136">
        <f t="shared" si="9"/>
        <v>1</v>
      </c>
      <c r="E51" s="137" t="s">
        <v>129</v>
      </c>
      <c r="F51" s="137" t="s">
        <v>129</v>
      </c>
      <c r="G51" s="137" t="s">
        <v>129</v>
      </c>
      <c r="H51" s="137" t="s">
        <v>129</v>
      </c>
      <c r="I51" s="137" t="s">
        <v>129</v>
      </c>
      <c r="J51" s="137" t="s">
        <v>129</v>
      </c>
      <c r="K51" s="137" t="s">
        <v>129</v>
      </c>
      <c r="L51" s="137" t="s">
        <v>129</v>
      </c>
      <c r="M51" s="141">
        <f t="shared" si="8"/>
        <v>5</v>
      </c>
      <c r="N51" s="143"/>
    </row>
    <row r="52" hidden="1" outlineLevel="1">
      <c r="A52" s="131" t="s">
        <v>302</v>
      </c>
      <c r="B52" s="132">
        <v>45989.0</v>
      </c>
      <c r="C52" s="186" t="str">
        <f t="shared" si="7"/>
        <v>Fri</v>
      </c>
      <c r="D52" s="136">
        <f t="shared" si="9"/>
        <v>1</v>
      </c>
      <c r="E52" s="137" t="s">
        <v>129</v>
      </c>
      <c r="F52" s="137" t="s">
        <v>129</v>
      </c>
      <c r="G52" s="137" t="s">
        <v>129</v>
      </c>
      <c r="H52" s="137" t="s">
        <v>129</v>
      </c>
      <c r="I52" s="137" t="s">
        <v>129</v>
      </c>
      <c r="J52" s="137" t="s">
        <v>129</v>
      </c>
      <c r="K52" s="137" t="s">
        <v>129</v>
      </c>
      <c r="L52" s="137" t="s">
        <v>129</v>
      </c>
      <c r="M52" s="141">
        <f t="shared" si="8"/>
        <v>5</v>
      </c>
      <c r="N52" s="143"/>
    </row>
    <row r="53" hidden="1" outlineLevel="1">
      <c r="A53" s="131" t="s">
        <v>317</v>
      </c>
      <c r="B53" s="132">
        <v>45989.0</v>
      </c>
      <c r="C53" s="186" t="str">
        <f t="shared" si="7"/>
        <v>Fri</v>
      </c>
      <c r="D53" s="136">
        <f t="shared" si="9"/>
        <v>1</v>
      </c>
      <c r="E53" s="137" t="s">
        <v>129</v>
      </c>
      <c r="F53" s="137" t="s">
        <v>129</v>
      </c>
      <c r="G53" s="137" t="s">
        <v>129</v>
      </c>
      <c r="H53" s="137" t="s">
        <v>129</v>
      </c>
      <c r="I53" s="137" t="s">
        <v>129</v>
      </c>
      <c r="J53" s="137" t="s">
        <v>129</v>
      </c>
      <c r="K53" s="137" t="s">
        <v>129</v>
      </c>
      <c r="L53" s="137" t="s">
        <v>129</v>
      </c>
      <c r="M53" s="141">
        <f t="shared" si="8"/>
        <v>5</v>
      </c>
      <c r="N53" s="143"/>
    </row>
    <row r="54" hidden="1" outlineLevel="1">
      <c r="A54" s="131" t="s">
        <v>321</v>
      </c>
      <c r="B54" s="132">
        <v>45989.0</v>
      </c>
      <c r="C54" s="186" t="str">
        <f t="shared" si="7"/>
        <v>Fri</v>
      </c>
      <c r="D54" s="136">
        <f t="shared" si="9"/>
        <v>1</v>
      </c>
      <c r="E54" s="137" t="s">
        <v>129</v>
      </c>
      <c r="F54" s="137" t="s">
        <v>129</v>
      </c>
      <c r="G54" s="137" t="s">
        <v>129</v>
      </c>
      <c r="H54" s="137" t="s">
        <v>129</v>
      </c>
      <c r="I54" s="137" t="s">
        <v>129</v>
      </c>
      <c r="J54" s="137" t="s">
        <v>129</v>
      </c>
      <c r="K54" s="137" t="s">
        <v>129</v>
      </c>
      <c r="L54" s="137" t="s">
        <v>129</v>
      </c>
      <c r="M54" s="141">
        <f t="shared" si="8"/>
        <v>5</v>
      </c>
      <c r="N54" s="143"/>
    </row>
    <row r="55" hidden="1" outlineLevel="1">
      <c r="B55" s="189"/>
      <c r="C55" s="191" t="s">
        <v>194</v>
      </c>
      <c r="D55" s="204">
        <f>AVERAGE(D40:D54)</f>
        <v>1</v>
      </c>
      <c r="E55" s="200"/>
      <c r="L55" s="191" t="s">
        <v>194</v>
      </c>
      <c r="M55" s="204">
        <f>SUM(M40:M54)/75*0.1</f>
        <v>0.1</v>
      </c>
    </row>
    <row r="56" hidden="1" collapsed="1">
      <c r="A56" s="89">
        <v>45992.0</v>
      </c>
      <c r="B56" s="91"/>
      <c r="C56" s="91"/>
      <c r="D56" s="91"/>
      <c r="E56" s="94"/>
      <c r="F56" s="94"/>
      <c r="G56" s="96"/>
      <c r="H56" s="96"/>
      <c r="I56" s="96"/>
      <c r="J56" s="96"/>
      <c r="K56" s="96"/>
      <c r="L56" s="96"/>
      <c r="M56" s="101"/>
      <c r="N56" s="102"/>
    </row>
    <row r="57" hidden="1" outlineLevel="1" collapsed="1">
      <c r="A57" s="206" t="s">
        <v>325</v>
      </c>
      <c r="B57" s="207"/>
      <c r="C57" s="207"/>
      <c r="D57" s="208"/>
      <c r="E57" s="109"/>
      <c r="F57" s="109"/>
      <c r="G57" s="110"/>
      <c r="H57" s="110"/>
      <c r="I57" s="110"/>
      <c r="J57" s="110"/>
      <c r="K57" s="110"/>
      <c r="L57" s="110"/>
      <c r="M57" s="111"/>
      <c r="N57" s="113"/>
    </row>
    <row r="58" hidden="1" outlineLevel="2">
      <c r="A58" s="115" t="s">
        <v>98</v>
      </c>
      <c r="B58" s="115" t="s">
        <v>100</v>
      </c>
      <c r="C58" s="115" t="s">
        <v>102</v>
      </c>
      <c r="D58" s="119" t="s">
        <v>103</v>
      </c>
      <c r="E58" s="275" t="s">
        <v>269</v>
      </c>
      <c r="F58" s="275" t="s">
        <v>272</v>
      </c>
      <c r="G58" s="276" t="s">
        <v>328</v>
      </c>
      <c r="H58" s="121" t="s">
        <v>107</v>
      </c>
      <c r="I58" s="121" t="s">
        <v>108</v>
      </c>
      <c r="J58" s="276" t="s">
        <v>329</v>
      </c>
      <c r="K58" s="121" t="s">
        <v>111</v>
      </c>
      <c r="L58" s="276" t="s">
        <v>274</v>
      </c>
      <c r="M58" s="115" t="s">
        <v>114</v>
      </c>
      <c r="N58" s="119" t="s">
        <v>115</v>
      </c>
    </row>
    <row r="59" hidden="1" outlineLevel="2">
      <c r="A59" s="219" t="s">
        <v>330</v>
      </c>
      <c r="B59" s="132">
        <v>45992.0</v>
      </c>
      <c r="C59" s="133" t="str">
        <f t="shared" ref="C59:C73" si="10">IF(B59="", "", TEXT(B59, "ddd"))</f>
        <v>Mon</v>
      </c>
      <c r="D59" s="136">
        <f t="shared" ref="D59:D73" si="11">IF(E59="Yes",0.05,0)
+IF(F59="Yes",0.1,0)
+IF(G59="Yes",0.15,0)
+IF(H59="Yes",0.15,0)
+IF(I59="Yes",0.05,0)
+IF(J59="Yes",0.05,0)
+IF(K59="Yes",0.15,0)
+IF(L59="Yes",0.3,0)
</f>
        <v>1</v>
      </c>
      <c r="E59" s="137" t="s">
        <v>129</v>
      </c>
      <c r="F59" s="137" t="s">
        <v>129</v>
      </c>
      <c r="G59" s="137" t="s">
        <v>129</v>
      </c>
      <c r="H59" s="137" t="s">
        <v>129</v>
      </c>
      <c r="I59" s="137" t="s">
        <v>129</v>
      </c>
      <c r="J59" s="137" t="s">
        <v>129</v>
      </c>
      <c r="K59" s="137" t="s">
        <v>129</v>
      </c>
      <c r="L59" s="137" t="s">
        <v>129</v>
      </c>
      <c r="M59" s="141">
        <f t="shared" ref="M59:M73" si="12">IF(D59="", 0, 
    IF(D59&gt;=1, 5, 
    IF(D59&gt;=0.8, 4, 
    IF(D59&gt;=0.7, 3, 
    IF(D59&gt;=0.6, 2, 
    IF(D59&lt;0.5, 1, ""))))))</f>
        <v>5</v>
      </c>
      <c r="N59" s="143"/>
    </row>
    <row r="60" hidden="1" outlineLevel="2">
      <c r="A60" s="219" t="s">
        <v>335</v>
      </c>
      <c r="B60" s="132">
        <v>45992.0</v>
      </c>
      <c r="C60" s="133" t="str">
        <f t="shared" si="10"/>
        <v>Mon</v>
      </c>
      <c r="D60" s="136">
        <f t="shared" si="11"/>
        <v>1</v>
      </c>
      <c r="E60" s="137" t="s">
        <v>129</v>
      </c>
      <c r="F60" s="137" t="s">
        <v>129</v>
      </c>
      <c r="G60" s="137" t="s">
        <v>129</v>
      </c>
      <c r="H60" s="137" t="s">
        <v>129</v>
      </c>
      <c r="I60" s="137" t="s">
        <v>129</v>
      </c>
      <c r="J60" s="137" t="s">
        <v>129</v>
      </c>
      <c r="K60" s="137" t="s">
        <v>129</v>
      </c>
      <c r="L60" s="137" t="s">
        <v>129</v>
      </c>
      <c r="M60" s="141">
        <f t="shared" si="12"/>
        <v>5</v>
      </c>
      <c r="N60" s="147"/>
    </row>
    <row r="61" hidden="1" outlineLevel="2">
      <c r="A61" s="219" t="s">
        <v>336</v>
      </c>
      <c r="B61" s="132">
        <v>45992.0</v>
      </c>
      <c r="C61" s="133" t="str">
        <f t="shared" si="10"/>
        <v>Mon</v>
      </c>
      <c r="D61" s="136">
        <f t="shared" si="11"/>
        <v>1</v>
      </c>
      <c r="E61" s="137" t="s">
        <v>129</v>
      </c>
      <c r="F61" s="137" t="s">
        <v>129</v>
      </c>
      <c r="G61" s="137" t="s">
        <v>129</v>
      </c>
      <c r="H61" s="137" t="s">
        <v>129</v>
      </c>
      <c r="I61" s="137" t="s">
        <v>129</v>
      </c>
      <c r="J61" s="137" t="s">
        <v>129</v>
      </c>
      <c r="K61" s="137" t="s">
        <v>129</v>
      </c>
      <c r="L61" s="137" t="s">
        <v>129</v>
      </c>
      <c r="M61" s="141">
        <f t="shared" si="12"/>
        <v>5</v>
      </c>
      <c r="N61" s="147"/>
    </row>
    <row r="62" hidden="1" outlineLevel="2">
      <c r="A62" s="255" t="s">
        <v>339</v>
      </c>
      <c r="B62" s="132">
        <v>45993.0</v>
      </c>
      <c r="C62" s="133" t="str">
        <f t="shared" si="10"/>
        <v>Tue</v>
      </c>
      <c r="D62" s="136">
        <f t="shared" si="11"/>
        <v>1</v>
      </c>
      <c r="E62" s="137" t="s">
        <v>129</v>
      </c>
      <c r="F62" s="137" t="s">
        <v>129</v>
      </c>
      <c r="G62" s="137" t="s">
        <v>129</v>
      </c>
      <c r="H62" s="137" t="s">
        <v>129</v>
      </c>
      <c r="I62" s="137" t="s">
        <v>129</v>
      </c>
      <c r="J62" s="137" t="s">
        <v>129</v>
      </c>
      <c r="K62" s="137" t="s">
        <v>129</v>
      </c>
      <c r="L62" s="137" t="s">
        <v>129</v>
      </c>
      <c r="M62" s="141">
        <f t="shared" si="12"/>
        <v>5</v>
      </c>
      <c r="N62" s="143"/>
    </row>
    <row r="63" hidden="1" outlineLevel="2">
      <c r="A63" s="255" t="s">
        <v>342</v>
      </c>
      <c r="B63" s="132">
        <v>45993.0</v>
      </c>
      <c r="C63" s="133" t="str">
        <f t="shared" si="10"/>
        <v>Tue</v>
      </c>
      <c r="D63" s="136">
        <f t="shared" si="11"/>
        <v>1</v>
      </c>
      <c r="E63" s="137" t="s">
        <v>129</v>
      </c>
      <c r="F63" s="137" t="s">
        <v>129</v>
      </c>
      <c r="G63" s="137" t="s">
        <v>129</v>
      </c>
      <c r="H63" s="137" t="s">
        <v>129</v>
      </c>
      <c r="I63" s="137" t="s">
        <v>129</v>
      </c>
      <c r="J63" s="137" t="s">
        <v>129</v>
      </c>
      <c r="K63" s="137" t="s">
        <v>129</v>
      </c>
      <c r="L63" s="137" t="s">
        <v>129</v>
      </c>
      <c r="M63" s="141">
        <f t="shared" si="12"/>
        <v>5</v>
      </c>
      <c r="N63" s="143"/>
    </row>
    <row r="64" hidden="1" outlineLevel="2">
      <c r="A64" s="255" t="s">
        <v>343</v>
      </c>
      <c r="B64" s="132">
        <v>45993.0</v>
      </c>
      <c r="C64" s="133" t="str">
        <f t="shared" si="10"/>
        <v>Tue</v>
      </c>
      <c r="D64" s="136">
        <f t="shared" si="11"/>
        <v>1</v>
      </c>
      <c r="E64" s="137" t="s">
        <v>129</v>
      </c>
      <c r="F64" s="137" t="s">
        <v>129</v>
      </c>
      <c r="G64" s="137" t="s">
        <v>129</v>
      </c>
      <c r="H64" s="137" t="s">
        <v>129</v>
      </c>
      <c r="I64" s="137" t="s">
        <v>129</v>
      </c>
      <c r="J64" s="137" t="s">
        <v>129</v>
      </c>
      <c r="K64" s="137" t="s">
        <v>129</v>
      </c>
      <c r="L64" s="137" t="s">
        <v>129</v>
      </c>
      <c r="M64" s="141">
        <f t="shared" si="12"/>
        <v>5</v>
      </c>
      <c r="N64" s="143"/>
    </row>
    <row r="65" hidden="1" outlineLevel="2">
      <c r="A65" s="255" t="s">
        <v>346</v>
      </c>
      <c r="B65" s="132">
        <v>45994.0</v>
      </c>
      <c r="C65" s="133" t="str">
        <f t="shared" si="10"/>
        <v>Wed</v>
      </c>
      <c r="D65" s="136">
        <f t="shared" si="11"/>
        <v>1</v>
      </c>
      <c r="E65" s="137" t="s">
        <v>129</v>
      </c>
      <c r="F65" s="137" t="s">
        <v>129</v>
      </c>
      <c r="G65" s="137" t="s">
        <v>129</v>
      </c>
      <c r="H65" s="137" t="s">
        <v>129</v>
      </c>
      <c r="I65" s="137" t="s">
        <v>129</v>
      </c>
      <c r="J65" s="137" t="s">
        <v>129</v>
      </c>
      <c r="K65" s="137" t="s">
        <v>129</v>
      </c>
      <c r="L65" s="137" t="s">
        <v>129</v>
      </c>
      <c r="M65" s="141">
        <f t="shared" si="12"/>
        <v>5</v>
      </c>
      <c r="N65" s="143"/>
    </row>
    <row r="66" hidden="1" outlineLevel="2">
      <c r="A66" s="255" t="s">
        <v>349</v>
      </c>
      <c r="B66" s="132">
        <v>45994.0</v>
      </c>
      <c r="C66" s="133" t="str">
        <f t="shared" si="10"/>
        <v>Wed</v>
      </c>
      <c r="D66" s="136">
        <f t="shared" si="11"/>
        <v>1</v>
      </c>
      <c r="E66" s="137" t="s">
        <v>129</v>
      </c>
      <c r="F66" s="137" t="s">
        <v>129</v>
      </c>
      <c r="G66" s="137" t="s">
        <v>129</v>
      </c>
      <c r="H66" s="137" t="s">
        <v>129</v>
      </c>
      <c r="I66" s="137" t="s">
        <v>129</v>
      </c>
      <c r="J66" s="137" t="s">
        <v>129</v>
      </c>
      <c r="K66" s="137" t="s">
        <v>129</v>
      </c>
      <c r="L66" s="137" t="s">
        <v>129</v>
      </c>
      <c r="M66" s="141">
        <f t="shared" si="12"/>
        <v>5</v>
      </c>
      <c r="N66" s="147"/>
    </row>
    <row r="67" hidden="1" outlineLevel="2">
      <c r="A67" s="255" t="s">
        <v>352</v>
      </c>
      <c r="B67" s="132">
        <v>45994.0</v>
      </c>
      <c r="C67" s="133" t="str">
        <f t="shared" si="10"/>
        <v>Wed</v>
      </c>
      <c r="D67" s="136">
        <f t="shared" si="11"/>
        <v>1</v>
      </c>
      <c r="E67" s="137" t="s">
        <v>129</v>
      </c>
      <c r="F67" s="137" t="s">
        <v>129</v>
      </c>
      <c r="G67" s="137" t="s">
        <v>129</v>
      </c>
      <c r="H67" s="137" t="s">
        <v>129</v>
      </c>
      <c r="I67" s="137" t="s">
        <v>129</v>
      </c>
      <c r="J67" s="137" t="s">
        <v>129</v>
      </c>
      <c r="K67" s="137" t="s">
        <v>129</v>
      </c>
      <c r="L67" s="137" t="s">
        <v>129</v>
      </c>
      <c r="M67" s="141">
        <f t="shared" si="12"/>
        <v>5</v>
      </c>
      <c r="N67" s="143"/>
    </row>
    <row r="68" hidden="1" outlineLevel="2">
      <c r="A68" s="131" t="s">
        <v>355</v>
      </c>
      <c r="B68" s="132">
        <v>45995.0</v>
      </c>
      <c r="C68" s="133" t="str">
        <f t="shared" si="10"/>
        <v>Thu</v>
      </c>
      <c r="D68" s="136">
        <f t="shared" si="11"/>
        <v>1</v>
      </c>
      <c r="E68" s="137" t="s">
        <v>129</v>
      </c>
      <c r="F68" s="137" t="s">
        <v>129</v>
      </c>
      <c r="G68" s="137" t="s">
        <v>129</v>
      </c>
      <c r="H68" s="137" t="s">
        <v>129</v>
      </c>
      <c r="I68" s="137" t="s">
        <v>129</v>
      </c>
      <c r="J68" s="137" t="s">
        <v>129</v>
      </c>
      <c r="K68" s="137" t="s">
        <v>129</v>
      </c>
      <c r="L68" s="137" t="s">
        <v>129</v>
      </c>
      <c r="M68" s="141">
        <f t="shared" si="12"/>
        <v>5</v>
      </c>
      <c r="N68" s="143"/>
    </row>
    <row r="69" hidden="1" outlineLevel="2">
      <c r="A69" s="131" t="s">
        <v>358</v>
      </c>
      <c r="B69" s="132">
        <v>45995.0</v>
      </c>
      <c r="C69" s="133" t="str">
        <f t="shared" si="10"/>
        <v>Thu</v>
      </c>
      <c r="D69" s="136">
        <f t="shared" si="11"/>
        <v>1</v>
      </c>
      <c r="E69" s="137" t="s">
        <v>129</v>
      </c>
      <c r="F69" s="137" t="s">
        <v>129</v>
      </c>
      <c r="G69" s="137" t="s">
        <v>129</v>
      </c>
      <c r="H69" s="137" t="s">
        <v>129</v>
      </c>
      <c r="I69" s="137" t="s">
        <v>129</v>
      </c>
      <c r="J69" s="137" t="s">
        <v>129</v>
      </c>
      <c r="K69" s="137" t="s">
        <v>129</v>
      </c>
      <c r="L69" s="137" t="s">
        <v>129</v>
      </c>
      <c r="M69" s="141">
        <f t="shared" si="12"/>
        <v>5</v>
      </c>
      <c r="N69" s="147"/>
    </row>
    <row r="70" hidden="1" outlineLevel="2">
      <c r="A70" s="131" t="s">
        <v>363</v>
      </c>
      <c r="B70" s="132">
        <v>45995.0</v>
      </c>
      <c r="C70" s="133" t="str">
        <f t="shared" si="10"/>
        <v>Thu</v>
      </c>
      <c r="D70" s="136">
        <f t="shared" si="11"/>
        <v>1</v>
      </c>
      <c r="E70" s="137" t="s">
        <v>129</v>
      </c>
      <c r="F70" s="137" t="s">
        <v>129</v>
      </c>
      <c r="G70" s="137" t="s">
        <v>129</v>
      </c>
      <c r="H70" s="137" t="s">
        <v>129</v>
      </c>
      <c r="I70" s="137" t="s">
        <v>129</v>
      </c>
      <c r="J70" s="137" t="s">
        <v>129</v>
      </c>
      <c r="K70" s="137" t="s">
        <v>129</v>
      </c>
      <c r="L70" s="137" t="s">
        <v>129</v>
      </c>
      <c r="M70" s="141">
        <f t="shared" si="12"/>
        <v>5</v>
      </c>
      <c r="N70" s="143"/>
    </row>
    <row r="71" hidden="1" outlineLevel="2">
      <c r="A71" s="131" t="s">
        <v>365</v>
      </c>
      <c r="B71" s="132">
        <v>45997.0</v>
      </c>
      <c r="C71" s="186" t="str">
        <f t="shared" si="10"/>
        <v>Sat</v>
      </c>
      <c r="D71" s="136">
        <f t="shared" si="11"/>
        <v>1</v>
      </c>
      <c r="E71" s="137" t="s">
        <v>129</v>
      </c>
      <c r="F71" s="137" t="s">
        <v>129</v>
      </c>
      <c r="G71" s="137" t="s">
        <v>129</v>
      </c>
      <c r="H71" s="137" t="s">
        <v>129</v>
      </c>
      <c r="I71" s="137" t="s">
        <v>129</v>
      </c>
      <c r="J71" s="137" t="s">
        <v>129</v>
      </c>
      <c r="K71" s="137" t="s">
        <v>129</v>
      </c>
      <c r="L71" s="137" t="s">
        <v>129</v>
      </c>
      <c r="M71" s="141">
        <f t="shared" si="12"/>
        <v>5</v>
      </c>
      <c r="N71" s="143"/>
    </row>
    <row r="72" hidden="1" outlineLevel="2">
      <c r="A72" s="131" t="s">
        <v>368</v>
      </c>
      <c r="B72" s="132">
        <v>45997.0</v>
      </c>
      <c r="C72" s="186" t="str">
        <f t="shared" si="10"/>
        <v>Sat</v>
      </c>
      <c r="D72" s="136">
        <f t="shared" si="11"/>
        <v>1</v>
      </c>
      <c r="E72" s="137" t="s">
        <v>129</v>
      </c>
      <c r="F72" s="137" t="s">
        <v>129</v>
      </c>
      <c r="G72" s="137" t="s">
        <v>129</v>
      </c>
      <c r="H72" s="137" t="s">
        <v>129</v>
      </c>
      <c r="I72" s="137" t="s">
        <v>129</v>
      </c>
      <c r="J72" s="137" t="s">
        <v>129</v>
      </c>
      <c r="K72" s="137" t="s">
        <v>129</v>
      </c>
      <c r="L72" s="137" t="s">
        <v>129</v>
      </c>
      <c r="M72" s="141">
        <f t="shared" si="12"/>
        <v>5</v>
      </c>
      <c r="N72" s="143"/>
    </row>
    <row r="73" hidden="1" outlineLevel="2">
      <c r="A73" s="131" t="s">
        <v>369</v>
      </c>
      <c r="B73" s="132">
        <v>45997.0</v>
      </c>
      <c r="C73" s="186" t="str">
        <f t="shared" si="10"/>
        <v>Sat</v>
      </c>
      <c r="D73" s="136">
        <f t="shared" si="11"/>
        <v>1</v>
      </c>
      <c r="E73" s="137" t="s">
        <v>129</v>
      </c>
      <c r="F73" s="137" t="s">
        <v>129</v>
      </c>
      <c r="G73" s="137" t="s">
        <v>129</v>
      </c>
      <c r="H73" s="137" t="s">
        <v>129</v>
      </c>
      <c r="I73" s="137" t="s">
        <v>129</v>
      </c>
      <c r="J73" s="137" t="s">
        <v>129</v>
      </c>
      <c r="K73" s="137" t="s">
        <v>129</v>
      </c>
      <c r="L73" s="137" t="s">
        <v>129</v>
      </c>
      <c r="M73" s="141">
        <f t="shared" si="12"/>
        <v>5</v>
      </c>
      <c r="N73" s="143"/>
    </row>
    <row r="74" hidden="1" outlineLevel="2">
      <c r="B74" s="189"/>
      <c r="C74" s="191" t="s">
        <v>194</v>
      </c>
      <c r="D74" s="204">
        <f>AVERAGE(D59:D73)</f>
        <v>1</v>
      </c>
      <c r="E74" s="200"/>
      <c r="L74" s="191" t="s">
        <v>194</v>
      </c>
      <c r="M74" s="204">
        <f>SUM(M59:M73)/75*0.1</f>
        <v>0.1</v>
      </c>
    </row>
    <row r="75" hidden="1" outlineLevel="1" collapsed="1">
      <c r="A75" s="206" t="s">
        <v>371</v>
      </c>
      <c r="B75" s="207"/>
      <c r="C75" s="207"/>
      <c r="D75" s="208"/>
      <c r="E75" s="109"/>
      <c r="F75" s="109"/>
      <c r="G75" s="110"/>
      <c r="H75" s="110"/>
      <c r="I75" s="110"/>
      <c r="J75" s="110"/>
      <c r="K75" s="110"/>
      <c r="L75" s="110"/>
      <c r="M75" s="111"/>
      <c r="N75" s="113"/>
    </row>
    <row r="76" hidden="1" outlineLevel="2">
      <c r="A76" s="115" t="s">
        <v>98</v>
      </c>
      <c r="B76" s="115" t="s">
        <v>100</v>
      </c>
      <c r="C76" s="115" t="s">
        <v>102</v>
      </c>
      <c r="D76" s="119" t="s">
        <v>103</v>
      </c>
      <c r="E76" s="275" t="s">
        <v>269</v>
      </c>
      <c r="F76" s="275" t="s">
        <v>272</v>
      </c>
      <c r="G76" s="276" t="s">
        <v>328</v>
      </c>
      <c r="H76" s="121" t="s">
        <v>107</v>
      </c>
      <c r="I76" s="121" t="s">
        <v>108</v>
      </c>
      <c r="J76" s="276" t="s">
        <v>329</v>
      </c>
      <c r="K76" s="121" t="s">
        <v>111</v>
      </c>
      <c r="L76" s="276" t="s">
        <v>274</v>
      </c>
      <c r="M76" s="115" t="s">
        <v>114</v>
      </c>
      <c r="N76" s="119" t="s">
        <v>115</v>
      </c>
    </row>
    <row r="77" hidden="1" outlineLevel="2">
      <c r="A77" s="255" t="s">
        <v>374</v>
      </c>
      <c r="B77" s="132">
        <v>45999.0</v>
      </c>
      <c r="C77" s="133" t="str">
        <f t="shared" ref="C77:C91" si="13">IF(B77="", "", TEXT(B77, "ddd"))</f>
        <v>Mon</v>
      </c>
      <c r="D77" s="136">
        <f t="shared" ref="D77:D91" si="14">IF(E77="Yes",0.05,0)
+IF(F77="Yes",0.1,0)
+IF(G77="Yes",0.15,0)
+IF(H77="Yes",0.15,0)
+IF(I77="Yes",0.05,0)
+IF(J77="Yes",0.05,0)
+IF(K77="Yes",0.15,0)
+IF(L77="Yes",0.3,0)
</f>
        <v>1</v>
      </c>
      <c r="E77" s="137" t="s">
        <v>129</v>
      </c>
      <c r="F77" s="137" t="s">
        <v>129</v>
      </c>
      <c r="G77" s="137" t="s">
        <v>129</v>
      </c>
      <c r="H77" s="137" t="s">
        <v>129</v>
      </c>
      <c r="I77" s="137" t="s">
        <v>129</v>
      </c>
      <c r="J77" s="137" t="s">
        <v>129</v>
      </c>
      <c r="K77" s="137" t="s">
        <v>129</v>
      </c>
      <c r="L77" s="137" t="s">
        <v>129</v>
      </c>
      <c r="M77" s="141">
        <f t="shared" ref="M77:M91" si="15">IF(D77="", 0, 
    IF(D77&gt;=1, 5, 
    IF(D77&gt;=0.8, 4, 
    IF(D77&gt;=0.7, 3, 
    IF(D77&gt;=0.6, 2, 
    IF(D77&lt;0.5, 1, ""))))))</f>
        <v>5</v>
      </c>
      <c r="N77" s="143"/>
    </row>
    <row r="78" hidden="1" outlineLevel="2">
      <c r="A78" s="255" t="s">
        <v>378</v>
      </c>
      <c r="B78" s="132">
        <v>45999.0</v>
      </c>
      <c r="C78" s="133" t="str">
        <f t="shared" si="13"/>
        <v>Mon</v>
      </c>
      <c r="D78" s="136">
        <f t="shared" si="14"/>
        <v>1</v>
      </c>
      <c r="E78" s="137" t="s">
        <v>129</v>
      </c>
      <c r="F78" s="137" t="s">
        <v>129</v>
      </c>
      <c r="G78" s="137" t="s">
        <v>129</v>
      </c>
      <c r="H78" s="137" t="s">
        <v>129</v>
      </c>
      <c r="I78" s="137" t="s">
        <v>129</v>
      </c>
      <c r="J78" s="137" t="s">
        <v>129</v>
      </c>
      <c r="K78" s="137" t="s">
        <v>129</v>
      </c>
      <c r="L78" s="137" t="s">
        <v>129</v>
      </c>
      <c r="M78" s="141">
        <f t="shared" si="15"/>
        <v>5</v>
      </c>
      <c r="N78" s="147"/>
    </row>
    <row r="79" hidden="1" outlineLevel="2">
      <c r="A79" s="255" t="s">
        <v>380</v>
      </c>
      <c r="B79" s="132">
        <v>45999.0</v>
      </c>
      <c r="C79" s="133" t="str">
        <f t="shared" si="13"/>
        <v>Mon</v>
      </c>
      <c r="D79" s="136">
        <f t="shared" si="14"/>
        <v>1</v>
      </c>
      <c r="E79" s="137" t="s">
        <v>129</v>
      </c>
      <c r="F79" s="137" t="s">
        <v>129</v>
      </c>
      <c r="G79" s="137" t="s">
        <v>129</v>
      </c>
      <c r="H79" s="137" t="s">
        <v>129</v>
      </c>
      <c r="I79" s="137" t="s">
        <v>129</v>
      </c>
      <c r="J79" s="137" t="s">
        <v>129</v>
      </c>
      <c r="K79" s="137" t="s">
        <v>129</v>
      </c>
      <c r="L79" s="137" t="s">
        <v>129</v>
      </c>
      <c r="M79" s="141">
        <f t="shared" si="15"/>
        <v>5</v>
      </c>
      <c r="N79" s="147"/>
    </row>
    <row r="80" hidden="1" outlineLevel="2">
      <c r="A80" s="219" t="s">
        <v>382</v>
      </c>
      <c r="B80" s="132">
        <v>46000.0</v>
      </c>
      <c r="C80" s="133" t="str">
        <f t="shared" si="13"/>
        <v>Tue</v>
      </c>
      <c r="D80" s="136">
        <f t="shared" si="14"/>
        <v>1</v>
      </c>
      <c r="E80" s="137" t="s">
        <v>129</v>
      </c>
      <c r="F80" s="137" t="s">
        <v>129</v>
      </c>
      <c r="G80" s="137" t="s">
        <v>129</v>
      </c>
      <c r="H80" s="137" t="s">
        <v>129</v>
      </c>
      <c r="I80" s="137" t="s">
        <v>129</v>
      </c>
      <c r="J80" s="137" t="s">
        <v>129</v>
      </c>
      <c r="K80" s="137" t="s">
        <v>129</v>
      </c>
      <c r="L80" s="137" t="s">
        <v>129</v>
      </c>
      <c r="M80" s="141">
        <f t="shared" si="15"/>
        <v>5</v>
      </c>
      <c r="N80" s="143"/>
    </row>
    <row r="81" hidden="1" outlineLevel="2">
      <c r="A81" s="219" t="s">
        <v>384</v>
      </c>
      <c r="B81" s="132">
        <v>46000.0</v>
      </c>
      <c r="C81" s="133" t="str">
        <f t="shared" si="13"/>
        <v>Tue</v>
      </c>
      <c r="D81" s="136">
        <f t="shared" si="14"/>
        <v>1</v>
      </c>
      <c r="E81" s="137" t="s">
        <v>129</v>
      </c>
      <c r="F81" s="137" t="s">
        <v>129</v>
      </c>
      <c r="G81" s="137" t="s">
        <v>129</v>
      </c>
      <c r="H81" s="137" t="s">
        <v>129</v>
      </c>
      <c r="I81" s="137" t="s">
        <v>129</v>
      </c>
      <c r="J81" s="137" t="s">
        <v>129</v>
      </c>
      <c r="K81" s="137" t="s">
        <v>129</v>
      </c>
      <c r="L81" s="137" t="s">
        <v>129</v>
      </c>
      <c r="M81" s="141">
        <f t="shared" si="15"/>
        <v>5</v>
      </c>
      <c r="N81" s="143"/>
    </row>
    <row r="82" hidden="1" outlineLevel="2">
      <c r="A82" s="219" t="s">
        <v>387</v>
      </c>
      <c r="B82" s="132">
        <v>46000.0</v>
      </c>
      <c r="C82" s="133" t="str">
        <f t="shared" si="13"/>
        <v>Tue</v>
      </c>
      <c r="D82" s="136">
        <f t="shared" si="14"/>
        <v>1</v>
      </c>
      <c r="E82" s="137" t="s">
        <v>129</v>
      </c>
      <c r="F82" s="137" t="s">
        <v>129</v>
      </c>
      <c r="G82" s="137" t="s">
        <v>129</v>
      </c>
      <c r="H82" s="137" t="s">
        <v>129</v>
      </c>
      <c r="I82" s="137" t="s">
        <v>129</v>
      </c>
      <c r="J82" s="137" t="s">
        <v>129</v>
      </c>
      <c r="K82" s="137" t="s">
        <v>129</v>
      </c>
      <c r="L82" s="137" t="s">
        <v>129</v>
      </c>
      <c r="M82" s="141">
        <f t="shared" si="15"/>
        <v>5</v>
      </c>
      <c r="N82" s="143"/>
    </row>
    <row r="83" hidden="1" outlineLevel="2">
      <c r="A83" s="219" t="s">
        <v>400</v>
      </c>
      <c r="B83" s="132">
        <v>46001.0</v>
      </c>
      <c r="C83" s="133" t="str">
        <f t="shared" si="13"/>
        <v>Wed</v>
      </c>
      <c r="D83" s="136">
        <f t="shared" si="14"/>
        <v>1</v>
      </c>
      <c r="E83" s="137" t="s">
        <v>129</v>
      </c>
      <c r="F83" s="137" t="s">
        <v>129</v>
      </c>
      <c r="G83" s="137" t="s">
        <v>129</v>
      </c>
      <c r="H83" s="137" t="s">
        <v>129</v>
      </c>
      <c r="I83" s="137" t="s">
        <v>129</v>
      </c>
      <c r="J83" s="137" t="s">
        <v>129</v>
      </c>
      <c r="K83" s="137" t="s">
        <v>129</v>
      </c>
      <c r="L83" s="137" t="s">
        <v>129</v>
      </c>
      <c r="M83" s="141">
        <f t="shared" si="15"/>
        <v>5</v>
      </c>
      <c r="N83" s="143"/>
    </row>
    <row r="84" hidden="1" outlineLevel="2">
      <c r="A84" s="219" t="s">
        <v>401</v>
      </c>
      <c r="B84" s="132">
        <v>46001.0</v>
      </c>
      <c r="C84" s="133" t="str">
        <f t="shared" si="13"/>
        <v>Wed</v>
      </c>
      <c r="D84" s="136">
        <f t="shared" si="14"/>
        <v>1</v>
      </c>
      <c r="E84" s="137" t="s">
        <v>129</v>
      </c>
      <c r="F84" s="137" t="s">
        <v>129</v>
      </c>
      <c r="G84" s="137" t="s">
        <v>129</v>
      </c>
      <c r="H84" s="137" t="s">
        <v>129</v>
      </c>
      <c r="I84" s="137" t="s">
        <v>129</v>
      </c>
      <c r="J84" s="137" t="s">
        <v>129</v>
      </c>
      <c r="K84" s="137" t="s">
        <v>129</v>
      </c>
      <c r="L84" s="137" t="s">
        <v>129</v>
      </c>
      <c r="M84" s="141">
        <f t="shared" si="15"/>
        <v>5</v>
      </c>
      <c r="N84" s="147"/>
    </row>
    <row r="85" hidden="1" outlineLevel="2">
      <c r="A85" s="219" t="s">
        <v>404</v>
      </c>
      <c r="B85" s="132">
        <v>46001.0</v>
      </c>
      <c r="C85" s="133" t="str">
        <f t="shared" si="13"/>
        <v>Wed</v>
      </c>
      <c r="D85" s="136">
        <f t="shared" si="14"/>
        <v>1</v>
      </c>
      <c r="E85" s="137" t="s">
        <v>129</v>
      </c>
      <c r="F85" s="137" t="s">
        <v>129</v>
      </c>
      <c r="G85" s="137" t="s">
        <v>129</v>
      </c>
      <c r="H85" s="137" t="s">
        <v>129</v>
      </c>
      <c r="I85" s="137" t="s">
        <v>129</v>
      </c>
      <c r="J85" s="137" t="s">
        <v>129</v>
      </c>
      <c r="K85" s="137" t="s">
        <v>129</v>
      </c>
      <c r="L85" s="137" t="s">
        <v>129</v>
      </c>
      <c r="M85" s="141">
        <f t="shared" si="15"/>
        <v>5</v>
      </c>
      <c r="N85" s="143"/>
    </row>
    <row r="86" hidden="1" outlineLevel="2">
      <c r="A86" s="177" t="s">
        <v>406</v>
      </c>
      <c r="B86" s="132">
        <v>46002.0</v>
      </c>
      <c r="C86" s="133" t="str">
        <f t="shared" si="13"/>
        <v>Thu</v>
      </c>
      <c r="D86" s="136">
        <f t="shared" si="14"/>
        <v>1</v>
      </c>
      <c r="E86" s="137" t="s">
        <v>129</v>
      </c>
      <c r="F86" s="137" t="s">
        <v>129</v>
      </c>
      <c r="G86" s="137" t="s">
        <v>129</v>
      </c>
      <c r="H86" s="137" t="s">
        <v>129</v>
      </c>
      <c r="I86" s="137" t="s">
        <v>129</v>
      </c>
      <c r="J86" s="137" t="s">
        <v>129</v>
      </c>
      <c r="K86" s="137" t="s">
        <v>129</v>
      </c>
      <c r="L86" s="137" t="s">
        <v>129</v>
      </c>
      <c r="M86" s="141">
        <f t="shared" si="15"/>
        <v>5</v>
      </c>
      <c r="N86" s="143"/>
    </row>
    <row r="87" hidden="1" outlineLevel="2">
      <c r="A87" s="177" t="s">
        <v>408</v>
      </c>
      <c r="B87" s="132">
        <v>46002.0</v>
      </c>
      <c r="C87" s="133" t="str">
        <f t="shared" si="13"/>
        <v>Thu</v>
      </c>
      <c r="D87" s="136">
        <f t="shared" si="14"/>
        <v>1</v>
      </c>
      <c r="E87" s="137" t="s">
        <v>129</v>
      </c>
      <c r="F87" s="137" t="s">
        <v>129</v>
      </c>
      <c r="G87" s="137" t="s">
        <v>129</v>
      </c>
      <c r="H87" s="137" t="s">
        <v>129</v>
      </c>
      <c r="I87" s="137" t="s">
        <v>129</v>
      </c>
      <c r="J87" s="137" t="s">
        <v>129</v>
      </c>
      <c r="K87" s="137" t="s">
        <v>129</v>
      </c>
      <c r="L87" s="137" t="s">
        <v>129</v>
      </c>
      <c r="M87" s="141">
        <f t="shared" si="15"/>
        <v>5</v>
      </c>
      <c r="N87" s="147"/>
    </row>
    <row r="88" hidden="1" outlineLevel="2">
      <c r="A88" s="177" t="s">
        <v>413</v>
      </c>
      <c r="B88" s="132">
        <v>46002.0</v>
      </c>
      <c r="C88" s="133" t="str">
        <f t="shared" si="13"/>
        <v>Thu</v>
      </c>
      <c r="D88" s="136">
        <f t="shared" si="14"/>
        <v>1</v>
      </c>
      <c r="E88" s="137" t="s">
        <v>129</v>
      </c>
      <c r="F88" s="137" t="s">
        <v>129</v>
      </c>
      <c r="G88" s="137" t="s">
        <v>129</v>
      </c>
      <c r="H88" s="137" t="s">
        <v>129</v>
      </c>
      <c r="I88" s="137" t="s">
        <v>129</v>
      </c>
      <c r="J88" s="137" t="s">
        <v>129</v>
      </c>
      <c r="K88" s="137" t="s">
        <v>129</v>
      </c>
      <c r="L88" s="137" t="s">
        <v>129</v>
      </c>
      <c r="M88" s="141">
        <f t="shared" si="15"/>
        <v>5</v>
      </c>
      <c r="N88" s="143"/>
    </row>
    <row r="89" hidden="1" outlineLevel="2">
      <c r="A89" s="219" t="s">
        <v>416</v>
      </c>
      <c r="B89" s="132">
        <v>46003.0</v>
      </c>
      <c r="C89" s="186" t="str">
        <f t="shared" si="13"/>
        <v>Fri</v>
      </c>
      <c r="D89" s="136">
        <f t="shared" si="14"/>
        <v>1</v>
      </c>
      <c r="E89" s="137" t="s">
        <v>129</v>
      </c>
      <c r="F89" s="137" t="s">
        <v>129</v>
      </c>
      <c r="G89" s="137" t="s">
        <v>129</v>
      </c>
      <c r="H89" s="137" t="s">
        <v>129</v>
      </c>
      <c r="I89" s="137" t="s">
        <v>129</v>
      </c>
      <c r="J89" s="137" t="s">
        <v>129</v>
      </c>
      <c r="K89" s="137" t="s">
        <v>129</v>
      </c>
      <c r="L89" s="137" t="s">
        <v>129</v>
      </c>
      <c r="M89" s="141">
        <f t="shared" si="15"/>
        <v>5</v>
      </c>
      <c r="N89" s="143"/>
    </row>
    <row r="90" hidden="1" outlineLevel="2">
      <c r="A90" s="219" t="s">
        <v>418</v>
      </c>
      <c r="B90" s="132">
        <v>46003.0</v>
      </c>
      <c r="C90" s="186" t="str">
        <f t="shared" si="13"/>
        <v>Fri</v>
      </c>
      <c r="D90" s="136">
        <f t="shared" si="14"/>
        <v>1</v>
      </c>
      <c r="E90" s="137" t="s">
        <v>129</v>
      </c>
      <c r="F90" s="137" t="s">
        <v>129</v>
      </c>
      <c r="G90" s="137" t="s">
        <v>129</v>
      </c>
      <c r="H90" s="137" t="s">
        <v>129</v>
      </c>
      <c r="I90" s="137" t="s">
        <v>129</v>
      </c>
      <c r="J90" s="137" t="s">
        <v>129</v>
      </c>
      <c r="K90" s="137" t="s">
        <v>129</v>
      </c>
      <c r="L90" s="137" t="s">
        <v>129</v>
      </c>
      <c r="M90" s="141">
        <f t="shared" si="15"/>
        <v>5</v>
      </c>
      <c r="N90" s="143"/>
    </row>
    <row r="91" ht="15.0" hidden="1" customHeight="1" outlineLevel="2">
      <c r="A91" s="219" t="s">
        <v>421</v>
      </c>
      <c r="B91" s="132">
        <v>46003.0</v>
      </c>
      <c r="C91" s="186" t="str">
        <f t="shared" si="13"/>
        <v>Fri</v>
      </c>
      <c r="D91" s="136">
        <f t="shared" si="14"/>
        <v>1</v>
      </c>
      <c r="E91" s="137" t="s">
        <v>129</v>
      </c>
      <c r="F91" s="137" t="s">
        <v>129</v>
      </c>
      <c r="G91" s="137" t="s">
        <v>129</v>
      </c>
      <c r="H91" s="137" t="s">
        <v>129</v>
      </c>
      <c r="I91" s="137" t="s">
        <v>129</v>
      </c>
      <c r="J91" s="137" t="s">
        <v>129</v>
      </c>
      <c r="K91" s="137" t="s">
        <v>129</v>
      </c>
      <c r="L91" s="137" t="s">
        <v>129</v>
      </c>
      <c r="M91" s="141">
        <f t="shared" si="15"/>
        <v>5</v>
      </c>
      <c r="N91" s="147" t="s">
        <v>423</v>
      </c>
    </row>
    <row r="92" hidden="1" outlineLevel="2">
      <c r="B92" s="189"/>
      <c r="C92" s="191" t="s">
        <v>194</v>
      </c>
      <c r="D92" s="204">
        <f>AVERAGE(D77:D91)</f>
        <v>1</v>
      </c>
      <c r="E92" s="200"/>
      <c r="L92" s="191" t="s">
        <v>194</v>
      </c>
      <c r="M92" s="204">
        <f>SUM(M77:M91)/75*0.1</f>
        <v>0.1</v>
      </c>
    </row>
    <row r="93" hidden="1" outlineLevel="1" collapsed="1">
      <c r="A93" s="206" t="s">
        <v>403</v>
      </c>
      <c r="B93" s="207"/>
      <c r="C93" s="207"/>
      <c r="D93" s="208"/>
      <c r="E93" s="109"/>
      <c r="F93" s="109"/>
      <c r="G93" s="110"/>
      <c r="H93" s="110"/>
      <c r="I93" s="110"/>
      <c r="J93" s="110"/>
      <c r="K93" s="110"/>
      <c r="L93" s="110"/>
      <c r="M93" s="111"/>
      <c r="N93" s="113"/>
    </row>
    <row r="94" hidden="1" outlineLevel="2">
      <c r="A94" s="115" t="s">
        <v>98</v>
      </c>
      <c r="B94" s="115" t="s">
        <v>100</v>
      </c>
      <c r="C94" s="115" t="s">
        <v>102</v>
      </c>
      <c r="D94" s="119" t="s">
        <v>103</v>
      </c>
      <c r="E94" s="275" t="s">
        <v>269</v>
      </c>
      <c r="F94" s="275" t="s">
        <v>272</v>
      </c>
      <c r="G94" s="276" t="s">
        <v>328</v>
      </c>
      <c r="H94" s="121" t="s">
        <v>107</v>
      </c>
      <c r="I94" s="121" t="s">
        <v>108</v>
      </c>
      <c r="J94" s="276" t="s">
        <v>329</v>
      </c>
      <c r="K94" s="121" t="s">
        <v>111</v>
      </c>
      <c r="L94" s="276" t="s">
        <v>274</v>
      </c>
      <c r="M94" s="115" t="s">
        <v>114</v>
      </c>
      <c r="N94" s="119" t="s">
        <v>115</v>
      </c>
    </row>
    <row r="95" hidden="1" outlineLevel="2">
      <c r="A95" s="219" t="s">
        <v>427</v>
      </c>
      <c r="B95" s="132">
        <v>46007.0</v>
      </c>
      <c r="C95" s="133" t="str">
        <f t="shared" ref="C95:C109" si="16">IF(B95="", "", TEXT(B95, "ddd"))</f>
        <v>Tue</v>
      </c>
      <c r="D95" s="136">
        <f t="shared" ref="D95:D109" si="17">IF(E95="Yes",0.05,0)
+IF(F95="Yes",0.1,0)
+IF(G95="Yes",0.15,0)
+IF(H95="Yes",0.15,0)
+IF(I95="Yes",0.05,0)
+IF(J95="Yes",0.05,0)
+IF(K95="Yes",0.15,0)
+IF(L95="Yes",0.3,0)
</f>
        <v>1</v>
      </c>
      <c r="E95" s="137" t="s">
        <v>129</v>
      </c>
      <c r="F95" s="137" t="s">
        <v>129</v>
      </c>
      <c r="G95" s="137" t="s">
        <v>129</v>
      </c>
      <c r="H95" s="137" t="s">
        <v>129</v>
      </c>
      <c r="I95" s="137" t="s">
        <v>129</v>
      </c>
      <c r="J95" s="137" t="s">
        <v>129</v>
      </c>
      <c r="K95" s="137" t="s">
        <v>129</v>
      </c>
      <c r="L95" s="137" t="s">
        <v>129</v>
      </c>
      <c r="M95" s="141"/>
      <c r="N95" s="143"/>
    </row>
    <row r="96" hidden="1" outlineLevel="2">
      <c r="A96" s="219" t="s">
        <v>431</v>
      </c>
      <c r="B96" s="132">
        <v>46007.0</v>
      </c>
      <c r="C96" s="133" t="str">
        <f t="shared" si="16"/>
        <v>Tue</v>
      </c>
      <c r="D96" s="136">
        <f t="shared" si="17"/>
        <v>1</v>
      </c>
      <c r="E96" s="137" t="s">
        <v>129</v>
      </c>
      <c r="F96" s="137" t="s">
        <v>129</v>
      </c>
      <c r="G96" s="137" t="s">
        <v>129</v>
      </c>
      <c r="H96" s="137" t="s">
        <v>129</v>
      </c>
      <c r="I96" s="137" t="s">
        <v>129</v>
      </c>
      <c r="J96" s="137" t="s">
        <v>129</v>
      </c>
      <c r="K96" s="137" t="s">
        <v>129</v>
      </c>
      <c r="L96" s="137" t="s">
        <v>129</v>
      </c>
      <c r="M96" s="141"/>
      <c r="N96" s="147"/>
    </row>
    <row r="97" hidden="1" outlineLevel="2">
      <c r="A97" s="219" t="s">
        <v>432</v>
      </c>
      <c r="B97" s="132">
        <v>46007.0</v>
      </c>
      <c r="C97" s="133" t="str">
        <f t="shared" si="16"/>
        <v>Tue</v>
      </c>
      <c r="D97" s="136">
        <f t="shared" si="17"/>
        <v>1</v>
      </c>
      <c r="E97" s="137" t="s">
        <v>129</v>
      </c>
      <c r="F97" s="137" t="s">
        <v>129</v>
      </c>
      <c r="G97" s="137" t="s">
        <v>129</v>
      </c>
      <c r="H97" s="137" t="s">
        <v>129</v>
      </c>
      <c r="I97" s="137" t="s">
        <v>129</v>
      </c>
      <c r="J97" s="137" t="s">
        <v>129</v>
      </c>
      <c r="K97" s="137" t="s">
        <v>129</v>
      </c>
      <c r="L97" s="137" t="s">
        <v>129</v>
      </c>
      <c r="M97" s="141"/>
      <c r="N97" s="147"/>
    </row>
    <row r="98" hidden="1" outlineLevel="2">
      <c r="A98" s="219" t="s">
        <v>433</v>
      </c>
      <c r="B98" s="132">
        <v>46008.0</v>
      </c>
      <c r="C98" s="133" t="str">
        <f t="shared" si="16"/>
        <v>Wed</v>
      </c>
      <c r="D98" s="136">
        <f t="shared" si="17"/>
        <v>1</v>
      </c>
      <c r="E98" s="137" t="s">
        <v>129</v>
      </c>
      <c r="F98" s="137" t="s">
        <v>129</v>
      </c>
      <c r="G98" s="137" t="s">
        <v>129</v>
      </c>
      <c r="H98" s="137" t="s">
        <v>129</v>
      </c>
      <c r="I98" s="137" t="s">
        <v>129</v>
      </c>
      <c r="J98" s="137" t="s">
        <v>129</v>
      </c>
      <c r="K98" s="137" t="s">
        <v>129</v>
      </c>
      <c r="L98" s="137" t="s">
        <v>129</v>
      </c>
      <c r="M98" s="141"/>
      <c r="N98" s="143"/>
    </row>
    <row r="99" hidden="1" outlineLevel="2">
      <c r="A99" s="219" t="s">
        <v>434</v>
      </c>
      <c r="B99" s="132">
        <v>46008.0</v>
      </c>
      <c r="C99" s="133" t="str">
        <f t="shared" si="16"/>
        <v>Wed</v>
      </c>
      <c r="D99" s="136">
        <f t="shared" si="17"/>
        <v>1</v>
      </c>
      <c r="E99" s="137" t="s">
        <v>129</v>
      </c>
      <c r="F99" s="137" t="s">
        <v>129</v>
      </c>
      <c r="G99" s="137" t="s">
        <v>129</v>
      </c>
      <c r="H99" s="137" t="s">
        <v>129</v>
      </c>
      <c r="I99" s="137" t="s">
        <v>129</v>
      </c>
      <c r="J99" s="137" t="s">
        <v>129</v>
      </c>
      <c r="K99" s="137" t="s">
        <v>129</v>
      </c>
      <c r="L99" s="137" t="s">
        <v>129</v>
      </c>
      <c r="M99" s="141"/>
      <c r="N99" s="143"/>
    </row>
    <row r="100" hidden="1" outlineLevel="2">
      <c r="A100" s="219" t="s">
        <v>436</v>
      </c>
      <c r="B100" s="132">
        <v>46008.0</v>
      </c>
      <c r="C100" s="133" t="str">
        <f t="shared" si="16"/>
        <v>Wed</v>
      </c>
      <c r="D100" s="136">
        <f t="shared" si="17"/>
        <v>1</v>
      </c>
      <c r="E100" s="137" t="s">
        <v>129</v>
      </c>
      <c r="F100" s="137" t="s">
        <v>129</v>
      </c>
      <c r="G100" s="137" t="s">
        <v>129</v>
      </c>
      <c r="H100" s="137" t="s">
        <v>129</v>
      </c>
      <c r="I100" s="137" t="s">
        <v>129</v>
      </c>
      <c r="J100" s="137" t="s">
        <v>129</v>
      </c>
      <c r="K100" s="137" t="s">
        <v>129</v>
      </c>
      <c r="L100" s="137" t="s">
        <v>129</v>
      </c>
      <c r="M100" s="141"/>
      <c r="N100" s="143"/>
    </row>
    <row r="101" hidden="1" outlineLevel="2">
      <c r="A101" s="219" t="s">
        <v>438</v>
      </c>
      <c r="B101" s="132">
        <v>46009.0</v>
      </c>
      <c r="C101" s="133" t="str">
        <f t="shared" si="16"/>
        <v>Thu</v>
      </c>
      <c r="D101" s="136">
        <f t="shared" si="17"/>
        <v>0</v>
      </c>
      <c r="E101" s="137" t="s">
        <v>174</v>
      </c>
      <c r="F101" s="137" t="s">
        <v>174</v>
      </c>
      <c r="G101" s="137" t="s">
        <v>174</v>
      </c>
      <c r="H101" s="137" t="s">
        <v>174</v>
      </c>
      <c r="I101" s="137" t="s">
        <v>174</v>
      </c>
      <c r="J101" s="137" t="s">
        <v>174</v>
      </c>
      <c r="K101" s="137" t="s">
        <v>174</v>
      </c>
      <c r="L101" s="137" t="s">
        <v>174</v>
      </c>
      <c r="M101" s="141"/>
      <c r="N101" s="143"/>
    </row>
    <row r="102" hidden="1" outlineLevel="2">
      <c r="A102" s="219" t="s">
        <v>438</v>
      </c>
      <c r="B102" s="132">
        <v>46009.0</v>
      </c>
      <c r="C102" s="133" t="str">
        <f t="shared" si="16"/>
        <v>Thu</v>
      </c>
      <c r="D102" s="136">
        <f t="shared" si="17"/>
        <v>0</v>
      </c>
      <c r="E102" s="137" t="s">
        <v>174</v>
      </c>
      <c r="F102" s="137" t="s">
        <v>174</v>
      </c>
      <c r="G102" s="137" t="s">
        <v>174</v>
      </c>
      <c r="H102" s="137" t="s">
        <v>174</v>
      </c>
      <c r="I102" s="137" t="s">
        <v>174</v>
      </c>
      <c r="J102" s="137" t="s">
        <v>174</v>
      </c>
      <c r="K102" s="137" t="s">
        <v>174</v>
      </c>
      <c r="L102" s="137" t="s">
        <v>174</v>
      </c>
      <c r="M102" s="141"/>
      <c r="N102" s="147"/>
    </row>
    <row r="103" hidden="1" outlineLevel="2">
      <c r="A103" s="219" t="s">
        <v>438</v>
      </c>
      <c r="B103" s="132">
        <v>46009.0</v>
      </c>
      <c r="C103" s="133" t="str">
        <f t="shared" si="16"/>
        <v>Thu</v>
      </c>
      <c r="D103" s="136">
        <f t="shared" si="17"/>
        <v>0</v>
      </c>
      <c r="E103" s="137" t="s">
        <v>174</v>
      </c>
      <c r="F103" s="137" t="s">
        <v>174</v>
      </c>
      <c r="G103" s="137" t="s">
        <v>174</v>
      </c>
      <c r="H103" s="137" t="s">
        <v>174</v>
      </c>
      <c r="I103" s="137" t="s">
        <v>174</v>
      </c>
      <c r="J103" s="137" t="s">
        <v>174</v>
      </c>
      <c r="K103" s="137" t="s">
        <v>174</v>
      </c>
      <c r="L103" s="137" t="s">
        <v>174</v>
      </c>
      <c r="M103" s="141"/>
      <c r="N103" s="143"/>
    </row>
    <row r="104" hidden="1" outlineLevel="2">
      <c r="A104" s="131" t="s">
        <v>444</v>
      </c>
      <c r="B104" s="132">
        <v>46010.0</v>
      </c>
      <c r="C104" s="133" t="str">
        <f t="shared" si="16"/>
        <v>Fri</v>
      </c>
      <c r="D104" s="136">
        <f t="shared" si="17"/>
        <v>1</v>
      </c>
      <c r="E104" s="137" t="s">
        <v>129</v>
      </c>
      <c r="F104" s="137" t="s">
        <v>129</v>
      </c>
      <c r="G104" s="137" t="s">
        <v>129</v>
      </c>
      <c r="H104" s="137" t="s">
        <v>129</v>
      </c>
      <c r="I104" s="137" t="s">
        <v>129</v>
      </c>
      <c r="J104" s="137" t="s">
        <v>129</v>
      </c>
      <c r="K104" s="137" t="s">
        <v>129</v>
      </c>
      <c r="L104" s="137" t="s">
        <v>129</v>
      </c>
      <c r="M104" s="141"/>
      <c r="N104" s="143"/>
    </row>
    <row r="105" hidden="1" outlineLevel="2">
      <c r="A105" s="131" t="s">
        <v>446</v>
      </c>
      <c r="B105" s="132">
        <v>46010.0</v>
      </c>
      <c r="C105" s="133" t="str">
        <f t="shared" si="16"/>
        <v>Fri</v>
      </c>
      <c r="D105" s="136">
        <f t="shared" si="17"/>
        <v>1</v>
      </c>
      <c r="E105" s="137" t="s">
        <v>129</v>
      </c>
      <c r="F105" s="137" t="s">
        <v>129</v>
      </c>
      <c r="G105" s="137" t="s">
        <v>129</v>
      </c>
      <c r="H105" s="137" t="s">
        <v>129</v>
      </c>
      <c r="I105" s="137" t="s">
        <v>129</v>
      </c>
      <c r="J105" s="137" t="s">
        <v>129</v>
      </c>
      <c r="K105" s="137" t="s">
        <v>129</v>
      </c>
      <c r="L105" s="137" t="s">
        <v>129</v>
      </c>
      <c r="M105" s="141"/>
      <c r="N105" s="147"/>
    </row>
    <row r="106" hidden="1" outlineLevel="2">
      <c r="A106" s="131" t="s">
        <v>448</v>
      </c>
      <c r="B106" s="132">
        <v>46010.0</v>
      </c>
      <c r="C106" s="133" t="str">
        <f t="shared" si="16"/>
        <v>Fri</v>
      </c>
      <c r="D106" s="136">
        <f t="shared" si="17"/>
        <v>1</v>
      </c>
      <c r="E106" s="137" t="s">
        <v>129</v>
      </c>
      <c r="F106" s="137" t="s">
        <v>129</v>
      </c>
      <c r="G106" s="137" t="s">
        <v>129</v>
      </c>
      <c r="H106" s="137" t="s">
        <v>129</v>
      </c>
      <c r="I106" s="137" t="s">
        <v>129</v>
      </c>
      <c r="J106" s="137" t="s">
        <v>129</v>
      </c>
      <c r="K106" s="137" t="s">
        <v>129</v>
      </c>
      <c r="L106" s="137" t="s">
        <v>129</v>
      </c>
      <c r="M106" s="141"/>
      <c r="N106" s="143"/>
    </row>
    <row r="107" hidden="1" outlineLevel="2">
      <c r="A107" s="255" t="s">
        <v>449</v>
      </c>
      <c r="B107" s="132">
        <v>46012.0</v>
      </c>
      <c r="C107" s="186" t="str">
        <f t="shared" si="16"/>
        <v>Sun</v>
      </c>
      <c r="D107" s="136">
        <f t="shared" si="17"/>
        <v>1</v>
      </c>
      <c r="E107" s="137" t="s">
        <v>129</v>
      </c>
      <c r="F107" s="137" t="s">
        <v>129</v>
      </c>
      <c r="G107" s="137" t="s">
        <v>129</v>
      </c>
      <c r="H107" s="137" t="s">
        <v>129</v>
      </c>
      <c r="I107" s="137" t="s">
        <v>129</v>
      </c>
      <c r="J107" s="137" t="s">
        <v>129</v>
      </c>
      <c r="K107" s="137" t="s">
        <v>129</v>
      </c>
      <c r="L107" s="137" t="s">
        <v>129</v>
      </c>
      <c r="M107" s="141"/>
      <c r="N107" s="143"/>
    </row>
    <row r="108" hidden="1" outlineLevel="2">
      <c r="A108" s="255" t="s">
        <v>451</v>
      </c>
      <c r="B108" s="132">
        <v>46012.0</v>
      </c>
      <c r="C108" s="186" t="str">
        <f t="shared" si="16"/>
        <v>Sun</v>
      </c>
      <c r="D108" s="136">
        <f t="shared" si="17"/>
        <v>1</v>
      </c>
      <c r="E108" s="137" t="s">
        <v>129</v>
      </c>
      <c r="F108" s="137" t="s">
        <v>129</v>
      </c>
      <c r="G108" s="137" t="s">
        <v>129</v>
      </c>
      <c r="H108" s="137" t="s">
        <v>129</v>
      </c>
      <c r="I108" s="137" t="s">
        <v>129</v>
      </c>
      <c r="J108" s="137" t="s">
        <v>129</v>
      </c>
      <c r="K108" s="137" t="s">
        <v>129</v>
      </c>
      <c r="L108" s="137" t="s">
        <v>129</v>
      </c>
      <c r="M108" s="141"/>
      <c r="N108" s="143"/>
    </row>
    <row r="109" ht="15.0" hidden="1" customHeight="1" outlineLevel="2">
      <c r="A109" s="255" t="s">
        <v>453</v>
      </c>
      <c r="B109" s="132">
        <v>46012.0</v>
      </c>
      <c r="C109" s="186" t="str">
        <f t="shared" si="16"/>
        <v>Sun</v>
      </c>
      <c r="D109" s="136">
        <f t="shared" si="17"/>
        <v>1</v>
      </c>
      <c r="E109" s="137" t="s">
        <v>129</v>
      </c>
      <c r="F109" s="137" t="s">
        <v>129</v>
      </c>
      <c r="G109" s="137" t="s">
        <v>129</v>
      </c>
      <c r="H109" s="137" t="s">
        <v>129</v>
      </c>
      <c r="I109" s="137" t="s">
        <v>129</v>
      </c>
      <c r="J109" s="137" t="s">
        <v>129</v>
      </c>
      <c r="K109" s="137" t="s">
        <v>129</v>
      </c>
      <c r="L109" s="137" t="s">
        <v>129</v>
      </c>
      <c r="M109" s="141"/>
      <c r="N109" s="147"/>
    </row>
    <row r="110" hidden="1" outlineLevel="2">
      <c r="B110" s="189"/>
      <c r="C110" s="191" t="s">
        <v>194</v>
      </c>
      <c r="D110" s="204">
        <f>AVERAGE(D95:D109)</f>
        <v>0.8</v>
      </c>
      <c r="E110" s="200"/>
      <c r="L110" s="191" t="s">
        <v>194</v>
      </c>
      <c r="M110" s="204">
        <f>SUM(M95:M109)/75*0.1</f>
        <v>0</v>
      </c>
    </row>
    <row r="111" hidden="1" outlineLevel="1" collapsed="1">
      <c r="A111" s="206" t="s">
        <v>429</v>
      </c>
      <c r="B111" s="207"/>
      <c r="C111" s="207"/>
      <c r="D111" s="208"/>
      <c r="E111" s="109"/>
      <c r="F111" s="109"/>
      <c r="G111" s="110"/>
      <c r="H111" s="110"/>
      <c r="I111" s="110"/>
      <c r="J111" s="110"/>
      <c r="K111" s="110"/>
      <c r="L111" s="110"/>
      <c r="M111" s="111"/>
      <c r="N111" s="113"/>
    </row>
    <row r="112" hidden="1" outlineLevel="2">
      <c r="A112" s="115" t="s">
        <v>98</v>
      </c>
      <c r="B112" s="115" t="s">
        <v>100</v>
      </c>
      <c r="C112" s="115" t="s">
        <v>102</v>
      </c>
      <c r="D112" s="119" t="s">
        <v>103</v>
      </c>
      <c r="E112" s="275" t="s">
        <v>269</v>
      </c>
      <c r="F112" s="275" t="s">
        <v>272</v>
      </c>
      <c r="G112" s="276" t="s">
        <v>328</v>
      </c>
      <c r="H112" s="121" t="s">
        <v>107</v>
      </c>
      <c r="I112" s="121" t="s">
        <v>108</v>
      </c>
      <c r="J112" s="276" t="s">
        <v>329</v>
      </c>
      <c r="K112" s="121" t="s">
        <v>111</v>
      </c>
      <c r="L112" s="276" t="s">
        <v>274</v>
      </c>
      <c r="M112" s="115" t="s">
        <v>114</v>
      </c>
      <c r="N112" s="119" t="s">
        <v>115</v>
      </c>
    </row>
    <row r="113" hidden="1" outlineLevel="2">
      <c r="A113" s="219" t="s">
        <v>456</v>
      </c>
      <c r="B113" s="132">
        <v>46013.0</v>
      </c>
      <c r="C113" s="133" t="str">
        <f t="shared" ref="C113:C127" si="18">IF(B113="", "", TEXT(B113, "ddd"))</f>
        <v>Mon</v>
      </c>
      <c r="D113" s="136">
        <f t="shared" ref="D113:D127" si="19">IF(E113="Yes",0.05,0)
+IF(F113="Yes",0.1,0)
+IF(G113="Yes",0.15,0)
+IF(H113="Yes",0.15,0)
+IF(I113="Yes",0.05,0)
+IF(J113="Yes",0.05,0)
+IF(K113="Yes",0.15,0)
+IF(L113="Yes",0.3,0)
</f>
        <v>1</v>
      </c>
      <c r="E113" s="137" t="s">
        <v>129</v>
      </c>
      <c r="F113" s="137" t="s">
        <v>129</v>
      </c>
      <c r="G113" s="137" t="s">
        <v>129</v>
      </c>
      <c r="H113" s="137" t="s">
        <v>129</v>
      </c>
      <c r="I113" s="137" t="s">
        <v>129</v>
      </c>
      <c r="J113" s="137" t="s">
        <v>129</v>
      </c>
      <c r="K113" s="137" t="s">
        <v>129</v>
      </c>
      <c r="L113" s="137" t="s">
        <v>129</v>
      </c>
      <c r="M113" s="141"/>
      <c r="N113" s="143"/>
    </row>
    <row r="114" hidden="1" outlineLevel="2">
      <c r="A114" s="219" t="s">
        <v>459</v>
      </c>
      <c r="B114" s="132">
        <v>46013.0</v>
      </c>
      <c r="C114" s="133" t="str">
        <f t="shared" si="18"/>
        <v>Mon</v>
      </c>
      <c r="D114" s="136">
        <f t="shared" si="19"/>
        <v>1</v>
      </c>
      <c r="E114" s="137" t="s">
        <v>129</v>
      </c>
      <c r="F114" s="137" t="s">
        <v>129</v>
      </c>
      <c r="G114" s="137" t="s">
        <v>129</v>
      </c>
      <c r="H114" s="137" t="s">
        <v>129</v>
      </c>
      <c r="I114" s="137" t="s">
        <v>129</v>
      </c>
      <c r="J114" s="137" t="s">
        <v>129</v>
      </c>
      <c r="K114" s="137" t="s">
        <v>129</v>
      </c>
      <c r="L114" s="137" t="s">
        <v>129</v>
      </c>
      <c r="M114" s="141"/>
      <c r="N114" s="147"/>
    </row>
    <row r="115" hidden="1" outlineLevel="2">
      <c r="A115" s="219" t="s">
        <v>467</v>
      </c>
      <c r="B115" s="132">
        <v>46013.0</v>
      </c>
      <c r="C115" s="133" t="str">
        <f t="shared" si="18"/>
        <v>Mon</v>
      </c>
      <c r="D115" s="136">
        <f t="shared" si="19"/>
        <v>1</v>
      </c>
      <c r="E115" s="137" t="s">
        <v>129</v>
      </c>
      <c r="F115" s="137" t="s">
        <v>129</v>
      </c>
      <c r="G115" s="137" t="s">
        <v>129</v>
      </c>
      <c r="H115" s="137" t="s">
        <v>129</v>
      </c>
      <c r="I115" s="137" t="s">
        <v>129</v>
      </c>
      <c r="J115" s="137" t="s">
        <v>129</v>
      </c>
      <c r="K115" s="137" t="s">
        <v>129</v>
      </c>
      <c r="L115" s="137" t="s">
        <v>129</v>
      </c>
      <c r="M115" s="141"/>
      <c r="N115" s="147"/>
    </row>
    <row r="116" hidden="1" outlineLevel="2">
      <c r="A116" s="219" t="s">
        <v>472</v>
      </c>
      <c r="B116" s="132">
        <v>46014.0</v>
      </c>
      <c r="C116" s="133" t="str">
        <f t="shared" si="18"/>
        <v>Tue</v>
      </c>
      <c r="D116" s="136">
        <f t="shared" si="19"/>
        <v>1</v>
      </c>
      <c r="E116" s="137" t="s">
        <v>129</v>
      </c>
      <c r="F116" s="137" t="s">
        <v>129</v>
      </c>
      <c r="G116" s="137" t="s">
        <v>129</v>
      </c>
      <c r="H116" s="137" t="s">
        <v>129</v>
      </c>
      <c r="I116" s="137" t="s">
        <v>129</v>
      </c>
      <c r="J116" s="137" t="s">
        <v>129</v>
      </c>
      <c r="K116" s="137" t="s">
        <v>129</v>
      </c>
      <c r="L116" s="137" t="s">
        <v>129</v>
      </c>
      <c r="M116" s="141"/>
      <c r="N116" s="143"/>
    </row>
    <row r="117" hidden="1" outlineLevel="2">
      <c r="A117" s="219" t="s">
        <v>473</v>
      </c>
      <c r="B117" s="132">
        <v>46014.0</v>
      </c>
      <c r="C117" s="133" t="str">
        <f t="shared" si="18"/>
        <v>Tue</v>
      </c>
      <c r="D117" s="136">
        <f t="shared" si="19"/>
        <v>1</v>
      </c>
      <c r="E117" s="137" t="s">
        <v>129</v>
      </c>
      <c r="F117" s="137" t="s">
        <v>129</v>
      </c>
      <c r="G117" s="137" t="s">
        <v>129</v>
      </c>
      <c r="H117" s="137" t="s">
        <v>129</v>
      </c>
      <c r="I117" s="137" t="s">
        <v>129</v>
      </c>
      <c r="J117" s="137" t="s">
        <v>129</v>
      </c>
      <c r="K117" s="137" t="s">
        <v>129</v>
      </c>
      <c r="L117" s="137" t="s">
        <v>129</v>
      </c>
      <c r="M117" s="141"/>
      <c r="N117" s="143"/>
    </row>
    <row r="118" hidden="1" outlineLevel="2">
      <c r="A118" s="219" t="s">
        <v>476</v>
      </c>
      <c r="B118" s="132">
        <v>46014.0</v>
      </c>
      <c r="C118" s="133" t="str">
        <f t="shared" si="18"/>
        <v>Tue</v>
      </c>
      <c r="D118" s="136">
        <f t="shared" si="19"/>
        <v>1</v>
      </c>
      <c r="E118" s="137" t="s">
        <v>129</v>
      </c>
      <c r="F118" s="137" t="s">
        <v>129</v>
      </c>
      <c r="G118" s="137" t="s">
        <v>129</v>
      </c>
      <c r="H118" s="137" t="s">
        <v>129</v>
      </c>
      <c r="I118" s="137" t="s">
        <v>129</v>
      </c>
      <c r="J118" s="137" t="s">
        <v>129</v>
      </c>
      <c r="K118" s="137" t="s">
        <v>129</v>
      </c>
      <c r="L118" s="137" t="s">
        <v>129</v>
      </c>
      <c r="M118" s="141"/>
      <c r="N118" s="143"/>
    </row>
    <row r="119" hidden="1" outlineLevel="2">
      <c r="A119" s="255" t="s">
        <v>478</v>
      </c>
      <c r="B119" s="132">
        <v>46015.0</v>
      </c>
      <c r="C119" s="133" t="str">
        <f t="shared" si="18"/>
        <v>Wed</v>
      </c>
      <c r="D119" s="136">
        <f t="shared" si="19"/>
        <v>1</v>
      </c>
      <c r="E119" s="137" t="s">
        <v>129</v>
      </c>
      <c r="F119" s="137" t="s">
        <v>129</v>
      </c>
      <c r="G119" s="137" t="s">
        <v>129</v>
      </c>
      <c r="H119" s="137" t="s">
        <v>129</v>
      </c>
      <c r="I119" s="137" t="s">
        <v>129</v>
      </c>
      <c r="J119" s="137" t="s">
        <v>129</v>
      </c>
      <c r="K119" s="137" t="s">
        <v>129</v>
      </c>
      <c r="L119" s="137" t="s">
        <v>129</v>
      </c>
      <c r="M119" s="141"/>
      <c r="N119" s="143"/>
    </row>
    <row r="120" hidden="1" outlineLevel="2">
      <c r="A120" s="255" t="s">
        <v>480</v>
      </c>
      <c r="B120" s="132">
        <v>46015.0</v>
      </c>
      <c r="C120" s="133" t="str">
        <f t="shared" si="18"/>
        <v>Wed</v>
      </c>
      <c r="D120" s="136">
        <f t="shared" si="19"/>
        <v>1</v>
      </c>
      <c r="E120" s="137" t="s">
        <v>129</v>
      </c>
      <c r="F120" s="137" t="s">
        <v>129</v>
      </c>
      <c r="G120" s="137" t="s">
        <v>129</v>
      </c>
      <c r="H120" s="137" t="s">
        <v>129</v>
      </c>
      <c r="I120" s="137" t="s">
        <v>129</v>
      </c>
      <c r="J120" s="137" t="s">
        <v>129</v>
      </c>
      <c r="K120" s="137" t="s">
        <v>129</v>
      </c>
      <c r="L120" s="137" t="s">
        <v>129</v>
      </c>
      <c r="M120" s="141"/>
      <c r="N120" s="147"/>
    </row>
    <row r="121" hidden="1" outlineLevel="2">
      <c r="A121" s="255" t="s">
        <v>482</v>
      </c>
      <c r="B121" s="132">
        <v>46015.0</v>
      </c>
      <c r="C121" s="133" t="str">
        <f t="shared" si="18"/>
        <v>Wed</v>
      </c>
      <c r="D121" s="136">
        <f t="shared" si="19"/>
        <v>1</v>
      </c>
      <c r="E121" s="137" t="s">
        <v>129</v>
      </c>
      <c r="F121" s="137" t="s">
        <v>129</v>
      </c>
      <c r="G121" s="137" t="s">
        <v>129</v>
      </c>
      <c r="H121" s="137" t="s">
        <v>129</v>
      </c>
      <c r="I121" s="137" t="s">
        <v>129</v>
      </c>
      <c r="J121" s="137" t="s">
        <v>129</v>
      </c>
      <c r="K121" s="137" t="s">
        <v>129</v>
      </c>
      <c r="L121" s="137" t="s">
        <v>129</v>
      </c>
      <c r="M121" s="141"/>
      <c r="N121" s="143"/>
    </row>
    <row r="122" hidden="1" outlineLevel="2">
      <c r="A122" s="341" t="s">
        <v>443</v>
      </c>
      <c r="B122" s="132">
        <v>46016.0</v>
      </c>
      <c r="C122" s="133" t="str">
        <f t="shared" si="18"/>
        <v>Thu</v>
      </c>
      <c r="D122" s="136">
        <f t="shared" si="19"/>
        <v>1</v>
      </c>
      <c r="E122" s="137" t="s">
        <v>129</v>
      </c>
      <c r="F122" s="137" t="s">
        <v>129</v>
      </c>
      <c r="G122" s="137" t="s">
        <v>129</v>
      </c>
      <c r="H122" s="137" t="s">
        <v>129</v>
      </c>
      <c r="I122" s="137" t="s">
        <v>129</v>
      </c>
      <c r="J122" s="137" t="s">
        <v>129</v>
      </c>
      <c r="K122" s="137" t="s">
        <v>129</v>
      </c>
      <c r="L122" s="137" t="s">
        <v>129</v>
      </c>
      <c r="M122" s="141"/>
      <c r="N122" s="143"/>
    </row>
    <row r="123" hidden="1" outlineLevel="2">
      <c r="A123" s="341" t="s">
        <v>443</v>
      </c>
      <c r="B123" s="132">
        <v>46016.0</v>
      </c>
      <c r="C123" s="133" t="str">
        <f t="shared" si="18"/>
        <v>Thu</v>
      </c>
      <c r="D123" s="136">
        <f t="shared" si="19"/>
        <v>1</v>
      </c>
      <c r="E123" s="137" t="s">
        <v>129</v>
      </c>
      <c r="F123" s="137" t="s">
        <v>129</v>
      </c>
      <c r="G123" s="137" t="s">
        <v>129</v>
      </c>
      <c r="H123" s="137" t="s">
        <v>129</v>
      </c>
      <c r="I123" s="137" t="s">
        <v>129</v>
      </c>
      <c r="J123" s="137" t="s">
        <v>129</v>
      </c>
      <c r="K123" s="137" t="s">
        <v>129</v>
      </c>
      <c r="L123" s="137" t="s">
        <v>129</v>
      </c>
      <c r="M123" s="141"/>
      <c r="N123" s="147"/>
    </row>
    <row r="124" hidden="1" outlineLevel="2">
      <c r="A124" s="341" t="s">
        <v>443</v>
      </c>
      <c r="B124" s="132">
        <v>46016.0</v>
      </c>
      <c r="C124" s="133" t="str">
        <f t="shared" si="18"/>
        <v>Thu</v>
      </c>
      <c r="D124" s="136">
        <f t="shared" si="19"/>
        <v>1</v>
      </c>
      <c r="E124" s="137" t="s">
        <v>129</v>
      </c>
      <c r="F124" s="137" t="s">
        <v>129</v>
      </c>
      <c r="G124" s="137" t="s">
        <v>129</v>
      </c>
      <c r="H124" s="137" t="s">
        <v>129</v>
      </c>
      <c r="I124" s="137" t="s">
        <v>129</v>
      </c>
      <c r="J124" s="137" t="s">
        <v>129</v>
      </c>
      <c r="K124" s="137" t="s">
        <v>129</v>
      </c>
      <c r="L124" s="137" t="s">
        <v>129</v>
      </c>
      <c r="M124" s="141"/>
      <c r="N124" s="143"/>
    </row>
    <row r="125" hidden="1" outlineLevel="2">
      <c r="A125" s="219" t="s">
        <v>487</v>
      </c>
      <c r="B125" s="132">
        <v>46019.0</v>
      </c>
      <c r="C125" s="186" t="str">
        <f t="shared" si="18"/>
        <v>Sun</v>
      </c>
      <c r="D125" s="136">
        <f t="shared" si="19"/>
        <v>1</v>
      </c>
      <c r="E125" s="137" t="s">
        <v>129</v>
      </c>
      <c r="F125" s="137" t="s">
        <v>129</v>
      </c>
      <c r="G125" s="137" t="s">
        <v>129</v>
      </c>
      <c r="H125" s="137" t="s">
        <v>129</v>
      </c>
      <c r="I125" s="137" t="s">
        <v>129</v>
      </c>
      <c r="J125" s="137" t="s">
        <v>129</v>
      </c>
      <c r="K125" s="137" t="s">
        <v>129</v>
      </c>
      <c r="L125" s="137" t="s">
        <v>129</v>
      </c>
      <c r="M125" s="141"/>
      <c r="N125" s="143"/>
    </row>
    <row r="126" hidden="1" outlineLevel="2">
      <c r="A126" s="219" t="s">
        <v>490</v>
      </c>
      <c r="B126" s="132">
        <v>46019.0</v>
      </c>
      <c r="C126" s="186" t="str">
        <f t="shared" si="18"/>
        <v>Sun</v>
      </c>
      <c r="D126" s="136">
        <f t="shared" si="19"/>
        <v>1</v>
      </c>
      <c r="E126" s="137" t="s">
        <v>129</v>
      </c>
      <c r="F126" s="137" t="s">
        <v>129</v>
      </c>
      <c r="G126" s="137" t="s">
        <v>129</v>
      </c>
      <c r="H126" s="137" t="s">
        <v>129</v>
      </c>
      <c r="I126" s="137" t="s">
        <v>129</v>
      </c>
      <c r="J126" s="137" t="s">
        <v>129</v>
      </c>
      <c r="K126" s="137" t="s">
        <v>129</v>
      </c>
      <c r="L126" s="137" t="s">
        <v>129</v>
      </c>
      <c r="M126" s="141"/>
      <c r="N126" s="143"/>
    </row>
    <row r="127" ht="15.0" hidden="1" customHeight="1" outlineLevel="2">
      <c r="A127" s="219" t="s">
        <v>492</v>
      </c>
      <c r="B127" s="132">
        <v>46019.0</v>
      </c>
      <c r="C127" s="186" t="str">
        <f t="shared" si="18"/>
        <v>Sun</v>
      </c>
      <c r="D127" s="136">
        <f t="shared" si="19"/>
        <v>1</v>
      </c>
      <c r="E127" s="137" t="s">
        <v>129</v>
      </c>
      <c r="F127" s="137" t="s">
        <v>129</v>
      </c>
      <c r="G127" s="137" t="s">
        <v>129</v>
      </c>
      <c r="H127" s="137" t="s">
        <v>129</v>
      </c>
      <c r="I127" s="137" t="s">
        <v>129</v>
      </c>
      <c r="J127" s="137" t="s">
        <v>129</v>
      </c>
      <c r="K127" s="137" t="s">
        <v>129</v>
      </c>
      <c r="L127" s="137" t="s">
        <v>129</v>
      </c>
      <c r="M127" s="141"/>
      <c r="N127" s="147"/>
    </row>
    <row r="128" hidden="1" outlineLevel="2">
      <c r="B128" s="189"/>
      <c r="C128" s="191" t="s">
        <v>194</v>
      </c>
      <c r="D128" s="204">
        <f>AVERAGE(D113:D127)</f>
        <v>1</v>
      </c>
      <c r="E128" s="200"/>
      <c r="L128" s="191" t="s">
        <v>194</v>
      </c>
      <c r="M128" s="204">
        <f>SUM(M113:M127)/75*0.1</f>
        <v>0</v>
      </c>
    </row>
    <row r="129" hidden="1" outlineLevel="1">
      <c r="A129" s="206" t="s">
        <v>457</v>
      </c>
      <c r="B129" s="207"/>
      <c r="C129" s="207"/>
      <c r="D129" s="208"/>
      <c r="E129" s="109"/>
      <c r="F129" s="109"/>
      <c r="G129" s="110"/>
      <c r="H129" s="110"/>
      <c r="I129" s="110"/>
      <c r="J129" s="110"/>
      <c r="K129" s="110"/>
      <c r="L129" s="110"/>
      <c r="M129" s="111"/>
      <c r="N129" s="113"/>
    </row>
    <row r="130" hidden="1" outlineLevel="1">
      <c r="A130" s="115" t="s">
        <v>98</v>
      </c>
      <c r="B130" s="115" t="s">
        <v>100</v>
      </c>
      <c r="C130" s="115" t="s">
        <v>102</v>
      </c>
      <c r="D130" s="119" t="s">
        <v>103</v>
      </c>
      <c r="E130" s="275" t="s">
        <v>269</v>
      </c>
      <c r="F130" s="275" t="s">
        <v>272</v>
      </c>
      <c r="G130" s="276" t="s">
        <v>328</v>
      </c>
      <c r="H130" s="121" t="s">
        <v>107</v>
      </c>
      <c r="I130" s="121" t="s">
        <v>108</v>
      </c>
      <c r="J130" s="276" t="s">
        <v>329</v>
      </c>
      <c r="K130" s="121" t="s">
        <v>111</v>
      </c>
      <c r="L130" s="276" t="s">
        <v>274</v>
      </c>
      <c r="M130" s="115" t="s">
        <v>114</v>
      </c>
      <c r="N130" s="119" t="s">
        <v>115</v>
      </c>
    </row>
    <row r="131" hidden="1" outlineLevel="1">
      <c r="A131" s="343" t="s">
        <v>496</v>
      </c>
      <c r="B131" s="344">
        <v>46020.0</v>
      </c>
      <c r="C131" s="133" t="str">
        <f t="shared" ref="C131:C145" si="20">IF(B131="", "", TEXT(B131, "ddd"))</f>
        <v>Mon</v>
      </c>
      <c r="D131" s="136">
        <f t="shared" ref="D131:D145" si="21">IF(E131="Yes",0.05,0)
+IF(F131="Yes",0.1,0)
+IF(G131="Yes",0.15,0)
+IF(H131="Yes",0.15,0)
+IF(I131="Yes",0.05,0)
+IF(J131="Yes",0.05,0)
+IF(K131="Yes",0.15,0)
+IF(L131="Yes",0.3,0)
</f>
        <v>1</v>
      </c>
      <c r="E131" s="137" t="s">
        <v>129</v>
      </c>
      <c r="F131" s="137" t="s">
        <v>129</v>
      </c>
      <c r="G131" s="137" t="s">
        <v>129</v>
      </c>
      <c r="H131" s="137" t="s">
        <v>129</v>
      </c>
      <c r="I131" s="137" t="s">
        <v>129</v>
      </c>
      <c r="J131" s="137" t="s">
        <v>129</v>
      </c>
      <c r="K131" s="137" t="s">
        <v>129</v>
      </c>
      <c r="L131" s="137" t="s">
        <v>129</v>
      </c>
      <c r="M131" s="141"/>
      <c r="N131" s="143"/>
    </row>
    <row r="132" hidden="1" outlineLevel="1">
      <c r="A132" s="343" t="s">
        <v>507</v>
      </c>
      <c r="B132" s="344">
        <v>46020.0</v>
      </c>
      <c r="C132" s="133" t="str">
        <f t="shared" si="20"/>
        <v>Mon</v>
      </c>
      <c r="D132" s="136">
        <f t="shared" si="21"/>
        <v>1</v>
      </c>
      <c r="E132" s="137" t="s">
        <v>129</v>
      </c>
      <c r="F132" s="137" t="s">
        <v>129</v>
      </c>
      <c r="G132" s="137" t="s">
        <v>129</v>
      </c>
      <c r="H132" s="137" t="s">
        <v>129</v>
      </c>
      <c r="I132" s="137" t="s">
        <v>129</v>
      </c>
      <c r="J132" s="137" t="s">
        <v>129</v>
      </c>
      <c r="K132" s="137" t="s">
        <v>129</v>
      </c>
      <c r="L132" s="137" t="s">
        <v>129</v>
      </c>
      <c r="M132" s="141"/>
      <c r="N132" s="147"/>
    </row>
    <row r="133" hidden="1" outlineLevel="1">
      <c r="A133" s="343" t="s">
        <v>510</v>
      </c>
      <c r="B133" s="344">
        <v>46020.0</v>
      </c>
      <c r="C133" s="133" t="str">
        <f t="shared" si="20"/>
        <v>Mon</v>
      </c>
      <c r="D133" s="136">
        <f t="shared" si="21"/>
        <v>1</v>
      </c>
      <c r="E133" s="137" t="s">
        <v>129</v>
      </c>
      <c r="F133" s="137" t="s">
        <v>129</v>
      </c>
      <c r="G133" s="137" t="s">
        <v>129</v>
      </c>
      <c r="H133" s="137" t="s">
        <v>129</v>
      </c>
      <c r="I133" s="137" t="s">
        <v>129</v>
      </c>
      <c r="J133" s="137" t="s">
        <v>129</v>
      </c>
      <c r="K133" s="137" t="s">
        <v>129</v>
      </c>
      <c r="L133" s="137" t="s">
        <v>129</v>
      </c>
      <c r="M133" s="141"/>
      <c r="N133" s="147"/>
    </row>
    <row r="134" hidden="1" outlineLevel="1">
      <c r="A134" s="341" t="s">
        <v>443</v>
      </c>
      <c r="B134" s="344">
        <v>46022.0</v>
      </c>
      <c r="C134" s="133" t="str">
        <f t="shared" si="20"/>
        <v>Wed</v>
      </c>
      <c r="D134" s="136">
        <f t="shared" si="21"/>
        <v>1</v>
      </c>
      <c r="E134" s="137" t="s">
        <v>129</v>
      </c>
      <c r="F134" s="137" t="s">
        <v>129</v>
      </c>
      <c r="G134" s="137" t="s">
        <v>129</v>
      </c>
      <c r="H134" s="137" t="s">
        <v>129</v>
      </c>
      <c r="I134" s="137" t="s">
        <v>129</v>
      </c>
      <c r="J134" s="137" t="s">
        <v>129</v>
      </c>
      <c r="K134" s="137" t="s">
        <v>129</v>
      </c>
      <c r="L134" s="137" t="s">
        <v>129</v>
      </c>
      <c r="M134" s="141"/>
      <c r="N134" s="143"/>
    </row>
    <row r="135" hidden="1" outlineLevel="1">
      <c r="A135" s="341" t="s">
        <v>443</v>
      </c>
      <c r="B135" s="344">
        <v>46022.0</v>
      </c>
      <c r="C135" s="133" t="str">
        <f t="shared" si="20"/>
        <v>Wed</v>
      </c>
      <c r="D135" s="136">
        <f t="shared" si="21"/>
        <v>1</v>
      </c>
      <c r="E135" s="137" t="s">
        <v>129</v>
      </c>
      <c r="F135" s="137" t="s">
        <v>129</v>
      </c>
      <c r="G135" s="137" t="s">
        <v>129</v>
      </c>
      <c r="H135" s="137" t="s">
        <v>129</v>
      </c>
      <c r="I135" s="137" t="s">
        <v>129</v>
      </c>
      <c r="J135" s="137" t="s">
        <v>129</v>
      </c>
      <c r="K135" s="137" t="s">
        <v>129</v>
      </c>
      <c r="L135" s="137" t="s">
        <v>129</v>
      </c>
      <c r="M135" s="141"/>
      <c r="N135" s="143"/>
    </row>
    <row r="136" hidden="1" outlineLevel="1">
      <c r="A136" s="341" t="s">
        <v>443</v>
      </c>
      <c r="B136" s="344">
        <v>46022.0</v>
      </c>
      <c r="C136" s="133" t="str">
        <f t="shared" si="20"/>
        <v>Wed</v>
      </c>
      <c r="D136" s="136">
        <f t="shared" si="21"/>
        <v>1</v>
      </c>
      <c r="E136" s="137" t="s">
        <v>129</v>
      </c>
      <c r="F136" s="137" t="s">
        <v>129</v>
      </c>
      <c r="G136" s="137" t="s">
        <v>129</v>
      </c>
      <c r="H136" s="137" t="s">
        <v>129</v>
      </c>
      <c r="I136" s="137" t="s">
        <v>129</v>
      </c>
      <c r="J136" s="137" t="s">
        <v>129</v>
      </c>
      <c r="K136" s="137" t="s">
        <v>129</v>
      </c>
      <c r="L136" s="137" t="s">
        <v>129</v>
      </c>
      <c r="M136" s="141"/>
      <c r="N136" s="143"/>
    </row>
    <row r="137" hidden="1" outlineLevel="1">
      <c r="A137" s="255" t="s">
        <v>517</v>
      </c>
      <c r="B137" s="344">
        <v>46023.0</v>
      </c>
      <c r="C137" s="133" t="str">
        <f t="shared" si="20"/>
        <v>Thu</v>
      </c>
      <c r="D137" s="136">
        <f t="shared" si="21"/>
        <v>1</v>
      </c>
      <c r="E137" s="137" t="s">
        <v>129</v>
      </c>
      <c r="F137" s="137" t="s">
        <v>129</v>
      </c>
      <c r="G137" s="137" t="s">
        <v>129</v>
      </c>
      <c r="H137" s="137" t="s">
        <v>129</v>
      </c>
      <c r="I137" s="137" t="s">
        <v>129</v>
      </c>
      <c r="J137" s="137" t="s">
        <v>129</v>
      </c>
      <c r="K137" s="137" t="s">
        <v>129</v>
      </c>
      <c r="L137" s="137" t="s">
        <v>129</v>
      </c>
      <c r="M137" s="141"/>
      <c r="N137" s="143"/>
    </row>
    <row r="138" hidden="1" outlineLevel="1">
      <c r="A138" s="255" t="s">
        <v>519</v>
      </c>
      <c r="B138" s="344">
        <v>46023.0</v>
      </c>
      <c r="C138" s="133" t="str">
        <f t="shared" si="20"/>
        <v>Thu</v>
      </c>
      <c r="D138" s="136">
        <f t="shared" si="21"/>
        <v>1</v>
      </c>
      <c r="E138" s="137" t="s">
        <v>129</v>
      </c>
      <c r="F138" s="137" t="s">
        <v>129</v>
      </c>
      <c r="G138" s="137" t="s">
        <v>129</v>
      </c>
      <c r="H138" s="137" t="s">
        <v>129</v>
      </c>
      <c r="I138" s="137" t="s">
        <v>129</v>
      </c>
      <c r="J138" s="137" t="s">
        <v>129</v>
      </c>
      <c r="K138" s="137" t="s">
        <v>129</v>
      </c>
      <c r="L138" s="137" t="s">
        <v>129</v>
      </c>
      <c r="M138" s="141"/>
      <c r="N138" s="147"/>
    </row>
    <row r="139" hidden="1" outlineLevel="1">
      <c r="A139" s="255" t="s">
        <v>522</v>
      </c>
      <c r="B139" s="344">
        <v>46023.0</v>
      </c>
      <c r="C139" s="133" t="str">
        <f t="shared" si="20"/>
        <v>Thu</v>
      </c>
      <c r="D139" s="136">
        <f t="shared" si="21"/>
        <v>1</v>
      </c>
      <c r="E139" s="137" t="s">
        <v>129</v>
      </c>
      <c r="F139" s="137" t="s">
        <v>129</v>
      </c>
      <c r="G139" s="137" t="s">
        <v>129</v>
      </c>
      <c r="H139" s="137" t="s">
        <v>129</v>
      </c>
      <c r="I139" s="137" t="s">
        <v>129</v>
      </c>
      <c r="J139" s="137" t="s">
        <v>129</v>
      </c>
      <c r="K139" s="137" t="s">
        <v>129</v>
      </c>
      <c r="L139" s="137" t="s">
        <v>129</v>
      </c>
      <c r="M139" s="141"/>
      <c r="N139" s="143"/>
    </row>
    <row r="140" hidden="1" outlineLevel="1">
      <c r="A140" s="255" t="s">
        <v>524</v>
      </c>
      <c r="B140" s="344">
        <v>46024.0</v>
      </c>
      <c r="C140" s="133" t="str">
        <f t="shared" si="20"/>
        <v>Fri</v>
      </c>
      <c r="D140" s="136">
        <f t="shared" si="21"/>
        <v>1</v>
      </c>
      <c r="E140" s="137" t="s">
        <v>129</v>
      </c>
      <c r="F140" s="137" t="s">
        <v>129</v>
      </c>
      <c r="G140" s="137" t="s">
        <v>129</v>
      </c>
      <c r="H140" s="137" t="s">
        <v>129</v>
      </c>
      <c r="I140" s="137" t="s">
        <v>129</v>
      </c>
      <c r="J140" s="137" t="s">
        <v>129</v>
      </c>
      <c r="K140" s="137" t="s">
        <v>129</v>
      </c>
      <c r="L140" s="137" t="s">
        <v>129</v>
      </c>
      <c r="M140" s="141"/>
      <c r="N140" s="143"/>
    </row>
    <row r="141" hidden="1" outlineLevel="1">
      <c r="A141" s="255" t="s">
        <v>526</v>
      </c>
      <c r="B141" s="344">
        <v>46024.0</v>
      </c>
      <c r="C141" s="133" t="str">
        <f t="shared" si="20"/>
        <v>Fri</v>
      </c>
      <c r="D141" s="136">
        <f t="shared" si="21"/>
        <v>1</v>
      </c>
      <c r="E141" s="137" t="s">
        <v>129</v>
      </c>
      <c r="F141" s="137" t="s">
        <v>129</v>
      </c>
      <c r="G141" s="137" t="s">
        <v>129</v>
      </c>
      <c r="H141" s="137" t="s">
        <v>129</v>
      </c>
      <c r="I141" s="137" t="s">
        <v>129</v>
      </c>
      <c r="J141" s="137" t="s">
        <v>129</v>
      </c>
      <c r="K141" s="137" t="s">
        <v>129</v>
      </c>
      <c r="L141" s="137" t="s">
        <v>129</v>
      </c>
      <c r="M141" s="141"/>
      <c r="N141" s="147"/>
    </row>
    <row r="142" hidden="1" outlineLevel="1">
      <c r="A142" s="255" t="s">
        <v>530</v>
      </c>
      <c r="B142" s="344">
        <v>46024.0</v>
      </c>
      <c r="C142" s="133" t="str">
        <f t="shared" si="20"/>
        <v>Fri</v>
      </c>
      <c r="D142" s="136">
        <f t="shared" si="21"/>
        <v>1</v>
      </c>
      <c r="E142" s="137" t="s">
        <v>129</v>
      </c>
      <c r="F142" s="137" t="s">
        <v>129</v>
      </c>
      <c r="G142" s="137" t="s">
        <v>129</v>
      </c>
      <c r="H142" s="137" t="s">
        <v>129</v>
      </c>
      <c r="I142" s="137" t="s">
        <v>129</v>
      </c>
      <c r="J142" s="137" t="s">
        <v>129</v>
      </c>
      <c r="K142" s="137" t="s">
        <v>129</v>
      </c>
      <c r="L142" s="137" t="s">
        <v>129</v>
      </c>
      <c r="M142" s="141"/>
      <c r="N142" s="143"/>
    </row>
    <row r="143" hidden="1" outlineLevel="1">
      <c r="A143" s="343" t="s">
        <v>535</v>
      </c>
      <c r="B143" s="344">
        <v>46026.0</v>
      </c>
      <c r="C143" s="186" t="str">
        <f t="shared" si="20"/>
        <v>Sun</v>
      </c>
      <c r="D143" s="136">
        <f t="shared" si="21"/>
        <v>1</v>
      </c>
      <c r="E143" s="137" t="s">
        <v>129</v>
      </c>
      <c r="F143" s="137" t="s">
        <v>129</v>
      </c>
      <c r="G143" s="137" t="s">
        <v>129</v>
      </c>
      <c r="H143" s="137" t="s">
        <v>129</v>
      </c>
      <c r="I143" s="137" t="s">
        <v>129</v>
      </c>
      <c r="J143" s="137" t="s">
        <v>129</v>
      </c>
      <c r="K143" s="137" t="s">
        <v>129</v>
      </c>
      <c r="L143" s="137" t="s">
        <v>129</v>
      </c>
      <c r="M143" s="141"/>
      <c r="N143" s="143"/>
    </row>
    <row r="144" hidden="1" outlineLevel="1">
      <c r="A144" s="343" t="s">
        <v>543</v>
      </c>
      <c r="B144" s="344">
        <v>46026.0</v>
      </c>
      <c r="C144" s="186" t="str">
        <f t="shared" si="20"/>
        <v>Sun</v>
      </c>
      <c r="D144" s="136">
        <f t="shared" si="21"/>
        <v>1</v>
      </c>
      <c r="E144" s="137" t="s">
        <v>129</v>
      </c>
      <c r="F144" s="137" t="s">
        <v>129</v>
      </c>
      <c r="G144" s="137" t="s">
        <v>129</v>
      </c>
      <c r="H144" s="137" t="s">
        <v>129</v>
      </c>
      <c r="I144" s="137" t="s">
        <v>129</v>
      </c>
      <c r="J144" s="137" t="s">
        <v>129</v>
      </c>
      <c r="K144" s="137" t="s">
        <v>129</v>
      </c>
      <c r="L144" s="137" t="s">
        <v>129</v>
      </c>
      <c r="M144" s="141"/>
      <c r="N144" s="143"/>
    </row>
    <row r="145" ht="15.0" hidden="1" customHeight="1" outlineLevel="1">
      <c r="A145" s="343" t="s">
        <v>545</v>
      </c>
      <c r="B145" s="344">
        <v>46026.0</v>
      </c>
      <c r="C145" s="186" t="str">
        <f t="shared" si="20"/>
        <v>Sun</v>
      </c>
      <c r="D145" s="136">
        <f t="shared" si="21"/>
        <v>1</v>
      </c>
      <c r="E145" s="137" t="s">
        <v>129</v>
      </c>
      <c r="F145" s="137" t="s">
        <v>129</v>
      </c>
      <c r="G145" s="137" t="s">
        <v>129</v>
      </c>
      <c r="H145" s="137" t="s">
        <v>129</v>
      </c>
      <c r="I145" s="137" t="s">
        <v>129</v>
      </c>
      <c r="J145" s="137" t="s">
        <v>129</v>
      </c>
      <c r="K145" s="137" t="s">
        <v>129</v>
      </c>
      <c r="L145" s="137" t="s">
        <v>129</v>
      </c>
      <c r="M145" s="141"/>
      <c r="N145" s="147"/>
    </row>
    <row r="146" hidden="1" outlineLevel="1">
      <c r="B146" s="189"/>
      <c r="C146" s="191" t="s">
        <v>194</v>
      </c>
      <c r="D146" s="204">
        <f>AVERAGE(D131:D145)</f>
        <v>1</v>
      </c>
      <c r="E146" s="200"/>
      <c r="L146" s="191" t="s">
        <v>194</v>
      </c>
      <c r="M146" s="204">
        <f>SUM(M131:M145)/75*0.1</f>
        <v>0</v>
      </c>
    </row>
    <row r="147" hidden="1" collapsed="1">
      <c r="A147" s="206" t="s">
        <v>488</v>
      </c>
      <c r="B147" s="207"/>
      <c r="C147" s="207"/>
      <c r="D147" s="208"/>
      <c r="E147" s="109"/>
      <c r="F147" s="109"/>
      <c r="G147" s="110"/>
      <c r="H147" s="110"/>
      <c r="I147" s="110"/>
      <c r="J147" s="110"/>
      <c r="K147" s="110"/>
      <c r="L147" s="110"/>
      <c r="M147" s="111"/>
      <c r="N147" s="113"/>
    </row>
    <row r="148" hidden="1" outlineLevel="1">
      <c r="A148" s="115" t="s">
        <v>98</v>
      </c>
      <c r="B148" s="115" t="s">
        <v>100</v>
      </c>
      <c r="C148" s="115" t="s">
        <v>102</v>
      </c>
      <c r="D148" s="119" t="s">
        <v>103</v>
      </c>
      <c r="E148" s="275" t="s">
        <v>269</v>
      </c>
      <c r="F148" s="275" t="s">
        <v>272</v>
      </c>
      <c r="G148" s="276" t="s">
        <v>328</v>
      </c>
      <c r="H148" s="121" t="s">
        <v>107</v>
      </c>
      <c r="I148" s="121" t="s">
        <v>108</v>
      </c>
      <c r="J148" s="276" t="s">
        <v>329</v>
      </c>
      <c r="K148" s="121" t="s">
        <v>111</v>
      </c>
      <c r="L148" s="276" t="s">
        <v>274</v>
      </c>
      <c r="M148" s="115" t="s">
        <v>114</v>
      </c>
      <c r="N148" s="119" t="s">
        <v>115</v>
      </c>
    </row>
    <row r="149" hidden="1" outlineLevel="1">
      <c r="A149" s="255" t="s">
        <v>550</v>
      </c>
      <c r="B149" s="344">
        <v>46027.0</v>
      </c>
      <c r="C149" s="133" t="str">
        <f t="shared" ref="C149:C163" si="22">IF(B149="", "", TEXT(B149, "ddd"))</f>
        <v>Mon</v>
      </c>
      <c r="D149" s="136">
        <f t="shared" ref="D149:D163" si="23">IF(E149="Yes",0.05,0)
+IF(F149="Yes",0.1,0)
+IF(G149="Yes",0.15,0)
+IF(H149="Yes",0.15,0)
+IF(I149="Yes",0.05,0)
+IF(J149="Yes",0.05,0)
+IF(K149="Yes",0.15,0)
+IF(L149="Yes",0.3,0)
</f>
        <v>1</v>
      </c>
      <c r="E149" s="137" t="s">
        <v>129</v>
      </c>
      <c r="F149" s="137" t="s">
        <v>129</v>
      </c>
      <c r="G149" s="137" t="s">
        <v>129</v>
      </c>
      <c r="H149" s="137" t="s">
        <v>129</v>
      </c>
      <c r="I149" s="137" t="s">
        <v>129</v>
      </c>
      <c r="J149" s="137" t="s">
        <v>129</v>
      </c>
      <c r="K149" s="137" t="s">
        <v>129</v>
      </c>
      <c r="L149" s="137" t="s">
        <v>129</v>
      </c>
      <c r="M149" s="141"/>
      <c r="N149" s="143"/>
    </row>
    <row r="150" hidden="1" outlineLevel="1">
      <c r="A150" s="255" t="s">
        <v>552</v>
      </c>
      <c r="B150" s="344">
        <v>46027.0</v>
      </c>
      <c r="C150" s="133" t="str">
        <f t="shared" si="22"/>
        <v>Mon</v>
      </c>
      <c r="D150" s="136">
        <f t="shared" si="23"/>
        <v>1</v>
      </c>
      <c r="E150" s="137" t="s">
        <v>129</v>
      </c>
      <c r="F150" s="137" t="s">
        <v>129</v>
      </c>
      <c r="G150" s="137" t="s">
        <v>129</v>
      </c>
      <c r="H150" s="137" t="s">
        <v>129</v>
      </c>
      <c r="I150" s="137" t="s">
        <v>129</v>
      </c>
      <c r="J150" s="137" t="s">
        <v>129</v>
      </c>
      <c r="K150" s="137" t="s">
        <v>129</v>
      </c>
      <c r="L150" s="137" t="s">
        <v>129</v>
      </c>
      <c r="M150" s="141"/>
      <c r="N150" s="147"/>
    </row>
    <row r="151" hidden="1" outlineLevel="1">
      <c r="A151" s="255" t="s">
        <v>555</v>
      </c>
      <c r="B151" s="344">
        <v>46027.0</v>
      </c>
      <c r="C151" s="133" t="str">
        <f t="shared" si="22"/>
        <v>Mon</v>
      </c>
      <c r="D151" s="136">
        <f t="shared" si="23"/>
        <v>1</v>
      </c>
      <c r="E151" s="137" t="s">
        <v>129</v>
      </c>
      <c r="F151" s="137" t="s">
        <v>129</v>
      </c>
      <c r="G151" s="137" t="s">
        <v>129</v>
      </c>
      <c r="H151" s="137" t="s">
        <v>129</v>
      </c>
      <c r="I151" s="137" t="s">
        <v>129</v>
      </c>
      <c r="J151" s="137" t="s">
        <v>129</v>
      </c>
      <c r="K151" s="137" t="s">
        <v>129</v>
      </c>
      <c r="L151" s="137" t="s">
        <v>129</v>
      </c>
      <c r="M151" s="141"/>
      <c r="N151" s="147"/>
    </row>
    <row r="152" hidden="1" outlineLevel="1">
      <c r="A152" s="255" t="s">
        <v>558</v>
      </c>
      <c r="B152" s="344">
        <v>46028.0</v>
      </c>
      <c r="C152" s="133" t="str">
        <f t="shared" si="22"/>
        <v>Tue</v>
      </c>
      <c r="D152" s="136">
        <f t="shared" si="23"/>
        <v>1</v>
      </c>
      <c r="E152" s="137" t="s">
        <v>129</v>
      </c>
      <c r="F152" s="137" t="s">
        <v>129</v>
      </c>
      <c r="G152" s="137" t="s">
        <v>129</v>
      </c>
      <c r="H152" s="137" t="s">
        <v>129</v>
      </c>
      <c r="I152" s="137" t="s">
        <v>129</v>
      </c>
      <c r="J152" s="137" t="s">
        <v>129</v>
      </c>
      <c r="K152" s="137" t="s">
        <v>129</v>
      </c>
      <c r="L152" s="137" t="s">
        <v>129</v>
      </c>
      <c r="M152" s="141"/>
      <c r="N152" s="143"/>
    </row>
    <row r="153" hidden="1" outlineLevel="1">
      <c r="A153" s="255" t="s">
        <v>561</v>
      </c>
      <c r="B153" s="344">
        <v>46028.0</v>
      </c>
      <c r="C153" s="133" t="str">
        <f t="shared" si="22"/>
        <v>Tue</v>
      </c>
      <c r="D153" s="136">
        <f t="shared" si="23"/>
        <v>1</v>
      </c>
      <c r="E153" s="137" t="s">
        <v>129</v>
      </c>
      <c r="F153" s="137" t="s">
        <v>129</v>
      </c>
      <c r="G153" s="137" t="s">
        <v>129</v>
      </c>
      <c r="H153" s="137" t="s">
        <v>129</v>
      </c>
      <c r="I153" s="137" t="s">
        <v>129</v>
      </c>
      <c r="J153" s="137" t="s">
        <v>129</v>
      </c>
      <c r="K153" s="137" t="s">
        <v>129</v>
      </c>
      <c r="L153" s="137" t="s">
        <v>129</v>
      </c>
      <c r="M153" s="141"/>
      <c r="N153" s="143"/>
    </row>
    <row r="154" hidden="1" outlineLevel="1">
      <c r="A154" s="255" t="s">
        <v>563</v>
      </c>
      <c r="B154" s="344">
        <v>46028.0</v>
      </c>
      <c r="C154" s="133" t="str">
        <f t="shared" si="22"/>
        <v>Tue</v>
      </c>
      <c r="D154" s="136">
        <f t="shared" si="23"/>
        <v>1</v>
      </c>
      <c r="E154" s="137" t="s">
        <v>129</v>
      </c>
      <c r="F154" s="137" t="s">
        <v>129</v>
      </c>
      <c r="G154" s="137" t="s">
        <v>129</v>
      </c>
      <c r="H154" s="137" t="s">
        <v>129</v>
      </c>
      <c r="I154" s="137" t="s">
        <v>129</v>
      </c>
      <c r="J154" s="137" t="s">
        <v>129</v>
      </c>
      <c r="K154" s="137" t="s">
        <v>129</v>
      </c>
      <c r="L154" s="137" t="s">
        <v>129</v>
      </c>
      <c r="M154" s="141"/>
      <c r="N154" s="143"/>
    </row>
    <row r="155" hidden="1" outlineLevel="1">
      <c r="A155" s="255" t="s">
        <v>567</v>
      </c>
      <c r="B155" s="344">
        <v>46029.0</v>
      </c>
      <c r="C155" s="133" t="str">
        <f t="shared" si="22"/>
        <v>Wed</v>
      </c>
      <c r="D155" s="136">
        <f t="shared" si="23"/>
        <v>1</v>
      </c>
      <c r="E155" s="137" t="s">
        <v>129</v>
      </c>
      <c r="F155" s="137" t="s">
        <v>129</v>
      </c>
      <c r="G155" s="137" t="s">
        <v>129</v>
      </c>
      <c r="H155" s="137" t="s">
        <v>129</v>
      </c>
      <c r="I155" s="137" t="s">
        <v>129</v>
      </c>
      <c r="J155" s="137" t="s">
        <v>129</v>
      </c>
      <c r="K155" s="137" t="s">
        <v>129</v>
      </c>
      <c r="L155" s="137" t="s">
        <v>129</v>
      </c>
      <c r="M155" s="141"/>
      <c r="N155" s="143"/>
    </row>
    <row r="156" hidden="1" outlineLevel="1">
      <c r="A156" s="255" t="s">
        <v>569</v>
      </c>
      <c r="B156" s="344">
        <v>46029.0</v>
      </c>
      <c r="C156" s="133" t="str">
        <f t="shared" si="22"/>
        <v>Wed</v>
      </c>
      <c r="D156" s="136">
        <f t="shared" si="23"/>
        <v>1</v>
      </c>
      <c r="E156" s="137" t="s">
        <v>129</v>
      </c>
      <c r="F156" s="137" t="s">
        <v>129</v>
      </c>
      <c r="G156" s="137" t="s">
        <v>129</v>
      </c>
      <c r="H156" s="137" t="s">
        <v>129</v>
      </c>
      <c r="I156" s="137" t="s">
        <v>129</v>
      </c>
      <c r="J156" s="137" t="s">
        <v>129</v>
      </c>
      <c r="K156" s="137" t="s">
        <v>129</v>
      </c>
      <c r="L156" s="137" t="s">
        <v>129</v>
      </c>
      <c r="M156" s="141"/>
      <c r="N156" s="147"/>
    </row>
    <row r="157" hidden="1" outlineLevel="1">
      <c r="A157" s="255" t="s">
        <v>571</v>
      </c>
      <c r="B157" s="344">
        <v>46029.0</v>
      </c>
      <c r="C157" s="133" t="str">
        <f t="shared" si="22"/>
        <v>Wed</v>
      </c>
      <c r="D157" s="136">
        <f t="shared" si="23"/>
        <v>1</v>
      </c>
      <c r="E157" s="137" t="s">
        <v>129</v>
      </c>
      <c r="F157" s="137" t="s">
        <v>129</v>
      </c>
      <c r="G157" s="137" t="s">
        <v>129</v>
      </c>
      <c r="H157" s="137" t="s">
        <v>129</v>
      </c>
      <c r="I157" s="137" t="s">
        <v>129</v>
      </c>
      <c r="J157" s="137" t="s">
        <v>129</v>
      </c>
      <c r="K157" s="137" t="s">
        <v>129</v>
      </c>
      <c r="L157" s="137" t="s">
        <v>129</v>
      </c>
      <c r="M157" s="141"/>
      <c r="N157" s="143"/>
    </row>
    <row r="158" hidden="1" outlineLevel="1">
      <c r="A158" s="255" t="s">
        <v>576</v>
      </c>
      <c r="B158" s="344">
        <v>46030.0</v>
      </c>
      <c r="C158" s="133" t="str">
        <f t="shared" si="22"/>
        <v>Thu</v>
      </c>
      <c r="D158" s="136">
        <f t="shared" si="23"/>
        <v>1</v>
      </c>
      <c r="E158" s="137" t="s">
        <v>129</v>
      </c>
      <c r="F158" s="137" t="s">
        <v>129</v>
      </c>
      <c r="G158" s="137" t="s">
        <v>129</v>
      </c>
      <c r="H158" s="137" t="s">
        <v>129</v>
      </c>
      <c r="I158" s="137" t="s">
        <v>129</v>
      </c>
      <c r="J158" s="137" t="s">
        <v>129</v>
      </c>
      <c r="K158" s="137" t="s">
        <v>129</v>
      </c>
      <c r="L158" s="137" t="s">
        <v>129</v>
      </c>
      <c r="M158" s="141"/>
      <c r="N158" s="143"/>
    </row>
    <row r="159" hidden="1" outlineLevel="1">
      <c r="A159" s="255" t="s">
        <v>579</v>
      </c>
      <c r="B159" s="344">
        <v>46030.0</v>
      </c>
      <c r="C159" s="133" t="str">
        <f t="shared" si="22"/>
        <v>Thu</v>
      </c>
      <c r="D159" s="136">
        <f t="shared" si="23"/>
        <v>1</v>
      </c>
      <c r="E159" s="137" t="s">
        <v>129</v>
      </c>
      <c r="F159" s="137" t="s">
        <v>129</v>
      </c>
      <c r="G159" s="137" t="s">
        <v>129</v>
      </c>
      <c r="H159" s="137" t="s">
        <v>129</v>
      </c>
      <c r="I159" s="137" t="s">
        <v>129</v>
      </c>
      <c r="J159" s="137" t="s">
        <v>129</v>
      </c>
      <c r="K159" s="137" t="s">
        <v>129</v>
      </c>
      <c r="L159" s="137" t="s">
        <v>129</v>
      </c>
      <c r="M159" s="141"/>
      <c r="N159" s="147"/>
    </row>
    <row r="160" hidden="1" outlineLevel="1">
      <c r="A160" s="255" t="s">
        <v>581</v>
      </c>
      <c r="B160" s="344">
        <v>46030.0</v>
      </c>
      <c r="C160" s="133" t="str">
        <f t="shared" si="22"/>
        <v>Thu</v>
      </c>
      <c r="D160" s="136">
        <f t="shared" si="23"/>
        <v>1</v>
      </c>
      <c r="E160" s="137" t="s">
        <v>129</v>
      </c>
      <c r="F160" s="137" t="s">
        <v>129</v>
      </c>
      <c r="G160" s="137" t="s">
        <v>129</v>
      </c>
      <c r="H160" s="137" t="s">
        <v>129</v>
      </c>
      <c r="I160" s="137" t="s">
        <v>129</v>
      </c>
      <c r="J160" s="137" t="s">
        <v>129</v>
      </c>
      <c r="K160" s="137" t="s">
        <v>129</v>
      </c>
      <c r="L160" s="137" t="s">
        <v>129</v>
      </c>
      <c r="M160" s="141"/>
      <c r="N160" s="143"/>
    </row>
    <row r="161" hidden="1" outlineLevel="1">
      <c r="A161" s="255" t="s">
        <v>582</v>
      </c>
      <c r="B161" s="344">
        <v>46031.0</v>
      </c>
      <c r="C161" s="186" t="str">
        <f t="shared" si="22"/>
        <v>Fri</v>
      </c>
      <c r="D161" s="136">
        <f t="shared" si="23"/>
        <v>1</v>
      </c>
      <c r="E161" s="137" t="s">
        <v>129</v>
      </c>
      <c r="F161" s="137" t="s">
        <v>129</v>
      </c>
      <c r="G161" s="137" t="s">
        <v>129</v>
      </c>
      <c r="H161" s="137" t="s">
        <v>129</v>
      </c>
      <c r="I161" s="137" t="s">
        <v>129</v>
      </c>
      <c r="J161" s="137" t="s">
        <v>129</v>
      </c>
      <c r="K161" s="137" t="s">
        <v>129</v>
      </c>
      <c r="L161" s="137" t="s">
        <v>129</v>
      </c>
      <c r="M161" s="141"/>
      <c r="N161" s="143"/>
    </row>
    <row r="162" hidden="1" outlineLevel="1">
      <c r="A162" s="255" t="s">
        <v>584</v>
      </c>
      <c r="B162" s="344">
        <v>46031.0</v>
      </c>
      <c r="C162" s="186" t="str">
        <f t="shared" si="22"/>
        <v>Fri</v>
      </c>
      <c r="D162" s="136">
        <f t="shared" si="23"/>
        <v>1</v>
      </c>
      <c r="E162" s="137" t="s">
        <v>129</v>
      </c>
      <c r="F162" s="137" t="s">
        <v>129</v>
      </c>
      <c r="G162" s="137" t="s">
        <v>129</v>
      </c>
      <c r="H162" s="137" t="s">
        <v>129</v>
      </c>
      <c r="I162" s="137" t="s">
        <v>129</v>
      </c>
      <c r="J162" s="137" t="s">
        <v>129</v>
      </c>
      <c r="K162" s="137" t="s">
        <v>129</v>
      </c>
      <c r="L162" s="137" t="s">
        <v>129</v>
      </c>
      <c r="M162" s="141"/>
      <c r="N162" s="143"/>
    </row>
    <row r="163" ht="15.0" hidden="1" customHeight="1" outlineLevel="1">
      <c r="A163" s="255" t="s">
        <v>585</v>
      </c>
      <c r="B163" s="344">
        <v>46031.0</v>
      </c>
      <c r="C163" s="186" t="str">
        <f t="shared" si="22"/>
        <v>Fri</v>
      </c>
      <c r="D163" s="136">
        <f t="shared" si="23"/>
        <v>1</v>
      </c>
      <c r="E163" s="137" t="s">
        <v>129</v>
      </c>
      <c r="F163" s="137" t="s">
        <v>129</v>
      </c>
      <c r="G163" s="137" t="s">
        <v>129</v>
      </c>
      <c r="H163" s="137" t="s">
        <v>129</v>
      </c>
      <c r="I163" s="137" t="s">
        <v>129</v>
      </c>
      <c r="J163" s="137" t="s">
        <v>129</v>
      </c>
      <c r="K163" s="137" t="s">
        <v>129</v>
      </c>
      <c r="L163" s="137" t="s">
        <v>129</v>
      </c>
      <c r="M163" s="141"/>
      <c r="N163" s="147"/>
    </row>
    <row r="164" hidden="1" outlineLevel="1">
      <c r="B164" s="189"/>
      <c r="C164" s="191" t="s">
        <v>194</v>
      </c>
      <c r="D164" s="204">
        <f>AVERAGE(D149:D163)</f>
        <v>1</v>
      </c>
      <c r="E164" s="200"/>
      <c r="L164" s="191" t="s">
        <v>194</v>
      </c>
      <c r="M164" s="204">
        <f>SUM(M149:M163)/75*0.1</f>
        <v>0</v>
      </c>
    </row>
    <row r="165" hidden="1" collapsed="1">
      <c r="A165" s="206" t="s">
        <v>516</v>
      </c>
      <c r="B165" s="207"/>
      <c r="C165" s="207"/>
      <c r="D165" s="208"/>
      <c r="E165" s="109"/>
      <c r="F165" s="109"/>
      <c r="G165" s="110"/>
      <c r="H165" s="110"/>
      <c r="I165" s="110"/>
      <c r="J165" s="110"/>
      <c r="K165" s="110"/>
      <c r="L165" s="110"/>
      <c r="M165" s="111"/>
      <c r="N165" s="113"/>
    </row>
    <row r="166" hidden="1" outlineLevel="1">
      <c r="A166" s="115" t="s">
        <v>98</v>
      </c>
      <c r="B166" s="115" t="s">
        <v>100</v>
      </c>
      <c r="C166" s="115" t="s">
        <v>102</v>
      </c>
      <c r="D166" s="119" t="s">
        <v>103</v>
      </c>
      <c r="E166" s="275" t="s">
        <v>269</v>
      </c>
      <c r="F166" s="275" t="s">
        <v>272</v>
      </c>
      <c r="G166" s="276" t="s">
        <v>328</v>
      </c>
      <c r="H166" s="121" t="s">
        <v>107</v>
      </c>
      <c r="I166" s="121" t="s">
        <v>108</v>
      </c>
      <c r="J166" s="276" t="s">
        <v>329</v>
      </c>
      <c r="K166" s="121" t="s">
        <v>111</v>
      </c>
      <c r="L166" s="276" t="s">
        <v>274</v>
      </c>
      <c r="M166" s="115" t="s">
        <v>114</v>
      </c>
      <c r="N166" s="119" t="s">
        <v>115</v>
      </c>
    </row>
    <row r="167" hidden="1" outlineLevel="1">
      <c r="A167" s="219" t="s">
        <v>593</v>
      </c>
      <c r="B167" s="344">
        <v>46034.0</v>
      </c>
      <c r="C167" s="133" t="str">
        <f t="shared" ref="C167:C181" si="24">IF(B167="", "", TEXT(B167, "ddd"))</f>
        <v>Mon</v>
      </c>
      <c r="D167" s="136">
        <f t="shared" ref="D167:D181" si="25">IF(E167="Yes",0.05,0)
+IF(F167="Yes",0.1,0)
+IF(G167="Yes",0.15,0)
+IF(H167="Yes",0.15,0)
+IF(I167="Yes",0.05,0)
+IF(J167="Yes",0.05,0)
+IF(K167="Yes",0.15,0)
+IF(L167="Yes",0.3,0)
</f>
        <v>1</v>
      </c>
      <c r="E167" s="137" t="s">
        <v>129</v>
      </c>
      <c r="F167" s="137" t="s">
        <v>129</v>
      </c>
      <c r="G167" s="137" t="s">
        <v>129</v>
      </c>
      <c r="H167" s="137" t="s">
        <v>129</v>
      </c>
      <c r="I167" s="137" t="s">
        <v>129</v>
      </c>
      <c r="J167" s="137" t="s">
        <v>129</v>
      </c>
      <c r="K167" s="137" t="s">
        <v>129</v>
      </c>
      <c r="L167" s="137" t="s">
        <v>129</v>
      </c>
      <c r="M167" s="141"/>
      <c r="N167" s="143"/>
    </row>
    <row r="168" hidden="1" outlineLevel="1">
      <c r="A168" s="219" t="s">
        <v>598</v>
      </c>
      <c r="B168" s="344">
        <v>46034.0</v>
      </c>
      <c r="C168" s="133" t="str">
        <f t="shared" si="24"/>
        <v>Mon</v>
      </c>
      <c r="D168" s="136">
        <f t="shared" si="25"/>
        <v>1</v>
      </c>
      <c r="E168" s="137" t="s">
        <v>129</v>
      </c>
      <c r="F168" s="137" t="s">
        <v>129</v>
      </c>
      <c r="G168" s="137" t="s">
        <v>129</v>
      </c>
      <c r="H168" s="137" t="s">
        <v>129</v>
      </c>
      <c r="I168" s="137" t="s">
        <v>129</v>
      </c>
      <c r="J168" s="137" t="s">
        <v>129</v>
      </c>
      <c r="K168" s="137" t="s">
        <v>129</v>
      </c>
      <c r="L168" s="137" t="s">
        <v>129</v>
      </c>
      <c r="M168" s="141"/>
      <c r="N168" s="147"/>
    </row>
    <row r="169" hidden="1" outlineLevel="1">
      <c r="A169" s="219" t="s">
        <v>599</v>
      </c>
      <c r="B169" s="344">
        <v>46034.0</v>
      </c>
      <c r="C169" s="133" t="str">
        <f t="shared" si="24"/>
        <v>Mon</v>
      </c>
      <c r="D169" s="136">
        <f t="shared" si="25"/>
        <v>1</v>
      </c>
      <c r="E169" s="137" t="s">
        <v>129</v>
      </c>
      <c r="F169" s="137" t="s">
        <v>129</v>
      </c>
      <c r="G169" s="137" t="s">
        <v>129</v>
      </c>
      <c r="H169" s="137" t="s">
        <v>129</v>
      </c>
      <c r="I169" s="137" t="s">
        <v>129</v>
      </c>
      <c r="J169" s="137" t="s">
        <v>129</v>
      </c>
      <c r="K169" s="137" t="s">
        <v>129</v>
      </c>
      <c r="L169" s="137" t="s">
        <v>129</v>
      </c>
      <c r="M169" s="141"/>
      <c r="N169" s="147"/>
    </row>
    <row r="170" hidden="1" outlineLevel="1">
      <c r="A170" s="255" t="s">
        <v>601</v>
      </c>
      <c r="B170" s="344">
        <v>46035.0</v>
      </c>
      <c r="C170" s="133" t="str">
        <f t="shared" si="24"/>
        <v>Tue</v>
      </c>
      <c r="D170" s="136">
        <f t="shared" si="25"/>
        <v>1</v>
      </c>
      <c r="E170" s="137" t="s">
        <v>129</v>
      </c>
      <c r="F170" s="137" t="s">
        <v>129</v>
      </c>
      <c r="G170" s="137" t="s">
        <v>129</v>
      </c>
      <c r="H170" s="137" t="s">
        <v>129</v>
      </c>
      <c r="I170" s="137" t="s">
        <v>129</v>
      </c>
      <c r="J170" s="137" t="s">
        <v>129</v>
      </c>
      <c r="K170" s="137" t="s">
        <v>129</v>
      </c>
      <c r="L170" s="137" t="s">
        <v>129</v>
      </c>
      <c r="M170" s="141"/>
      <c r="N170" s="143"/>
    </row>
    <row r="171" hidden="1" outlineLevel="1">
      <c r="A171" s="255" t="s">
        <v>602</v>
      </c>
      <c r="B171" s="344">
        <v>46035.0</v>
      </c>
      <c r="C171" s="133" t="str">
        <f t="shared" si="24"/>
        <v>Tue</v>
      </c>
      <c r="D171" s="136">
        <f t="shared" si="25"/>
        <v>1</v>
      </c>
      <c r="E171" s="137" t="s">
        <v>129</v>
      </c>
      <c r="F171" s="137" t="s">
        <v>129</v>
      </c>
      <c r="G171" s="137" t="s">
        <v>129</v>
      </c>
      <c r="H171" s="137" t="s">
        <v>129</v>
      </c>
      <c r="I171" s="137" t="s">
        <v>129</v>
      </c>
      <c r="J171" s="137" t="s">
        <v>129</v>
      </c>
      <c r="K171" s="137" t="s">
        <v>129</v>
      </c>
      <c r="L171" s="137" t="s">
        <v>129</v>
      </c>
      <c r="M171" s="141"/>
      <c r="N171" s="143"/>
    </row>
    <row r="172" hidden="1" outlineLevel="1">
      <c r="A172" s="255" t="s">
        <v>608</v>
      </c>
      <c r="B172" s="344">
        <v>46035.0</v>
      </c>
      <c r="C172" s="133" t="str">
        <f t="shared" si="24"/>
        <v>Tue</v>
      </c>
      <c r="D172" s="136">
        <f t="shared" si="25"/>
        <v>1</v>
      </c>
      <c r="E172" s="137" t="s">
        <v>129</v>
      </c>
      <c r="F172" s="137" t="s">
        <v>129</v>
      </c>
      <c r="G172" s="137" t="s">
        <v>129</v>
      </c>
      <c r="H172" s="137" t="s">
        <v>129</v>
      </c>
      <c r="I172" s="137" t="s">
        <v>129</v>
      </c>
      <c r="J172" s="137" t="s">
        <v>129</v>
      </c>
      <c r="K172" s="137" t="s">
        <v>129</v>
      </c>
      <c r="L172" s="137" t="s">
        <v>129</v>
      </c>
      <c r="M172" s="141"/>
      <c r="N172" s="143"/>
    </row>
    <row r="173" hidden="1" outlineLevel="1">
      <c r="A173" s="255" t="s">
        <v>610</v>
      </c>
      <c r="B173" s="368">
        <v>46036.0</v>
      </c>
      <c r="C173" s="133" t="str">
        <f t="shared" si="24"/>
        <v>Wed</v>
      </c>
      <c r="D173" s="136">
        <f t="shared" si="25"/>
        <v>1</v>
      </c>
      <c r="E173" s="137" t="s">
        <v>129</v>
      </c>
      <c r="F173" s="137" t="s">
        <v>129</v>
      </c>
      <c r="G173" s="137" t="s">
        <v>129</v>
      </c>
      <c r="H173" s="137" t="s">
        <v>129</v>
      </c>
      <c r="I173" s="137" t="s">
        <v>129</v>
      </c>
      <c r="J173" s="137" t="s">
        <v>129</v>
      </c>
      <c r="K173" s="137" t="s">
        <v>129</v>
      </c>
      <c r="L173" s="137" t="s">
        <v>129</v>
      </c>
      <c r="M173" s="141"/>
      <c r="N173" s="143"/>
    </row>
    <row r="174" hidden="1" outlineLevel="1">
      <c r="A174" s="255" t="s">
        <v>612</v>
      </c>
      <c r="B174" s="368">
        <v>46036.0</v>
      </c>
      <c r="C174" s="133" t="str">
        <f t="shared" si="24"/>
        <v>Wed</v>
      </c>
      <c r="D174" s="136">
        <f t="shared" si="25"/>
        <v>1</v>
      </c>
      <c r="E174" s="137" t="s">
        <v>129</v>
      </c>
      <c r="F174" s="137" t="s">
        <v>129</v>
      </c>
      <c r="G174" s="137" t="s">
        <v>129</v>
      </c>
      <c r="H174" s="137" t="s">
        <v>129</v>
      </c>
      <c r="I174" s="137" t="s">
        <v>129</v>
      </c>
      <c r="J174" s="137" t="s">
        <v>129</v>
      </c>
      <c r="K174" s="137" t="s">
        <v>129</v>
      </c>
      <c r="L174" s="137" t="s">
        <v>129</v>
      </c>
      <c r="M174" s="141"/>
      <c r="N174" s="147"/>
    </row>
    <row r="175" hidden="1" outlineLevel="1">
      <c r="A175" s="255" t="s">
        <v>615</v>
      </c>
      <c r="B175" s="368">
        <v>46036.0</v>
      </c>
      <c r="C175" s="133" t="str">
        <f t="shared" si="24"/>
        <v>Wed</v>
      </c>
      <c r="D175" s="136">
        <f t="shared" si="25"/>
        <v>1</v>
      </c>
      <c r="E175" s="137" t="s">
        <v>129</v>
      </c>
      <c r="F175" s="137" t="s">
        <v>129</v>
      </c>
      <c r="G175" s="137" t="s">
        <v>129</v>
      </c>
      <c r="H175" s="137" t="s">
        <v>129</v>
      </c>
      <c r="I175" s="137" t="s">
        <v>129</v>
      </c>
      <c r="J175" s="137" t="s">
        <v>129</v>
      </c>
      <c r="K175" s="137" t="s">
        <v>129</v>
      </c>
      <c r="L175" s="137" t="s">
        <v>129</v>
      </c>
      <c r="M175" s="141"/>
      <c r="N175" s="143"/>
    </row>
    <row r="176" hidden="1" outlineLevel="1">
      <c r="A176" s="255" t="s">
        <v>616</v>
      </c>
      <c r="B176" s="344">
        <v>46037.0</v>
      </c>
      <c r="C176" s="133" t="str">
        <f t="shared" si="24"/>
        <v>Thu</v>
      </c>
      <c r="D176" s="136">
        <f t="shared" si="25"/>
        <v>1</v>
      </c>
      <c r="E176" s="137" t="s">
        <v>129</v>
      </c>
      <c r="F176" s="137" t="s">
        <v>129</v>
      </c>
      <c r="G176" s="137" t="s">
        <v>129</v>
      </c>
      <c r="H176" s="137" t="s">
        <v>129</v>
      </c>
      <c r="I176" s="137" t="s">
        <v>129</v>
      </c>
      <c r="J176" s="137" t="s">
        <v>129</v>
      </c>
      <c r="K176" s="137" t="s">
        <v>129</v>
      </c>
      <c r="L176" s="137" t="s">
        <v>129</v>
      </c>
      <c r="M176" s="141"/>
      <c r="N176" s="143"/>
    </row>
    <row r="177" hidden="1" outlineLevel="1">
      <c r="A177" s="255" t="s">
        <v>618</v>
      </c>
      <c r="B177" s="344">
        <v>46037.0</v>
      </c>
      <c r="C177" s="133" t="str">
        <f t="shared" si="24"/>
        <v>Thu</v>
      </c>
      <c r="D177" s="136">
        <f t="shared" si="25"/>
        <v>1</v>
      </c>
      <c r="E177" s="137" t="s">
        <v>129</v>
      </c>
      <c r="F177" s="137" t="s">
        <v>129</v>
      </c>
      <c r="G177" s="137" t="s">
        <v>129</v>
      </c>
      <c r="H177" s="137" t="s">
        <v>129</v>
      </c>
      <c r="I177" s="137" t="s">
        <v>129</v>
      </c>
      <c r="J177" s="137" t="s">
        <v>129</v>
      </c>
      <c r="K177" s="137" t="s">
        <v>129</v>
      </c>
      <c r="L177" s="137" t="s">
        <v>129</v>
      </c>
      <c r="M177" s="141"/>
      <c r="N177" s="147"/>
    </row>
    <row r="178" hidden="1" outlineLevel="1">
      <c r="A178" s="255" t="s">
        <v>620</v>
      </c>
      <c r="B178" s="344">
        <v>46037.0</v>
      </c>
      <c r="C178" s="133" t="str">
        <f t="shared" si="24"/>
        <v>Thu</v>
      </c>
      <c r="D178" s="136">
        <f t="shared" si="25"/>
        <v>1</v>
      </c>
      <c r="E178" s="137" t="s">
        <v>129</v>
      </c>
      <c r="F178" s="137" t="s">
        <v>129</v>
      </c>
      <c r="G178" s="137" t="s">
        <v>129</v>
      </c>
      <c r="H178" s="137" t="s">
        <v>129</v>
      </c>
      <c r="I178" s="137" t="s">
        <v>129</v>
      </c>
      <c r="J178" s="137" t="s">
        <v>129</v>
      </c>
      <c r="K178" s="137" t="s">
        <v>129</v>
      </c>
      <c r="L178" s="137" t="s">
        <v>129</v>
      </c>
      <c r="M178" s="141"/>
      <c r="N178" s="143"/>
    </row>
    <row r="179" hidden="1" outlineLevel="1">
      <c r="A179" s="219" t="s">
        <v>626</v>
      </c>
      <c r="B179" s="344">
        <v>46040.0</v>
      </c>
      <c r="C179" s="186" t="str">
        <f t="shared" si="24"/>
        <v>Sun</v>
      </c>
      <c r="D179" s="136">
        <f t="shared" si="25"/>
        <v>1</v>
      </c>
      <c r="E179" s="137" t="s">
        <v>129</v>
      </c>
      <c r="F179" s="137" t="s">
        <v>129</v>
      </c>
      <c r="G179" s="137" t="s">
        <v>129</v>
      </c>
      <c r="H179" s="137" t="s">
        <v>129</v>
      </c>
      <c r="I179" s="137" t="s">
        <v>129</v>
      </c>
      <c r="J179" s="137" t="s">
        <v>129</v>
      </c>
      <c r="K179" s="137" t="s">
        <v>129</v>
      </c>
      <c r="L179" s="137" t="s">
        <v>129</v>
      </c>
      <c r="M179" s="141"/>
      <c r="N179" s="143"/>
    </row>
    <row r="180" hidden="1" outlineLevel="1">
      <c r="A180" s="219" t="s">
        <v>629</v>
      </c>
      <c r="B180" s="344">
        <v>46040.0</v>
      </c>
      <c r="C180" s="186" t="str">
        <f t="shared" si="24"/>
        <v>Sun</v>
      </c>
      <c r="D180" s="136">
        <f t="shared" si="25"/>
        <v>1</v>
      </c>
      <c r="E180" s="137" t="s">
        <v>129</v>
      </c>
      <c r="F180" s="137" t="s">
        <v>129</v>
      </c>
      <c r="G180" s="137" t="s">
        <v>129</v>
      </c>
      <c r="H180" s="137" t="s">
        <v>129</v>
      </c>
      <c r="I180" s="137" t="s">
        <v>129</v>
      </c>
      <c r="J180" s="137" t="s">
        <v>129</v>
      </c>
      <c r="K180" s="137" t="s">
        <v>129</v>
      </c>
      <c r="L180" s="137" t="s">
        <v>129</v>
      </c>
      <c r="M180" s="141"/>
      <c r="N180" s="143"/>
    </row>
    <row r="181" ht="15.0" hidden="1" customHeight="1" outlineLevel="1">
      <c r="A181" s="219" t="s">
        <v>632</v>
      </c>
      <c r="B181" s="344">
        <v>46040.0</v>
      </c>
      <c r="C181" s="186" t="str">
        <f t="shared" si="24"/>
        <v>Sun</v>
      </c>
      <c r="D181" s="136">
        <f t="shared" si="25"/>
        <v>1</v>
      </c>
      <c r="E181" s="137" t="s">
        <v>129</v>
      </c>
      <c r="F181" s="137" t="s">
        <v>129</v>
      </c>
      <c r="G181" s="137" t="s">
        <v>129</v>
      </c>
      <c r="H181" s="137" t="s">
        <v>129</v>
      </c>
      <c r="I181" s="137" t="s">
        <v>129</v>
      </c>
      <c r="J181" s="137" t="s">
        <v>129</v>
      </c>
      <c r="K181" s="137" t="s">
        <v>129</v>
      </c>
      <c r="L181" s="137" t="s">
        <v>129</v>
      </c>
      <c r="M181" s="141"/>
      <c r="N181" s="147"/>
    </row>
    <row r="182" hidden="1" outlineLevel="1">
      <c r="B182" s="189"/>
      <c r="C182" s="191" t="s">
        <v>194</v>
      </c>
      <c r="D182" s="204">
        <f>AVERAGE(D167:D181)</f>
        <v>1</v>
      </c>
      <c r="E182" s="200"/>
      <c r="L182" s="191" t="s">
        <v>194</v>
      </c>
      <c r="M182" s="204">
        <f>SUM(M167:M181)/75*0.1</f>
        <v>0</v>
      </c>
    </row>
    <row r="183" hidden="1" collapsed="1">
      <c r="A183" s="206" t="s">
        <v>549</v>
      </c>
      <c r="B183" s="207"/>
      <c r="C183" s="207"/>
      <c r="D183" s="208"/>
      <c r="E183" s="109"/>
      <c r="F183" s="109"/>
      <c r="G183" s="110"/>
      <c r="H183" s="110"/>
      <c r="I183" s="110"/>
      <c r="J183" s="110"/>
      <c r="K183" s="110"/>
      <c r="L183" s="110"/>
      <c r="M183" s="111"/>
      <c r="N183" s="113"/>
    </row>
    <row r="184" hidden="1" outlineLevel="1">
      <c r="A184" s="115" t="s">
        <v>98</v>
      </c>
      <c r="B184" s="115" t="s">
        <v>100</v>
      </c>
      <c r="C184" s="115" t="s">
        <v>102</v>
      </c>
      <c r="D184" s="119" t="s">
        <v>103</v>
      </c>
      <c r="E184" s="275" t="s">
        <v>269</v>
      </c>
      <c r="F184" s="275" t="s">
        <v>272</v>
      </c>
      <c r="G184" s="276" t="s">
        <v>328</v>
      </c>
      <c r="H184" s="121" t="s">
        <v>107</v>
      </c>
      <c r="I184" s="121" t="s">
        <v>108</v>
      </c>
      <c r="J184" s="276" t="s">
        <v>329</v>
      </c>
      <c r="K184" s="121" t="s">
        <v>111</v>
      </c>
      <c r="L184" s="276" t="s">
        <v>274</v>
      </c>
      <c r="M184" s="115" t="s">
        <v>114</v>
      </c>
      <c r="N184" s="119" t="s">
        <v>115</v>
      </c>
    </row>
    <row r="185" hidden="1" outlineLevel="1">
      <c r="A185" s="255" t="s">
        <v>637</v>
      </c>
      <c r="B185" s="344">
        <v>46041.0</v>
      </c>
      <c r="C185" s="133" t="str">
        <f t="shared" ref="C185:C199" si="26">IF(B185="", "", TEXT(B185, "ddd"))</f>
        <v>Mon</v>
      </c>
      <c r="D185" s="136">
        <f t="shared" ref="D185:D199" si="27">IF(E185="Yes",0.05,0)
+IF(F185="Yes",0.1,0)
+IF(G185="Yes",0.15,0)
+IF(H185="Yes",0.15,0)
+IF(I185="Yes",0.05,0)
+IF(J185="Yes",0.05,0)
+IF(K185="Yes",0.15,0)
+IF(L185="Yes",0.3,0)
</f>
        <v>1</v>
      </c>
      <c r="E185" s="137" t="s">
        <v>129</v>
      </c>
      <c r="F185" s="137" t="s">
        <v>129</v>
      </c>
      <c r="G185" s="137" t="s">
        <v>129</v>
      </c>
      <c r="H185" s="137" t="s">
        <v>129</v>
      </c>
      <c r="I185" s="137" t="s">
        <v>129</v>
      </c>
      <c r="J185" s="137" t="s">
        <v>129</v>
      </c>
      <c r="K185" s="137" t="s">
        <v>129</v>
      </c>
      <c r="L185" s="137" t="s">
        <v>129</v>
      </c>
      <c r="M185" s="141"/>
      <c r="N185" s="143"/>
    </row>
    <row r="186" hidden="1" outlineLevel="1">
      <c r="A186" s="255" t="s">
        <v>639</v>
      </c>
      <c r="B186" s="344">
        <v>46041.0</v>
      </c>
      <c r="C186" s="133" t="str">
        <f t="shared" si="26"/>
        <v>Mon</v>
      </c>
      <c r="D186" s="136">
        <f t="shared" si="27"/>
        <v>1</v>
      </c>
      <c r="E186" s="137" t="s">
        <v>129</v>
      </c>
      <c r="F186" s="137" t="s">
        <v>129</v>
      </c>
      <c r="G186" s="137" t="s">
        <v>129</v>
      </c>
      <c r="H186" s="137" t="s">
        <v>129</v>
      </c>
      <c r="I186" s="137" t="s">
        <v>129</v>
      </c>
      <c r="J186" s="137" t="s">
        <v>129</v>
      </c>
      <c r="K186" s="137" t="s">
        <v>129</v>
      </c>
      <c r="L186" s="137" t="s">
        <v>129</v>
      </c>
      <c r="M186" s="141"/>
      <c r="N186" s="147"/>
    </row>
    <row r="187" hidden="1" outlineLevel="1">
      <c r="A187" s="255" t="s">
        <v>645</v>
      </c>
      <c r="B187" s="344">
        <v>46041.0</v>
      </c>
      <c r="C187" s="133" t="str">
        <f t="shared" si="26"/>
        <v>Mon</v>
      </c>
      <c r="D187" s="136">
        <f t="shared" si="27"/>
        <v>1</v>
      </c>
      <c r="E187" s="374" t="s">
        <v>129</v>
      </c>
      <c r="F187" s="375" t="s">
        <v>129</v>
      </c>
      <c r="G187" s="375" t="s">
        <v>129</v>
      </c>
      <c r="H187" s="375" t="s">
        <v>129</v>
      </c>
      <c r="I187" s="375" t="s">
        <v>129</v>
      </c>
      <c r="J187" s="375" t="s">
        <v>129</v>
      </c>
      <c r="K187" s="375" t="s">
        <v>129</v>
      </c>
      <c r="L187" s="375" t="s">
        <v>129</v>
      </c>
      <c r="M187" s="141"/>
      <c r="N187" s="147"/>
    </row>
    <row r="188" hidden="1" outlineLevel="1">
      <c r="A188" s="219" t="s">
        <v>648</v>
      </c>
      <c r="B188" s="344">
        <v>46042.0</v>
      </c>
      <c r="C188" s="133" t="str">
        <f t="shared" si="26"/>
        <v>Tue</v>
      </c>
      <c r="D188" s="136">
        <f t="shared" si="27"/>
        <v>1</v>
      </c>
      <c r="E188" s="374" t="s">
        <v>129</v>
      </c>
      <c r="F188" s="375" t="s">
        <v>129</v>
      </c>
      <c r="G188" s="375" t="s">
        <v>129</v>
      </c>
      <c r="H188" s="375" t="s">
        <v>129</v>
      </c>
      <c r="I188" s="375" t="s">
        <v>129</v>
      </c>
      <c r="J188" s="375" t="s">
        <v>129</v>
      </c>
      <c r="K188" s="375" t="s">
        <v>129</v>
      </c>
      <c r="L188" s="375" t="s">
        <v>129</v>
      </c>
      <c r="M188" s="141"/>
      <c r="N188" s="143"/>
    </row>
    <row r="189" hidden="1" outlineLevel="1">
      <c r="A189" s="219" t="s">
        <v>650</v>
      </c>
      <c r="B189" s="344">
        <v>46042.0</v>
      </c>
      <c r="C189" s="133" t="str">
        <f t="shared" si="26"/>
        <v>Tue</v>
      </c>
      <c r="D189" s="136">
        <f t="shared" si="27"/>
        <v>1</v>
      </c>
      <c r="E189" s="374" t="s">
        <v>129</v>
      </c>
      <c r="F189" s="375" t="s">
        <v>129</v>
      </c>
      <c r="G189" s="375" t="s">
        <v>129</v>
      </c>
      <c r="H189" s="375" t="s">
        <v>129</v>
      </c>
      <c r="I189" s="375" t="s">
        <v>129</v>
      </c>
      <c r="J189" s="375" t="s">
        <v>129</v>
      </c>
      <c r="K189" s="375" t="s">
        <v>129</v>
      </c>
      <c r="L189" s="375" t="s">
        <v>129</v>
      </c>
      <c r="M189" s="141"/>
      <c r="N189" s="143"/>
    </row>
    <row r="190" hidden="1" outlineLevel="1">
      <c r="A190" s="219" t="s">
        <v>662</v>
      </c>
      <c r="B190" s="344">
        <v>46042.0</v>
      </c>
      <c r="C190" s="133" t="str">
        <f t="shared" si="26"/>
        <v>Tue</v>
      </c>
      <c r="D190" s="136">
        <f t="shared" si="27"/>
        <v>1</v>
      </c>
      <c r="E190" s="374" t="s">
        <v>129</v>
      </c>
      <c r="F190" s="375" t="s">
        <v>129</v>
      </c>
      <c r="G190" s="375" t="s">
        <v>129</v>
      </c>
      <c r="H190" s="375" t="s">
        <v>129</v>
      </c>
      <c r="I190" s="375" t="s">
        <v>129</v>
      </c>
      <c r="J190" s="375" t="s">
        <v>129</v>
      </c>
      <c r="K190" s="375" t="s">
        <v>129</v>
      </c>
      <c r="L190" s="375" t="s">
        <v>129</v>
      </c>
      <c r="M190" s="141"/>
      <c r="N190" s="143"/>
    </row>
    <row r="191" hidden="1" outlineLevel="1">
      <c r="A191" s="219" t="s">
        <v>664</v>
      </c>
      <c r="B191" s="344">
        <v>46043.0</v>
      </c>
      <c r="C191" s="133" t="str">
        <f t="shared" si="26"/>
        <v>Wed</v>
      </c>
      <c r="D191" s="136">
        <f t="shared" si="27"/>
        <v>0</v>
      </c>
      <c r="E191" s="137" t="s">
        <v>174</v>
      </c>
      <c r="F191" s="137" t="s">
        <v>174</v>
      </c>
      <c r="G191" s="137" t="s">
        <v>174</v>
      </c>
      <c r="H191" s="137" t="s">
        <v>174</v>
      </c>
      <c r="I191" s="137" t="s">
        <v>174</v>
      </c>
      <c r="J191" s="137" t="s">
        <v>174</v>
      </c>
      <c r="K191" s="137" t="s">
        <v>174</v>
      </c>
      <c r="L191" s="137" t="s">
        <v>174</v>
      </c>
      <c r="M191" s="141"/>
      <c r="N191" s="143"/>
    </row>
    <row r="192" hidden="1" outlineLevel="1">
      <c r="A192" s="219" t="s">
        <v>664</v>
      </c>
      <c r="B192" s="344">
        <v>46043.0</v>
      </c>
      <c r="C192" s="133" t="str">
        <f t="shared" si="26"/>
        <v>Wed</v>
      </c>
      <c r="D192" s="136">
        <f t="shared" si="27"/>
        <v>0</v>
      </c>
      <c r="E192" s="137" t="s">
        <v>174</v>
      </c>
      <c r="F192" s="137" t="s">
        <v>174</v>
      </c>
      <c r="G192" s="137" t="s">
        <v>174</v>
      </c>
      <c r="H192" s="137" t="s">
        <v>174</v>
      </c>
      <c r="I192" s="137" t="s">
        <v>174</v>
      </c>
      <c r="J192" s="137" t="s">
        <v>174</v>
      </c>
      <c r="K192" s="137" t="s">
        <v>174</v>
      </c>
      <c r="L192" s="137" t="s">
        <v>174</v>
      </c>
      <c r="M192" s="141"/>
      <c r="N192" s="147"/>
    </row>
    <row r="193" hidden="1" outlineLevel="1">
      <c r="A193" s="219" t="s">
        <v>664</v>
      </c>
      <c r="B193" s="344">
        <v>46043.0</v>
      </c>
      <c r="C193" s="133" t="str">
        <f t="shared" si="26"/>
        <v>Wed</v>
      </c>
      <c r="D193" s="136">
        <f t="shared" si="27"/>
        <v>0</v>
      </c>
      <c r="E193" s="137" t="s">
        <v>174</v>
      </c>
      <c r="F193" s="137" t="s">
        <v>174</v>
      </c>
      <c r="G193" s="137" t="s">
        <v>174</v>
      </c>
      <c r="H193" s="137" t="s">
        <v>174</v>
      </c>
      <c r="I193" s="137" t="s">
        <v>174</v>
      </c>
      <c r="J193" s="137" t="s">
        <v>174</v>
      </c>
      <c r="K193" s="137" t="s">
        <v>174</v>
      </c>
      <c r="L193" s="137" t="s">
        <v>174</v>
      </c>
      <c r="M193" s="141"/>
      <c r="N193" s="143"/>
    </row>
    <row r="194" hidden="1" outlineLevel="1">
      <c r="A194" s="219" t="s">
        <v>664</v>
      </c>
      <c r="B194" s="344">
        <v>46044.0</v>
      </c>
      <c r="C194" s="133" t="str">
        <f t="shared" si="26"/>
        <v>Thu</v>
      </c>
      <c r="D194" s="136">
        <f t="shared" si="27"/>
        <v>1</v>
      </c>
      <c r="E194" s="137" t="s">
        <v>129</v>
      </c>
      <c r="F194" s="137" t="s">
        <v>129</v>
      </c>
      <c r="G194" s="137" t="s">
        <v>129</v>
      </c>
      <c r="H194" s="137" t="s">
        <v>129</v>
      </c>
      <c r="I194" s="137" t="s">
        <v>129</v>
      </c>
      <c r="J194" s="137" t="s">
        <v>129</v>
      </c>
      <c r="K194" s="137" t="s">
        <v>129</v>
      </c>
      <c r="L194" s="137" t="s">
        <v>129</v>
      </c>
      <c r="M194" s="141"/>
      <c r="N194" s="147" t="s">
        <v>669</v>
      </c>
    </row>
    <row r="195" hidden="1" outlineLevel="1">
      <c r="A195" s="219" t="s">
        <v>664</v>
      </c>
      <c r="B195" s="344">
        <v>46044.0</v>
      </c>
      <c r="C195" s="133" t="str">
        <f t="shared" si="26"/>
        <v>Thu</v>
      </c>
      <c r="D195" s="136">
        <f t="shared" si="27"/>
        <v>1</v>
      </c>
      <c r="E195" s="137" t="s">
        <v>129</v>
      </c>
      <c r="F195" s="137" t="s">
        <v>129</v>
      </c>
      <c r="G195" s="137" t="s">
        <v>129</v>
      </c>
      <c r="H195" s="137" t="s">
        <v>129</v>
      </c>
      <c r="I195" s="137" t="s">
        <v>129</v>
      </c>
      <c r="J195" s="137" t="s">
        <v>129</v>
      </c>
      <c r="K195" s="137" t="s">
        <v>129</v>
      </c>
      <c r="L195" s="137" t="s">
        <v>129</v>
      </c>
      <c r="M195" s="141"/>
      <c r="N195" s="147" t="s">
        <v>669</v>
      </c>
    </row>
    <row r="196" hidden="1" outlineLevel="1">
      <c r="A196" s="219" t="s">
        <v>664</v>
      </c>
      <c r="B196" s="344">
        <v>46044.0</v>
      </c>
      <c r="C196" s="133" t="str">
        <f t="shared" si="26"/>
        <v>Thu</v>
      </c>
      <c r="D196" s="136">
        <f t="shared" si="27"/>
        <v>1</v>
      </c>
      <c r="E196" s="137" t="s">
        <v>129</v>
      </c>
      <c r="F196" s="137" t="s">
        <v>129</v>
      </c>
      <c r="G196" s="137" t="s">
        <v>129</v>
      </c>
      <c r="H196" s="137" t="s">
        <v>129</v>
      </c>
      <c r="I196" s="137" t="s">
        <v>129</v>
      </c>
      <c r="J196" s="137" t="s">
        <v>129</v>
      </c>
      <c r="K196" s="137" t="s">
        <v>129</v>
      </c>
      <c r="L196" s="137" t="s">
        <v>129</v>
      </c>
      <c r="M196" s="141"/>
      <c r="N196" s="147" t="s">
        <v>669</v>
      </c>
    </row>
    <row r="197" hidden="1" outlineLevel="1">
      <c r="A197" s="219" t="s">
        <v>671</v>
      </c>
      <c r="B197" s="344">
        <v>46047.0</v>
      </c>
      <c r="C197" s="186" t="str">
        <f t="shared" si="26"/>
        <v>Sun</v>
      </c>
      <c r="D197" s="136">
        <f t="shared" si="27"/>
        <v>1</v>
      </c>
      <c r="E197" s="137" t="s">
        <v>129</v>
      </c>
      <c r="F197" s="137" t="s">
        <v>129</v>
      </c>
      <c r="G197" s="137" t="s">
        <v>129</v>
      </c>
      <c r="H197" s="137" t="s">
        <v>129</v>
      </c>
      <c r="I197" s="137" t="s">
        <v>129</v>
      </c>
      <c r="J197" s="137" t="s">
        <v>129</v>
      </c>
      <c r="K197" s="137" t="s">
        <v>129</v>
      </c>
      <c r="L197" s="137" t="s">
        <v>129</v>
      </c>
      <c r="M197" s="141"/>
      <c r="N197" s="143"/>
    </row>
    <row r="198" hidden="1" outlineLevel="1">
      <c r="A198" s="219" t="s">
        <v>673</v>
      </c>
      <c r="B198" s="344">
        <v>46047.0</v>
      </c>
      <c r="C198" s="186" t="str">
        <f t="shared" si="26"/>
        <v>Sun</v>
      </c>
      <c r="D198" s="136">
        <f t="shared" si="27"/>
        <v>1</v>
      </c>
      <c r="E198" s="137" t="s">
        <v>129</v>
      </c>
      <c r="F198" s="137" t="s">
        <v>129</v>
      </c>
      <c r="G198" s="137" t="s">
        <v>129</v>
      </c>
      <c r="H198" s="137" t="s">
        <v>129</v>
      </c>
      <c r="I198" s="137" t="s">
        <v>129</v>
      </c>
      <c r="J198" s="137" t="s">
        <v>129</v>
      </c>
      <c r="K198" s="137" t="s">
        <v>129</v>
      </c>
      <c r="L198" s="137" t="s">
        <v>129</v>
      </c>
      <c r="M198" s="141"/>
      <c r="N198" s="143"/>
    </row>
    <row r="199" ht="15.0" hidden="1" customHeight="1" outlineLevel="1">
      <c r="A199" s="219" t="s">
        <v>674</v>
      </c>
      <c r="B199" s="344">
        <v>46047.0</v>
      </c>
      <c r="C199" s="186" t="str">
        <f t="shared" si="26"/>
        <v>Sun</v>
      </c>
      <c r="D199" s="136">
        <f t="shared" si="27"/>
        <v>1</v>
      </c>
      <c r="E199" s="137" t="s">
        <v>129</v>
      </c>
      <c r="F199" s="137" t="s">
        <v>129</v>
      </c>
      <c r="G199" s="137" t="s">
        <v>129</v>
      </c>
      <c r="H199" s="137" t="s">
        <v>129</v>
      </c>
      <c r="I199" s="137" t="s">
        <v>129</v>
      </c>
      <c r="J199" s="137" t="s">
        <v>129</v>
      </c>
      <c r="K199" s="137" t="s">
        <v>129</v>
      </c>
      <c r="L199" s="137" t="s">
        <v>129</v>
      </c>
      <c r="M199" s="141"/>
      <c r="N199" s="147"/>
    </row>
    <row r="200" hidden="1" outlineLevel="1">
      <c r="B200" s="189"/>
      <c r="C200" s="191" t="s">
        <v>194</v>
      </c>
      <c r="D200" s="204">
        <f>AVERAGE(D185:D199)</f>
        <v>0.8</v>
      </c>
      <c r="E200" s="200"/>
      <c r="L200" s="191" t="s">
        <v>194</v>
      </c>
      <c r="M200" s="204">
        <f>SUM(M185:M199)/75*0.1</f>
        <v>0</v>
      </c>
    </row>
    <row r="201" hidden="1" collapsed="1">
      <c r="A201" s="206" t="s">
        <v>578</v>
      </c>
      <c r="B201" s="207"/>
      <c r="C201" s="207"/>
      <c r="D201" s="208"/>
      <c r="E201" s="109"/>
      <c r="F201" s="109"/>
      <c r="G201" s="110"/>
      <c r="H201" s="110"/>
      <c r="I201" s="110"/>
      <c r="J201" s="110"/>
      <c r="K201" s="110"/>
      <c r="L201" s="110"/>
      <c r="M201" s="111"/>
      <c r="N201" s="113"/>
    </row>
    <row r="202" hidden="1" outlineLevel="1">
      <c r="A202" s="115" t="s">
        <v>98</v>
      </c>
      <c r="B202" s="115" t="s">
        <v>100</v>
      </c>
      <c r="C202" s="115" t="s">
        <v>102</v>
      </c>
      <c r="D202" s="119" t="s">
        <v>103</v>
      </c>
      <c r="E202" s="275" t="s">
        <v>269</v>
      </c>
      <c r="F202" s="275" t="s">
        <v>272</v>
      </c>
      <c r="G202" s="276" t="s">
        <v>328</v>
      </c>
      <c r="H202" s="121" t="s">
        <v>107</v>
      </c>
      <c r="I202" s="121" t="s">
        <v>108</v>
      </c>
      <c r="J202" s="276" t="s">
        <v>329</v>
      </c>
      <c r="K202" s="121" t="s">
        <v>111</v>
      </c>
      <c r="L202" s="276" t="s">
        <v>274</v>
      </c>
      <c r="M202" s="115" t="s">
        <v>114</v>
      </c>
      <c r="N202" s="119" t="s">
        <v>115</v>
      </c>
    </row>
    <row r="203" hidden="1" outlineLevel="1">
      <c r="A203" s="255" t="s">
        <v>679</v>
      </c>
      <c r="B203" s="344">
        <v>46048.0</v>
      </c>
      <c r="C203" s="133" t="str">
        <f t="shared" ref="C203:C217" si="28">IF(B203="", "", TEXT(B203, "ddd"))</f>
        <v>Mon</v>
      </c>
      <c r="D203" s="136">
        <f t="shared" ref="D203:D217" si="29">IF(E203="Yes",0.05,0)
+IF(F203="Yes",0.1,0)
+IF(G203="Yes",0.15,0)
+IF(H203="Yes",0.15,0)
+IF(I203="Yes",0.05,0)
+IF(J203="Yes",0.05,0)
+IF(K203="Yes",0.15,0)
+IF(L203="Yes",0.3,0)
</f>
        <v>1</v>
      </c>
      <c r="E203" s="137" t="s">
        <v>129</v>
      </c>
      <c r="F203" s="137" t="s">
        <v>129</v>
      </c>
      <c r="G203" s="137" t="s">
        <v>129</v>
      </c>
      <c r="H203" s="137" t="s">
        <v>129</v>
      </c>
      <c r="I203" s="137" t="s">
        <v>129</v>
      </c>
      <c r="J203" s="137" t="s">
        <v>129</v>
      </c>
      <c r="K203" s="137" t="s">
        <v>129</v>
      </c>
      <c r="L203" s="137" t="s">
        <v>129</v>
      </c>
      <c r="M203" s="141"/>
      <c r="N203" s="143"/>
    </row>
    <row r="204" hidden="1" outlineLevel="1">
      <c r="A204" s="255" t="s">
        <v>682</v>
      </c>
      <c r="B204" s="344">
        <v>46048.0</v>
      </c>
      <c r="C204" s="133" t="str">
        <f t="shared" si="28"/>
        <v>Mon</v>
      </c>
      <c r="D204" s="136">
        <f t="shared" si="29"/>
        <v>1</v>
      </c>
      <c r="E204" s="137" t="s">
        <v>129</v>
      </c>
      <c r="F204" s="137" t="s">
        <v>129</v>
      </c>
      <c r="G204" s="137" t="s">
        <v>129</v>
      </c>
      <c r="H204" s="137" t="s">
        <v>129</v>
      </c>
      <c r="I204" s="137" t="s">
        <v>129</v>
      </c>
      <c r="J204" s="137" t="s">
        <v>129</v>
      </c>
      <c r="K204" s="137" t="s">
        <v>129</v>
      </c>
      <c r="L204" s="137" t="s">
        <v>129</v>
      </c>
      <c r="M204" s="141"/>
      <c r="N204" s="147"/>
    </row>
    <row r="205" hidden="1" outlineLevel="1">
      <c r="A205" s="255" t="s">
        <v>684</v>
      </c>
      <c r="B205" s="344">
        <v>46048.0</v>
      </c>
      <c r="C205" s="133" t="str">
        <f t="shared" si="28"/>
        <v>Mon</v>
      </c>
      <c r="D205" s="136">
        <f t="shared" si="29"/>
        <v>1</v>
      </c>
      <c r="E205" s="137" t="s">
        <v>129</v>
      </c>
      <c r="F205" s="137" t="s">
        <v>129</v>
      </c>
      <c r="G205" s="137" t="s">
        <v>129</v>
      </c>
      <c r="H205" s="137" t="s">
        <v>129</v>
      </c>
      <c r="I205" s="137" t="s">
        <v>129</v>
      </c>
      <c r="J205" s="137" t="s">
        <v>129</v>
      </c>
      <c r="K205" s="137" t="s">
        <v>129</v>
      </c>
      <c r="L205" s="137" t="s">
        <v>129</v>
      </c>
      <c r="M205" s="141"/>
      <c r="N205" s="147"/>
    </row>
    <row r="206" hidden="1" outlineLevel="1">
      <c r="A206" s="219" t="s">
        <v>686</v>
      </c>
      <c r="B206" s="344">
        <v>46049.0</v>
      </c>
      <c r="C206" s="133" t="str">
        <f t="shared" si="28"/>
        <v>Tue</v>
      </c>
      <c r="D206" s="136">
        <f t="shared" si="29"/>
        <v>1</v>
      </c>
      <c r="E206" s="137" t="s">
        <v>129</v>
      </c>
      <c r="F206" s="137" t="s">
        <v>129</v>
      </c>
      <c r="G206" s="137" t="s">
        <v>129</v>
      </c>
      <c r="H206" s="137" t="s">
        <v>129</v>
      </c>
      <c r="I206" s="137" t="s">
        <v>129</v>
      </c>
      <c r="J206" s="137" t="s">
        <v>129</v>
      </c>
      <c r="K206" s="137" t="s">
        <v>129</v>
      </c>
      <c r="L206" s="137" t="s">
        <v>129</v>
      </c>
      <c r="M206" s="141"/>
      <c r="N206" s="143"/>
    </row>
    <row r="207" hidden="1" outlineLevel="1">
      <c r="A207" s="219" t="s">
        <v>689</v>
      </c>
      <c r="B207" s="344">
        <v>46049.0</v>
      </c>
      <c r="C207" s="133" t="str">
        <f t="shared" si="28"/>
        <v>Tue</v>
      </c>
      <c r="D207" s="136">
        <f t="shared" si="29"/>
        <v>1</v>
      </c>
      <c r="E207" s="137" t="s">
        <v>129</v>
      </c>
      <c r="F207" s="137" t="s">
        <v>129</v>
      </c>
      <c r="G207" s="137" t="s">
        <v>129</v>
      </c>
      <c r="H207" s="137" t="s">
        <v>129</v>
      </c>
      <c r="I207" s="137" t="s">
        <v>129</v>
      </c>
      <c r="J207" s="137" t="s">
        <v>129</v>
      </c>
      <c r="K207" s="137" t="s">
        <v>129</v>
      </c>
      <c r="L207" s="137" t="s">
        <v>129</v>
      </c>
      <c r="M207" s="141"/>
      <c r="N207" s="143"/>
    </row>
    <row r="208" hidden="1" outlineLevel="1">
      <c r="A208" s="219" t="s">
        <v>692</v>
      </c>
      <c r="B208" s="344">
        <v>46049.0</v>
      </c>
      <c r="C208" s="133" t="str">
        <f t="shared" si="28"/>
        <v>Tue</v>
      </c>
      <c r="D208" s="136">
        <f t="shared" si="29"/>
        <v>1</v>
      </c>
      <c r="E208" s="137" t="s">
        <v>129</v>
      </c>
      <c r="F208" s="137" t="s">
        <v>129</v>
      </c>
      <c r="G208" s="137" t="s">
        <v>129</v>
      </c>
      <c r="H208" s="137" t="s">
        <v>129</v>
      </c>
      <c r="I208" s="137" t="s">
        <v>129</v>
      </c>
      <c r="J208" s="137" t="s">
        <v>129</v>
      </c>
      <c r="K208" s="137" t="s">
        <v>129</v>
      </c>
      <c r="L208" s="137" t="s">
        <v>129</v>
      </c>
      <c r="M208" s="141"/>
      <c r="N208" s="143"/>
    </row>
    <row r="209" hidden="1" outlineLevel="1">
      <c r="A209" s="255" t="s">
        <v>694</v>
      </c>
      <c r="B209" s="344">
        <v>46050.0</v>
      </c>
      <c r="C209" s="133" t="str">
        <f t="shared" si="28"/>
        <v>Wed</v>
      </c>
      <c r="D209" s="136">
        <f t="shared" si="29"/>
        <v>1</v>
      </c>
      <c r="E209" s="137" t="s">
        <v>129</v>
      </c>
      <c r="F209" s="137" t="s">
        <v>129</v>
      </c>
      <c r="G209" s="137" t="s">
        <v>129</v>
      </c>
      <c r="H209" s="137" t="s">
        <v>129</v>
      </c>
      <c r="I209" s="137" t="s">
        <v>129</v>
      </c>
      <c r="J209" s="137" t="s">
        <v>129</v>
      </c>
      <c r="K209" s="137" t="s">
        <v>129</v>
      </c>
      <c r="L209" s="137" t="s">
        <v>129</v>
      </c>
      <c r="M209" s="141"/>
      <c r="N209" s="143"/>
    </row>
    <row r="210" hidden="1" outlineLevel="1">
      <c r="A210" s="255" t="s">
        <v>699</v>
      </c>
      <c r="B210" s="344">
        <v>46050.0</v>
      </c>
      <c r="C210" s="133" t="str">
        <f t="shared" si="28"/>
        <v>Wed</v>
      </c>
      <c r="D210" s="136">
        <f t="shared" si="29"/>
        <v>1</v>
      </c>
      <c r="E210" s="137" t="s">
        <v>129</v>
      </c>
      <c r="F210" s="137" t="s">
        <v>129</v>
      </c>
      <c r="G210" s="137" t="s">
        <v>129</v>
      </c>
      <c r="H210" s="137" t="s">
        <v>129</v>
      </c>
      <c r="I210" s="137" t="s">
        <v>129</v>
      </c>
      <c r="J210" s="137" t="s">
        <v>129</v>
      </c>
      <c r="K210" s="137" t="s">
        <v>129</v>
      </c>
      <c r="L210" s="137" t="s">
        <v>129</v>
      </c>
      <c r="M210" s="141"/>
      <c r="N210" s="147"/>
    </row>
    <row r="211" hidden="1" outlineLevel="1">
      <c r="A211" s="255" t="s">
        <v>704</v>
      </c>
      <c r="B211" s="344">
        <v>46050.0</v>
      </c>
      <c r="C211" s="133" t="str">
        <f t="shared" si="28"/>
        <v>Wed</v>
      </c>
      <c r="D211" s="136">
        <f t="shared" si="29"/>
        <v>1</v>
      </c>
      <c r="E211" s="137" t="s">
        <v>129</v>
      </c>
      <c r="F211" s="137" t="s">
        <v>129</v>
      </c>
      <c r="G211" s="137" t="s">
        <v>129</v>
      </c>
      <c r="H211" s="137" t="s">
        <v>129</v>
      </c>
      <c r="I211" s="137" t="s">
        <v>129</v>
      </c>
      <c r="J211" s="137" t="s">
        <v>129</v>
      </c>
      <c r="K211" s="137" t="s">
        <v>129</v>
      </c>
      <c r="L211" s="137" t="s">
        <v>129</v>
      </c>
      <c r="M211" s="141"/>
      <c r="N211" s="143"/>
    </row>
    <row r="212" hidden="1" outlineLevel="1">
      <c r="A212" s="255" t="s">
        <v>706</v>
      </c>
      <c r="B212" s="344">
        <v>46051.0</v>
      </c>
      <c r="C212" s="133" t="str">
        <f t="shared" si="28"/>
        <v>Thu</v>
      </c>
      <c r="D212" s="136">
        <f t="shared" si="29"/>
        <v>1</v>
      </c>
      <c r="E212" s="137" t="s">
        <v>129</v>
      </c>
      <c r="F212" s="137" t="s">
        <v>129</v>
      </c>
      <c r="G212" s="137" t="s">
        <v>129</v>
      </c>
      <c r="H212" s="137" t="s">
        <v>129</v>
      </c>
      <c r="I212" s="137" t="s">
        <v>129</v>
      </c>
      <c r="J212" s="137" t="s">
        <v>129</v>
      </c>
      <c r="K212" s="137" t="s">
        <v>129</v>
      </c>
      <c r="L212" s="137" t="s">
        <v>129</v>
      </c>
      <c r="M212" s="141"/>
      <c r="N212" s="147"/>
    </row>
    <row r="213" hidden="1" outlineLevel="1">
      <c r="A213" s="255" t="s">
        <v>708</v>
      </c>
      <c r="B213" s="344">
        <v>46051.0</v>
      </c>
      <c r="C213" s="133" t="str">
        <f t="shared" si="28"/>
        <v>Thu</v>
      </c>
      <c r="D213" s="136">
        <f t="shared" si="29"/>
        <v>1</v>
      </c>
      <c r="E213" s="137" t="s">
        <v>129</v>
      </c>
      <c r="F213" s="137" t="s">
        <v>129</v>
      </c>
      <c r="G213" s="137" t="s">
        <v>129</v>
      </c>
      <c r="H213" s="137" t="s">
        <v>129</v>
      </c>
      <c r="I213" s="137" t="s">
        <v>129</v>
      </c>
      <c r="J213" s="137" t="s">
        <v>129</v>
      </c>
      <c r="K213" s="137" t="s">
        <v>129</v>
      </c>
      <c r="L213" s="137" t="s">
        <v>129</v>
      </c>
      <c r="M213" s="141"/>
      <c r="N213" s="147"/>
    </row>
    <row r="214" hidden="1" outlineLevel="1">
      <c r="A214" s="255" t="s">
        <v>710</v>
      </c>
      <c r="B214" s="344">
        <v>46051.0</v>
      </c>
      <c r="C214" s="133" t="str">
        <f t="shared" si="28"/>
        <v>Thu</v>
      </c>
      <c r="D214" s="136">
        <f t="shared" si="29"/>
        <v>1</v>
      </c>
      <c r="E214" s="137" t="s">
        <v>129</v>
      </c>
      <c r="F214" s="137" t="s">
        <v>129</v>
      </c>
      <c r="G214" s="137" t="s">
        <v>129</v>
      </c>
      <c r="H214" s="137" t="s">
        <v>129</v>
      </c>
      <c r="I214" s="137" t="s">
        <v>129</v>
      </c>
      <c r="J214" s="137" t="s">
        <v>129</v>
      </c>
      <c r="K214" s="137" t="s">
        <v>129</v>
      </c>
      <c r="L214" s="137" t="s">
        <v>129</v>
      </c>
      <c r="M214" s="141"/>
      <c r="N214" s="147"/>
    </row>
    <row r="215" hidden="1" outlineLevel="1">
      <c r="A215" s="255" t="s">
        <v>712</v>
      </c>
      <c r="B215" s="344">
        <v>46052.0</v>
      </c>
      <c r="C215" s="133" t="str">
        <f t="shared" si="28"/>
        <v>Fri</v>
      </c>
      <c r="D215" s="136">
        <f t="shared" si="29"/>
        <v>1</v>
      </c>
      <c r="E215" s="137" t="s">
        <v>129</v>
      </c>
      <c r="F215" s="137" t="s">
        <v>129</v>
      </c>
      <c r="G215" s="137" t="s">
        <v>129</v>
      </c>
      <c r="H215" s="137" t="s">
        <v>129</v>
      </c>
      <c r="I215" s="137" t="s">
        <v>129</v>
      </c>
      <c r="J215" s="137" t="s">
        <v>129</v>
      </c>
      <c r="K215" s="137" t="s">
        <v>129</v>
      </c>
      <c r="L215" s="137" t="s">
        <v>129</v>
      </c>
      <c r="M215" s="141"/>
      <c r="N215" s="143"/>
    </row>
    <row r="216" hidden="1" outlineLevel="1">
      <c r="A216" s="255" t="s">
        <v>717</v>
      </c>
      <c r="B216" s="344">
        <v>46052.0</v>
      </c>
      <c r="C216" s="133" t="str">
        <f t="shared" si="28"/>
        <v>Fri</v>
      </c>
      <c r="D216" s="136">
        <f t="shared" si="29"/>
        <v>1</v>
      </c>
      <c r="E216" s="137" t="s">
        <v>129</v>
      </c>
      <c r="F216" s="137" t="s">
        <v>129</v>
      </c>
      <c r="G216" s="137" t="s">
        <v>129</v>
      </c>
      <c r="H216" s="137" t="s">
        <v>129</v>
      </c>
      <c r="I216" s="137" t="s">
        <v>129</v>
      </c>
      <c r="J216" s="137" t="s">
        <v>129</v>
      </c>
      <c r="K216" s="137" t="s">
        <v>129</v>
      </c>
      <c r="L216" s="137" t="s">
        <v>129</v>
      </c>
      <c r="M216" s="141"/>
      <c r="N216" s="143"/>
    </row>
    <row r="217" ht="15.0" hidden="1" customHeight="1" outlineLevel="1">
      <c r="A217" s="219" t="s">
        <v>719</v>
      </c>
      <c r="B217" s="344">
        <v>46052.0</v>
      </c>
      <c r="C217" s="133" t="str">
        <f t="shared" si="28"/>
        <v>Fri</v>
      </c>
      <c r="D217" s="136">
        <f t="shared" si="29"/>
        <v>1</v>
      </c>
      <c r="E217" s="137" t="s">
        <v>129</v>
      </c>
      <c r="F217" s="137" t="s">
        <v>129</v>
      </c>
      <c r="G217" s="137" t="s">
        <v>129</v>
      </c>
      <c r="H217" s="137" t="s">
        <v>129</v>
      </c>
      <c r="I217" s="137" t="s">
        <v>129</v>
      </c>
      <c r="J217" s="137" t="s">
        <v>129</v>
      </c>
      <c r="K217" s="137" t="s">
        <v>129</v>
      </c>
      <c r="L217" s="137" t="s">
        <v>129</v>
      </c>
      <c r="M217" s="141"/>
      <c r="N217" s="147"/>
    </row>
    <row r="218" hidden="1" outlineLevel="1">
      <c r="B218" s="189"/>
      <c r="C218" s="191" t="s">
        <v>194</v>
      </c>
      <c r="D218" s="204">
        <f>AVERAGE(D203:D217)</f>
        <v>1</v>
      </c>
      <c r="E218" s="200"/>
      <c r="L218" s="191" t="s">
        <v>194</v>
      </c>
      <c r="M218" s="204">
        <f>SUM(M203:M217)/75*0.1</f>
        <v>0</v>
      </c>
    </row>
    <row r="219" hidden="1" collapsed="1">
      <c r="A219" s="206" t="s">
        <v>613</v>
      </c>
      <c r="B219" s="207"/>
      <c r="C219" s="207"/>
      <c r="D219" s="208"/>
      <c r="E219" s="109"/>
      <c r="F219" s="109"/>
      <c r="G219" s="110"/>
      <c r="H219" s="110"/>
      <c r="I219" s="110"/>
      <c r="J219" s="110"/>
      <c r="K219" s="110"/>
      <c r="L219" s="110"/>
      <c r="M219" s="111"/>
      <c r="N219" s="113"/>
    </row>
    <row r="220" hidden="1" outlineLevel="1">
      <c r="A220" s="115" t="s">
        <v>98</v>
      </c>
      <c r="B220" s="115" t="s">
        <v>100</v>
      </c>
      <c r="C220" s="115" t="s">
        <v>102</v>
      </c>
      <c r="D220" s="119" t="s">
        <v>103</v>
      </c>
      <c r="E220" s="275" t="s">
        <v>269</v>
      </c>
      <c r="F220" s="275" t="s">
        <v>272</v>
      </c>
      <c r="G220" s="276" t="s">
        <v>328</v>
      </c>
      <c r="H220" s="121" t="s">
        <v>107</v>
      </c>
      <c r="I220" s="121" t="s">
        <v>108</v>
      </c>
      <c r="J220" s="276" t="s">
        <v>329</v>
      </c>
      <c r="K220" s="121" t="s">
        <v>111</v>
      </c>
      <c r="L220" s="276" t="s">
        <v>274</v>
      </c>
      <c r="M220" s="115" t="s">
        <v>114</v>
      </c>
      <c r="N220" s="119" t="s">
        <v>115</v>
      </c>
    </row>
    <row r="221" hidden="1" outlineLevel="1">
      <c r="A221" s="303" t="s">
        <v>723</v>
      </c>
      <c r="B221" s="344">
        <v>46055.0</v>
      </c>
      <c r="C221" s="133" t="str">
        <f t="shared" ref="C221:C235" si="30">IF(B221="", "", TEXT(B221, "ddd"))</f>
        <v>Mon</v>
      </c>
      <c r="D221" s="136">
        <f t="shared" ref="D221:D235" si="31">IF(E221="Yes",0.05,0)
+IF(F221="Yes",0.1,0)
+IF(G221="Yes",0.15,0)
+IF(H221="Yes",0.15,0)
+IF(I221="Yes",0.05,0)
+IF(J221="Yes",0.05,0)
+IF(K221="Yes",0.15,0)
+IF(L221="Yes",0.3,0)
</f>
        <v>1</v>
      </c>
      <c r="E221" s="137" t="s">
        <v>129</v>
      </c>
      <c r="F221" s="137" t="s">
        <v>129</v>
      </c>
      <c r="G221" s="137" t="s">
        <v>129</v>
      </c>
      <c r="H221" s="137" t="s">
        <v>129</v>
      </c>
      <c r="I221" s="137" t="s">
        <v>129</v>
      </c>
      <c r="J221" s="137" t="s">
        <v>129</v>
      </c>
      <c r="K221" s="137" t="s">
        <v>129</v>
      </c>
      <c r="L221" s="137" t="s">
        <v>129</v>
      </c>
      <c r="M221" s="141"/>
      <c r="N221" s="143"/>
    </row>
    <row r="222" hidden="1" outlineLevel="1">
      <c r="A222" s="303" t="s">
        <v>726</v>
      </c>
      <c r="B222" s="344">
        <v>46055.0</v>
      </c>
      <c r="C222" s="133" t="str">
        <f t="shared" si="30"/>
        <v>Mon</v>
      </c>
      <c r="D222" s="136">
        <f t="shared" si="31"/>
        <v>1</v>
      </c>
      <c r="E222" s="137" t="s">
        <v>129</v>
      </c>
      <c r="F222" s="137" t="s">
        <v>129</v>
      </c>
      <c r="G222" s="137" t="s">
        <v>129</v>
      </c>
      <c r="H222" s="137" t="s">
        <v>129</v>
      </c>
      <c r="I222" s="137" t="s">
        <v>129</v>
      </c>
      <c r="J222" s="137" t="s">
        <v>129</v>
      </c>
      <c r="K222" s="137" t="s">
        <v>129</v>
      </c>
      <c r="L222" s="137" t="s">
        <v>129</v>
      </c>
      <c r="M222" s="141"/>
      <c r="N222" s="147"/>
    </row>
    <row r="223" hidden="1" outlineLevel="1">
      <c r="A223" s="303" t="s">
        <v>732</v>
      </c>
      <c r="B223" s="344">
        <v>46055.0</v>
      </c>
      <c r="C223" s="133" t="str">
        <f t="shared" si="30"/>
        <v>Mon</v>
      </c>
      <c r="D223" s="136">
        <f t="shared" si="31"/>
        <v>1</v>
      </c>
      <c r="E223" s="137" t="s">
        <v>129</v>
      </c>
      <c r="F223" s="137" t="s">
        <v>129</v>
      </c>
      <c r="G223" s="137" t="s">
        <v>129</v>
      </c>
      <c r="H223" s="137" t="s">
        <v>129</v>
      </c>
      <c r="I223" s="137" t="s">
        <v>129</v>
      </c>
      <c r="J223" s="137" t="s">
        <v>129</v>
      </c>
      <c r="K223" s="137" t="s">
        <v>129</v>
      </c>
      <c r="L223" s="137" t="s">
        <v>129</v>
      </c>
      <c r="M223" s="141"/>
      <c r="N223" s="147"/>
    </row>
    <row r="224" hidden="1" outlineLevel="1">
      <c r="A224" s="219" t="s">
        <v>734</v>
      </c>
      <c r="B224" s="344">
        <v>46056.0</v>
      </c>
      <c r="C224" s="133" t="str">
        <f t="shared" si="30"/>
        <v>Tue</v>
      </c>
      <c r="D224" s="136">
        <f t="shared" si="31"/>
        <v>1</v>
      </c>
      <c r="E224" s="137" t="s">
        <v>129</v>
      </c>
      <c r="F224" s="137" t="s">
        <v>129</v>
      </c>
      <c r="G224" s="137" t="s">
        <v>129</v>
      </c>
      <c r="H224" s="137" t="s">
        <v>129</v>
      </c>
      <c r="I224" s="137" t="s">
        <v>129</v>
      </c>
      <c r="J224" s="137" t="s">
        <v>129</v>
      </c>
      <c r="K224" s="137" t="s">
        <v>129</v>
      </c>
      <c r="L224" s="137" t="s">
        <v>129</v>
      </c>
      <c r="M224" s="141"/>
      <c r="N224" s="143"/>
    </row>
    <row r="225" hidden="1" outlineLevel="1">
      <c r="A225" s="219" t="s">
        <v>736</v>
      </c>
      <c r="B225" s="344">
        <v>46056.0</v>
      </c>
      <c r="C225" s="133" t="str">
        <f t="shared" si="30"/>
        <v>Tue</v>
      </c>
      <c r="D225" s="136">
        <f t="shared" si="31"/>
        <v>1</v>
      </c>
      <c r="E225" s="137" t="s">
        <v>129</v>
      </c>
      <c r="F225" s="137" t="s">
        <v>129</v>
      </c>
      <c r="G225" s="137" t="s">
        <v>129</v>
      </c>
      <c r="H225" s="137" t="s">
        <v>129</v>
      </c>
      <c r="I225" s="137" t="s">
        <v>129</v>
      </c>
      <c r="J225" s="137" t="s">
        <v>129</v>
      </c>
      <c r="K225" s="137" t="s">
        <v>129</v>
      </c>
      <c r="L225" s="137" t="s">
        <v>129</v>
      </c>
      <c r="M225" s="141"/>
      <c r="N225" s="143"/>
    </row>
    <row r="226" hidden="1" outlineLevel="1">
      <c r="A226" s="219" t="s">
        <v>738</v>
      </c>
      <c r="B226" s="344">
        <v>46056.0</v>
      </c>
      <c r="C226" s="133" t="str">
        <f t="shared" si="30"/>
        <v>Tue</v>
      </c>
      <c r="D226" s="136">
        <f t="shared" si="31"/>
        <v>1</v>
      </c>
      <c r="E226" s="137" t="s">
        <v>129</v>
      </c>
      <c r="F226" s="137" t="s">
        <v>129</v>
      </c>
      <c r="G226" s="137" t="s">
        <v>129</v>
      </c>
      <c r="H226" s="137" t="s">
        <v>129</v>
      </c>
      <c r="I226" s="137" t="s">
        <v>129</v>
      </c>
      <c r="J226" s="137" t="s">
        <v>129</v>
      </c>
      <c r="K226" s="137" t="s">
        <v>129</v>
      </c>
      <c r="L226" s="137" t="s">
        <v>129</v>
      </c>
      <c r="M226" s="141"/>
      <c r="N226" s="143"/>
    </row>
    <row r="227" hidden="1" outlineLevel="1">
      <c r="A227" s="303" t="s">
        <v>740</v>
      </c>
      <c r="B227" s="344">
        <v>46057.0</v>
      </c>
      <c r="C227" s="133" t="str">
        <f t="shared" si="30"/>
        <v>Wed</v>
      </c>
      <c r="D227" s="136">
        <f t="shared" si="31"/>
        <v>1</v>
      </c>
      <c r="E227" s="137" t="s">
        <v>129</v>
      </c>
      <c r="F227" s="137" t="s">
        <v>129</v>
      </c>
      <c r="G227" s="137" t="s">
        <v>129</v>
      </c>
      <c r="H227" s="137" t="s">
        <v>129</v>
      </c>
      <c r="I227" s="137" t="s">
        <v>129</v>
      </c>
      <c r="J227" s="137" t="s">
        <v>129</v>
      </c>
      <c r="K227" s="137" t="s">
        <v>129</v>
      </c>
      <c r="L227" s="137" t="s">
        <v>129</v>
      </c>
      <c r="M227" s="141"/>
      <c r="N227" s="143"/>
    </row>
    <row r="228" hidden="1" outlineLevel="1">
      <c r="A228" s="303" t="s">
        <v>742</v>
      </c>
      <c r="B228" s="344">
        <v>46057.0</v>
      </c>
      <c r="C228" s="133" t="str">
        <f t="shared" si="30"/>
        <v>Wed</v>
      </c>
      <c r="D228" s="136">
        <f t="shared" si="31"/>
        <v>1</v>
      </c>
      <c r="E228" s="137" t="s">
        <v>129</v>
      </c>
      <c r="F228" s="137" t="s">
        <v>129</v>
      </c>
      <c r="G228" s="137" t="s">
        <v>129</v>
      </c>
      <c r="H228" s="137" t="s">
        <v>129</v>
      </c>
      <c r="I228" s="137" t="s">
        <v>129</v>
      </c>
      <c r="J228" s="137" t="s">
        <v>129</v>
      </c>
      <c r="K228" s="137" t="s">
        <v>129</v>
      </c>
      <c r="L228" s="137" t="s">
        <v>129</v>
      </c>
      <c r="M228" s="141"/>
      <c r="N228" s="147"/>
    </row>
    <row r="229" hidden="1" outlineLevel="1">
      <c r="A229" s="303" t="s">
        <v>744</v>
      </c>
      <c r="B229" s="344">
        <v>46057.0</v>
      </c>
      <c r="C229" s="133" t="str">
        <f t="shared" si="30"/>
        <v>Wed</v>
      </c>
      <c r="D229" s="136">
        <f t="shared" si="31"/>
        <v>1</v>
      </c>
      <c r="E229" s="137" t="s">
        <v>129</v>
      </c>
      <c r="F229" s="137" t="s">
        <v>129</v>
      </c>
      <c r="G229" s="137" t="s">
        <v>129</v>
      </c>
      <c r="H229" s="137" t="s">
        <v>129</v>
      </c>
      <c r="I229" s="137" t="s">
        <v>129</v>
      </c>
      <c r="J229" s="137" t="s">
        <v>129</v>
      </c>
      <c r="K229" s="137" t="s">
        <v>129</v>
      </c>
      <c r="L229" s="137" t="s">
        <v>129</v>
      </c>
      <c r="M229" s="141"/>
      <c r="N229" s="143"/>
    </row>
    <row r="230" hidden="1" outlineLevel="1">
      <c r="A230" s="303" t="s">
        <v>746</v>
      </c>
      <c r="B230" s="344">
        <v>46058.0</v>
      </c>
      <c r="C230" s="133" t="str">
        <f t="shared" si="30"/>
        <v>Thu</v>
      </c>
      <c r="D230" s="136">
        <f t="shared" si="31"/>
        <v>1</v>
      </c>
      <c r="E230" s="137" t="s">
        <v>129</v>
      </c>
      <c r="F230" s="137" t="s">
        <v>129</v>
      </c>
      <c r="G230" s="137" t="s">
        <v>129</v>
      </c>
      <c r="H230" s="137" t="s">
        <v>129</v>
      </c>
      <c r="I230" s="137" t="s">
        <v>129</v>
      </c>
      <c r="J230" s="137" t="s">
        <v>129</v>
      </c>
      <c r="K230" s="137" t="s">
        <v>129</v>
      </c>
      <c r="L230" s="137" t="s">
        <v>129</v>
      </c>
      <c r="M230" s="141"/>
      <c r="N230" s="147"/>
    </row>
    <row r="231" hidden="1" outlineLevel="1">
      <c r="A231" s="255" t="s">
        <v>751</v>
      </c>
      <c r="B231" s="344">
        <v>46058.0</v>
      </c>
      <c r="C231" s="133" t="str">
        <f t="shared" si="30"/>
        <v>Thu</v>
      </c>
      <c r="D231" s="136">
        <f t="shared" si="31"/>
        <v>1</v>
      </c>
      <c r="E231" s="137" t="s">
        <v>129</v>
      </c>
      <c r="F231" s="137" t="s">
        <v>129</v>
      </c>
      <c r="G231" s="137" t="s">
        <v>129</v>
      </c>
      <c r="H231" s="137" t="s">
        <v>129</v>
      </c>
      <c r="I231" s="137" t="s">
        <v>129</v>
      </c>
      <c r="J231" s="137" t="s">
        <v>129</v>
      </c>
      <c r="K231" s="137" t="s">
        <v>129</v>
      </c>
      <c r="L231" s="137" t="s">
        <v>129</v>
      </c>
      <c r="M231" s="141"/>
      <c r="N231" s="147"/>
    </row>
    <row r="232" hidden="1" outlineLevel="1">
      <c r="A232" s="255" t="s">
        <v>754</v>
      </c>
      <c r="B232" s="344">
        <v>46058.0</v>
      </c>
      <c r="C232" s="133" t="str">
        <f t="shared" si="30"/>
        <v>Thu</v>
      </c>
      <c r="D232" s="136">
        <f t="shared" si="31"/>
        <v>1</v>
      </c>
      <c r="E232" s="137" t="s">
        <v>129</v>
      </c>
      <c r="F232" s="137" t="s">
        <v>129</v>
      </c>
      <c r="G232" s="137" t="s">
        <v>129</v>
      </c>
      <c r="H232" s="137" t="s">
        <v>129</v>
      </c>
      <c r="I232" s="137" t="s">
        <v>129</v>
      </c>
      <c r="J232" s="137" t="s">
        <v>129</v>
      </c>
      <c r="K232" s="137" t="s">
        <v>129</v>
      </c>
      <c r="L232" s="137" t="s">
        <v>129</v>
      </c>
      <c r="M232" s="141"/>
      <c r="N232" s="147"/>
    </row>
    <row r="233" hidden="1" outlineLevel="1">
      <c r="A233" s="255" t="s">
        <v>756</v>
      </c>
      <c r="B233" s="344">
        <v>46059.0</v>
      </c>
      <c r="C233" s="133" t="str">
        <f t="shared" si="30"/>
        <v>Fri</v>
      </c>
      <c r="D233" s="136">
        <f t="shared" si="31"/>
        <v>1</v>
      </c>
      <c r="E233" s="137" t="s">
        <v>129</v>
      </c>
      <c r="F233" s="137" t="s">
        <v>129</v>
      </c>
      <c r="G233" s="137" t="s">
        <v>129</v>
      </c>
      <c r="H233" s="137" t="s">
        <v>129</v>
      </c>
      <c r="I233" s="137" t="s">
        <v>129</v>
      </c>
      <c r="J233" s="137" t="s">
        <v>129</v>
      </c>
      <c r="K233" s="137" t="s">
        <v>129</v>
      </c>
      <c r="L233" s="137" t="s">
        <v>129</v>
      </c>
      <c r="M233" s="141"/>
      <c r="N233" s="143"/>
    </row>
    <row r="234" hidden="1" outlineLevel="1">
      <c r="A234" s="255" t="s">
        <v>765</v>
      </c>
      <c r="B234" s="344">
        <v>46059.0</v>
      </c>
      <c r="C234" s="133" t="str">
        <f t="shared" si="30"/>
        <v>Fri</v>
      </c>
      <c r="D234" s="136">
        <f t="shared" si="31"/>
        <v>1</v>
      </c>
      <c r="E234" s="137" t="s">
        <v>129</v>
      </c>
      <c r="F234" s="137" t="s">
        <v>129</v>
      </c>
      <c r="G234" s="137" t="s">
        <v>129</v>
      </c>
      <c r="H234" s="137" t="s">
        <v>129</v>
      </c>
      <c r="I234" s="137" t="s">
        <v>129</v>
      </c>
      <c r="J234" s="137" t="s">
        <v>129</v>
      </c>
      <c r="K234" s="137" t="s">
        <v>129</v>
      </c>
      <c r="L234" s="137" t="s">
        <v>129</v>
      </c>
      <c r="M234" s="141"/>
      <c r="N234" s="143"/>
    </row>
    <row r="235" ht="15.0" hidden="1" customHeight="1" outlineLevel="1">
      <c r="A235" s="255" t="s">
        <v>767</v>
      </c>
      <c r="B235" s="344">
        <v>46059.0</v>
      </c>
      <c r="C235" s="133" t="str">
        <f t="shared" si="30"/>
        <v>Fri</v>
      </c>
      <c r="D235" s="136">
        <f t="shared" si="31"/>
        <v>1</v>
      </c>
      <c r="E235" s="137" t="s">
        <v>129</v>
      </c>
      <c r="F235" s="137" t="s">
        <v>129</v>
      </c>
      <c r="G235" s="137" t="s">
        <v>129</v>
      </c>
      <c r="H235" s="137" t="s">
        <v>129</v>
      </c>
      <c r="I235" s="137" t="s">
        <v>129</v>
      </c>
      <c r="J235" s="137" t="s">
        <v>129</v>
      </c>
      <c r="K235" s="137" t="s">
        <v>129</v>
      </c>
      <c r="L235" s="137" t="s">
        <v>129</v>
      </c>
      <c r="M235" s="141"/>
      <c r="N235" s="147"/>
    </row>
    <row r="236" hidden="1" outlineLevel="1">
      <c r="B236" s="189"/>
      <c r="C236" s="191" t="s">
        <v>194</v>
      </c>
      <c r="D236" s="204">
        <f>AVERAGE(D221:D235)</f>
        <v>1</v>
      </c>
      <c r="E236" s="200"/>
      <c r="L236" s="191" t="s">
        <v>194</v>
      </c>
      <c r="M236" s="204">
        <f>SUM(M221:M235)/75*0.1</f>
        <v>0</v>
      </c>
    </row>
    <row r="237" hidden="1" collapsed="1">
      <c r="A237" s="206" t="s">
        <v>638</v>
      </c>
      <c r="B237" s="207"/>
      <c r="C237" s="207"/>
      <c r="D237" s="208"/>
      <c r="E237" s="109"/>
      <c r="F237" s="109"/>
      <c r="G237" s="110"/>
      <c r="H237" s="110"/>
      <c r="I237" s="110"/>
      <c r="J237" s="110"/>
      <c r="K237" s="110"/>
      <c r="L237" s="110"/>
      <c r="M237" s="111"/>
      <c r="N237" s="113"/>
    </row>
    <row r="238" hidden="1" outlineLevel="1">
      <c r="A238" s="373" t="s">
        <v>98</v>
      </c>
      <c r="B238" s="115" t="s">
        <v>100</v>
      </c>
      <c r="C238" s="115" t="s">
        <v>102</v>
      </c>
      <c r="D238" s="119" t="s">
        <v>103</v>
      </c>
      <c r="E238" s="275" t="s">
        <v>269</v>
      </c>
      <c r="F238" s="275" t="s">
        <v>272</v>
      </c>
      <c r="G238" s="276" t="s">
        <v>328</v>
      </c>
      <c r="H238" s="121" t="s">
        <v>107</v>
      </c>
      <c r="I238" s="121" t="s">
        <v>108</v>
      </c>
      <c r="J238" s="276" t="s">
        <v>329</v>
      </c>
      <c r="K238" s="121" t="s">
        <v>111</v>
      </c>
      <c r="L238" s="276" t="s">
        <v>274</v>
      </c>
      <c r="M238" s="115" t="s">
        <v>114</v>
      </c>
      <c r="N238" s="119" t="s">
        <v>115</v>
      </c>
    </row>
    <row r="239" hidden="1" outlineLevel="1">
      <c r="A239" s="378" t="s">
        <v>770</v>
      </c>
      <c r="B239" s="344">
        <v>46062.0</v>
      </c>
      <c r="C239" s="133" t="str">
        <f t="shared" ref="C239:C253" si="32">IF(B239="", "", TEXT(B239, "ddd"))</f>
        <v>Mon</v>
      </c>
      <c r="D239" s="136">
        <f t="shared" ref="D239:D253" si="33">IF(E239="Yes",0.05,0)
+IF(F239="Yes",0.1,0)
+IF(G239="Yes",0.15,0)
+IF(H239="Yes",0.15,0)
+IF(I239="Yes",0.05,0)
+IF(J239="Yes",0.05,0)
+IF(K239="Yes",0.15,0)
+IF(L239="Yes",0.3,0)
</f>
        <v>1</v>
      </c>
      <c r="E239" s="137" t="s">
        <v>129</v>
      </c>
      <c r="F239" s="137" t="s">
        <v>129</v>
      </c>
      <c r="G239" s="137" t="s">
        <v>129</v>
      </c>
      <c r="H239" s="137" t="s">
        <v>129</v>
      </c>
      <c r="I239" s="137" t="s">
        <v>129</v>
      </c>
      <c r="J239" s="137" t="s">
        <v>129</v>
      </c>
      <c r="K239" s="137" t="s">
        <v>129</v>
      </c>
      <c r="L239" s="137" t="s">
        <v>129</v>
      </c>
      <c r="M239" s="141"/>
      <c r="N239" s="143"/>
    </row>
    <row r="240" hidden="1" outlineLevel="1">
      <c r="A240" s="303" t="s">
        <v>773</v>
      </c>
      <c r="B240" s="344">
        <v>46062.0</v>
      </c>
      <c r="C240" s="133" t="str">
        <f t="shared" si="32"/>
        <v>Mon</v>
      </c>
      <c r="D240" s="136">
        <f t="shared" si="33"/>
        <v>1</v>
      </c>
      <c r="E240" s="137" t="s">
        <v>129</v>
      </c>
      <c r="F240" s="137" t="s">
        <v>129</v>
      </c>
      <c r="G240" s="137" t="s">
        <v>129</v>
      </c>
      <c r="H240" s="137" t="s">
        <v>129</v>
      </c>
      <c r="I240" s="137" t="s">
        <v>129</v>
      </c>
      <c r="J240" s="137" t="s">
        <v>129</v>
      </c>
      <c r="K240" s="137" t="s">
        <v>129</v>
      </c>
      <c r="L240" s="137" t="s">
        <v>129</v>
      </c>
      <c r="M240" s="141"/>
      <c r="N240" s="147"/>
    </row>
    <row r="241" hidden="1" outlineLevel="1">
      <c r="A241" s="303" t="s">
        <v>775</v>
      </c>
      <c r="B241" s="344">
        <v>46062.0</v>
      </c>
      <c r="C241" s="133" t="str">
        <f t="shared" si="32"/>
        <v>Mon</v>
      </c>
      <c r="D241" s="136">
        <f t="shared" si="33"/>
        <v>1</v>
      </c>
      <c r="E241" s="137" t="s">
        <v>129</v>
      </c>
      <c r="F241" s="137" t="s">
        <v>129</v>
      </c>
      <c r="G241" s="137" t="s">
        <v>129</v>
      </c>
      <c r="H241" s="137" t="s">
        <v>129</v>
      </c>
      <c r="I241" s="137" t="s">
        <v>129</v>
      </c>
      <c r="J241" s="137" t="s">
        <v>129</v>
      </c>
      <c r="K241" s="137" t="s">
        <v>129</v>
      </c>
      <c r="L241" s="137" t="s">
        <v>129</v>
      </c>
      <c r="M241" s="141"/>
      <c r="N241" s="147"/>
    </row>
    <row r="242" hidden="1" outlineLevel="1">
      <c r="A242" s="303" t="s">
        <v>778</v>
      </c>
      <c r="B242" s="344">
        <v>46063.0</v>
      </c>
      <c r="C242" s="133" t="str">
        <f t="shared" si="32"/>
        <v>Tue</v>
      </c>
      <c r="D242" s="136">
        <f t="shared" si="33"/>
        <v>1</v>
      </c>
      <c r="E242" s="137" t="s">
        <v>129</v>
      </c>
      <c r="F242" s="137" t="s">
        <v>129</v>
      </c>
      <c r="G242" s="137" t="s">
        <v>129</v>
      </c>
      <c r="H242" s="137" t="s">
        <v>129</v>
      </c>
      <c r="I242" s="137" t="s">
        <v>129</v>
      </c>
      <c r="J242" s="137" t="s">
        <v>129</v>
      </c>
      <c r="K242" s="137" t="s">
        <v>129</v>
      </c>
      <c r="L242" s="137" t="s">
        <v>129</v>
      </c>
      <c r="M242" s="141"/>
      <c r="N242" s="143"/>
    </row>
    <row r="243" hidden="1" outlineLevel="1">
      <c r="A243" s="303" t="s">
        <v>781</v>
      </c>
      <c r="B243" s="344">
        <v>46063.0</v>
      </c>
      <c r="C243" s="133" t="str">
        <f t="shared" si="32"/>
        <v>Tue</v>
      </c>
      <c r="D243" s="136">
        <f t="shared" si="33"/>
        <v>1</v>
      </c>
      <c r="E243" s="137" t="s">
        <v>129</v>
      </c>
      <c r="F243" s="137" t="s">
        <v>129</v>
      </c>
      <c r="G243" s="137" t="s">
        <v>129</v>
      </c>
      <c r="H243" s="137" t="s">
        <v>129</v>
      </c>
      <c r="I243" s="137" t="s">
        <v>129</v>
      </c>
      <c r="J243" s="137" t="s">
        <v>129</v>
      </c>
      <c r="K243" s="137" t="s">
        <v>129</v>
      </c>
      <c r="L243" s="137" t="s">
        <v>129</v>
      </c>
      <c r="M243" s="141"/>
      <c r="N243" s="143"/>
    </row>
    <row r="244" hidden="1" outlineLevel="1">
      <c r="A244" s="303" t="s">
        <v>783</v>
      </c>
      <c r="B244" s="344">
        <v>46063.0</v>
      </c>
      <c r="C244" s="133" t="str">
        <f t="shared" si="32"/>
        <v>Tue</v>
      </c>
      <c r="D244" s="136">
        <f t="shared" si="33"/>
        <v>1</v>
      </c>
      <c r="E244" s="137" t="s">
        <v>129</v>
      </c>
      <c r="F244" s="137" t="s">
        <v>129</v>
      </c>
      <c r="G244" s="137" t="s">
        <v>129</v>
      </c>
      <c r="H244" s="137" t="s">
        <v>129</v>
      </c>
      <c r="I244" s="137" t="s">
        <v>129</v>
      </c>
      <c r="J244" s="137" t="s">
        <v>129</v>
      </c>
      <c r="K244" s="137" t="s">
        <v>129</v>
      </c>
      <c r="L244" s="137" t="s">
        <v>129</v>
      </c>
      <c r="M244" s="141"/>
      <c r="N244" s="143"/>
    </row>
    <row r="245" hidden="1" outlineLevel="1">
      <c r="A245" s="379" t="s">
        <v>664</v>
      </c>
      <c r="B245" s="344">
        <v>46064.0</v>
      </c>
      <c r="C245" s="133" t="str">
        <f t="shared" si="32"/>
        <v>Wed</v>
      </c>
      <c r="D245" s="136">
        <f t="shared" si="33"/>
        <v>0</v>
      </c>
      <c r="E245" s="137" t="s">
        <v>174</v>
      </c>
      <c r="F245" s="137" t="s">
        <v>174</v>
      </c>
      <c r="G245" s="137" t="s">
        <v>174</v>
      </c>
      <c r="H245" s="137" t="s">
        <v>174</v>
      </c>
      <c r="I245" s="137" t="s">
        <v>174</v>
      </c>
      <c r="J245" s="137" t="s">
        <v>174</v>
      </c>
      <c r="K245" s="137" t="s">
        <v>174</v>
      </c>
      <c r="L245" s="137" t="s">
        <v>174</v>
      </c>
      <c r="M245" s="141"/>
      <c r="N245" s="143"/>
    </row>
    <row r="246" hidden="1" outlineLevel="1">
      <c r="A246" s="379" t="s">
        <v>664</v>
      </c>
      <c r="B246" s="344">
        <v>46064.0</v>
      </c>
      <c r="C246" s="133" t="str">
        <f t="shared" si="32"/>
        <v>Wed</v>
      </c>
      <c r="D246" s="136">
        <f t="shared" si="33"/>
        <v>0</v>
      </c>
      <c r="E246" s="137" t="s">
        <v>174</v>
      </c>
      <c r="F246" s="137" t="s">
        <v>174</v>
      </c>
      <c r="G246" s="137" t="s">
        <v>174</v>
      </c>
      <c r="H246" s="137" t="s">
        <v>174</v>
      </c>
      <c r="I246" s="137" t="s">
        <v>174</v>
      </c>
      <c r="J246" s="137" t="s">
        <v>174</v>
      </c>
      <c r="K246" s="137" t="s">
        <v>174</v>
      </c>
      <c r="L246" s="137" t="s">
        <v>174</v>
      </c>
      <c r="M246" s="141"/>
      <c r="N246" s="147"/>
    </row>
    <row r="247" hidden="1" outlineLevel="1">
      <c r="A247" s="379" t="s">
        <v>664</v>
      </c>
      <c r="B247" s="344">
        <v>46064.0</v>
      </c>
      <c r="C247" s="133" t="str">
        <f t="shared" si="32"/>
        <v>Wed</v>
      </c>
      <c r="D247" s="136">
        <f t="shared" si="33"/>
        <v>0</v>
      </c>
      <c r="E247" s="137" t="s">
        <v>174</v>
      </c>
      <c r="F247" s="137" t="s">
        <v>174</v>
      </c>
      <c r="G247" s="137" t="s">
        <v>174</v>
      </c>
      <c r="H247" s="137" t="s">
        <v>174</v>
      </c>
      <c r="I247" s="137" t="s">
        <v>174</v>
      </c>
      <c r="J247" s="137" t="s">
        <v>174</v>
      </c>
      <c r="K247" s="137" t="s">
        <v>174</v>
      </c>
      <c r="L247" s="137" t="s">
        <v>174</v>
      </c>
      <c r="M247" s="141"/>
      <c r="N247" s="143"/>
    </row>
    <row r="248" hidden="1" outlineLevel="1">
      <c r="A248" s="303" t="s">
        <v>787</v>
      </c>
      <c r="B248" s="344">
        <v>46065.0</v>
      </c>
      <c r="C248" s="133" t="str">
        <f t="shared" si="32"/>
        <v>Thu</v>
      </c>
      <c r="D248" s="136">
        <f t="shared" si="33"/>
        <v>1</v>
      </c>
      <c r="E248" s="137" t="s">
        <v>129</v>
      </c>
      <c r="F248" s="137" t="s">
        <v>129</v>
      </c>
      <c r="G248" s="137" t="s">
        <v>129</v>
      </c>
      <c r="H248" s="137" t="s">
        <v>129</v>
      </c>
      <c r="I248" s="137" t="s">
        <v>129</v>
      </c>
      <c r="J248" s="137" t="s">
        <v>129</v>
      </c>
      <c r="K248" s="137" t="s">
        <v>129</v>
      </c>
      <c r="L248" s="137" t="s">
        <v>129</v>
      </c>
      <c r="M248" s="141"/>
      <c r="N248" s="147"/>
    </row>
    <row r="249" hidden="1" outlineLevel="1">
      <c r="A249" s="303" t="s">
        <v>789</v>
      </c>
      <c r="B249" s="344">
        <v>46065.0</v>
      </c>
      <c r="C249" s="133" t="str">
        <f t="shared" si="32"/>
        <v>Thu</v>
      </c>
      <c r="D249" s="136">
        <f t="shared" si="33"/>
        <v>1</v>
      </c>
      <c r="E249" s="137" t="s">
        <v>129</v>
      </c>
      <c r="F249" s="137" t="s">
        <v>129</v>
      </c>
      <c r="G249" s="137" t="s">
        <v>129</v>
      </c>
      <c r="H249" s="137" t="s">
        <v>129</v>
      </c>
      <c r="I249" s="137" t="s">
        <v>129</v>
      </c>
      <c r="J249" s="137" t="s">
        <v>129</v>
      </c>
      <c r="K249" s="137" t="s">
        <v>129</v>
      </c>
      <c r="L249" s="137" t="s">
        <v>129</v>
      </c>
      <c r="M249" s="141"/>
      <c r="N249" s="147"/>
    </row>
    <row r="250" hidden="1" outlineLevel="1">
      <c r="A250" s="303" t="s">
        <v>793</v>
      </c>
      <c r="B250" s="344">
        <v>46065.0</v>
      </c>
      <c r="C250" s="133" t="str">
        <f t="shared" si="32"/>
        <v>Thu</v>
      </c>
      <c r="D250" s="136">
        <f t="shared" si="33"/>
        <v>1</v>
      </c>
      <c r="E250" s="137" t="s">
        <v>129</v>
      </c>
      <c r="F250" s="137" t="s">
        <v>129</v>
      </c>
      <c r="G250" s="137" t="s">
        <v>129</v>
      </c>
      <c r="H250" s="137" t="s">
        <v>129</v>
      </c>
      <c r="I250" s="137" t="s">
        <v>129</v>
      </c>
      <c r="J250" s="137" t="s">
        <v>129</v>
      </c>
      <c r="K250" s="137" t="s">
        <v>129</v>
      </c>
      <c r="L250" s="137" t="s">
        <v>129</v>
      </c>
      <c r="M250" s="141"/>
      <c r="N250" s="147"/>
    </row>
    <row r="251" hidden="1" outlineLevel="1">
      <c r="A251" s="255" t="s">
        <v>795</v>
      </c>
      <c r="B251" s="344">
        <v>46066.0</v>
      </c>
      <c r="C251" s="133" t="str">
        <f t="shared" si="32"/>
        <v>Fri</v>
      </c>
      <c r="D251" s="136">
        <f t="shared" si="33"/>
        <v>1</v>
      </c>
      <c r="E251" s="137" t="s">
        <v>129</v>
      </c>
      <c r="F251" s="137" t="s">
        <v>129</v>
      </c>
      <c r="G251" s="137" t="s">
        <v>129</v>
      </c>
      <c r="H251" s="137" t="s">
        <v>129</v>
      </c>
      <c r="I251" s="137" t="s">
        <v>129</v>
      </c>
      <c r="J251" s="137" t="s">
        <v>129</v>
      </c>
      <c r="K251" s="137" t="s">
        <v>129</v>
      </c>
      <c r="L251" s="137" t="s">
        <v>129</v>
      </c>
      <c r="M251" s="141"/>
      <c r="N251" s="143"/>
    </row>
    <row r="252" hidden="1" outlineLevel="1">
      <c r="A252" s="255" t="s">
        <v>797</v>
      </c>
      <c r="B252" s="344">
        <v>46066.0</v>
      </c>
      <c r="C252" s="133" t="str">
        <f t="shared" si="32"/>
        <v>Fri</v>
      </c>
      <c r="D252" s="136">
        <f t="shared" si="33"/>
        <v>1</v>
      </c>
      <c r="E252" s="137" t="s">
        <v>129</v>
      </c>
      <c r="F252" s="137" t="s">
        <v>129</v>
      </c>
      <c r="G252" s="137" t="s">
        <v>129</v>
      </c>
      <c r="H252" s="137" t="s">
        <v>129</v>
      </c>
      <c r="I252" s="137" t="s">
        <v>129</v>
      </c>
      <c r="J252" s="137" t="s">
        <v>129</v>
      </c>
      <c r="K252" s="137" t="s">
        <v>129</v>
      </c>
      <c r="L252" s="137" t="s">
        <v>129</v>
      </c>
      <c r="M252" s="141"/>
      <c r="N252" s="143"/>
    </row>
    <row r="253" ht="15.0" hidden="1" customHeight="1" outlineLevel="1">
      <c r="A253" s="255" t="s">
        <v>799</v>
      </c>
      <c r="B253" s="344">
        <v>46066.0</v>
      </c>
      <c r="C253" s="133" t="str">
        <f t="shared" si="32"/>
        <v>Fri</v>
      </c>
      <c r="D253" s="136">
        <f t="shared" si="33"/>
        <v>1</v>
      </c>
      <c r="E253" s="137" t="s">
        <v>129</v>
      </c>
      <c r="F253" s="137" t="s">
        <v>129</v>
      </c>
      <c r="G253" s="137" t="s">
        <v>129</v>
      </c>
      <c r="H253" s="137" t="s">
        <v>129</v>
      </c>
      <c r="I253" s="137" t="s">
        <v>129</v>
      </c>
      <c r="J253" s="137" t="s">
        <v>129</v>
      </c>
      <c r="K253" s="137" t="s">
        <v>129</v>
      </c>
      <c r="L253" s="137" t="s">
        <v>129</v>
      </c>
      <c r="M253" s="141"/>
      <c r="N253" s="147"/>
    </row>
    <row r="254" hidden="1" outlineLevel="1">
      <c r="B254" s="189"/>
      <c r="C254" s="191" t="s">
        <v>194</v>
      </c>
      <c r="D254" s="204">
        <f>AVERAGE(D239:D253)</f>
        <v>0.8</v>
      </c>
      <c r="E254" s="200"/>
      <c r="L254" s="191" t="s">
        <v>194</v>
      </c>
      <c r="M254" s="204">
        <f>SUM(M239:M253)/75*0.1</f>
        <v>0</v>
      </c>
    </row>
    <row r="255" hidden="1" collapsed="1">
      <c r="A255" s="206" t="s">
        <v>670</v>
      </c>
      <c r="B255" s="207"/>
      <c r="C255" s="207"/>
      <c r="D255" s="208"/>
      <c r="E255" s="109"/>
      <c r="F255" s="109"/>
      <c r="G255" s="110"/>
      <c r="H255" s="110"/>
      <c r="I255" s="110"/>
      <c r="J255" s="110"/>
      <c r="K255" s="110"/>
      <c r="L255" s="110"/>
      <c r="M255" s="111"/>
      <c r="N255" s="113"/>
    </row>
    <row r="256" hidden="1" outlineLevel="1">
      <c r="A256" s="373" t="s">
        <v>98</v>
      </c>
      <c r="B256" s="115" t="s">
        <v>100</v>
      </c>
      <c r="C256" s="115" t="s">
        <v>102</v>
      </c>
      <c r="D256" s="119" t="s">
        <v>103</v>
      </c>
      <c r="E256" s="275" t="s">
        <v>269</v>
      </c>
      <c r="F256" s="275" t="s">
        <v>272</v>
      </c>
      <c r="G256" s="276" t="s">
        <v>328</v>
      </c>
      <c r="H256" s="121" t="s">
        <v>107</v>
      </c>
      <c r="I256" s="121" t="s">
        <v>108</v>
      </c>
      <c r="J256" s="276" t="s">
        <v>329</v>
      </c>
      <c r="K256" s="121" t="s">
        <v>111</v>
      </c>
      <c r="L256" s="276" t="s">
        <v>274</v>
      </c>
      <c r="M256" s="115" t="s">
        <v>114</v>
      </c>
      <c r="N256" s="119" t="s">
        <v>115</v>
      </c>
    </row>
    <row r="257" hidden="1" outlineLevel="1">
      <c r="A257" s="255" t="s">
        <v>803</v>
      </c>
      <c r="B257" s="344">
        <v>46069.0</v>
      </c>
      <c r="C257" s="133" t="str">
        <f t="shared" ref="C257:C271" si="34">IF(B257="", "", TEXT(B257, "ddd"))</f>
        <v>Mon</v>
      </c>
      <c r="D257" s="136">
        <f t="shared" ref="D257:D271" si="35">IF(E257="Yes",0.05,0)
+IF(F257="Yes",0.1,0)
+IF(G257="Yes",0.15,0)
+IF(H257="Yes",0.15,0)
+IF(I257="Yes",0.05,0)
+IF(J257="Yes",0.05,0)
+IF(K257="Yes",0.15,0)
+IF(L257="Yes",0.3,0)
</f>
        <v>1</v>
      </c>
      <c r="E257" s="137" t="s">
        <v>129</v>
      </c>
      <c r="F257" s="137" t="s">
        <v>129</v>
      </c>
      <c r="G257" s="137" t="s">
        <v>129</v>
      </c>
      <c r="H257" s="137" t="s">
        <v>129</v>
      </c>
      <c r="I257" s="137" t="s">
        <v>129</v>
      </c>
      <c r="J257" s="137" t="s">
        <v>129</v>
      </c>
      <c r="K257" s="137" t="s">
        <v>129</v>
      </c>
      <c r="L257" s="137" t="s">
        <v>129</v>
      </c>
      <c r="M257" s="141"/>
      <c r="N257" s="143"/>
    </row>
    <row r="258" hidden="1" outlineLevel="1">
      <c r="A258" s="255" t="s">
        <v>807</v>
      </c>
      <c r="B258" s="344">
        <v>46069.0</v>
      </c>
      <c r="C258" s="133" t="str">
        <f t="shared" si="34"/>
        <v>Mon</v>
      </c>
      <c r="D258" s="136">
        <f t="shared" si="35"/>
        <v>1</v>
      </c>
      <c r="E258" s="137" t="s">
        <v>129</v>
      </c>
      <c r="F258" s="137" t="s">
        <v>129</v>
      </c>
      <c r="G258" s="137" t="s">
        <v>129</v>
      </c>
      <c r="H258" s="137" t="s">
        <v>129</v>
      </c>
      <c r="I258" s="137" t="s">
        <v>129</v>
      </c>
      <c r="J258" s="137" t="s">
        <v>129</v>
      </c>
      <c r="K258" s="137" t="s">
        <v>129</v>
      </c>
      <c r="L258" s="137" t="s">
        <v>129</v>
      </c>
      <c r="M258" s="141"/>
      <c r="N258" s="147"/>
    </row>
    <row r="259" hidden="1" outlineLevel="1">
      <c r="A259" s="255" t="s">
        <v>808</v>
      </c>
      <c r="B259" s="344">
        <v>46069.0</v>
      </c>
      <c r="C259" s="133" t="str">
        <f t="shared" si="34"/>
        <v>Mon</v>
      </c>
      <c r="D259" s="136">
        <f t="shared" si="35"/>
        <v>1</v>
      </c>
      <c r="E259" s="137" t="s">
        <v>129</v>
      </c>
      <c r="F259" s="137" t="s">
        <v>129</v>
      </c>
      <c r="G259" s="137" t="s">
        <v>129</v>
      </c>
      <c r="H259" s="137" t="s">
        <v>129</v>
      </c>
      <c r="I259" s="137" t="s">
        <v>129</v>
      </c>
      <c r="J259" s="137" t="s">
        <v>129</v>
      </c>
      <c r="K259" s="137" t="s">
        <v>129</v>
      </c>
      <c r="L259" s="137" t="s">
        <v>129</v>
      </c>
      <c r="M259" s="141"/>
      <c r="N259" s="147"/>
    </row>
    <row r="260" hidden="1" outlineLevel="1">
      <c r="A260" s="255" t="s">
        <v>810</v>
      </c>
      <c r="B260" s="344">
        <v>46070.0</v>
      </c>
      <c r="C260" s="133" t="str">
        <f t="shared" si="34"/>
        <v>Tue</v>
      </c>
      <c r="D260" s="136">
        <f t="shared" si="35"/>
        <v>1</v>
      </c>
      <c r="E260" s="137" t="s">
        <v>129</v>
      </c>
      <c r="F260" s="137" t="s">
        <v>129</v>
      </c>
      <c r="G260" s="137" t="s">
        <v>129</v>
      </c>
      <c r="H260" s="137" t="s">
        <v>129</v>
      </c>
      <c r="I260" s="137" t="s">
        <v>129</v>
      </c>
      <c r="J260" s="137" t="s">
        <v>129</v>
      </c>
      <c r="K260" s="137" t="s">
        <v>129</v>
      </c>
      <c r="L260" s="137" t="s">
        <v>129</v>
      </c>
      <c r="M260" s="141"/>
      <c r="N260" s="143"/>
    </row>
    <row r="261" hidden="1" outlineLevel="1">
      <c r="A261" s="255" t="s">
        <v>812</v>
      </c>
      <c r="B261" s="344">
        <v>46070.0</v>
      </c>
      <c r="C261" s="133" t="str">
        <f t="shared" si="34"/>
        <v>Tue</v>
      </c>
      <c r="D261" s="136">
        <f t="shared" si="35"/>
        <v>1</v>
      </c>
      <c r="E261" s="137" t="s">
        <v>129</v>
      </c>
      <c r="F261" s="137" t="s">
        <v>129</v>
      </c>
      <c r="G261" s="137" t="s">
        <v>129</v>
      </c>
      <c r="H261" s="137" t="s">
        <v>129</v>
      </c>
      <c r="I261" s="137" t="s">
        <v>129</v>
      </c>
      <c r="J261" s="137" t="s">
        <v>129</v>
      </c>
      <c r="K261" s="137" t="s">
        <v>129</v>
      </c>
      <c r="L261" s="137" t="s">
        <v>129</v>
      </c>
      <c r="M261" s="141"/>
      <c r="N261" s="143"/>
    </row>
    <row r="262" hidden="1" outlineLevel="1">
      <c r="A262" s="255" t="s">
        <v>814</v>
      </c>
      <c r="B262" s="344">
        <v>46070.0</v>
      </c>
      <c r="C262" s="133" t="str">
        <f t="shared" si="34"/>
        <v>Tue</v>
      </c>
      <c r="D262" s="136">
        <f t="shared" si="35"/>
        <v>1</v>
      </c>
      <c r="E262" s="137" t="s">
        <v>129</v>
      </c>
      <c r="F262" s="137" t="s">
        <v>129</v>
      </c>
      <c r="G262" s="137" t="s">
        <v>129</v>
      </c>
      <c r="H262" s="137" t="s">
        <v>129</v>
      </c>
      <c r="I262" s="137" t="s">
        <v>129</v>
      </c>
      <c r="J262" s="137" t="s">
        <v>129</v>
      </c>
      <c r="K262" s="137" t="s">
        <v>129</v>
      </c>
      <c r="L262" s="137" t="s">
        <v>129</v>
      </c>
      <c r="M262" s="141"/>
      <c r="N262" s="143"/>
    </row>
    <row r="263" hidden="1" outlineLevel="1">
      <c r="A263" s="255" t="s">
        <v>816</v>
      </c>
      <c r="B263" s="344">
        <v>46071.0</v>
      </c>
      <c r="C263" s="133" t="str">
        <f t="shared" si="34"/>
        <v>Wed</v>
      </c>
      <c r="D263" s="136">
        <f t="shared" si="35"/>
        <v>1</v>
      </c>
      <c r="E263" s="137" t="s">
        <v>129</v>
      </c>
      <c r="F263" s="137" t="s">
        <v>129</v>
      </c>
      <c r="G263" s="137" t="s">
        <v>129</v>
      </c>
      <c r="H263" s="137" t="s">
        <v>129</v>
      </c>
      <c r="I263" s="137" t="s">
        <v>129</v>
      </c>
      <c r="J263" s="137" t="s">
        <v>129</v>
      </c>
      <c r="K263" s="137" t="s">
        <v>129</v>
      </c>
      <c r="L263" s="137" t="s">
        <v>129</v>
      </c>
      <c r="M263" s="141"/>
      <c r="N263" s="143"/>
    </row>
    <row r="264" hidden="1" outlineLevel="1">
      <c r="A264" s="255" t="s">
        <v>817</v>
      </c>
      <c r="B264" s="344">
        <v>46071.0</v>
      </c>
      <c r="C264" s="133" t="str">
        <f t="shared" si="34"/>
        <v>Wed</v>
      </c>
      <c r="D264" s="136">
        <f t="shared" si="35"/>
        <v>1</v>
      </c>
      <c r="E264" s="137" t="s">
        <v>129</v>
      </c>
      <c r="F264" s="137" t="s">
        <v>129</v>
      </c>
      <c r="G264" s="137" t="s">
        <v>129</v>
      </c>
      <c r="H264" s="137" t="s">
        <v>129</v>
      </c>
      <c r="I264" s="137" t="s">
        <v>129</v>
      </c>
      <c r="J264" s="137" t="s">
        <v>129</v>
      </c>
      <c r="K264" s="137" t="s">
        <v>129</v>
      </c>
      <c r="L264" s="137" t="s">
        <v>129</v>
      </c>
      <c r="M264" s="141"/>
      <c r="N264" s="147"/>
    </row>
    <row r="265" hidden="1" outlineLevel="1">
      <c r="A265" s="255" t="s">
        <v>819</v>
      </c>
      <c r="B265" s="344">
        <v>46071.0</v>
      </c>
      <c r="C265" s="133" t="str">
        <f t="shared" si="34"/>
        <v>Wed</v>
      </c>
      <c r="D265" s="136">
        <f t="shared" si="35"/>
        <v>1</v>
      </c>
      <c r="E265" s="137" t="s">
        <v>129</v>
      </c>
      <c r="F265" s="137" t="s">
        <v>129</v>
      </c>
      <c r="G265" s="137" t="s">
        <v>129</v>
      </c>
      <c r="H265" s="137" t="s">
        <v>129</v>
      </c>
      <c r="I265" s="137" t="s">
        <v>129</v>
      </c>
      <c r="J265" s="137" t="s">
        <v>129</v>
      </c>
      <c r="K265" s="137" t="s">
        <v>129</v>
      </c>
      <c r="L265" s="137" t="s">
        <v>129</v>
      </c>
      <c r="M265" s="141"/>
      <c r="N265" s="143"/>
    </row>
    <row r="266" hidden="1" outlineLevel="1">
      <c r="A266" s="255" t="s">
        <v>821</v>
      </c>
      <c r="B266" s="344">
        <v>46072.0</v>
      </c>
      <c r="C266" s="133" t="str">
        <f t="shared" si="34"/>
        <v>Thu</v>
      </c>
      <c r="D266" s="136">
        <f t="shared" si="35"/>
        <v>1</v>
      </c>
      <c r="E266" s="137" t="s">
        <v>129</v>
      </c>
      <c r="F266" s="137" t="s">
        <v>129</v>
      </c>
      <c r="G266" s="137" t="s">
        <v>129</v>
      </c>
      <c r="H266" s="137" t="s">
        <v>129</v>
      </c>
      <c r="I266" s="137" t="s">
        <v>129</v>
      </c>
      <c r="J266" s="137" t="s">
        <v>129</v>
      </c>
      <c r="K266" s="137" t="s">
        <v>129</v>
      </c>
      <c r="L266" s="137" t="s">
        <v>129</v>
      </c>
      <c r="M266" s="141"/>
      <c r="N266" s="147"/>
    </row>
    <row r="267" hidden="1" outlineLevel="1">
      <c r="A267" s="255" t="s">
        <v>823</v>
      </c>
      <c r="B267" s="344">
        <v>46072.0</v>
      </c>
      <c r="C267" s="133" t="str">
        <f t="shared" si="34"/>
        <v>Thu</v>
      </c>
      <c r="D267" s="136">
        <f t="shared" si="35"/>
        <v>1</v>
      </c>
      <c r="E267" s="137" t="s">
        <v>129</v>
      </c>
      <c r="F267" s="137" t="s">
        <v>129</v>
      </c>
      <c r="G267" s="137" t="s">
        <v>129</v>
      </c>
      <c r="H267" s="137" t="s">
        <v>129</v>
      </c>
      <c r="I267" s="137" t="s">
        <v>129</v>
      </c>
      <c r="J267" s="137" t="s">
        <v>129</v>
      </c>
      <c r="K267" s="137" t="s">
        <v>129</v>
      </c>
      <c r="L267" s="137" t="s">
        <v>129</v>
      </c>
      <c r="M267" s="141"/>
      <c r="N267" s="147"/>
    </row>
    <row r="268" hidden="1" outlineLevel="1">
      <c r="A268" s="255" t="s">
        <v>826</v>
      </c>
      <c r="B268" s="344">
        <v>46072.0</v>
      </c>
      <c r="C268" s="133" t="str">
        <f t="shared" si="34"/>
        <v>Thu</v>
      </c>
      <c r="D268" s="136">
        <f t="shared" si="35"/>
        <v>1</v>
      </c>
      <c r="E268" s="137" t="s">
        <v>129</v>
      </c>
      <c r="F268" s="137" t="s">
        <v>129</v>
      </c>
      <c r="G268" s="137" t="s">
        <v>129</v>
      </c>
      <c r="H268" s="137" t="s">
        <v>129</v>
      </c>
      <c r="I268" s="137" t="s">
        <v>129</v>
      </c>
      <c r="J268" s="137" t="s">
        <v>129</v>
      </c>
      <c r="K268" s="137" t="s">
        <v>129</v>
      </c>
      <c r="L268" s="137" t="s">
        <v>129</v>
      </c>
      <c r="M268" s="141"/>
      <c r="N268" s="147"/>
    </row>
    <row r="269" hidden="1" outlineLevel="1">
      <c r="A269" s="255" t="s">
        <v>833</v>
      </c>
      <c r="B269" s="344">
        <v>46075.0</v>
      </c>
      <c r="C269" s="133" t="str">
        <f t="shared" si="34"/>
        <v>Sun</v>
      </c>
      <c r="D269" s="136">
        <f t="shared" si="35"/>
        <v>1</v>
      </c>
      <c r="E269" s="137" t="s">
        <v>129</v>
      </c>
      <c r="F269" s="137" t="s">
        <v>129</v>
      </c>
      <c r="G269" s="137" t="s">
        <v>129</v>
      </c>
      <c r="H269" s="137" t="s">
        <v>129</v>
      </c>
      <c r="I269" s="137" t="s">
        <v>129</v>
      </c>
      <c r="J269" s="137" t="s">
        <v>129</v>
      </c>
      <c r="K269" s="137" t="s">
        <v>129</v>
      </c>
      <c r="L269" s="137" t="s">
        <v>129</v>
      </c>
      <c r="M269" s="141"/>
      <c r="N269" s="143"/>
    </row>
    <row r="270" hidden="1" outlineLevel="1">
      <c r="A270" s="269" t="s">
        <v>834</v>
      </c>
      <c r="B270" s="344">
        <v>46075.0</v>
      </c>
      <c r="C270" s="133" t="str">
        <f t="shared" si="34"/>
        <v>Sun</v>
      </c>
      <c r="D270" s="136">
        <f t="shared" si="35"/>
        <v>1</v>
      </c>
      <c r="E270" s="137" t="s">
        <v>129</v>
      </c>
      <c r="F270" s="137" t="s">
        <v>129</v>
      </c>
      <c r="G270" s="137" t="s">
        <v>129</v>
      </c>
      <c r="H270" s="137" t="s">
        <v>129</v>
      </c>
      <c r="I270" s="137" t="s">
        <v>129</v>
      </c>
      <c r="J270" s="137" t="s">
        <v>129</v>
      </c>
      <c r="K270" s="137" t="s">
        <v>129</v>
      </c>
      <c r="L270" s="137" t="s">
        <v>129</v>
      </c>
      <c r="M270" s="141"/>
      <c r="N270" s="143"/>
    </row>
    <row r="271" ht="15.0" hidden="1" customHeight="1" outlineLevel="1">
      <c r="A271" s="255" t="s">
        <v>836</v>
      </c>
      <c r="B271" s="344">
        <v>46075.0</v>
      </c>
      <c r="C271" s="133" t="str">
        <f t="shared" si="34"/>
        <v>Sun</v>
      </c>
      <c r="D271" s="136">
        <f t="shared" si="35"/>
        <v>1</v>
      </c>
      <c r="E271" s="137" t="s">
        <v>129</v>
      </c>
      <c r="F271" s="137" t="s">
        <v>129</v>
      </c>
      <c r="G271" s="137" t="s">
        <v>129</v>
      </c>
      <c r="H271" s="137" t="s">
        <v>129</v>
      </c>
      <c r="I271" s="137" t="s">
        <v>129</v>
      </c>
      <c r="J271" s="137" t="s">
        <v>129</v>
      </c>
      <c r="K271" s="137" t="s">
        <v>129</v>
      </c>
      <c r="L271" s="137" t="s">
        <v>129</v>
      </c>
      <c r="M271" s="141"/>
      <c r="N271" s="147"/>
    </row>
    <row r="272" hidden="1" outlineLevel="1">
      <c r="B272" s="189"/>
      <c r="C272" s="191" t="s">
        <v>194</v>
      </c>
      <c r="D272" s="204">
        <f>AVERAGE(D257:D271)</f>
        <v>1</v>
      </c>
      <c r="E272" s="200"/>
      <c r="L272" s="191" t="s">
        <v>194</v>
      </c>
      <c r="M272" s="204">
        <f>SUM(M257:M271)/75*0.1</f>
        <v>0</v>
      </c>
    </row>
    <row r="273" hidden="1" collapsed="1">
      <c r="A273" s="206" t="s">
        <v>705</v>
      </c>
      <c r="B273" s="207"/>
      <c r="C273" s="207"/>
      <c r="D273" s="208"/>
      <c r="E273" s="109"/>
      <c r="F273" s="109"/>
      <c r="G273" s="110"/>
      <c r="H273" s="110"/>
      <c r="I273" s="110"/>
      <c r="J273" s="110"/>
      <c r="K273" s="110"/>
      <c r="L273" s="110"/>
      <c r="M273" s="111"/>
      <c r="N273" s="113"/>
    </row>
    <row r="274" hidden="1" outlineLevel="1">
      <c r="A274" s="373" t="s">
        <v>98</v>
      </c>
      <c r="B274" s="115" t="s">
        <v>100</v>
      </c>
      <c r="C274" s="115" t="s">
        <v>102</v>
      </c>
      <c r="D274" s="119" t="s">
        <v>103</v>
      </c>
      <c r="E274" s="275" t="s">
        <v>269</v>
      </c>
      <c r="F274" s="275" t="s">
        <v>272</v>
      </c>
      <c r="G274" s="276" t="s">
        <v>328</v>
      </c>
      <c r="H274" s="121" t="s">
        <v>107</v>
      </c>
      <c r="I274" s="121" t="s">
        <v>108</v>
      </c>
      <c r="J274" s="276" t="s">
        <v>329</v>
      </c>
      <c r="K274" s="121" t="s">
        <v>111</v>
      </c>
      <c r="L274" s="276" t="s">
        <v>274</v>
      </c>
      <c r="M274" s="115" t="s">
        <v>114</v>
      </c>
      <c r="N274" s="119" t="s">
        <v>115</v>
      </c>
    </row>
    <row r="275" hidden="1" outlineLevel="1">
      <c r="A275" s="303" t="s">
        <v>841</v>
      </c>
      <c r="B275" s="344">
        <v>46076.0</v>
      </c>
      <c r="C275" s="133" t="str">
        <f t="shared" ref="C275:C289" si="36">IF(B275="", "", TEXT(B275, "ddd"))</f>
        <v>Mon</v>
      </c>
      <c r="D275" s="136">
        <f t="shared" ref="D275:D289" si="37">IF(E275="Yes",0.05,0)
+IF(F275="Yes",0.1,0)
+IF(G275="Yes",0.15,0)
+IF(H275="Yes",0.15,0)
+IF(I275="Yes",0.05,0)
+IF(J275="Yes",0.05,0)
+IF(K275="Yes",0.15,0)
+IF(L275="Yes",0.3,0)
</f>
        <v>1</v>
      </c>
      <c r="E275" s="137" t="s">
        <v>129</v>
      </c>
      <c r="F275" s="137" t="s">
        <v>129</v>
      </c>
      <c r="G275" s="137" t="s">
        <v>129</v>
      </c>
      <c r="H275" s="137" t="s">
        <v>129</v>
      </c>
      <c r="I275" s="137" t="s">
        <v>129</v>
      </c>
      <c r="J275" s="137" t="s">
        <v>129</v>
      </c>
      <c r="K275" s="137" t="s">
        <v>129</v>
      </c>
      <c r="L275" s="137" t="s">
        <v>129</v>
      </c>
      <c r="M275" s="141"/>
      <c r="N275" s="143"/>
    </row>
    <row r="276" hidden="1" outlineLevel="1">
      <c r="A276" s="303" t="s">
        <v>845</v>
      </c>
      <c r="B276" s="344">
        <v>46076.0</v>
      </c>
      <c r="C276" s="133" t="str">
        <f t="shared" si="36"/>
        <v>Mon</v>
      </c>
      <c r="D276" s="136">
        <f t="shared" si="37"/>
        <v>1</v>
      </c>
      <c r="E276" s="137" t="s">
        <v>129</v>
      </c>
      <c r="F276" s="137" t="s">
        <v>129</v>
      </c>
      <c r="G276" s="137" t="s">
        <v>129</v>
      </c>
      <c r="H276" s="137" t="s">
        <v>129</v>
      </c>
      <c r="I276" s="137" t="s">
        <v>129</v>
      </c>
      <c r="J276" s="137" t="s">
        <v>129</v>
      </c>
      <c r="K276" s="137" t="s">
        <v>129</v>
      </c>
      <c r="L276" s="137" t="s">
        <v>129</v>
      </c>
      <c r="M276" s="141"/>
      <c r="N276" s="147"/>
    </row>
    <row r="277" hidden="1" outlineLevel="1">
      <c r="A277" s="255" t="s">
        <v>847</v>
      </c>
      <c r="B277" s="344">
        <v>46076.0</v>
      </c>
      <c r="C277" s="133" t="str">
        <f t="shared" si="36"/>
        <v>Mon</v>
      </c>
      <c r="D277" s="136">
        <f t="shared" si="37"/>
        <v>1</v>
      </c>
      <c r="E277" s="137" t="s">
        <v>129</v>
      </c>
      <c r="F277" s="137" t="s">
        <v>129</v>
      </c>
      <c r="G277" s="137" t="s">
        <v>129</v>
      </c>
      <c r="H277" s="137" t="s">
        <v>129</v>
      </c>
      <c r="I277" s="137" t="s">
        <v>129</v>
      </c>
      <c r="J277" s="137" t="s">
        <v>129</v>
      </c>
      <c r="K277" s="137" t="s">
        <v>129</v>
      </c>
      <c r="L277" s="137" t="s">
        <v>129</v>
      </c>
      <c r="M277" s="141"/>
      <c r="N277" s="147"/>
    </row>
    <row r="278" hidden="1" outlineLevel="1">
      <c r="A278" s="255" t="s">
        <v>849</v>
      </c>
      <c r="B278" s="344">
        <v>46077.0</v>
      </c>
      <c r="C278" s="133" t="str">
        <f t="shared" si="36"/>
        <v>Tue</v>
      </c>
      <c r="D278" s="136">
        <f t="shared" si="37"/>
        <v>1</v>
      </c>
      <c r="E278" s="137" t="s">
        <v>129</v>
      </c>
      <c r="F278" s="137" t="s">
        <v>129</v>
      </c>
      <c r="G278" s="137" t="s">
        <v>129</v>
      </c>
      <c r="H278" s="137" t="s">
        <v>129</v>
      </c>
      <c r="I278" s="137" t="s">
        <v>129</v>
      </c>
      <c r="J278" s="137" t="s">
        <v>129</v>
      </c>
      <c r="K278" s="137" t="s">
        <v>129</v>
      </c>
      <c r="L278" s="137" t="s">
        <v>129</v>
      </c>
      <c r="M278" s="141"/>
      <c r="N278" s="143"/>
    </row>
    <row r="279" hidden="1" outlineLevel="1">
      <c r="A279" s="255" t="s">
        <v>851</v>
      </c>
      <c r="B279" s="344">
        <v>46077.0</v>
      </c>
      <c r="C279" s="133" t="str">
        <f t="shared" si="36"/>
        <v>Tue</v>
      </c>
      <c r="D279" s="136">
        <f t="shared" si="37"/>
        <v>1</v>
      </c>
      <c r="E279" s="137" t="s">
        <v>129</v>
      </c>
      <c r="F279" s="137" t="s">
        <v>129</v>
      </c>
      <c r="G279" s="137" t="s">
        <v>129</v>
      </c>
      <c r="H279" s="137" t="s">
        <v>129</v>
      </c>
      <c r="I279" s="137" t="s">
        <v>129</v>
      </c>
      <c r="J279" s="137" t="s">
        <v>129</v>
      </c>
      <c r="K279" s="137" t="s">
        <v>129</v>
      </c>
      <c r="L279" s="137" t="s">
        <v>129</v>
      </c>
      <c r="M279" s="141"/>
      <c r="N279" s="143"/>
    </row>
    <row r="280" hidden="1" outlineLevel="1">
      <c r="A280" s="380" t="s">
        <v>854</v>
      </c>
      <c r="B280" s="344">
        <v>46077.0</v>
      </c>
      <c r="C280" s="133" t="str">
        <f t="shared" si="36"/>
        <v>Tue</v>
      </c>
      <c r="D280" s="136">
        <f t="shared" si="37"/>
        <v>1</v>
      </c>
      <c r="E280" s="137" t="s">
        <v>129</v>
      </c>
      <c r="F280" s="137" t="s">
        <v>129</v>
      </c>
      <c r="G280" s="137" t="s">
        <v>129</v>
      </c>
      <c r="H280" s="137" t="s">
        <v>129</v>
      </c>
      <c r="I280" s="137" t="s">
        <v>129</v>
      </c>
      <c r="J280" s="137" t="s">
        <v>129</v>
      </c>
      <c r="K280" s="137" t="s">
        <v>129</v>
      </c>
      <c r="L280" s="137" t="s">
        <v>129</v>
      </c>
      <c r="M280" s="141"/>
      <c r="N280" s="143"/>
    </row>
    <row r="281" hidden="1" outlineLevel="1">
      <c r="A281" s="255" t="s">
        <v>856</v>
      </c>
      <c r="B281" s="344">
        <v>46078.0</v>
      </c>
      <c r="C281" s="133" t="str">
        <f t="shared" si="36"/>
        <v>Wed</v>
      </c>
      <c r="D281" s="136">
        <f t="shared" si="37"/>
        <v>1</v>
      </c>
      <c r="E281" s="137" t="s">
        <v>129</v>
      </c>
      <c r="F281" s="137" t="s">
        <v>129</v>
      </c>
      <c r="G281" s="137" t="s">
        <v>129</v>
      </c>
      <c r="H281" s="137" t="s">
        <v>129</v>
      </c>
      <c r="I281" s="137" t="s">
        <v>129</v>
      </c>
      <c r="J281" s="137" t="s">
        <v>129</v>
      </c>
      <c r="K281" s="137" t="s">
        <v>129</v>
      </c>
      <c r="L281" s="137" t="s">
        <v>129</v>
      </c>
      <c r="M281" s="141"/>
      <c r="N281" s="143"/>
    </row>
    <row r="282" hidden="1" outlineLevel="1">
      <c r="A282" s="255" t="s">
        <v>857</v>
      </c>
      <c r="B282" s="344">
        <v>46078.0</v>
      </c>
      <c r="C282" s="133" t="str">
        <f t="shared" si="36"/>
        <v>Wed</v>
      </c>
      <c r="D282" s="136">
        <f t="shared" si="37"/>
        <v>1</v>
      </c>
      <c r="E282" s="137" t="s">
        <v>129</v>
      </c>
      <c r="F282" s="137" t="s">
        <v>129</v>
      </c>
      <c r="G282" s="137" t="s">
        <v>129</v>
      </c>
      <c r="H282" s="137" t="s">
        <v>129</v>
      </c>
      <c r="I282" s="137" t="s">
        <v>129</v>
      </c>
      <c r="J282" s="137" t="s">
        <v>129</v>
      </c>
      <c r="K282" s="137" t="s">
        <v>129</v>
      </c>
      <c r="L282" s="137" t="s">
        <v>129</v>
      </c>
      <c r="M282" s="141"/>
      <c r="N282" s="147"/>
    </row>
    <row r="283" hidden="1" outlineLevel="1">
      <c r="A283" s="255" t="s">
        <v>859</v>
      </c>
      <c r="B283" s="344">
        <v>46078.0</v>
      </c>
      <c r="C283" s="133" t="str">
        <f t="shared" si="36"/>
        <v>Wed</v>
      </c>
      <c r="D283" s="136">
        <f t="shared" si="37"/>
        <v>1</v>
      </c>
      <c r="E283" s="137" t="s">
        <v>129</v>
      </c>
      <c r="F283" s="137" t="s">
        <v>129</v>
      </c>
      <c r="G283" s="137" t="s">
        <v>129</v>
      </c>
      <c r="H283" s="137" t="s">
        <v>129</v>
      </c>
      <c r="I283" s="137" t="s">
        <v>129</v>
      </c>
      <c r="J283" s="137" t="s">
        <v>129</v>
      </c>
      <c r="K283" s="137" t="s">
        <v>129</v>
      </c>
      <c r="L283" s="137" t="s">
        <v>129</v>
      </c>
      <c r="M283" s="141"/>
      <c r="N283" s="143"/>
    </row>
    <row r="284" hidden="1" outlineLevel="1">
      <c r="A284" s="255" t="s">
        <v>861</v>
      </c>
      <c r="B284" s="344">
        <v>46079.0</v>
      </c>
      <c r="C284" s="133" t="str">
        <f t="shared" si="36"/>
        <v>Thu</v>
      </c>
      <c r="D284" s="136">
        <f t="shared" si="37"/>
        <v>1</v>
      </c>
      <c r="E284" s="137" t="s">
        <v>129</v>
      </c>
      <c r="F284" s="137" t="s">
        <v>129</v>
      </c>
      <c r="G284" s="137" t="s">
        <v>129</v>
      </c>
      <c r="H284" s="137" t="s">
        <v>129</v>
      </c>
      <c r="I284" s="137" t="s">
        <v>129</v>
      </c>
      <c r="J284" s="137" t="s">
        <v>129</v>
      </c>
      <c r="K284" s="137" t="s">
        <v>129</v>
      </c>
      <c r="L284" s="137" t="s">
        <v>129</v>
      </c>
      <c r="M284" s="141"/>
      <c r="N284" s="147"/>
    </row>
    <row r="285" hidden="1" outlineLevel="1">
      <c r="A285" s="255" t="s">
        <v>863</v>
      </c>
      <c r="B285" s="344">
        <v>46079.0</v>
      </c>
      <c r="C285" s="133" t="str">
        <f t="shared" si="36"/>
        <v>Thu</v>
      </c>
      <c r="D285" s="136">
        <f t="shared" si="37"/>
        <v>1</v>
      </c>
      <c r="E285" s="137" t="s">
        <v>129</v>
      </c>
      <c r="F285" s="137" t="s">
        <v>129</v>
      </c>
      <c r="G285" s="137" t="s">
        <v>129</v>
      </c>
      <c r="H285" s="137" t="s">
        <v>129</v>
      </c>
      <c r="I285" s="137" t="s">
        <v>129</v>
      </c>
      <c r="J285" s="137" t="s">
        <v>129</v>
      </c>
      <c r="K285" s="137" t="s">
        <v>129</v>
      </c>
      <c r="L285" s="137" t="s">
        <v>129</v>
      </c>
      <c r="M285" s="141"/>
      <c r="N285" s="147"/>
    </row>
    <row r="286" hidden="1" outlineLevel="1">
      <c r="A286" s="255" t="s">
        <v>865</v>
      </c>
      <c r="B286" s="344">
        <v>46079.0</v>
      </c>
      <c r="C286" s="133" t="str">
        <f t="shared" si="36"/>
        <v>Thu</v>
      </c>
      <c r="D286" s="136">
        <f t="shared" si="37"/>
        <v>1</v>
      </c>
      <c r="E286" s="137" t="s">
        <v>129</v>
      </c>
      <c r="F286" s="137" t="s">
        <v>129</v>
      </c>
      <c r="G286" s="137" t="s">
        <v>129</v>
      </c>
      <c r="H286" s="137" t="s">
        <v>129</v>
      </c>
      <c r="I286" s="137" t="s">
        <v>129</v>
      </c>
      <c r="J286" s="137" t="s">
        <v>129</v>
      </c>
      <c r="K286" s="137" t="s">
        <v>129</v>
      </c>
      <c r="L286" s="137" t="s">
        <v>129</v>
      </c>
      <c r="M286" s="141"/>
      <c r="N286" s="147"/>
    </row>
    <row r="287" hidden="1" outlineLevel="1">
      <c r="A287" s="255" t="s">
        <v>867</v>
      </c>
      <c r="B287" s="344">
        <v>46080.0</v>
      </c>
      <c r="C287" s="133" t="str">
        <f t="shared" si="36"/>
        <v>Fri</v>
      </c>
      <c r="D287" s="136">
        <f t="shared" si="37"/>
        <v>1</v>
      </c>
      <c r="E287" s="137" t="s">
        <v>129</v>
      </c>
      <c r="F287" s="137" t="s">
        <v>129</v>
      </c>
      <c r="G287" s="137" t="s">
        <v>129</v>
      </c>
      <c r="H287" s="137" t="s">
        <v>129</v>
      </c>
      <c r="I287" s="137" t="s">
        <v>129</v>
      </c>
      <c r="J287" s="137" t="s">
        <v>129</v>
      </c>
      <c r="K287" s="137" t="s">
        <v>129</v>
      </c>
      <c r="L287" s="137" t="s">
        <v>129</v>
      </c>
      <c r="M287" s="141"/>
      <c r="N287" s="143"/>
    </row>
    <row r="288" hidden="1" outlineLevel="1">
      <c r="A288" s="255" t="s">
        <v>869</v>
      </c>
      <c r="B288" s="344">
        <v>46080.0</v>
      </c>
      <c r="C288" s="133" t="str">
        <f t="shared" si="36"/>
        <v>Fri</v>
      </c>
      <c r="D288" s="136">
        <f t="shared" si="37"/>
        <v>1</v>
      </c>
      <c r="E288" s="137" t="s">
        <v>129</v>
      </c>
      <c r="F288" s="137" t="s">
        <v>129</v>
      </c>
      <c r="G288" s="137" t="s">
        <v>129</v>
      </c>
      <c r="H288" s="137" t="s">
        <v>129</v>
      </c>
      <c r="I288" s="137" t="s">
        <v>129</v>
      </c>
      <c r="J288" s="137" t="s">
        <v>129</v>
      </c>
      <c r="K288" s="137" t="s">
        <v>129</v>
      </c>
      <c r="L288" s="137" t="s">
        <v>129</v>
      </c>
      <c r="M288" s="141"/>
      <c r="N288" s="143"/>
    </row>
    <row r="289" ht="15.0" hidden="1" customHeight="1" outlineLevel="1">
      <c r="A289" s="255" t="s">
        <v>872</v>
      </c>
      <c r="B289" s="344">
        <v>46080.0</v>
      </c>
      <c r="C289" s="133" t="str">
        <f t="shared" si="36"/>
        <v>Fri</v>
      </c>
      <c r="D289" s="136">
        <f t="shared" si="37"/>
        <v>1</v>
      </c>
      <c r="E289" s="137" t="s">
        <v>129</v>
      </c>
      <c r="F289" s="137" t="s">
        <v>129</v>
      </c>
      <c r="G289" s="137" t="s">
        <v>129</v>
      </c>
      <c r="H289" s="137" t="s">
        <v>129</v>
      </c>
      <c r="I289" s="137" t="s">
        <v>129</v>
      </c>
      <c r="J289" s="137" t="s">
        <v>129</v>
      </c>
      <c r="K289" s="137" t="s">
        <v>129</v>
      </c>
      <c r="L289" s="137" t="s">
        <v>129</v>
      </c>
      <c r="M289" s="141"/>
      <c r="N289" s="147"/>
    </row>
    <row r="290" hidden="1" outlineLevel="1">
      <c r="B290" s="189"/>
      <c r="C290" s="191" t="s">
        <v>194</v>
      </c>
      <c r="D290" s="204">
        <f>AVERAGE(D275:D289)</f>
        <v>1</v>
      </c>
      <c r="E290" s="200"/>
      <c r="L290" s="191" t="s">
        <v>194</v>
      </c>
      <c r="M290" s="204">
        <f>SUM(M275:M289)/75*0.1</f>
        <v>0</v>
      </c>
    </row>
    <row r="291" hidden="1" collapsed="1">
      <c r="A291" s="206" t="s">
        <v>731</v>
      </c>
      <c r="B291" s="207"/>
      <c r="C291" s="207"/>
      <c r="D291" s="208"/>
      <c r="E291" s="109"/>
      <c r="F291" s="109"/>
      <c r="G291" s="110"/>
      <c r="H291" s="110"/>
      <c r="I291" s="110"/>
      <c r="J291" s="110"/>
      <c r="K291" s="110"/>
      <c r="L291" s="110"/>
      <c r="M291" s="111"/>
      <c r="N291" s="113"/>
    </row>
    <row r="292" hidden="1" outlineLevel="1">
      <c r="A292" s="373" t="s">
        <v>98</v>
      </c>
      <c r="B292" s="115" t="s">
        <v>100</v>
      </c>
      <c r="C292" s="115" t="s">
        <v>102</v>
      </c>
      <c r="D292" s="119" t="s">
        <v>103</v>
      </c>
      <c r="E292" s="275" t="s">
        <v>269</v>
      </c>
      <c r="F292" s="275" t="s">
        <v>272</v>
      </c>
      <c r="G292" s="276" t="s">
        <v>328</v>
      </c>
      <c r="H292" s="121" t="s">
        <v>107</v>
      </c>
      <c r="I292" s="121" t="s">
        <v>108</v>
      </c>
      <c r="J292" s="276" t="s">
        <v>329</v>
      </c>
      <c r="K292" s="121" t="s">
        <v>111</v>
      </c>
      <c r="L292" s="276" t="s">
        <v>274</v>
      </c>
      <c r="M292" s="115" t="s">
        <v>114</v>
      </c>
      <c r="N292" s="119" t="s">
        <v>115</v>
      </c>
    </row>
    <row r="293" hidden="1" outlineLevel="1">
      <c r="A293" s="255" t="s">
        <v>878</v>
      </c>
      <c r="B293" s="344">
        <v>46083.0</v>
      </c>
      <c r="C293" s="133" t="str">
        <f t="shared" ref="C293:C307" si="38">IF(B293="", "", TEXT(B293, "ddd"))</f>
        <v>Mon</v>
      </c>
      <c r="D293" s="136">
        <f t="shared" ref="D293:D307" si="39">IF(E293="Yes",0.05,0)
+IF(F293="Yes",0.1,0)
+IF(G293="Yes",0.15,0)
+IF(H293="Yes",0.15,0)
+IF(I293="Yes",0.05,0)
+IF(J293="Yes",0.05,0)
+IF(K293="Yes",0.15,0)
+IF(L293="Yes",0.3,0)
</f>
        <v>1</v>
      </c>
      <c r="E293" s="137" t="s">
        <v>129</v>
      </c>
      <c r="F293" s="137" t="s">
        <v>129</v>
      </c>
      <c r="G293" s="137" t="s">
        <v>129</v>
      </c>
      <c r="H293" s="137" t="s">
        <v>129</v>
      </c>
      <c r="I293" s="137" t="s">
        <v>129</v>
      </c>
      <c r="J293" s="137" t="s">
        <v>129</v>
      </c>
      <c r="K293" s="137" t="s">
        <v>129</v>
      </c>
      <c r="L293" s="137" t="s">
        <v>129</v>
      </c>
      <c r="M293" s="141"/>
      <c r="N293" s="143"/>
    </row>
    <row r="294" hidden="1" outlineLevel="1">
      <c r="A294" s="255" t="s">
        <v>881</v>
      </c>
      <c r="B294" s="344">
        <v>46083.0</v>
      </c>
      <c r="C294" s="133" t="str">
        <f t="shared" si="38"/>
        <v>Mon</v>
      </c>
      <c r="D294" s="136">
        <f t="shared" si="39"/>
        <v>1</v>
      </c>
      <c r="E294" s="137" t="s">
        <v>129</v>
      </c>
      <c r="F294" s="137" t="s">
        <v>129</v>
      </c>
      <c r="G294" s="137" t="s">
        <v>129</v>
      </c>
      <c r="H294" s="137" t="s">
        <v>129</v>
      </c>
      <c r="I294" s="137" t="s">
        <v>129</v>
      </c>
      <c r="J294" s="137" t="s">
        <v>129</v>
      </c>
      <c r="K294" s="137" t="s">
        <v>129</v>
      </c>
      <c r="L294" s="137" t="s">
        <v>129</v>
      </c>
      <c r="M294" s="141"/>
      <c r="N294" s="147"/>
    </row>
    <row r="295" hidden="1" outlineLevel="1">
      <c r="A295" s="255" t="s">
        <v>883</v>
      </c>
      <c r="B295" s="344">
        <v>46083.0</v>
      </c>
      <c r="C295" s="133" t="str">
        <f t="shared" si="38"/>
        <v>Mon</v>
      </c>
      <c r="D295" s="136">
        <f t="shared" si="39"/>
        <v>1</v>
      </c>
      <c r="E295" s="137" t="s">
        <v>129</v>
      </c>
      <c r="F295" s="137" t="s">
        <v>129</v>
      </c>
      <c r="G295" s="137" t="s">
        <v>129</v>
      </c>
      <c r="H295" s="137" t="s">
        <v>129</v>
      </c>
      <c r="I295" s="137" t="s">
        <v>129</v>
      </c>
      <c r="J295" s="137" t="s">
        <v>129</v>
      </c>
      <c r="K295" s="137" t="s">
        <v>129</v>
      </c>
      <c r="L295" s="137" t="s">
        <v>129</v>
      </c>
      <c r="M295" s="141"/>
      <c r="N295" s="147"/>
    </row>
    <row r="296" hidden="1" outlineLevel="1">
      <c r="A296" s="303" t="s">
        <v>885</v>
      </c>
      <c r="B296" s="344">
        <v>46084.0</v>
      </c>
      <c r="C296" s="133" t="str">
        <f t="shared" si="38"/>
        <v>Tue</v>
      </c>
      <c r="D296" s="136">
        <f t="shared" si="39"/>
        <v>1</v>
      </c>
      <c r="E296" s="137" t="s">
        <v>129</v>
      </c>
      <c r="F296" s="137" t="s">
        <v>129</v>
      </c>
      <c r="G296" s="137" t="s">
        <v>129</v>
      </c>
      <c r="H296" s="137" t="s">
        <v>129</v>
      </c>
      <c r="I296" s="137" t="s">
        <v>129</v>
      </c>
      <c r="J296" s="137" t="s">
        <v>129</v>
      </c>
      <c r="K296" s="137" t="s">
        <v>129</v>
      </c>
      <c r="L296" s="137" t="s">
        <v>129</v>
      </c>
      <c r="M296" s="141"/>
      <c r="N296" s="143"/>
    </row>
    <row r="297" hidden="1" outlineLevel="1">
      <c r="A297" s="303" t="s">
        <v>887</v>
      </c>
      <c r="B297" s="344">
        <v>46084.0</v>
      </c>
      <c r="C297" s="133" t="str">
        <f t="shared" si="38"/>
        <v>Tue</v>
      </c>
      <c r="D297" s="136">
        <f t="shared" si="39"/>
        <v>1</v>
      </c>
      <c r="E297" s="137" t="s">
        <v>129</v>
      </c>
      <c r="F297" s="137" t="s">
        <v>129</v>
      </c>
      <c r="G297" s="137" t="s">
        <v>129</v>
      </c>
      <c r="H297" s="137" t="s">
        <v>129</v>
      </c>
      <c r="I297" s="137" t="s">
        <v>129</v>
      </c>
      <c r="J297" s="137" t="s">
        <v>129</v>
      </c>
      <c r="K297" s="137" t="s">
        <v>129</v>
      </c>
      <c r="L297" s="137" t="s">
        <v>129</v>
      </c>
      <c r="M297" s="141"/>
      <c r="N297" s="143"/>
    </row>
    <row r="298" hidden="1" outlineLevel="1">
      <c r="A298" s="303" t="s">
        <v>892</v>
      </c>
      <c r="B298" s="344">
        <v>46084.0</v>
      </c>
      <c r="C298" s="133" t="str">
        <f t="shared" si="38"/>
        <v>Tue</v>
      </c>
      <c r="D298" s="136">
        <f t="shared" si="39"/>
        <v>1</v>
      </c>
      <c r="E298" s="137" t="s">
        <v>129</v>
      </c>
      <c r="F298" s="137" t="s">
        <v>129</v>
      </c>
      <c r="G298" s="137" t="s">
        <v>129</v>
      </c>
      <c r="H298" s="137" t="s">
        <v>129</v>
      </c>
      <c r="I298" s="137" t="s">
        <v>129</v>
      </c>
      <c r="J298" s="137" t="s">
        <v>129</v>
      </c>
      <c r="K298" s="137" t="s">
        <v>129</v>
      </c>
      <c r="L298" s="137" t="s">
        <v>129</v>
      </c>
      <c r="M298" s="141"/>
      <c r="N298" s="143"/>
    </row>
    <row r="299" hidden="1" outlineLevel="1">
      <c r="A299" s="219" t="s">
        <v>894</v>
      </c>
      <c r="B299" s="344">
        <v>46085.0</v>
      </c>
      <c r="C299" s="133" t="str">
        <f t="shared" si="38"/>
        <v>Wed</v>
      </c>
      <c r="D299" s="136">
        <f t="shared" si="39"/>
        <v>1</v>
      </c>
      <c r="E299" s="137" t="s">
        <v>129</v>
      </c>
      <c r="F299" s="137" t="s">
        <v>129</v>
      </c>
      <c r="G299" s="137" t="s">
        <v>129</v>
      </c>
      <c r="H299" s="137" t="s">
        <v>129</v>
      </c>
      <c r="I299" s="137" t="s">
        <v>129</v>
      </c>
      <c r="J299" s="137" t="s">
        <v>129</v>
      </c>
      <c r="K299" s="137" t="s">
        <v>129</v>
      </c>
      <c r="L299" s="137" t="s">
        <v>129</v>
      </c>
      <c r="M299" s="141"/>
      <c r="N299" s="143"/>
    </row>
    <row r="300" hidden="1" outlineLevel="1">
      <c r="A300" s="219" t="s">
        <v>896</v>
      </c>
      <c r="B300" s="344">
        <v>46085.0</v>
      </c>
      <c r="C300" s="133" t="str">
        <f t="shared" si="38"/>
        <v>Wed</v>
      </c>
      <c r="D300" s="136">
        <f t="shared" si="39"/>
        <v>1</v>
      </c>
      <c r="E300" s="137" t="s">
        <v>129</v>
      </c>
      <c r="F300" s="137" t="s">
        <v>129</v>
      </c>
      <c r="G300" s="137" t="s">
        <v>129</v>
      </c>
      <c r="H300" s="137" t="s">
        <v>129</v>
      </c>
      <c r="I300" s="137" t="s">
        <v>129</v>
      </c>
      <c r="J300" s="137" t="s">
        <v>129</v>
      </c>
      <c r="K300" s="137" t="s">
        <v>129</v>
      </c>
      <c r="L300" s="137" t="s">
        <v>129</v>
      </c>
      <c r="M300" s="141"/>
      <c r="N300" s="147"/>
    </row>
    <row r="301" hidden="1" outlineLevel="1">
      <c r="A301" s="219" t="s">
        <v>901</v>
      </c>
      <c r="B301" s="344">
        <v>46085.0</v>
      </c>
      <c r="C301" s="133" t="str">
        <f t="shared" si="38"/>
        <v>Wed</v>
      </c>
      <c r="D301" s="136">
        <f t="shared" si="39"/>
        <v>1</v>
      </c>
      <c r="E301" s="137" t="s">
        <v>129</v>
      </c>
      <c r="F301" s="137" t="s">
        <v>129</v>
      </c>
      <c r="G301" s="137" t="s">
        <v>129</v>
      </c>
      <c r="H301" s="137" t="s">
        <v>129</v>
      </c>
      <c r="I301" s="137" t="s">
        <v>129</v>
      </c>
      <c r="J301" s="137" t="s">
        <v>129</v>
      </c>
      <c r="K301" s="137" t="s">
        <v>129</v>
      </c>
      <c r="L301" s="137" t="s">
        <v>129</v>
      </c>
      <c r="M301" s="141"/>
      <c r="N301" s="143"/>
    </row>
    <row r="302" hidden="1" outlineLevel="1">
      <c r="A302" s="303" t="s">
        <v>903</v>
      </c>
      <c r="B302" s="344">
        <v>46086.0</v>
      </c>
      <c r="C302" s="133" t="str">
        <f t="shared" si="38"/>
        <v>Thu</v>
      </c>
      <c r="D302" s="136">
        <f t="shared" si="39"/>
        <v>1</v>
      </c>
      <c r="E302" s="137" t="s">
        <v>129</v>
      </c>
      <c r="F302" s="137" t="s">
        <v>129</v>
      </c>
      <c r="G302" s="137" t="s">
        <v>129</v>
      </c>
      <c r="H302" s="137" t="s">
        <v>129</v>
      </c>
      <c r="I302" s="137" t="s">
        <v>129</v>
      </c>
      <c r="J302" s="137" t="s">
        <v>129</v>
      </c>
      <c r="K302" s="137" t="s">
        <v>129</v>
      </c>
      <c r="L302" s="137" t="s">
        <v>129</v>
      </c>
      <c r="M302" s="141"/>
      <c r="N302" s="147"/>
    </row>
    <row r="303" hidden="1" outlineLevel="1">
      <c r="A303" s="303" t="s">
        <v>905</v>
      </c>
      <c r="B303" s="344">
        <v>46086.0</v>
      </c>
      <c r="C303" s="133" t="str">
        <f t="shared" si="38"/>
        <v>Thu</v>
      </c>
      <c r="D303" s="136">
        <f t="shared" si="39"/>
        <v>1</v>
      </c>
      <c r="E303" s="137" t="s">
        <v>129</v>
      </c>
      <c r="F303" s="137" t="s">
        <v>129</v>
      </c>
      <c r="G303" s="137" t="s">
        <v>129</v>
      </c>
      <c r="H303" s="137" t="s">
        <v>129</v>
      </c>
      <c r="I303" s="137" t="s">
        <v>129</v>
      </c>
      <c r="J303" s="137" t="s">
        <v>129</v>
      </c>
      <c r="K303" s="137" t="s">
        <v>129</v>
      </c>
      <c r="L303" s="137" t="s">
        <v>129</v>
      </c>
      <c r="M303" s="141"/>
      <c r="N303" s="147"/>
    </row>
    <row r="304" hidden="1" outlineLevel="1">
      <c r="A304" s="303" t="s">
        <v>907</v>
      </c>
      <c r="B304" s="344">
        <v>46086.0</v>
      </c>
      <c r="C304" s="133" t="str">
        <f t="shared" si="38"/>
        <v>Thu</v>
      </c>
      <c r="D304" s="136">
        <f t="shared" si="39"/>
        <v>1</v>
      </c>
      <c r="E304" s="137" t="s">
        <v>129</v>
      </c>
      <c r="F304" s="137" t="s">
        <v>129</v>
      </c>
      <c r="G304" s="137" t="s">
        <v>129</v>
      </c>
      <c r="H304" s="137" t="s">
        <v>129</v>
      </c>
      <c r="I304" s="137" t="s">
        <v>129</v>
      </c>
      <c r="J304" s="137" t="s">
        <v>129</v>
      </c>
      <c r="K304" s="137" t="s">
        <v>129</v>
      </c>
      <c r="L304" s="137" t="s">
        <v>129</v>
      </c>
      <c r="M304" s="141"/>
      <c r="N304" s="147"/>
    </row>
    <row r="305" hidden="1" outlineLevel="1">
      <c r="A305" s="219" t="s">
        <v>911</v>
      </c>
      <c r="B305" s="344">
        <v>46089.0</v>
      </c>
      <c r="C305" s="133" t="str">
        <f t="shared" si="38"/>
        <v>Sun</v>
      </c>
      <c r="D305" s="136">
        <f t="shared" si="39"/>
        <v>1</v>
      </c>
      <c r="E305" s="137" t="s">
        <v>129</v>
      </c>
      <c r="F305" s="137" t="s">
        <v>129</v>
      </c>
      <c r="G305" s="137" t="s">
        <v>129</v>
      </c>
      <c r="H305" s="137" t="s">
        <v>129</v>
      </c>
      <c r="I305" s="137" t="s">
        <v>129</v>
      </c>
      <c r="J305" s="137" t="s">
        <v>129</v>
      </c>
      <c r="K305" s="137" t="s">
        <v>129</v>
      </c>
      <c r="L305" s="137" t="s">
        <v>129</v>
      </c>
      <c r="M305" s="141"/>
      <c r="N305" s="143"/>
    </row>
    <row r="306" hidden="1" outlineLevel="1">
      <c r="A306" s="219" t="s">
        <v>913</v>
      </c>
      <c r="B306" s="344">
        <v>46089.0</v>
      </c>
      <c r="C306" s="133" t="str">
        <f t="shared" si="38"/>
        <v>Sun</v>
      </c>
      <c r="D306" s="136">
        <f t="shared" si="39"/>
        <v>1</v>
      </c>
      <c r="E306" s="137" t="s">
        <v>129</v>
      </c>
      <c r="F306" s="137" t="s">
        <v>129</v>
      </c>
      <c r="G306" s="137" t="s">
        <v>129</v>
      </c>
      <c r="H306" s="137" t="s">
        <v>129</v>
      </c>
      <c r="I306" s="137" t="s">
        <v>129</v>
      </c>
      <c r="J306" s="137" t="s">
        <v>129</v>
      </c>
      <c r="K306" s="137" t="s">
        <v>129</v>
      </c>
      <c r="L306" s="137" t="s">
        <v>129</v>
      </c>
      <c r="M306" s="141"/>
      <c r="N306" s="143"/>
    </row>
    <row r="307" ht="15.0" hidden="1" customHeight="1" outlineLevel="1">
      <c r="A307" s="219" t="s">
        <v>915</v>
      </c>
      <c r="B307" s="344">
        <v>46089.0</v>
      </c>
      <c r="C307" s="133" t="str">
        <f t="shared" si="38"/>
        <v>Sun</v>
      </c>
      <c r="D307" s="136">
        <f t="shared" si="39"/>
        <v>1</v>
      </c>
      <c r="E307" s="137" t="s">
        <v>129</v>
      </c>
      <c r="F307" s="137" t="s">
        <v>129</v>
      </c>
      <c r="G307" s="137" t="s">
        <v>129</v>
      </c>
      <c r="H307" s="137" t="s">
        <v>129</v>
      </c>
      <c r="I307" s="137" t="s">
        <v>129</v>
      </c>
      <c r="J307" s="137" t="s">
        <v>129</v>
      </c>
      <c r="K307" s="137" t="s">
        <v>129</v>
      </c>
      <c r="L307" s="137" t="s">
        <v>129</v>
      </c>
      <c r="M307" s="141"/>
      <c r="N307" s="147"/>
    </row>
    <row r="308" hidden="1" outlineLevel="1">
      <c r="B308" s="189"/>
      <c r="C308" s="191" t="s">
        <v>194</v>
      </c>
      <c r="D308" s="204">
        <f>AVERAGE(D293:D307)</f>
        <v>1</v>
      </c>
      <c r="E308" s="200"/>
      <c r="L308" s="191" t="s">
        <v>194</v>
      </c>
      <c r="M308" s="204">
        <f>SUM(M293:M307)/75*0.1</f>
        <v>0</v>
      </c>
    </row>
    <row r="309" hidden="1" collapsed="1">
      <c r="A309" s="206" t="s">
        <v>766</v>
      </c>
      <c r="B309" s="207"/>
      <c r="C309" s="207"/>
      <c r="D309" s="208"/>
      <c r="E309" s="109"/>
      <c r="F309" s="109"/>
      <c r="G309" s="110"/>
      <c r="H309" s="110"/>
      <c r="I309" s="110"/>
      <c r="J309" s="110"/>
      <c r="K309" s="110"/>
      <c r="L309" s="110"/>
      <c r="M309" s="111"/>
      <c r="N309" s="113"/>
    </row>
    <row r="310" hidden="1" outlineLevel="1">
      <c r="A310" s="373" t="s">
        <v>98</v>
      </c>
      <c r="B310" s="115" t="s">
        <v>100</v>
      </c>
      <c r="C310" s="115" t="s">
        <v>102</v>
      </c>
      <c r="D310" s="119" t="s">
        <v>103</v>
      </c>
      <c r="E310" s="275" t="s">
        <v>269</v>
      </c>
      <c r="F310" s="275" t="s">
        <v>272</v>
      </c>
      <c r="G310" s="276" t="s">
        <v>328</v>
      </c>
      <c r="H310" s="121" t="s">
        <v>107</v>
      </c>
      <c r="I310" s="121" t="s">
        <v>108</v>
      </c>
      <c r="J310" s="276" t="s">
        <v>329</v>
      </c>
      <c r="K310" s="121" t="s">
        <v>111</v>
      </c>
      <c r="L310" s="276" t="s">
        <v>274</v>
      </c>
      <c r="M310" s="115" t="s">
        <v>114</v>
      </c>
      <c r="N310" s="119" t="s">
        <v>115</v>
      </c>
    </row>
    <row r="311" hidden="1" outlineLevel="1">
      <c r="A311" s="255" t="s">
        <v>919</v>
      </c>
      <c r="B311" s="344">
        <v>46090.0</v>
      </c>
      <c r="C311" s="133" t="str">
        <f t="shared" ref="C311:C325" si="40">IF(B311="", "", TEXT(B311, "ddd"))</f>
        <v>Mon</v>
      </c>
      <c r="D311" s="136">
        <f t="shared" ref="D311:D325" si="41">IF(E311="Yes",0.05,0)
+IF(F311="Yes",0.1,0)
+IF(G311="Yes",0.15,0)
+IF(H311="Yes",0.15,0)
+IF(I311="Yes",0.05,0)
+IF(J311="Yes",0.05,0)
+IF(K311="Yes",0.15,0)
+IF(L311="Yes",0.3,0)
</f>
        <v>1</v>
      </c>
      <c r="E311" s="137" t="s">
        <v>129</v>
      </c>
      <c r="F311" s="137" t="s">
        <v>129</v>
      </c>
      <c r="G311" s="137" t="s">
        <v>129</v>
      </c>
      <c r="H311" s="137" t="s">
        <v>129</v>
      </c>
      <c r="I311" s="137" t="s">
        <v>129</v>
      </c>
      <c r="J311" s="137" t="s">
        <v>129</v>
      </c>
      <c r="K311" s="137" t="s">
        <v>129</v>
      </c>
      <c r="L311" s="137" t="s">
        <v>129</v>
      </c>
      <c r="M311" s="141"/>
      <c r="N311" s="143"/>
    </row>
    <row r="312" hidden="1" outlineLevel="1">
      <c r="A312" s="255" t="s">
        <v>921</v>
      </c>
      <c r="B312" s="344">
        <v>46090.0</v>
      </c>
      <c r="C312" s="133" t="str">
        <f t="shared" si="40"/>
        <v>Mon</v>
      </c>
      <c r="D312" s="136">
        <f t="shared" si="41"/>
        <v>1</v>
      </c>
      <c r="E312" s="137" t="s">
        <v>129</v>
      </c>
      <c r="F312" s="137" t="s">
        <v>129</v>
      </c>
      <c r="G312" s="137" t="s">
        <v>129</v>
      </c>
      <c r="H312" s="137" t="s">
        <v>129</v>
      </c>
      <c r="I312" s="137" t="s">
        <v>129</v>
      </c>
      <c r="J312" s="137" t="s">
        <v>129</v>
      </c>
      <c r="K312" s="137" t="s">
        <v>129</v>
      </c>
      <c r="L312" s="137" t="s">
        <v>129</v>
      </c>
      <c r="M312" s="141"/>
      <c r="N312" s="147"/>
    </row>
    <row r="313" hidden="1" outlineLevel="1">
      <c r="A313" s="255" t="s">
        <v>922</v>
      </c>
      <c r="B313" s="344">
        <v>46090.0</v>
      </c>
      <c r="C313" s="133" t="str">
        <f t="shared" si="40"/>
        <v>Mon</v>
      </c>
      <c r="D313" s="136">
        <f t="shared" si="41"/>
        <v>1</v>
      </c>
      <c r="E313" s="137" t="s">
        <v>129</v>
      </c>
      <c r="F313" s="137" t="s">
        <v>129</v>
      </c>
      <c r="G313" s="137" t="s">
        <v>129</v>
      </c>
      <c r="H313" s="137" t="s">
        <v>129</v>
      </c>
      <c r="I313" s="137" t="s">
        <v>129</v>
      </c>
      <c r="J313" s="137" t="s">
        <v>129</v>
      </c>
      <c r="K313" s="137" t="s">
        <v>129</v>
      </c>
      <c r="L313" s="137" t="s">
        <v>129</v>
      </c>
      <c r="M313" s="141"/>
      <c r="N313" s="147"/>
    </row>
    <row r="314" hidden="1" outlineLevel="1">
      <c r="A314" s="219" t="s">
        <v>926</v>
      </c>
      <c r="B314" s="344">
        <v>46091.0</v>
      </c>
      <c r="C314" s="133" t="str">
        <f t="shared" si="40"/>
        <v>Tue</v>
      </c>
      <c r="D314" s="136">
        <f t="shared" si="41"/>
        <v>1</v>
      </c>
      <c r="E314" s="137" t="s">
        <v>129</v>
      </c>
      <c r="F314" s="137" t="s">
        <v>129</v>
      </c>
      <c r="G314" s="137" t="s">
        <v>129</v>
      </c>
      <c r="H314" s="137" t="s">
        <v>129</v>
      </c>
      <c r="I314" s="137" t="s">
        <v>129</v>
      </c>
      <c r="J314" s="137" t="s">
        <v>129</v>
      </c>
      <c r="K314" s="137" t="s">
        <v>129</v>
      </c>
      <c r="L314" s="137" t="s">
        <v>129</v>
      </c>
      <c r="M314" s="141"/>
      <c r="N314" s="143"/>
    </row>
    <row r="315" hidden="1" outlineLevel="1">
      <c r="A315" s="219" t="s">
        <v>928</v>
      </c>
      <c r="B315" s="344">
        <v>46091.0</v>
      </c>
      <c r="C315" s="133" t="str">
        <f t="shared" si="40"/>
        <v>Tue</v>
      </c>
      <c r="D315" s="136">
        <f t="shared" si="41"/>
        <v>1</v>
      </c>
      <c r="E315" s="137" t="s">
        <v>129</v>
      </c>
      <c r="F315" s="137" t="s">
        <v>129</v>
      </c>
      <c r="G315" s="137" t="s">
        <v>129</v>
      </c>
      <c r="H315" s="137" t="s">
        <v>129</v>
      </c>
      <c r="I315" s="137" t="s">
        <v>129</v>
      </c>
      <c r="J315" s="137" t="s">
        <v>129</v>
      </c>
      <c r="K315" s="137" t="s">
        <v>129</v>
      </c>
      <c r="L315" s="137" t="s">
        <v>129</v>
      </c>
      <c r="M315" s="141"/>
      <c r="N315" s="143"/>
    </row>
    <row r="316" hidden="1" outlineLevel="1">
      <c r="A316" s="219" t="s">
        <v>932</v>
      </c>
      <c r="B316" s="344">
        <v>46091.0</v>
      </c>
      <c r="C316" s="133" t="str">
        <f t="shared" si="40"/>
        <v>Tue</v>
      </c>
      <c r="D316" s="136">
        <f t="shared" si="41"/>
        <v>1</v>
      </c>
      <c r="E316" s="137" t="s">
        <v>129</v>
      </c>
      <c r="F316" s="137" t="s">
        <v>129</v>
      </c>
      <c r="G316" s="137" t="s">
        <v>129</v>
      </c>
      <c r="H316" s="137" t="s">
        <v>129</v>
      </c>
      <c r="I316" s="137" t="s">
        <v>129</v>
      </c>
      <c r="J316" s="137" t="s">
        <v>129</v>
      </c>
      <c r="K316" s="137" t="s">
        <v>129</v>
      </c>
      <c r="L316" s="137" t="s">
        <v>129</v>
      </c>
      <c r="M316" s="141"/>
      <c r="N316" s="143"/>
    </row>
    <row r="317" hidden="1" outlineLevel="1">
      <c r="A317" s="255" t="s">
        <v>934</v>
      </c>
      <c r="B317" s="344">
        <v>46092.0</v>
      </c>
      <c r="C317" s="133" t="str">
        <f t="shared" si="40"/>
        <v>Wed</v>
      </c>
      <c r="D317" s="136">
        <f t="shared" si="41"/>
        <v>1</v>
      </c>
      <c r="E317" s="137" t="s">
        <v>129</v>
      </c>
      <c r="F317" s="137" t="s">
        <v>129</v>
      </c>
      <c r="G317" s="137" t="s">
        <v>129</v>
      </c>
      <c r="H317" s="137" t="s">
        <v>129</v>
      </c>
      <c r="I317" s="137" t="s">
        <v>129</v>
      </c>
      <c r="J317" s="137" t="s">
        <v>129</v>
      </c>
      <c r="K317" s="137" t="s">
        <v>129</v>
      </c>
      <c r="L317" s="137" t="s">
        <v>129</v>
      </c>
      <c r="M317" s="141"/>
      <c r="N317" s="143"/>
    </row>
    <row r="318" hidden="1" outlineLevel="1">
      <c r="A318" s="255" t="s">
        <v>936</v>
      </c>
      <c r="B318" s="344">
        <v>46092.0</v>
      </c>
      <c r="C318" s="133" t="str">
        <f t="shared" si="40"/>
        <v>Wed</v>
      </c>
      <c r="D318" s="136">
        <f t="shared" si="41"/>
        <v>1</v>
      </c>
      <c r="E318" s="137" t="s">
        <v>129</v>
      </c>
      <c r="F318" s="137" t="s">
        <v>129</v>
      </c>
      <c r="G318" s="137" t="s">
        <v>129</v>
      </c>
      <c r="H318" s="137" t="s">
        <v>129</v>
      </c>
      <c r="I318" s="137" t="s">
        <v>129</v>
      </c>
      <c r="J318" s="137" t="s">
        <v>129</v>
      </c>
      <c r="K318" s="137" t="s">
        <v>129</v>
      </c>
      <c r="L318" s="137" t="s">
        <v>129</v>
      </c>
      <c r="M318" s="141"/>
      <c r="N318" s="147"/>
    </row>
    <row r="319" hidden="1" outlineLevel="1">
      <c r="A319" s="255" t="s">
        <v>939</v>
      </c>
      <c r="B319" s="344">
        <v>46092.0</v>
      </c>
      <c r="C319" s="133" t="str">
        <f t="shared" si="40"/>
        <v>Wed</v>
      </c>
      <c r="D319" s="136">
        <f t="shared" si="41"/>
        <v>1</v>
      </c>
      <c r="E319" s="137" t="s">
        <v>129</v>
      </c>
      <c r="F319" s="137" t="s">
        <v>129</v>
      </c>
      <c r="G319" s="137" t="s">
        <v>129</v>
      </c>
      <c r="H319" s="137" t="s">
        <v>129</v>
      </c>
      <c r="I319" s="137" t="s">
        <v>129</v>
      </c>
      <c r="J319" s="137" t="s">
        <v>129</v>
      </c>
      <c r="K319" s="137" t="s">
        <v>129</v>
      </c>
      <c r="L319" s="137" t="s">
        <v>129</v>
      </c>
      <c r="M319" s="141"/>
      <c r="N319" s="143"/>
    </row>
    <row r="320" hidden="1" outlineLevel="1">
      <c r="A320" s="255" t="s">
        <v>941</v>
      </c>
      <c r="B320" s="344">
        <v>46093.0</v>
      </c>
      <c r="C320" s="133" t="str">
        <f t="shared" si="40"/>
        <v>Thu</v>
      </c>
      <c r="D320" s="136">
        <f t="shared" si="41"/>
        <v>1</v>
      </c>
      <c r="E320" s="137" t="s">
        <v>129</v>
      </c>
      <c r="F320" s="137" t="s">
        <v>129</v>
      </c>
      <c r="G320" s="137" t="s">
        <v>129</v>
      </c>
      <c r="H320" s="137" t="s">
        <v>129</v>
      </c>
      <c r="I320" s="137" t="s">
        <v>129</v>
      </c>
      <c r="J320" s="137" t="s">
        <v>129</v>
      </c>
      <c r="K320" s="137" t="s">
        <v>129</v>
      </c>
      <c r="L320" s="137" t="s">
        <v>129</v>
      </c>
      <c r="M320" s="141"/>
      <c r="N320" s="147"/>
    </row>
    <row r="321" hidden="1" outlineLevel="1">
      <c r="A321" s="255" t="s">
        <v>943</v>
      </c>
      <c r="B321" s="344">
        <v>46093.0</v>
      </c>
      <c r="C321" s="133" t="str">
        <f t="shared" si="40"/>
        <v>Thu</v>
      </c>
      <c r="D321" s="136">
        <f t="shared" si="41"/>
        <v>1</v>
      </c>
      <c r="E321" s="137" t="s">
        <v>129</v>
      </c>
      <c r="F321" s="137" t="s">
        <v>129</v>
      </c>
      <c r="G321" s="137" t="s">
        <v>129</v>
      </c>
      <c r="H321" s="137" t="s">
        <v>129</v>
      </c>
      <c r="I321" s="137" t="s">
        <v>129</v>
      </c>
      <c r="J321" s="137" t="s">
        <v>129</v>
      </c>
      <c r="K321" s="137" t="s">
        <v>129</v>
      </c>
      <c r="L321" s="137" t="s">
        <v>129</v>
      </c>
      <c r="M321" s="141"/>
      <c r="N321" s="147"/>
    </row>
    <row r="322" hidden="1" outlineLevel="1">
      <c r="A322" s="255" t="s">
        <v>945</v>
      </c>
      <c r="B322" s="344">
        <v>46093.0</v>
      </c>
      <c r="C322" s="133" t="str">
        <f t="shared" si="40"/>
        <v>Thu</v>
      </c>
      <c r="D322" s="136">
        <f t="shared" si="41"/>
        <v>1</v>
      </c>
      <c r="E322" s="137" t="s">
        <v>129</v>
      </c>
      <c r="F322" s="137" t="s">
        <v>129</v>
      </c>
      <c r="G322" s="137" t="s">
        <v>129</v>
      </c>
      <c r="H322" s="137" t="s">
        <v>129</v>
      </c>
      <c r="I322" s="137" t="s">
        <v>129</v>
      </c>
      <c r="J322" s="137" t="s">
        <v>129</v>
      </c>
      <c r="K322" s="137" t="s">
        <v>129</v>
      </c>
      <c r="L322" s="137" t="s">
        <v>129</v>
      </c>
      <c r="M322" s="141"/>
      <c r="N322" s="147"/>
    </row>
    <row r="323" hidden="1" outlineLevel="1">
      <c r="A323" s="255" t="s">
        <v>947</v>
      </c>
      <c r="B323" s="344">
        <v>46094.0</v>
      </c>
      <c r="C323" s="133" t="str">
        <f t="shared" si="40"/>
        <v>Fri</v>
      </c>
      <c r="D323" s="136">
        <f t="shared" si="41"/>
        <v>1</v>
      </c>
      <c r="E323" s="137" t="s">
        <v>129</v>
      </c>
      <c r="F323" s="137" t="s">
        <v>129</v>
      </c>
      <c r="G323" s="137" t="s">
        <v>129</v>
      </c>
      <c r="H323" s="137" t="s">
        <v>129</v>
      </c>
      <c r="I323" s="137" t="s">
        <v>129</v>
      </c>
      <c r="J323" s="137" t="s">
        <v>129</v>
      </c>
      <c r="K323" s="137" t="s">
        <v>129</v>
      </c>
      <c r="L323" s="137" t="s">
        <v>129</v>
      </c>
      <c r="M323" s="141"/>
      <c r="N323" s="143"/>
    </row>
    <row r="324" hidden="1" outlineLevel="1">
      <c r="A324" s="255" t="s">
        <v>949</v>
      </c>
      <c r="B324" s="344">
        <v>46094.0</v>
      </c>
      <c r="C324" s="133" t="str">
        <f t="shared" si="40"/>
        <v>Fri</v>
      </c>
      <c r="D324" s="136">
        <f t="shared" si="41"/>
        <v>1</v>
      </c>
      <c r="E324" s="137" t="s">
        <v>129</v>
      </c>
      <c r="F324" s="137" t="s">
        <v>129</v>
      </c>
      <c r="G324" s="137" t="s">
        <v>129</v>
      </c>
      <c r="H324" s="137" t="s">
        <v>129</v>
      </c>
      <c r="I324" s="137" t="s">
        <v>129</v>
      </c>
      <c r="J324" s="137" t="s">
        <v>129</v>
      </c>
      <c r="K324" s="137" t="s">
        <v>129</v>
      </c>
      <c r="L324" s="137" t="s">
        <v>129</v>
      </c>
      <c r="M324" s="141"/>
      <c r="N324" s="143"/>
    </row>
    <row r="325" ht="15.0" hidden="1" customHeight="1" outlineLevel="1">
      <c r="A325" s="255" t="s">
        <v>950</v>
      </c>
      <c r="B325" s="344">
        <v>46094.0</v>
      </c>
      <c r="C325" s="133" t="str">
        <f t="shared" si="40"/>
        <v>Fri</v>
      </c>
      <c r="D325" s="136">
        <f t="shared" si="41"/>
        <v>1</v>
      </c>
      <c r="E325" s="137" t="s">
        <v>129</v>
      </c>
      <c r="F325" s="137" t="s">
        <v>129</v>
      </c>
      <c r="G325" s="137" t="s">
        <v>129</v>
      </c>
      <c r="H325" s="137" t="s">
        <v>129</v>
      </c>
      <c r="I325" s="137" t="s">
        <v>129</v>
      </c>
      <c r="J325" s="137" t="s">
        <v>129</v>
      </c>
      <c r="K325" s="137" t="s">
        <v>129</v>
      </c>
      <c r="L325" s="137" t="s">
        <v>129</v>
      </c>
      <c r="M325" s="141"/>
      <c r="N325" s="147"/>
    </row>
    <row r="326" hidden="1" outlineLevel="1">
      <c r="B326" s="189"/>
      <c r="C326" s="191" t="s">
        <v>194</v>
      </c>
      <c r="D326" s="204">
        <f>AVERAGE(D311:D325)</f>
        <v>1</v>
      </c>
      <c r="E326" s="200"/>
      <c r="L326" s="191" t="s">
        <v>194</v>
      </c>
      <c r="M326" s="204">
        <f>SUM(M311:M325)/75*0.1</f>
        <v>0</v>
      </c>
    </row>
    <row r="327" hidden="1" collapsed="1">
      <c r="A327" s="206" t="s">
        <v>792</v>
      </c>
      <c r="B327" s="207"/>
      <c r="C327" s="207"/>
      <c r="D327" s="208"/>
      <c r="E327" s="109"/>
      <c r="F327" s="109"/>
      <c r="G327" s="110"/>
      <c r="H327" s="110"/>
      <c r="I327" s="110"/>
      <c r="J327" s="110"/>
      <c r="K327" s="110"/>
      <c r="L327" s="110"/>
      <c r="M327" s="111"/>
      <c r="N327" s="113"/>
    </row>
    <row r="328" hidden="1" outlineLevel="1">
      <c r="A328" s="373" t="s">
        <v>98</v>
      </c>
      <c r="B328" s="115" t="s">
        <v>100</v>
      </c>
      <c r="C328" s="115" t="s">
        <v>102</v>
      </c>
      <c r="D328" s="119" t="s">
        <v>103</v>
      </c>
      <c r="E328" s="275" t="s">
        <v>269</v>
      </c>
      <c r="F328" s="275" t="s">
        <v>272</v>
      </c>
      <c r="G328" s="276" t="s">
        <v>328</v>
      </c>
      <c r="H328" s="121" t="s">
        <v>107</v>
      </c>
      <c r="I328" s="121" t="s">
        <v>108</v>
      </c>
      <c r="J328" s="276" t="s">
        <v>329</v>
      </c>
      <c r="K328" s="121" t="s">
        <v>111</v>
      </c>
      <c r="L328" s="276" t="s">
        <v>274</v>
      </c>
      <c r="M328" s="115" t="s">
        <v>114</v>
      </c>
      <c r="N328" s="119" t="s">
        <v>115</v>
      </c>
    </row>
    <row r="329" hidden="1" outlineLevel="1">
      <c r="A329" s="255" t="s">
        <v>957</v>
      </c>
      <c r="B329" s="344">
        <v>46097.0</v>
      </c>
      <c r="C329" s="133" t="str">
        <f t="shared" ref="C329:C343" si="42">IF(B329="", "", TEXT(B329, "ddd"))</f>
        <v>Mon</v>
      </c>
      <c r="D329" s="136">
        <f t="shared" ref="D329:D343" si="43">IF(E329="Yes",0.05,0)
+IF(F329="Yes",0.1,0)
+IF(G329="Yes",0.15,0)
+IF(H329="Yes",0.15,0)
+IF(I329="Yes",0.05,0)
+IF(J329="Yes",0.05,0)
+IF(K329="Yes",0.15,0)
+IF(L329="Yes",0.3,0)
</f>
        <v>1</v>
      </c>
      <c r="E329" s="137" t="s">
        <v>129</v>
      </c>
      <c r="F329" s="137" t="s">
        <v>129</v>
      </c>
      <c r="G329" s="137" t="s">
        <v>129</v>
      </c>
      <c r="H329" s="137" t="s">
        <v>129</v>
      </c>
      <c r="I329" s="137" t="s">
        <v>129</v>
      </c>
      <c r="J329" s="137" t="s">
        <v>129</v>
      </c>
      <c r="K329" s="137" t="s">
        <v>129</v>
      </c>
      <c r="L329" s="137" t="s">
        <v>129</v>
      </c>
      <c r="M329" s="141"/>
      <c r="N329" s="143"/>
    </row>
    <row r="330" hidden="1" outlineLevel="1">
      <c r="A330" s="255" t="s">
        <v>961</v>
      </c>
      <c r="B330" s="344">
        <v>46097.0</v>
      </c>
      <c r="C330" s="133" t="str">
        <f t="shared" si="42"/>
        <v>Mon</v>
      </c>
      <c r="D330" s="136">
        <f t="shared" si="43"/>
        <v>1</v>
      </c>
      <c r="E330" s="137" t="s">
        <v>129</v>
      </c>
      <c r="F330" s="137" t="s">
        <v>129</v>
      </c>
      <c r="G330" s="137" t="s">
        <v>129</v>
      </c>
      <c r="H330" s="137" t="s">
        <v>129</v>
      </c>
      <c r="I330" s="137" t="s">
        <v>129</v>
      </c>
      <c r="J330" s="137" t="s">
        <v>129</v>
      </c>
      <c r="K330" s="137" t="s">
        <v>129</v>
      </c>
      <c r="L330" s="137" t="s">
        <v>129</v>
      </c>
      <c r="M330" s="141"/>
      <c r="N330" s="147"/>
    </row>
    <row r="331" hidden="1" outlineLevel="1">
      <c r="A331" s="255" t="s">
        <v>963</v>
      </c>
      <c r="B331" s="344">
        <v>46097.0</v>
      </c>
      <c r="C331" s="133" t="str">
        <f t="shared" si="42"/>
        <v>Mon</v>
      </c>
      <c r="D331" s="136">
        <f t="shared" si="43"/>
        <v>1</v>
      </c>
      <c r="E331" s="137" t="s">
        <v>129</v>
      </c>
      <c r="F331" s="137" t="s">
        <v>129</v>
      </c>
      <c r="G331" s="137" t="s">
        <v>129</v>
      </c>
      <c r="H331" s="137" t="s">
        <v>129</v>
      </c>
      <c r="I331" s="137" t="s">
        <v>129</v>
      </c>
      <c r="J331" s="137" t="s">
        <v>129</v>
      </c>
      <c r="K331" s="137" t="s">
        <v>129</v>
      </c>
      <c r="L331" s="137" t="s">
        <v>129</v>
      </c>
      <c r="M331" s="141"/>
      <c r="N331" s="147"/>
    </row>
    <row r="332" hidden="1" outlineLevel="1">
      <c r="A332" s="219" t="s">
        <v>965</v>
      </c>
      <c r="B332" s="344">
        <v>46098.0</v>
      </c>
      <c r="C332" s="133" t="str">
        <f t="shared" si="42"/>
        <v>Tue</v>
      </c>
      <c r="D332" s="136">
        <f t="shared" si="43"/>
        <v>1</v>
      </c>
      <c r="E332" s="137" t="s">
        <v>129</v>
      </c>
      <c r="F332" s="137" t="s">
        <v>129</v>
      </c>
      <c r="G332" s="137" t="s">
        <v>129</v>
      </c>
      <c r="H332" s="137" t="s">
        <v>129</v>
      </c>
      <c r="I332" s="137" t="s">
        <v>129</v>
      </c>
      <c r="J332" s="137" t="s">
        <v>129</v>
      </c>
      <c r="K332" s="137" t="s">
        <v>129</v>
      </c>
      <c r="L332" s="137" t="s">
        <v>129</v>
      </c>
      <c r="M332" s="141"/>
      <c r="N332" s="143"/>
    </row>
    <row r="333" hidden="1" outlineLevel="1">
      <c r="A333" s="219" t="s">
        <v>967</v>
      </c>
      <c r="B333" s="344">
        <v>46098.0</v>
      </c>
      <c r="C333" s="133" t="str">
        <f t="shared" si="42"/>
        <v>Tue</v>
      </c>
      <c r="D333" s="136">
        <f t="shared" si="43"/>
        <v>1</v>
      </c>
      <c r="E333" s="137" t="s">
        <v>129</v>
      </c>
      <c r="F333" s="137" t="s">
        <v>129</v>
      </c>
      <c r="G333" s="137" t="s">
        <v>129</v>
      </c>
      <c r="H333" s="137" t="s">
        <v>129</v>
      </c>
      <c r="I333" s="137" t="s">
        <v>129</v>
      </c>
      <c r="J333" s="137" t="s">
        <v>129</v>
      </c>
      <c r="K333" s="137" t="s">
        <v>129</v>
      </c>
      <c r="L333" s="137" t="s">
        <v>129</v>
      </c>
      <c r="M333" s="141"/>
      <c r="N333" s="143"/>
    </row>
    <row r="334" hidden="1" outlineLevel="1">
      <c r="A334" s="219" t="s">
        <v>970</v>
      </c>
      <c r="B334" s="344">
        <v>46098.0</v>
      </c>
      <c r="C334" s="133" t="str">
        <f t="shared" si="42"/>
        <v>Tue</v>
      </c>
      <c r="D334" s="136">
        <f t="shared" si="43"/>
        <v>1</v>
      </c>
      <c r="E334" s="137" t="s">
        <v>129</v>
      </c>
      <c r="F334" s="137" t="s">
        <v>129</v>
      </c>
      <c r="G334" s="137" t="s">
        <v>129</v>
      </c>
      <c r="H334" s="137" t="s">
        <v>129</v>
      </c>
      <c r="I334" s="137" t="s">
        <v>129</v>
      </c>
      <c r="J334" s="137" t="s">
        <v>129</v>
      </c>
      <c r="K334" s="137" t="s">
        <v>129</v>
      </c>
      <c r="L334" s="137" t="s">
        <v>129</v>
      </c>
      <c r="M334" s="141"/>
      <c r="N334" s="143"/>
    </row>
    <row r="335" hidden="1" outlineLevel="1">
      <c r="A335" s="255" t="s">
        <v>971</v>
      </c>
      <c r="B335" s="344">
        <v>46099.0</v>
      </c>
      <c r="C335" s="133" t="str">
        <f t="shared" si="42"/>
        <v>Wed</v>
      </c>
      <c r="D335" s="136">
        <f t="shared" si="43"/>
        <v>1</v>
      </c>
      <c r="E335" s="137" t="s">
        <v>129</v>
      </c>
      <c r="F335" s="137" t="s">
        <v>129</v>
      </c>
      <c r="G335" s="137" t="s">
        <v>129</v>
      </c>
      <c r="H335" s="137" t="s">
        <v>129</v>
      </c>
      <c r="I335" s="137" t="s">
        <v>129</v>
      </c>
      <c r="J335" s="137" t="s">
        <v>129</v>
      </c>
      <c r="K335" s="137" t="s">
        <v>129</v>
      </c>
      <c r="L335" s="137" t="s">
        <v>129</v>
      </c>
      <c r="M335" s="141"/>
      <c r="N335" s="143"/>
    </row>
    <row r="336" hidden="1" outlineLevel="1">
      <c r="A336" s="255" t="s">
        <v>973</v>
      </c>
      <c r="B336" s="344">
        <v>46099.0</v>
      </c>
      <c r="C336" s="133" t="str">
        <f t="shared" si="42"/>
        <v>Wed</v>
      </c>
      <c r="D336" s="136">
        <f t="shared" si="43"/>
        <v>1</v>
      </c>
      <c r="E336" s="137" t="s">
        <v>129</v>
      </c>
      <c r="F336" s="137" t="s">
        <v>129</v>
      </c>
      <c r="G336" s="137" t="s">
        <v>129</v>
      </c>
      <c r="H336" s="137" t="s">
        <v>129</v>
      </c>
      <c r="I336" s="137" t="s">
        <v>129</v>
      </c>
      <c r="J336" s="137" t="s">
        <v>129</v>
      </c>
      <c r="K336" s="137" t="s">
        <v>129</v>
      </c>
      <c r="L336" s="137" t="s">
        <v>129</v>
      </c>
      <c r="M336" s="141"/>
      <c r="N336" s="147"/>
    </row>
    <row r="337" hidden="1" outlineLevel="1">
      <c r="A337" s="255" t="s">
        <v>977</v>
      </c>
      <c r="B337" s="344">
        <v>46099.0</v>
      </c>
      <c r="C337" s="133" t="str">
        <f t="shared" si="42"/>
        <v>Wed</v>
      </c>
      <c r="D337" s="136">
        <f t="shared" si="43"/>
        <v>1</v>
      </c>
      <c r="E337" s="137" t="s">
        <v>129</v>
      </c>
      <c r="F337" s="137" t="s">
        <v>129</v>
      </c>
      <c r="G337" s="137" t="s">
        <v>129</v>
      </c>
      <c r="H337" s="137" t="s">
        <v>129</v>
      </c>
      <c r="I337" s="137" t="s">
        <v>129</v>
      </c>
      <c r="J337" s="137" t="s">
        <v>129</v>
      </c>
      <c r="K337" s="137" t="s">
        <v>129</v>
      </c>
      <c r="L337" s="137" t="s">
        <v>129</v>
      </c>
      <c r="M337" s="141"/>
      <c r="N337" s="143"/>
    </row>
    <row r="338" hidden="1" outlineLevel="1">
      <c r="A338" s="255" t="s">
        <v>980</v>
      </c>
      <c r="B338" s="344">
        <v>46100.0</v>
      </c>
      <c r="C338" s="133" t="str">
        <f t="shared" si="42"/>
        <v>Thu</v>
      </c>
      <c r="D338" s="136">
        <f t="shared" si="43"/>
        <v>1</v>
      </c>
      <c r="E338" s="137" t="s">
        <v>129</v>
      </c>
      <c r="F338" s="137" t="s">
        <v>129</v>
      </c>
      <c r="G338" s="137" t="s">
        <v>129</v>
      </c>
      <c r="H338" s="137" t="s">
        <v>129</v>
      </c>
      <c r="I338" s="137" t="s">
        <v>129</v>
      </c>
      <c r="J338" s="137" t="s">
        <v>129</v>
      </c>
      <c r="K338" s="137" t="s">
        <v>129</v>
      </c>
      <c r="L338" s="137" t="s">
        <v>129</v>
      </c>
      <c r="M338" s="141"/>
      <c r="N338" s="147"/>
    </row>
    <row r="339" hidden="1" outlineLevel="1">
      <c r="A339" s="255" t="s">
        <v>982</v>
      </c>
      <c r="B339" s="344">
        <v>46100.0</v>
      </c>
      <c r="C339" s="133" t="str">
        <f t="shared" si="42"/>
        <v>Thu</v>
      </c>
      <c r="D339" s="136">
        <f t="shared" si="43"/>
        <v>1</v>
      </c>
      <c r="E339" s="137" t="s">
        <v>129</v>
      </c>
      <c r="F339" s="137" t="s">
        <v>129</v>
      </c>
      <c r="G339" s="137" t="s">
        <v>129</v>
      </c>
      <c r="H339" s="137" t="s">
        <v>129</v>
      </c>
      <c r="I339" s="137" t="s">
        <v>129</v>
      </c>
      <c r="J339" s="137" t="s">
        <v>129</v>
      </c>
      <c r="K339" s="137" t="s">
        <v>129</v>
      </c>
      <c r="L339" s="137" t="s">
        <v>129</v>
      </c>
      <c r="M339" s="141"/>
      <c r="N339" s="147"/>
    </row>
    <row r="340" hidden="1" outlineLevel="1">
      <c r="A340" s="387" t="s">
        <v>984</v>
      </c>
      <c r="B340" s="344">
        <v>46100.0</v>
      </c>
      <c r="C340" s="133" t="str">
        <f t="shared" si="42"/>
        <v>Thu</v>
      </c>
      <c r="D340" s="136">
        <f t="shared" si="43"/>
        <v>1</v>
      </c>
      <c r="E340" s="137" t="s">
        <v>129</v>
      </c>
      <c r="F340" s="137" t="s">
        <v>129</v>
      </c>
      <c r="G340" s="137" t="s">
        <v>129</v>
      </c>
      <c r="H340" s="137" t="s">
        <v>129</v>
      </c>
      <c r="I340" s="137" t="s">
        <v>129</v>
      </c>
      <c r="J340" s="137" t="s">
        <v>129</v>
      </c>
      <c r="K340" s="137" t="s">
        <v>129</v>
      </c>
      <c r="L340" s="137" t="s">
        <v>129</v>
      </c>
      <c r="M340" s="141"/>
      <c r="N340" s="147"/>
    </row>
    <row r="341" hidden="1" outlineLevel="1">
      <c r="A341" s="255" t="s">
        <v>987</v>
      </c>
      <c r="B341" s="344">
        <v>46101.0</v>
      </c>
      <c r="C341" s="133" t="str">
        <f t="shared" si="42"/>
        <v>Fri</v>
      </c>
      <c r="D341" s="136">
        <f t="shared" si="43"/>
        <v>1</v>
      </c>
      <c r="E341" s="137" t="s">
        <v>129</v>
      </c>
      <c r="F341" s="137" t="s">
        <v>129</v>
      </c>
      <c r="G341" s="137" t="s">
        <v>129</v>
      </c>
      <c r="H341" s="137" t="s">
        <v>129</v>
      </c>
      <c r="I341" s="137" t="s">
        <v>129</v>
      </c>
      <c r="J341" s="137" t="s">
        <v>129</v>
      </c>
      <c r="K341" s="137" t="s">
        <v>129</v>
      </c>
      <c r="L341" s="137" t="s">
        <v>129</v>
      </c>
      <c r="M341" s="141"/>
      <c r="N341" s="143"/>
    </row>
    <row r="342" hidden="1" outlineLevel="1">
      <c r="A342" s="255" t="s">
        <v>989</v>
      </c>
      <c r="B342" s="344">
        <v>46101.0</v>
      </c>
      <c r="C342" s="133" t="str">
        <f t="shared" si="42"/>
        <v>Fri</v>
      </c>
      <c r="D342" s="136">
        <f t="shared" si="43"/>
        <v>1</v>
      </c>
      <c r="E342" s="137" t="s">
        <v>129</v>
      </c>
      <c r="F342" s="137" t="s">
        <v>129</v>
      </c>
      <c r="G342" s="137" t="s">
        <v>129</v>
      </c>
      <c r="H342" s="137" t="s">
        <v>129</v>
      </c>
      <c r="I342" s="137" t="s">
        <v>129</v>
      </c>
      <c r="J342" s="137" t="s">
        <v>129</v>
      </c>
      <c r="K342" s="137" t="s">
        <v>129</v>
      </c>
      <c r="L342" s="137" t="s">
        <v>129</v>
      </c>
      <c r="M342" s="141"/>
      <c r="N342" s="143"/>
    </row>
    <row r="343" ht="15.0" hidden="1" customHeight="1" outlineLevel="1">
      <c r="A343" s="255" t="s">
        <v>991</v>
      </c>
      <c r="B343" s="344">
        <v>46101.0</v>
      </c>
      <c r="C343" s="133" t="str">
        <f t="shared" si="42"/>
        <v>Fri</v>
      </c>
      <c r="D343" s="136">
        <f t="shared" si="43"/>
        <v>1</v>
      </c>
      <c r="E343" s="137" t="s">
        <v>129</v>
      </c>
      <c r="F343" s="137" t="s">
        <v>129</v>
      </c>
      <c r="G343" s="137" t="s">
        <v>129</v>
      </c>
      <c r="H343" s="137" t="s">
        <v>129</v>
      </c>
      <c r="I343" s="137" t="s">
        <v>129</v>
      </c>
      <c r="J343" s="137" t="s">
        <v>129</v>
      </c>
      <c r="K343" s="137" t="s">
        <v>129</v>
      </c>
      <c r="L343" s="137" t="s">
        <v>129</v>
      </c>
      <c r="M343" s="141"/>
      <c r="N343" s="147"/>
    </row>
    <row r="344" hidden="1" outlineLevel="1">
      <c r="B344" s="189"/>
      <c r="C344" s="191" t="s">
        <v>194</v>
      </c>
      <c r="D344" s="204">
        <f>AVERAGE(D329:D343)</f>
        <v>1</v>
      </c>
      <c r="E344" s="200"/>
      <c r="L344" s="191" t="s">
        <v>194</v>
      </c>
      <c r="M344" s="204">
        <f>SUM(M329:M343)/75*0.1</f>
        <v>0</v>
      </c>
    </row>
    <row r="345" hidden="1" collapsed="1">
      <c r="A345" s="206" t="s">
        <v>831</v>
      </c>
      <c r="B345" s="207"/>
      <c r="C345" s="207"/>
      <c r="D345" s="208"/>
      <c r="E345" s="109"/>
      <c r="F345" s="109"/>
      <c r="G345" s="110"/>
      <c r="H345" s="110"/>
      <c r="I345" s="110"/>
      <c r="J345" s="110"/>
      <c r="K345" s="110"/>
      <c r="L345" s="110"/>
      <c r="M345" s="111"/>
      <c r="N345" s="113"/>
    </row>
    <row r="346" hidden="1" outlineLevel="1">
      <c r="A346" s="373" t="s">
        <v>98</v>
      </c>
      <c r="B346" s="115" t="s">
        <v>100</v>
      </c>
      <c r="C346" s="115" t="s">
        <v>102</v>
      </c>
      <c r="D346" s="119" t="s">
        <v>103</v>
      </c>
      <c r="E346" s="275" t="s">
        <v>269</v>
      </c>
      <c r="F346" s="275" t="s">
        <v>272</v>
      </c>
      <c r="G346" s="276" t="s">
        <v>328</v>
      </c>
      <c r="H346" s="121" t="s">
        <v>107</v>
      </c>
      <c r="I346" s="121" t="s">
        <v>108</v>
      </c>
      <c r="J346" s="276" t="s">
        <v>329</v>
      </c>
      <c r="K346" s="121" t="s">
        <v>111</v>
      </c>
      <c r="L346" s="276" t="s">
        <v>274</v>
      </c>
      <c r="M346" s="115" t="s">
        <v>114</v>
      </c>
      <c r="N346" s="119" t="s">
        <v>115</v>
      </c>
    </row>
    <row r="347" hidden="1" outlineLevel="1">
      <c r="A347" s="303" t="s">
        <v>997</v>
      </c>
      <c r="B347" s="344">
        <v>46104.0</v>
      </c>
      <c r="C347" s="133" t="str">
        <f t="shared" ref="C347:C361" si="44">IF(B347="", "", TEXT(B347, "ddd"))</f>
        <v>Mon</v>
      </c>
      <c r="D347" s="136">
        <f t="shared" ref="D347:D361" si="45">IF(E347="Yes",0.05,0)
+IF(F347="Yes",0.1,0)
+IF(G347="Yes",0.15,0)
+IF(H347="Yes",0.15,0)
+IF(I347="Yes",0.05,0)
+IF(J347="Yes",0.05,0)
+IF(K347="Yes",0.15,0)
+IF(L347="Yes",0.3,0)
</f>
        <v>1</v>
      </c>
      <c r="E347" s="137" t="s">
        <v>129</v>
      </c>
      <c r="F347" s="137" t="s">
        <v>129</v>
      </c>
      <c r="G347" s="137" t="s">
        <v>129</v>
      </c>
      <c r="H347" s="137" t="s">
        <v>129</v>
      </c>
      <c r="I347" s="137" t="s">
        <v>129</v>
      </c>
      <c r="J347" s="137" t="s">
        <v>129</v>
      </c>
      <c r="K347" s="137" t="s">
        <v>129</v>
      </c>
      <c r="L347" s="137" t="s">
        <v>129</v>
      </c>
      <c r="M347" s="141"/>
      <c r="N347" s="143"/>
    </row>
    <row r="348" hidden="1" outlineLevel="1">
      <c r="A348" s="255" t="s">
        <v>1000</v>
      </c>
      <c r="B348" s="344">
        <v>46104.0</v>
      </c>
      <c r="C348" s="133" t="str">
        <f t="shared" si="44"/>
        <v>Mon</v>
      </c>
      <c r="D348" s="136">
        <f t="shared" si="45"/>
        <v>1</v>
      </c>
      <c r="E348" s="137" t="s">
        <v>129</v>
      </c>
      <c r="F348" s="137" t="s">
        <v>129</v>
      </c>
      <c r="G348" s="137" t="s">
        <v>129</v>
      </c>
      <c r="H348" s="137" t="s">
        <v>129</v>
      </c>
      <c r="I348" s="137" t="s">
        <v>129</v>
      </c>
      <c r="J348" s="137" t="s">
        <v>129</v>
      </c>
      <c r="K348" s="137" t="s">
        <v>129</v>
      </c>
      <c r="L348" s="137" t="s">
        <v>129</v>
      </c>
      <c r="M348" s="141"/>
      <c r="N348" s="147"/>
    </row>
    <row r="349" hidden="1" outlineLevel="1">
      <c r="A349" s="380" t="s">
        <v>1001</v>
      </c>
      <c r="B349" s="344">
        <v>46104.0</v>
      </c>
      <c r="C349" s="133" t="str">
        <f t="shared" si="44"/>
        <v>Mon</v>
      </c>
      <c r="D349" s="136">
        <f t="shared" si="45"/>
        <v>1</v>
      </c>
      <c r="E349" s="137" t="s">
        <v>129</v>
      </c>
      <c r="F349" s="137" t="s">
        <v>129</v>
      </c>
      <c r="G349" s="137" t="s">
        <v>129</v>
      </c>
      <c r="H349" s="137" t="s">
        <v>129</v>
      </c>
      <c r="I349" s="137" t="s">
        <v>129</v>
      </c>
      <c r="J349" s="137" t="s">
        <v>129</v>
      </c>
      <c r="K349" s="137" t="s">
        <v>129</v>
      </c>
      <c r="L349" s="137" t="s">
        <v>129</v>
      </c>
      <c r="M349" s="141"/>
      <c r="N349" s="147"/>
    </row>
    <row r="350" hidden="1" outlineLevel="1">
      <c r="A350" s="219" t="s">
        <v>1004</v>
      </c>
      <c r="B350" s="344">
        <v>46105.0</v>
      </c>
      <c r="C350" s="133" t="str">
        <f t="shared" si="44"/>
        <v>Tue</v>
      </c>
      <c r="D350" s="136">
        <f t="shared" si="45"/>
        <v>1</v>
      </c>
      <c r="E350" s="137" t="s">
        <v>129</v>
      </c>
      <c r="F350" s="137" t="s">
        <v>129</v>
      </c>
      <c r="G350" s="137" t="s">
        <v>129</v>
      </c>
      <c r="H350" s="137" t="s">
        <v>129</v>
      </c>
      <c r="I350" s="137" t="s">
        <v>129</v>
      </c>
      <c r="J350" s="137" t="s">
        <v>129</v>
      </c>
      <c r="K350" s="137" t="s">
        <v>129</v>
      </c>
      <c r="L350" s="137" t="s">
        <v>129</v>
      </c>
      <c r="M350" s="141"/>
      <c r="N350" s="143"/>
    </row>
    <row r="351" hidden="1" outlineLevel="1">
      <c r="A351" s="219" t="s">
        <v>1005</v>
      </c>
      <c r="B351" s="344">
        <v>46105.0</v>
      </c>
      <c r="C351" s="133" t="str">
        <f t="shared" si="44"/>
        <v>Tue</v>
      </c>
      <c r="D351" s="136">
        <f t="shared" si="45"/>
        <v>1</v>
      </c>
      <c r="E351" s="137" t="s">
        <v>129</v>
      </c>
      <c r="F351" s="137" t="s">
        <v>129</v>
      </c>
      <c r="G351" s="137" t="s">
        <v>129</v>
      </c>
      <c r="H351" s="137" t="s">
        <v>129</v>
      </c>
      <c r="I351" s="137" t="s">
        <v>129</v>
      </c>
      <c r="J351" s="137" t="s">
        <v>129</v>
      </c>
      <c r="K351" s="137" t="s">
        <v>129</v>
      </c>
      <c r="L351" s="137" t="s">
        <v>129</v>
      </c>
      <c r="M351" s="141"/>
      <c r="N351" s="143"/>
    </row>
    <row r="352" hidden="1" outlineLevel="1">
      <c r="A352" s="219" t="s">
        <v>1013</v>
      </c>
      <c r="B352" s="344">
        <v>46105.0</v>
      </c>
      <c r="C352" s="133" t="str">
        <f t="shared" si="44"/>
        <v>Tue</v>
      </c>
      <c r="D352" s="136">
        <f t="shared" si="45"/>
        <v>1</v>
      </c>
      <c r="E352" s="137" t="s">
        <v>129</v>
      </c>
      <c r="F352" s="137" t="s">
        <v>129</v>
      </c>
      <c r="G352" s="137" t="s">
        <v>129</v>
      </c>
      <c r="H352" s="137" t="s">
        <v>129</v>
      </c>
      <c r="I352" s="137" t="s">
        <v>129</v>
      </c>
      <c r="J352" s="137" t="s">
        <v>129</v>
      </c>
      <c r="K352" s="137" t="s">
        <v>129</v>
      </c>
      <c r="L352" s="137" t="s">
        <v>129</v>
      </c>
      <c r="M352" s="141"/>
      <c r="N352" s="143"/>
    </row>
    <row r="353" hidden="1" outlineLevel="1">
      <c r="A353" s="255" t="s">
        <v>1015</v>
      </c>
      <c r="B353" s="344">
        <v>46106.0</v>
      </c>
      <c r="C353" s="133" t="str">
        <f t="shared" si="44"/>
        <v>Wed</v>
      </c>
      <c r="D353" s="136">
        <f t="shared" si="45"/>
        <v>1</v>
      </c>
      <c r="E353" s="137" t="s">
        <v>129</v>
      </c>
      <c r="F353" s="137" t="s">
        <v>129</v>
      </c>
      <c r="G353" s="137" t="s">
        <v>129</v>
      </c>
      <c r="H353" s="137" t="s">
        <v>129</v>
      </c>
      <c r="I353" s="137" t="s">
        <v>129</v>
      </c>
      <c r="J353" s="137" t="s">
        <v>129</v>
      </c>
      <c r="K353" s="137" t="s">
        <v>129</v>
      </c>
      <c r="L353" s="137" t="s">
        <v>129</v>
      </c>
      <c r="M353" s="141"/>
      <c r="N353" s="143"/>
    </row>
    <row r="354" hidden="1" outlineLevel="1">
      <c r="A354" s="255" t="s">
        <v>1019</v>
      </c>
      <c r="B354" s="344">
        <v>46106.0</v>
      </c>
      <c r="C354" s="133" t="str">
        <f t="shared" si="44"/>
        <v>Wed</v>
      </c>
      <c r="D354" s="136">
        <f t="shared" si="45"/>
        <v>1</v>
      </c>
      <c r="E354" s="137" t="s">
        <v>129</v>
      </c>
      <c r="F354" s="137" t="s">
        <v>129</v>
      </c>
      <c r="G354" s="137" t="s">
        <v>129</v>
      </c>
      <c r="H354" s="137" t="s">
        <v>129</v>
      </c>
      <c r="I354" s="137" t="s">
        <v>129</v>
      </c>
      <c r="J354" s="137" t="s">
        <v>129</v>
      </c>
      <c r="K354" s="137" t="s">
        <v>129</v>
      </c>
      <c r="L354" s="137" t="s">
        <v>129</v>
      </c>
      <c r="M354" s="141"/>
      <c r="N354" s="147"/>
    </row>
    <row r="355" hidden="1" outlineLevel="1">
      <c r="A355" s="255" t="s">
        <v>1021</v>
      </c>
      <c r="B355" s="344">
        <v>46106.0</v>
      </c>
      <c r="C355" s="133" t="str">
        <f t="shared" si="44"/>
        <v>Wed</v>
      </c>
      <c r="D355" s="136">
        <f t="shared" si="45"/>
        <v>1</v>
      </c>
      <c r="E355" s="137" t="s">
        <v>129</v>
      </c>
      <c r="F355" s="137" t="s">
        <v>129</v>
      </c>
      <c r="G355" s="137" t="s">
        <v>129</v>
      </c>
      <c r="H355" s="137" t="s">
        <v>129</v>
      </c>
      <c r="I355" s="137" t="s">
        <v>129</v>
      </c>
      <c r="J355" s="137" t="s">
        <v>129</v>
      </c>
      <c r="K355" s="137" t="s">
        <v>129</v>
      </c>
      <c r="L355" s="137" t="s">
        <v>129</v>
      </c>
      <c r="M355" s="141"/>
      <c r="N355" s="143"/>
    </row>
    <row r="356" hidden="1" outlineLevel="1">
      <c r="A356" s="255" t="s">
        <v>1023</v>
      </c>
      <c r="B356" s="344">
        <v>46107.0</v>
      </c>
      <c r="C356" s="133" t="str">
        <f t="shared" si="44"/>
        <v>Thu</v>
      </c>
      <c r="D356" s="136">
        <f t="shared" si="45"/>
        <v>1</v>
      </c>
      <c r="E356" s="137" t="s">
        <v>129</v>
      </c>
      <c r="F356" s="137" t="s">
        <v>129</v>
      </c>
      <c r="G356" s="137" t="s">
        <v>129</v>
      </c>
      <c r="H356" s="137" t="s">
        <v>129</v>
      </c>
      <c r="I356" s="137" t="s">
        <v>129</v>
      </c>
      <c r="J356" s="137" t="s">
        <v>129</v>
      </c>
      <c r="K356" s="137" t="s">
        <v>129</v>
      </c>
      <c r="L356" s="137" t="s">
        <v>129</v>
      </c>
      <c r="M356" s="141"/>
      <c r="N356" s="147"/>
    </row>
    <row r="357" hidden="1" outlineLevel="1">
      <c r="A357" s="255" t="s">
        <v>1025</v>
      </c>
      <c r="B357" s="344">
        <v>46107.0</v>
      </c>
      <c r="C357" s="133" t="str">
        <f t="shared" si="44"/>
        <v>Thu</v>
      </c>
      <c r="D357" s="136">
        <f t="shared" si="45"/>
        <v>1</v>
      </c>
      <c r="E357" s="137" t="s">
        <v>129</v>
      </c>
      <c r="F357" s="137" t="s">
        <v>129</v>
      </c>
      <c r="G357" s="137" t="s">
        <v>129</v>
      </c>
      <c r="H357" s="137" t="s">
        <v>129</v>
      </c>
      <c r="I357" s="137" t="s">
        <v>129</v>
      </c>
      <c r="J357" s="137" t="s">
        <v>129</v>
      </c>
      <c r="K357" s="137" t="s">
        <v>129</v>
      </c>
      <c r="L357" s="137" t="s">
        <v>129</v>
      </c>
      <c r="M357" s="141"/>
      <c r="N357" s="147"/>
    </row>
    <row r="358" hidden="1" outlineLevel="1">
      <c r="A358" s="255" t="s">
        <v>1027</v>
      </c>
      <c r="B358" s="344">
        <v>46107.0</v>
      </c>
      <c r="C358" s="133" t="str">
        <f t="shared" si="44"/>
        <v>Thu</v>
      </c>
      <c r="D358" s="136">
        <f t="shared" si="45"/>
        <v>1</v>
      </c>
      <c r="E358" s="137" t="s">
        <v>129</v>
      </c>
      <c r="F358" s="137" t="s">
        <v>129</v>
      </c>
      <c r="G358" s="137" t="s">
        <v>129</v>
      </c>
      <c r="H358" s="137" t="s">
        <v>129</v>
      </c>
      <c r="I358" s="137" t="s">
        <v>129</v>
      </c>
      <c r="J358" s="137" t="s">
        <v>129</v>
      </c>
      <c r="K358" s="137" t="s">
        <v>129</v>
      </c>
      <c r="L358" s="137" t="s">
        <v>129</v>
      </c>
      <c r="M358" s="141"/>
      <c r="N358" s="147"/>
    </row>
    <row r="359" hidden="1" outlineLevel="1">
      <c r="A359" s="255" t="s">
        <v>1029</v>
      </c>
      <c r="B359" s="344">
        <v>46108.0</v>
      </c>
      <c r="C359" s="133" t="str">
        <f t="shared" si="44"/>
        <v>Fri</v>
      </c>
      <c r="D359" s="136">
        <f t="shared" si="45"/>
        <v>1</v>
      </c>
      <c r="E359" s="137" t="s">
        <v>129</v>
      </c>
      <c r="F359" s="137" t="s">
        <v>129</v>
      </c>
      <c r="G359" s="137" t="s">
        <v>129</v>
      </c>
      <c r="H359" s="137" t="s">
        <v>129</v>
      </c>
      <c r="I359" s="137" t="s">
        <v>129</v>
      </c>
      <c r="J359" s="137" t="s">
        <v>129</v>
      </c>
      <c r="K359" s="137" t="s">
        <v>129</v>
      </c>
      <c r="L359" s="137" t="s">
        <v>129</v>
      </c>
      <c r="M359" s="141"/>
      <c r="N359" s="143"/>
    </row>
    <row r="360" hidden="1" outlineLevel="1">
      <c r="A360" s="255" t="s">
        <v>1032</v>
      </c>
      <c r="B360" s="344">
        <v>46108.0</v>
      </c>
      <c r="C360" s="133" t="str">
        <f t="shared" si="44"/>
        <v>Fri</v>
      </c>
      <c r="D360" s="136">
        <f t="shared" si="45"/>
        <v>1</v>
      </c>
      <c r="E360" s="137" t="s">
        <v>129</v>
      </c>
      <c r="F360" s="137" t="s">
        <v>129</v>
      </c>
      <c r="G360" s="137" t="s">
        <v>129</v>
      </c>
      <c r="H360" s="137" t="s">
        <v>129</v>
      </c>
      <c r="I360" s="137" t="s">
        <v>129</v>
      </c>
      <c r="J360" s="137" t="s">
        <v>129</v>
      </c>
      <c r="K360" s="137" t="s">
        <v>129</v>
      </c>
      <c r="L360" s="137" t="s">
        <v>129</v>
      </c>
      <c r="M360" s="141"/>
      <c r="N360" s="143"/>
    </row>
    <row r="361" ht="15.0" hidden="1" customHeight="1" outlineLevel="1">
      <c r="A361" s="380" t="s">
        <v>1035</v>
      </c>
      <c r="B361" s="344">
        <v>46108.0</v>
      </c>
      <c r="C361" s="133" t="str">
        <f t="shared" si="44"/>
        <v>Fri</v>
      </c>
      <c r="D361" s="136">
        <f t="shared" si="45"/>
        <v>1</v>
      </c>
      <c r="E361" s="137" t="s">
        <v>129</v>
      </c>
      <c r="F361" s="137" t="s">
        <v>129</v>
      </c>
      <c r="G361" s="137" t="s">
        <v>129</v>
      </c>
      <c r="H361" s="137" t="s">
        <v>129</v>
      </c>
      <c r="I361" s="137" t="s">
        <v>129</v>
      </c>
      <c r="J361" s="137" t="s">
        <v>129</v>
      </c>
      <c r="K361" s="137" t="s">
        <v>129</v>
      </c>
      <c r="L361" s="137" t="s">
        <v>129</v>
      </c>
      <c r="M361" s="141"/>
      <c r="N361" s="147"/>
    </row>
    <row r="362" hidden="1" outlineLevel="1">
      <c r="B362" s="189"/>
      <c r="C362" s="191" t="s">
        <v>194</v>
      </c>
      <c r="D362" s="204">
        <f>AVERAGE(D347:D361)</f>
        <v>1</v>
      </c>
      <c r="E362" s="200"/>
      <c r="L362" s="191" t="s">
        <v>194</v>
      </c>
      <c r="M362" s="204">
        <f>SUM(M347:M361)/75*0.1</f>
        <v>0</v>
      </c>
    </row>
    <row r="363" hidden="1" collapsed="1">
      <c r="A363" s="206" t="s">
        <v>858</v>
      </c>
      <c r="B363" s="207"/>
      <c r="C363" s="207"/>
      <c r="D363" s="208"/>
      <c r="E363" s="109"/>
      <c r="F363" s="109"/>
      <c r="G363" s="110"/>
      <c r="H363" s="110"/>
      <c r="I363" s="110"/>
      <c r="J363" s="110"/>
      <c r="K363" s="110"/>
      <c r="L363" s="110"/>
      <c r="M363" s="111"/>
      <c r="N363" s="113"/>
    </row>
    <row r="364" hidden="1" outlineLevel="1">
      <c r="A364" s="373" t="s">
        <v>98</v>
      </c>
      <c r="B364" s="115" t="s">
        <v>100</v>
      </c>
      <c r="C364" s="115" t="s">
        <v>102</v>
      </c>
      <c r="D364" s="119" t="s">
        <v>103</v>
      </c>
      <c r="E364" s="275" t="s">
        <v>269</v>
      </c>
      <c r="F364" s="275" t="s">
        <v>272</v>
      </c>
      <c r="G364" s="276" t="s">
        <v>328</v>
      </c>
      <c r="H364" s="121" t="s">
        <v>107</v>
      </c>
      <c r="I364" s="121" t="s">
        <v>108</v>
      </c>
      <c r="J364" s="276" t="s">
        <v>329</v>
      </c>
      <c r="K364" s="121" t="s">
        <v>111</v>
      </c>
      <c r="L364" s="276" t="s">
        <v>274</v>
      </c>
      <c r="M364" s="115" t="s">
        <v>114</v>
      </c>
      <c r="N364" s="119" t="s">
        <v>115</v>
      </c>
    </row>
    <row r="365" hidden="1" outlineLevel="1">
      <c r="A365" s="376" t="s">
        <v>1039</v>
      </c>
      <c r="B365" s="344">
        <v>46112.0</v>
      </c>
      <c r="C365" s="133" t="str">
        <f t="shared" ref="C365:C379" si="46">IF(B365="", "", TEXT(B365, "ddd"))</f>
        <v>Tue</v>
      </c>
      <c r="D365" s="136">
        <f t="shared" ref="D365:D379" si="47">IF(E365="Yes",0.05,0)
+IF(F365="Yes",0.1,0)
+IF(G365="Yes",0.15,0)
+IF(H365="Yes",0.15,0)
+IF(I365="Yes",0.05,0)
+IF(J365="Yes",0.05,0)
+IF(K365="Yes",0.15,0)
+IF(L365="Yes",0.3,0)
</f>
        <v>1</v>
      </c>
      <c r="E365" s="137" t="s">
        <v>129</v>
      </c>
      <c r="F365" s="137" t="s">
        <v>129</v>
      </c>
      <c r="G365" s="137" t="s">
        <v>129</v>
      </c>
      <c r="H365" s="137" t="s">
        <v>129</v>
      </c>
      <c r="I365" s="137" t="s">
        <v>129</v>
      </c>
      <c r="J365" s="137" t="s">
        <v>129</v>
      </c>
      <c r="K365" s="137" t="s">
        <v>129</v>
      </c>
      <c r="L365" s="137" t="s">
        <v>129</v>
      </c>
      <c r="M365" s="141"/>
      <c r="N365" s="143"/>
    </row>
    <row r="366" hidden="1" outlineLevel="1">
      <c r="A366" s="219" t="s">
        <v>1042</v>
      </c>
      <c r="B366" s="344">
        <v>46112.0</v>
      </c>
      <c r="C366" s="133" t="str">
        <f t="shared" si="46"/>
        <v>Tue</v>
      </c>
      <c r="D366" s="136">
        <f t="shared" si="47"/>
        <v>1</v>
      </c>
      <c r="E366" s="137" t="s">
        <v>129</v>
      </c>
      <c r="F366" s="137" t="s">
        <v>129</v>
      </c>
      <c r="G366" s="137" t="s">
        <v>129</v>
      </c>
      <c r="H366" s="137" t="s">
        <v>129</v>
      </c>
      <c r="I366" s="137" t="s">
        <v>129</v>
      </c>
      <c r="J366" s="137" t="s">
        <v>129</v>
      </c>
      <c r="K366" s="137" t="s">
        <v>129</v>
      </c>
      <c r="L366" s="137" t="s">
        <v>129</v>
      </c>
      <c r="M366" s="141"/>
      <c r="N366" s="147"/>
    </row>
    <row r="367" hidden="1" outlineLevel="1">
      <c r="A367" s="380" t="s">
        <v>1047</v>
      </c>
      <c r="B367" s="344">
        <v>46112.0</v>
      </c>
      <c r="C367" s="133" t="str">
        <f t="shared" si="46"/>
        <v>Tue</v>
      </c>
      <c r="D367" s="136">
        <f t="shared" si="47"/>
        <v>1</v>
      </c>
      <c r="E367" s="137" t="s">
        <v>129</v>
      </c>
      <c r="F367" s="137" t="s">
        <v>129</v>
      </c>
      <c r="G367" s="137" t="s">
        <v>129</v>
      </c>
      <c r="H367" s="137" t="s">
        <v>129</v>
      </c>
      <c r="I367" s="137" t="s">
        <v>129</v>
      </c>
      <c r="J367" s="137" t="s">
        <v>129</v>
      </c>
      <c r="K367" s="137" t="s">
        <v>129</v>
      </c>
      <c r="L367" s="137" t="s">
        <v>129</v>
      </c>
      <c r="M367" s="141"/>
      <c r="N367" s="147"/>
    </row>
    <row r="368" hidden="1" outlineLevel="1">
      <c r="A368" s="255" t="s">
        <v>1049</v>
      </c>
      <c r="B368" s="344">
        <v>46113.0</v>
      </c>
      <c r="C368" s="133" t="str">
        <f t="shared" si="46"/>
        <v>Wed</v>
      </c>
      <c r="D368" s="136">
        <f t="shared" si="47"/>
        <v>1</v>
      </c>
      <c r="E368" s="137" t="s">
        <v>129</v>
      </c>
      <c r="F368" s="137" t="s">
        <v>129</v>
      </c>
      <c r="G368" s="137" t="s">
        <v>129</v>
      </c>
      <c r="H368" s="137" t="s">
        <v>129</v>
      </c>
      <c r="I368" s="137" t="s">
        <v>129</v>
      </c>
      <c r="J368" s="137" t="s">
        <v>129</v>
      </c>
      <c r="K368" s="137" t="s">
        <v>129</v>
      </c>
      <c r="L368" s="137" t="s">
        <v>129</v>
      </c>
      <c r="M368" s="141"/>
      <c r="N368" s="143"/>
    </row>
    <row r="369" hidden="1" outlineLevel="1">
      <c r="A369" s="255" t="s">
        <v>1051</v>
      </c>
      <c r="B369" s="344">
        <v>46113.0</v>
      </c>
      <c r="C369" s="133" t="str">
        <f t="shared" si="46"/>
        <v>Wed</v>
      </c>
      <c r="D369" s="136">
        <f t="shared" si="47"/>
        <v>1</v>
      </c>
      <c r="E369" s="137" t="s">
        <v>129</v>
      </c>
      <c r="F369" s="137" t="s">
        <v>129</v>
      </c>
      <c r="G369" s="137" t="s">
        <v>129</v>
      </c>
      <c r="H369" s="137" t="s">
        <v>129</v>
      </c>
      <c r="I369" s="137" t="s">
        <v>129</v>
      </c>
      <c r="J369" s="137" t="s">
        <v>129</v>
      </c>
      <c r="K369" s="137" t="s">
        <v>129</v>
      </c>
      <c r="L369" s="137" t="s">
        <v>129</v>
      </c>
      <c r="M369" s="141"/>
      <c r="N369" s="143"/>
    </row>
    <row r="370" hidden="1" outlineLevel="1">
      <c r="A370" s="255" t="s">
        <v>1052</v>
      </c>
      <c r="B370" s="344">
        <v>46113.0</v>
      </c>
      <c r="C370" s="133" t="str">
        <f t="shared" si="46"/>
        <v>Wed</v>
      </c>
      <c r="D370" s="136">
        <f t="shared" si="47"/>
        <v>1</v>
      </c>
      <c r="E370" s="137" t="s">
        <v>129</v>
      </c>
      <c r="F370" s="137" t="s">
        <v>129</v>
      </c>
      <c r="G370" s="137" t="s">
        <v>129</v>
      </c>
      <c r="H370" s="137" t="s">
        <v>129</v>
      </c>
      <c r="I370" s="137" t="s">
        <v>129</v>
      </c>
      <c r="J370" s="137" t="s">
        <v>129</v>
      </c>
      <c r="K370" s="137" t="s">
        <v>129</v>
      </c>
      <c r="L370" s="137" t="s">
        <v>129</v>
      </c>
      <c r="M370" s="141"/>
      <c r="N370" s="143"/>
    </row>
    <row r="371" hidden="1" outlineLevel="1">
      <c r="A371" s="255" t="s">
        <v>1053</v>
      </c>
      <c r="B371" s="344">
        <v>46114.0</v>
      </c>
      <c r="C371" s="133" t="str">
        <f t="shared" si="46"/>
        <v>Thu</v>
      </c>
      <c r="D371" s="136">
        <f t="shared" si="47"/>
        <v>1</v>
      </c>
      <c r="E371" s="137" t="s">
        <v>129</v>
      </c>
      <c r="F371" s="137" t="s">
        <v>129</v>
      </c>
      <c r="G371" s="137" t="s">
        <v>129</v>
      </c>
      <c r="H371" s="137" t="s">
        <v>129</v>
      </c>
      <c r="I371" s="137" t="s">
        <v>129</v>
      </c>
      <c r="J371" s="137" t="s">
        <v>129</v>
      </c>
      <c r="K371" s="137" t="s">
        <v>129</v>
      </c>
      <c r="L371" s="137" t="s">
        <v>129</v>
      </c>
      <c r="M371" s="141"/>
      <c r="N371" s="143"/>
    </row>
    <row r="372" hidden="1" outlineLevel="1">
      <c r="A372" s="255" t="s">
        <v>1054</v>
      </c>
      <c r="B372" s="344">
        <v>46114.0</v>
      </c>
      <c r="C372" s="133" t="str">
        <f t="shared" si="46"/>
        <v>Thu</v>
      </c>
      <c r="D372" s="136">
        <f t="shared" si="47"/>
        <v>1</v>
      </c>
      <c r="E372" s="137" t="s">
        <v>129</v>
      </c>
      <c r="F372" s="137" t="s">
        <v>129</v>
      </c>
      <c r="G372" s="137" t="s">
        <v>129</v>
      </c>
      <c r="H372" s="137" t="s">
        <v>129</v>
      </c>
      <c r="I372" s="137" t="s">
        <v>129</v>
      </c>
      <c r="J372" s="137" t="s">
        <v>129</v>
      </c>
      <c r="K372" s="137" t="s">
        <v>129</v>
      </c>
      <c r="L372" s="137" t="s">
        <v>129</v>
      </c>
      <c r="M372" s="141"/>
      <c r="N372" s="147"/>
    </row>
    <row r="373" hidden="1" outlineLevel="1">
      <c r="A373" s="255" t="s">
        <v>1056</v>
      </c>
      <c r="B373" s="344">
        <v>46114.0</v>
      </c>
      <c r="C373" s="133" t="str">
        <f t="shared" si="46"/>
        <v>Thu</v>
      </c>
      <c r="D373" s="136">
        <f t="shared" si="47"/>
        <v>1</v>
      </c>
      <c r="E373" s="137" t="s">
        <v>129</v>
      </c>
      <c r="F373" s="137" t="s">
        <v>129</v>
      </c>
      <c r="G373" s="137" t="s">
        <v>129</v>
      </c>
      <c r="H373" s="137" t="s">
        <v>129</v>
      </c>
      <c r="I373" s="137" t="s">
        <v>129</v>
      </c>
      <c r="J373" s="137" t="s">
        <v>129</v>
      </c>
      <c r="K373" s="137" t="s">
        <v>129</v>
      </c>
      <c r="L373" s="137" t="s">
        <v>129</v>
      </c>
      <c r="M373" s="141"/>
      <c r="N373" s="143"/>
    </row>
    <row r="374" hidden="1" outlineLevel="1">
      <c r="A374" s="303" t="s">
        <v>1058</v>
      </c>
      <c r="B374" s="344">
        <v>46115.0</v>
      </c>
      <c r="C374" s="133" t="str">
        <f t="shared" si="46"/>
        <v>Fri</v>
      </c>
      <c r="D374" s="136">
        <f t="shared" si="47"/>
        <v>1</v>
      </c>
      <c r="E374" s="137" t="s">
        <v>129</v>
      </c>
      <c r="F374" s="137" t="s">
        <v>129</v>
      </c>
      <c r="G374" s="137" t="s">
        <v>129</v>
      </c>
      <c r="H374" s="137" t="s">
        <v>129</v>
      </c>
      <c r="I374" s="137" t="s">
        <v>129</v>
      </c>
      <c r="J374" s="137" t="s">
        <v>129</v>
      </c>
      <c r="K374" s="137" t="s">
        <v>129</v>
      </c>
      <c r="L374" s="137" t="s">
        <v>129</v>
      </c>
      <c r="M374" s="141"/>
      <c r="N374" s="147"/>
    </row>
    <row r="375" hidden="1" outlineLevel="1">
      <c r="A375" s="303" t="s">
        <v>1060</v>
      </c>
      <c r="B375" s="344">
        <v>46115.0</v>
      </c>
      <c r="C375" s="133" t="str">
        <f t="shared" si="46"/>
        <v>Fri</v>
      </c>
      <c r="D375" s="136">
        <f t="shared" si="47"/>
        <v>1</v>
      </c>
      <c r="E375" s="137" t="s">
        <v>129</v>
      </c>
      <c r="F375" s="137" t="s">
        <v>129</v>
      </c>
      <c r="G375" s="137" t="s">
        <v>129</v>
      </c>
      <c r="H375" s="137" t="s">
        <v>129</v>
      </c>
      <c r="I375" s="137" t="s">
        <v>129</v>
      </c>
      <c r="J375" s="137" t="s">
        <v>129</v>
      </c>
      <c r="K375" s="137" t="s">
        <v>129</v>
      </c>
      <c r="L375" s="137" t="s">
        <v>129</v>
      </c>
      <c r="M375" s="141"/>
      <c r="N375" s="147"/>
    </row>
    <row r="376" hidden="1" outlineLevel="1">
      <c r="A376" s="303" t="s">
        <v>1062</v>
      </c>
      <c r="B376" s="344">
        <v>46115.0</v>
      </c>
      <c r="C376" s="133" t="str">
        <f t="shared" si="46"/>
        <v>Fri</v>
      </c>
      <c r="D376" s="136">
        <f t="shared" si="47"/>
        <v>1</v>
      </c>
      <c r="E376" s="137" t="s">
        <v>129</v>
      </c>
      <c r="F376" s="137" t="s">
        <v>129</v>
      </c>
      <c r="G376" s="137" t="s">
        <v>129</v>
      </c>
      <c r="H376" s="137" t="s">
        <v>129</v>
      </c>
      <c r="I376" s="137" t="s">
        <v>129</v>
      </c>
      <c r="J376" s="137" t="s">
        <v>129</v>
      </c>
      <c r="K376" s="137" t="s">
        <v>129</v>
      </c>
      <c r="L376" s="137" t="s">
        <v>129</v>
      </c>
      <c r="M376" s="141"/>
      <c r="N376" s="147"/>
    </row>
    <row r="377" hidden="1" outlineLevel="1">
      <c r="A377" s="219" t="s">
        <v>145</v>
      </c>
      <c r="B377" s="344"/>
      <c r="C377" s="133" t="str">
        <f t="shared" si="46"/>
        <v/>
      </c>
      <c r="D377" s="136">
        <f t="shared" si="47"/>
        <v>1</v>
      </c>
      <c r="E377" s="137" t="s">
        <v>129</v>
      </c>
      <c r="F377" s="137" t="s">
        <v>129</v>
      </c>
      <c r="G377" s="137" t="s">
        <v>129</v>
      </c>
      <c r="H377" s="137" t="s">
        <v>129</v>
      </c>
      <c r="I377" s="137" t="s">
        <v>129</v>
      </c>
      <c r="J377" s="137" t="s">
        <v>129</v>
      </c>
      <c r="K377" s="137" t="s">
        <v>129</v>
      </c>
      <c r="L377" s="137" t="s">
        <v>129</v>
      </c>
      <c r="M377" s="141"/>
      <c r="N377" s="143"/>
    </row>
    <row r="378" hidden="1" outlineLevel="1">
      <c r="A378" s="219" t="s">
        <v>145</v>
      </c>
      <c r="B378" s="344"/>
      <c r="C378" s="133" t="str">
        <f t="shared" si="46"/>
        <v/>
      </c>
      <c r="D378" s="136">
        <f t="shared" si="47"/>
        <v>1</v>
      </c>
      <c r="E378" s="137" t="s">
        <v>129</v>
      </c>
      <c r="F378" s="137" t="s">
        <v>129</v>
      </c>
      <c r="G378" s="137" t="s">
        <v>129</v>
      </c>
      <c r="H378" s="137" t="s">
        <v>129</v>
      </c>
      <c r="I378" s="137" t="s">
        <v>129</v>
      </c>
      <c r="J378" s="137" t="s">
        <v>129</v>
      </c>
      <c r="K378" s="137" t="s">
        <v>129</v>
      </c>
      <c r="L378" s="137" t="s">
        <v>129</v>
      </c>
      <c r="M378" s="141"/>
      <c r="N378" s="143"/>
    </row>
    <row r="379" ht="15.0" hidden="1" customHeight="1" outlineLevel="1">
      <c r="A379" s="219" t="s">
        <v>145</v>
      </c>
      <c r="B379" s="344"/>
      <c r="C379" s="133" t="str">
        <f t="shared" si="46"/>
        <v/>
      </c>
      <c r="D379" s="136">
        <f t="shared" si="47"/>
        <v>1</v>
      </c>
      <c r="E379" s="137" t="s">
        <v>129</v>
      </c>
      <c r="F379" s="137" t="s">
        <v>129</v>
      </c>
      <c r="G379" s="137" t="s">
        <v>129</v>
      </c>
      <c r="H379" s="137" t="s">
        <v>129</v>
      </c>
      <c r="I379" s="137" t="s">
        <v>129</v>
      </c>
      <c r="J379" s="137" t="s">
        <v>129</v>
      </c>
      <c r="K379" s="137" t="s">
        <v>129</v>
      </c>
      <c r="L379" s="137" t="s">
        <v>129</v>
      </c>
      <c r="M379" s="141"/>
      <c r="N379" s="147"/>
    </row>
    <row r="380" hidden="1" outlineLevel="1">
      <c r="B380" s="189"/>
      <c r="C380" s="191" t="s">
        <v>194</v>
      </c>
      <c r="D380" s="204">
        <f>AVERAGE(D365:D379)</f>
        <v>1</v>
      </c>
      <c r="E380" s="200"/>
      <c r="L380" s="191" t="s">
        <v>194</v>
      </c>
      <c r="M380" s="204">
        <f>SUM(M365:M379)/75*0.1</f>
        <v>0</v>
      </c>
    </row>
    <row r="381" hidden="1" collapsed="1">
      <c r="A381" s="206" t="s">
        <v>886</v>
      </c>
      <c r="B381" s="207"/>
      <c r="C381" s="207"/>
      <c r="D381" s="208"/>
      <c r="E381" s="109"/>
      <c r="F381" s="109"/>
      <c r="G381" s="110"/>
      <c r="H381" s="110"/>
      <c r="I381" s="110"/>
      <c r="J381" s="110"/>
      <c r="K381" s="110"/>
      <c r="L381" s="110"/>
      <c r="M381" s="111"/>
      <c r="N381" s="113"/>
    </row>
    <row r="382" hidden="1" outlineLevel="1">
      <c r="A382" s="373" t="s">
        <v>98</v>
      </c>
      <c r="B382" s="115" t="s">
        <v>100</v>
      </c>
      <c r="C382" s="115" t="s">
        <v>102</v>
      </c>
      <c r="D382" s="119" t="s">
        <v>103</v>
      </c>
      <c r="E382" s="275" t="s">
        <v>269</v>
      </c>
      <c r="F382" s="275" t="s">
        <v>272</v>
      </c>
      <c r="G382" s="276" t="s">
        <v>328</v>
      </c>
      <c r="H382" s="121" t="s">
        <v>107</v>
      </c>
      <c r="I382" s="121" t="s">
        <v>108</v>
      </c>
      <c r="J382" s="276" t="s">
        <v>329</v>
      </c>
      <c r="K382" s="121" t="s">
        <v>111</v>
      </c>
      <c r="L382" s="276" t="s">
        <v>274</v>
      </c>
      <c r="M382" s="115" t="s">
        <v>114</v>
      </c>
      <c r="N382" s="119" t="s">
        <v>115</v>
      </c>
    </row>
    <row r="383" hidden="1" outlineLevel="1">
      <c r="A383" s="403" t="s">
        <v>1074</v>
      </c>
      <c r="B383" s="344">
        <v>46118.0</v>
      </c>
      <c r="C383" s="133" t="str">
        <f t="shared" ref="C383:C397" si="48">IF(B383="", "", TEXT(B383, "ddd"))</f>
        <v>Mon</v>
      </c>
      <c r="D383" s="136">
        <f t="shared" ref="D383:D397" si="49">IF(E383="Yes",0.05,0)
+IF(F383="Yes",0.1,0)
+IF(G383="Yes",0.15,0)
+IF(H383="Yes",0.15,0)
+IF(I383="Yes",0.05,0)
+IF(J383="Yes",0.05,0)
+IF(K383="Yes",0.15,0)
+IF(L383="Yes",0.3,0)
</f>
        <v>1</v>
      </c>
      <c r="E383" s="137" t="s">
        <v>129</v>
      </c>
      <c r="F383" s="137" t="s">
        <v>129</v>
      </c>
      <c r="G383" s="137" t="s">
        <v>129</v>
      </c>
      <c r="H383" s="137" t="s">
        <v>129</v>
      </c>
      <c r="I383" s="137" t="s">
        <v>129</v>
      </c>
      <c r="J383" s="137" t="s">
        <v>129</v>
      </c>
      <c r="K383" s="137" t="s">
        <v>129</v>
      </c>
      <c r="L383" s="137" t="s">
        <v>129</v>
      </c>
      <c r="M383" s="141"/>
      <c r="N383" s="143"/>
    </row>
    <row r="384" hidden="1" outlineLevel="1">
      <c r="A384" s="303" t="s">
        <v>1079</v>
      </c>
      <c r="B384" s="344">
        <v>46118.0</v>
      </c>
      <c r="C384" s="133" t="str">
        <f t="shared" si="48"/>
        <v>Mon</v>
      </c>
      <c r="D384" s="136">
        <f t="shared" si="49"/>
        <v>1</v>
      </c>
      <c r="E384" s="137" t="s">
        <v>129</v>
      </c>
      <c r="F384" s="137" t="s">
        <v>129</v>
      </c>
      <c r="G384" s="137" t="s">
        <v>129</v>
      </c>
      <c r="H384" s="137" t="s">
        <v>129</v>
      </c>
      <c r="I384" s="137" t="s">
        <v>129</v>
      </c>
      <c r="J384" s="137" t="s">
        <v>129</v>
      </c>
      <c r="K384" s="137" t="s">
        <v>129</v>
      </c>
      <c r="L384" s="137" t="s">
        <v>129</v>
      </c>
      <c r="M384" s="141"/>
      <c r="N384" s="147"/>
    </row>
    <row r="385" hidden="1" outlineLevel="1">
      <c r="A385" s="303" t="s">
        <v>1081</v>
      </c>
      <c r="B385" s="344">
        <v>46118.0</v>
      </c>
      <c r="C385" s="133" t="str">
        <f t="shared" si="48"/>
        <v>Mon</v>
      </c>
      <c r="D385" s="136">
        <f t="shared" si="49"/>
        <v>1</v>
      </c>
      <c r="E385" s="137" t="s">
        <v>129</v>
      </c>
      <c r="F385" s="137" t="s">
        <v>129</v>
      </c>
      <c r="G385" s="137" t="s">
        <v>129</v>
      </c>
      <c r="H385" s="137" t="s">
        <v>129</v>
      </c>
      <c r="I385" s="137" t="s">
        <v>129</v>
      </c>
      <c r="J385" s="137" t="s">
        <v>129</v>
      </c>
      <c r="K385" s="137" t="s">
        <v>129</v>
      </c>
      <c r="L385" s="137" t="s">
        <v>129</v>
      </c>
      <c r="M385" s="141"/>
      <c r="N385" s="147"/>
    </row>
    <row r="386" hidden="1" outlineLevel="1">
      <c r="A386" s="219" t="s">
        <v>1083</v>
      </c>
      <c r="B386" s="344">
        <v>46119.0</v>
      </c>
      <c r="C386" s="133" t="str">
        <f t="shared" si="48"/>
        <v>Tue</v>
      </c>
      <c r="D386" s="136">
        <f t="shared" si="49"/>
        <v>1</v>
      </c>
      <c r="E386" s="137" t="s">
        <v>129</v>
      </c>
      <c r="F386" s="137" t="s">
        <v>129</v>
      </c>
      <c r="G386" s="137" t="s">
        <v>129</v>
      </c>
      <c r="H386" s="137" t="s">
        <v>129</v>
      </c>
      <c r="I386" s="137" t="s">
        <v>129</v>
      </c>
      <c r="J386" s="137" t="s">
        <v>129</v>
      </c>
      <c r="K386" s="137" t="s">
        <v>129</v>
      </c>
      <c r="L386" s="137" t="s">
        <v>129</v>
      </c>
      <c r="M386" s="141"/>
      <c r="N386" s="143"/>
    </row>
    <row r="387" hidden="1" outlineLevel="1">
      <c r="A387" s="219" t="s">
        <v>1085</v>
      </c>
      <c r="B387" s="344">
        <v>46119.0</v>
      </c>
      <c r="C387" s="133" t="str">
        <f t="shared" si="48"/>
        <v>Tue</v>
      </c>
      <c r="D387" s="136">
        <f t="shared" si="49"/>
        <v>1</v>
      </c>
      <c r="E387" s="137" t="s">
        <v>129</v>
      </c>
      <c r="F387" s="137" t="s">
        <v>129</v>
      </c>
      <c r="G387" s="137" t="s">
        <v>129</v>
      </c>
      <c r="H387" s="137" t="s">
        <v>129</v>
      </c>
      <c r="I387" s="137" t="s">
        <v>129</v>
      </c>
      <c r="J387" s="137" t="s">
        <v>129</v>
      </c>
      <c r="K387" s="137" t="s">
        <v>129</v>
      </c>
      <c r="L387" s="137" t="s">
        <v>129</v>
      </c>
      <c r="M387" s="141"/>
      <c r="N387" s="143"/>
    </row>
    <row r="388" hidden="1" outlineLevel="1">
      <c r="A388" s="219" t="s">
        <v>1087</v>
      </c>
      <c r="B388" s="344">
        <v>46119.0</v>
      </c>
      <c r="C388" s="133" t="str">
        <f t="shared" si="48"/>
        <v>Tue</v>
      </c>
      <c r="D388" s="136">
        <f t="shared" si="49"/>
        <v>1</v>
      </c>
      <c r="E388" s="137" t="s">
        <v>129</v>
      </c>
      <c r="F388" s="137" t="s">
        <v>129</v>
      </c>
      <c r="G388" s="137" t="s">
        <v>129</v>
      </c>
      <c r="H388" s="137" t="s">
        <v>129</v>
      </c>
      <c r="I388" s="137" t="s">
        <v>129</v>
      </c>
      <c r="J388" s="137" t="s">
        <v>129</v>
      </c>
      <c r="K388" s="137" t="s">
        <v>129</v>
      </c>
      <c r="L388" s="137" t="s">
        <v>129</v>
      </c>
      <c r="M388" s="141"/>
      <c r="N388" s="143"/>
    </row>
    <row r="389" hidden="1" outlineLevel="1">
      <c r="A389" s="219" t="s">
        <v>1089</v>
      </c>
      <c r="B389" s="344">
        <v>46122.0</v>
      </c>
      <c r="C389" s="133" t="str">
        <f t="shared" si="48"/>
        <v>Fri</v>
      </c>
      <c r="D389" s="136">
        <f t="shared" si="49"/>
        <v>1</v>
      </c>
      <c r="E389" s="137" t="s">
        <v>129</v>
      </c>
      <c r="F389" s="137" t="s">
        <v>129</v>
      </c>
      <c r="G389" s="137" t="s">
        <v>129</v>
      </c>
      <c r="H389" s="137" t="s">
        <v>129</v>
      </c>
      <c r="I389" s="137" t="s">
        <v>129</v>
      </c>
      <c r="J389" s="137" t="s">
        <v>129</v>
      </c>
      <c r="K389" s="137" t="s">
        <v>129</v>
      </c>
      <c r="L389" s="137" t="s">
        <v>129</v>
      </c>
      <c r="M389" s="141"/>
      <c r="N389" s="143"/>
    </row>
    <row r="390" hidden="1" outlineLevel="1">
      <c r="A390" s="219" t="s">
        <v>1091</v>
      </c>
      <c r="B390" s="344">
        <v>46122.0</v>
      </c>
      <c r="C390" s="133" t="str">
        <f t="shared" si="48"/>
        <v>Fri</v>
      </c>
      <c r="D390" s="136">
        <f t="shared" si="49"/>
        <v>1</v>
      </c>
      <c r="E390" s="137" t="s">
        <v>129</v>
      </c>
      <c r="F390" s="137" t="s">
        <v>129</v>
      </c>
      <c r="G390" s="137" t="s">
        <v>129</v>
      </c>
      <c r="H390" s="137" t="s">
        <v>129</v>
      </c>
      <c r="I390" s="137" t="s">
        <v>129</v>
      </c>
      <c r="J390" s="137" t="s">
        <v>129</v>
      </c>
      <c r="K390" s="137" t="s">
        <v>129</v>
      </c>
      <c r="L390" s="137" t="s">
        <v>129</v>
      </c>
      <c r="M390" s="141"/>
      <c r="N390" s="147"/>
    </row>
    <row r="391" hidden="1" outlineLevel="1">
      <c r="A391" s="219" t="s">
        <v>1095</v>
      </c>
      <c r="B391" s="344">
        <v>46122.0</v>
      </c>
      <c r="C391" s="133" t="str">
        <f t="shared" si="48"/>
        <v>Fri</v>
      </c>
      <c r="D391" s="136">
        <f t="shared" si="49"/>
        <v>1</v>
      </c>
      <c r="E391" s="137" t="s">
        <v>129</v>
      </c>
      <c r="F391" s="137" t="s">
        <v>129</v>
      </c>
      <c r="G391" s="137" t="s">
        <v>129</v>
      </c>
      <c r="H391" s="137" t="s">
        <v>129</v>
      </c>
      <c r="I391" s="137" t="s">
        <v>129</v>
      </c>
      <c r="J391" s="137" t="s">
        <v>129</v>
      </c>
      <c r="K391" s="137" t="s">
        <v>129</v>
      </c>
      <c r="L391" s="137" t="s">
        <v>129</v>
      </c>
      <c r="M391" s="141"/>
      <c r="N391" s="143"/>
    </row>
    <row r="392" hidden="1" outlineLevel="1">
      <c r="A392" s="219" t="s">
        <v>1097</v>
      </c>
      <c r="B392" s="344">
        <v>46123.0</v>
      </c>
      <c r="C392" s="133" t="str">
        <f t="shared" si="48"/>
        <v>Sat</v>
      </c>
      <c r="D392" s="136">
        <f t="shared" si="49"/>
        <v>1</v>
      </c>
      <c r="E392" s="137" t="s">
        <v>129</v>
      </c>
      <c r="F392" s="137" t="s">
        <v>129</v>
      </c>
      <c r="G392" s="137" t="s">
        <v>129</v>
      </c>
      <c r="H392" s="137" t="s">
        <v>129</v>
      </c>
      <c r="I392" s="137" t="s">
        <v>129</v>
      </c>
      <c r="J392" s="137" t="s">
        <v>129</v>
      </c>
      <c r="K392" s="137" t="s">
        <v>129</v>
      </c>
      <c r="L392" s="137" t="s">
        <v>129</v>
      </c>
      <c r="M392" s="141"/>
      <c r="N392" s="147"/>
    </row>
    <row r="393" hidden="1" outlineLevel="1">
      <c r="A393" s="219" t="s">
        <v>1099</v>
      </c>
      <c r="B393" s="344">
        <v>46123.0</v>
      </c>
      <c r="C393" s="133" t="str">
        <f t="shared" si="48"/>
        <v>Sat</v>
      </c>
      <c r="D393" s="136">
        <f t="shared" si="49"/>
        <v>1</v>
      </c>
      <c r="E393" s="137" t="s">
        <v>129</v>
      </c>
      <c r="F393" s="137" t="s">
        <v>129</v>
      </c>
      <c r="G393" s="137" t="s">
        <v>129</v>
      </c>
      <c r="H393" s="137" t="s">
        <v>129</v>
      </c>
      <c r="I393" s="137" t="s">
        <v>129</v>
      </c>
      <c r="J393" s="137" t="s">
        <v>129</v>
      </c>
      <c r="K393" s="137" t="s">
        <v>129</v>
      </c>
      <c r="L393" s="137" t="s">
        <v>129</v>
      </c>
      <c r="M393" s="141"/>
      <c r="N393" s="147"/>
    </row>
    <row r="394" hidden="1" outlineLevel="1">
      <c r="A394" s="219" t="s">
        <v>1103</v>
      </c>
      <c r="B394" s="344">
        <v>46123.0</v>
      </c>
      <c r="C394" s="133" t="str">
        <f t="shared" si="48"/>
        <v>Sat</v>
      </c>
      <c r="D394" s="136">
        <f t="shared" si="49"/>
        <v>1</v>
      </c>
      <c r="E394" s="137" t="s">
        <v>129</v>
      </c>
      <c r="F394" s="137" t="s">
        <v>129</v>
      </c>
      <c r="G394" s="137" t="s">
        <v>129</v>
      </c>
      <c r="H394" s="137" t="s">
        <v>129</v>
      </c>
      <c r="I394" s="137" t="s">
        <v>129</v>
      </c>
      <c r="J394" s="137" t="s">
        <v>129</v>
      </c>
      <c r="K394" s="137" t="s">
        <v>129</v>
      </c>
      <c r="L394" s="137" t="s">
        <v>129</v>
      </c>
      <c r="M394" s="141"/>
      <c r="N394" s="147"/>
    </row>
    <row r="395" hidden="1" outlineLevel="1">
      <c r="A395" s="303" t="s">
        <v>1105</v>
      </c>
      <c r="B395" s="344">
        <v>46124.0</v>
      </c>
      <c r="C395" s="133" t="str">
        <f t="shared" si="48"/>
        <v>Sun</v>
      </c>
      <c r="D395" s="136">
        <f t="shared" si="49"/>
        <v>1</v>
      </c>
      <c r="E395" s="137" t="s">
        <v>129</v>
      </c>
      <c r="F395" s="137" t="s">
        <v>129</v>
      </c>
      <c r="G395" s="137" t="s">
        <v>129</v>
      </c>
      <c r="H395" s="137" t="s">
        <v>129</v>
      </c>
      <c r="I395" s="137" t="s">
        <v>129</v>
      </c>
      <c r="J395" s="137" t="s">
        <v>129</v>
      </c>
      <c r="K395" s="137" t="s">
        <v>129</v>
      </c>
      <c r="L395" s="137" t="s">
        <v>129</v>
      </c>
      <c r="M395" s="141"/>
      <c r="N395" s="143"/>
    </row>
    <row r="396" hidden="1" outlineLevel="1">
      <c r="A396" s="303" t="s">
        <v>1107</v>
      </c>
      <c r="B396" s="344">
        <v>46124.0</v>
      </c>
      <c r="C396" s="133" t="str">
        <f t="shared" si="48"/>
        <v>Sun</v>
      </c>
      <c r="D396" s="136">
        <f t="shared" si="49"/>
        <v>1</v>
      </c>
      <c r="E396" s="137" t="s">
        <v>129</v>
      </c>
      <c r="F396" s="137" t="s">
        <v>129</v>
      </c>
      <c r="G396" s="137" t="s">
        <v>129</v>
      </c>
      <c r="H396" s="137" t="s">
        <v>129</v>
      </c>
      <c r="I396" s="137" t="s">
        <v>129</v>
      </c>
      <c r="J396" s="137" t="s">
        <v>129</v>
      </c>
      <c r="K396" s="137" t="s">
        <v>129</v>
      </c>
      <c r="L396" s="137" t="s">
        <v>129</v>
      </c>
      <c r="M396" s="141"/>
      <c r="N396" s="143"/>
    </row>
    <row r="397" ht="15.0" hidden="1" customHeight="1" outlineLevel="1">
      <c r="A397" s="303" t="s">
        <v>1108</v>
      </c>
      <c r="B397" s="344">
        <v>46124.0</v>
      </c>
      <c r="C397" s="133" t="str">
        <f t="shared" si="48"/>
        <v>Sun</v>
      </c>
      <c r="D397" s="136">
        <f t="shared" si="49"/>
        <v>1</v>
      </c>
      <c r="E397" s="137" t="s">
        <v>129</v>
      </c>
      <c r="F397" s="137" t="s">
        <v>129</v>
      </c>
      <c r="G397" s="137" t="s">
        <v>129</v>
      </c>
      <c r="H397" s="137" t="s">
        <v>129</v>
      </c>
      <c r="I397" s="137" t="s">
        <v>129</v>
      </c>
      <c r="J397" s="137" t="s">
        <v>129</v>
      </c>
      <c r="K397" s="137" t="s">
        <v>129</v>
      </c>
      <c r="L397" s="137" t="s">
        <v>129</v>
      </c>
      <c r="M397" s="141"/>
      <c r="N397" s="147"/>
    </row>
    <row r="398" hidden="1" outlineLevel="1">
      <c r="B398" s="189"/>
      <c r="C398" s="191" t="s">
        <v>194</v>
      </c>
      <c r="D398" s="204">
        <f>AVERAGE(D383:D397)</f>
        <v>1</v>
      </c>
      <c r="E398" s="200"/>
      <c r="L398" s="191" t="s">
        <v>194</v>
      </c>
      <c r="M398" s="204">
        <f>SUM(M383:M397)/75*0.1</f>
        <v>0</v>
      </c>
    </row>
    <row r="399" hidden="1" collapsed="1">
      <c r="A399" s="206" t="s">
        <v>917</v>
      </c>
      <c r="B399" s="207"/>
      <c r="C399" s="207"/>
      <c r="D399" s="208"/>
      <c r="E399" s="109"/>
      <c r="F399" s="109"/>
      <c r="G399" s="110"/>
      <c r="H399" s="110"/>
      <c r="I399" s="110"/>
      <c r="J399" s="110"/>
      <c r="K399" s="110"/>
      <c r="L399" s="110"/>
      <c r="M399" s="111"/>
      <c r="N399" s="113"/>
    </row>
    <row r="400" hidden="1" outlineLevel="1">
      <c r="A400" s="373" t="s">
        <v>98</v>
      </c>
      <c r="B400" s="115" t="s">
        <v>100</v>
      </c>
      <c r="C400" s="115" t="s">
        <v>102</v>
      </c>
      <c r="D400" s="119" t="s">
        <v>103</v>
      </c>
      <c r="E400" s="275" t="s">
        <v>269</v>
      </c>
      <c r="F400" s="275" t="s">
        <v>272</v>
      </c>
      <c r="G400" s="276" t="s">
        <v>328</v>
      </c>
      <c r="H400" s="121" t="s">
        <v>107</v>
      </c>
      <c r="I400" s="121" t="s">
        <v>108</v>
      </c>
      <c r="J400" s="276" t="s">
        <v>329</v>
      </c>
      <c r="K400" s="121" t="s">
        <v>111</v>
      </c>
      <c r="L400" s="276" t="s">
        <v>274</v>
      </c>
      <c r="M400" s="115" t="s">
        <v>114</v>
      </c>
      <c r="N400" s="119" t="s">
        <v>115</v>
      </c>
    </row>
    <row r="401" hidden="1" outlineLevel="1">
      <c r="A401" s="303" t="s">
        <v>1110</v>
      </c>
      <c r="B401" s="344">
        <v>46125.0</v>
      </c>
      <c r="C401" s="133" t="str">
        <f t="shared" ref="C401:C415" si="50">IF(B401="", "", TEXT(B401, "ddd"))</f>
        <v>Mon</v>
      </c>
      <c r="D401" s="381">
        <f t="shared" ref="D401:D415" si="51">IF(E401="Yes",0.05,0)
+IF(F401="Yes",0.1,0)
+IF(G401="Yes",0.15,0)
+IF(H401="Yes",0.15,0)
+IF(I401="Yes",0.05,0)
+IF(J401="Yes",0.05,0)
+IF(K401="Yes",0.15,0)
+IF(L401="Yes",0.3,0)
</f>
        <v>1</v>
      </c>
      <c r="E401" s="382" t="s">
        <v>129</v>
      </c>
      <c r="F401" s="137" t="s">
        <v>129</v>
      </c>
      <c r="G401" s="137" t="s">
        <v>129</v>
      </c>
      <c r="H401" s="137" t="s">
        <v>129</v>
      </c>
      <c r="I401" s="137" t="s">
        <v>129</v>
      </c>
      <c r="J401" s="137" t="s">
        <v>129</v>
      </c>
      <c r="K401" s="137" t="s">
        <v>129</v>
      </c>
      <c r="L401" s="137" t="s">
        <v>129</v>
      </c>
      <c r="M401" s="141"/>
      <c r="N401" s="143"/>
    </row>
    <row r="402" hidden="1" outlineLevel="1">
      <c r="A402" s="303" t="s">
        <v>1115</v>
      </c>
      <c r="B402" s="344">
        <v>46125.0</v>
      </c>
      <c r="C402" s="133" t="str">
        <f t="shared" si="50"/>
        <v>Mon</v>
      </c>
      <c r="D402" s="383">
        <f t="shared" si="51"/>
        <v>1</v>
      </c>
      <c r="E402" s="147" t="s">
        <v>129</v>
      </c>
      <c r="F402" s="137" t="s">
        <v>129</v>
      </c>
      <c r="G402" s="137" t="s">
        <v>129</v>
      </c>
      <c r="H402" s="137" t="s">
        <v>129</v>
      </c>
      <c r="I402" s="137" t="s">
        <v>129</v>
      </c>
      <c r="J402" s="137" t="s">
        <v>129</v>
      </c>
      <c r="K402" s="137" t="s">
        <v>129</v>
      </c>
      <c r="L402" s="137" t="s">
        <v>129</v>
      </c>
      <c r="M402" s="141"/>
      <c r="N402" s="147"/>
    </row>
    <row r="403" hidden="1" outlineLevel="1">
      <c r="A403" s="303" t="s">
        <v>1117</v>
      </c>
      <c r="B403" s="344">
        <v>46125.0</v>
      </c>
      <c r="C403" s="133" t="str">
        <f t="shared" si="50"/>
        <v>Mon</v>
      </c>
      <c r="D403" s="381">
        <f t="shared" si="51"/>
        <v>1</v>
      </c>
      <c r="E403" s="382" t="s">
        <v>129</v>
      </c>
      <c r="F403" s="137" t="s">
        <v>129</v>
      </c>
      <c r="G403" s="137" t="s">
        <v>129</v>
      </c>
      <c r="H403" s="137" t="s">
        <v>129</v>
      </c>
      <c r="I403" s="137" t="s">
        <v>129</v>
      </c>
      <c r="J403" s="137" t="s">
        <v>129</v>
      </c>
      <c r="K403" s="137" t="s">
        <v>129</v>
      </c>
      <c r="L403" s="137" t="s">
        <v>129</v>
      </c>
      <c r="M403" s="141"/>
      <c r="N403" s="147"/>
    </row>
    <row r="404" hidden="1" outlineLevel="1">
      <c r="A404" s="219" t="s">
        <v>1120</v>
      </c>
      <c r="B404" s="344">
        <v>46126.0</v>
      </c>
      <c r="C404" s="133" t="str">
        <f t="shared" si="50"/>
        <v>Tue</v>
      </c>
      <c r="D404" s="383">
        <f t="shared" si="51"/>
        <v>1</v>
      </c>
      <c r="E404" s="147" t="s">
        <v>129</v>
      </c>
      <c r="F404" s="137" t="s">
        <v>129</v>
      </c>
      <c r="G404" s="137" t="s">
        <v>129</v>
      </c>
      <c r="H404" s="137" t="s">
        <v>129</v>
      </c>
      <c r="I404" s="137" t="s">
        <v>129</v>
      </c>
      <c r="J404" s="137" t="s">
        <v>129</v>
      </c>
      <c r="K404" s="137" t="s">
        <v>129</v>
      </c>
      <c r="L404" s="137" t="s">
        <v>129</v>
      </c>
      <c r="M404" s="141"/>
      <c r="N404" s="143"/>
    </row>
    <row r="405" hidden="1" outlineLevel="1">
      <c r="A405" s="219" t="s">
        <v>1122</v>
      </c>
      <c r="B405" s="344">
        <v>46126.0</v>
      </c>
      <c r="C405" s="133" t="str">
        <f t="shared" si="50"/>
        <v>Tue</v>
      </c>
      <c r="D405" s="381">
        <f t="shared" si="51"/>
        <v>1</v>
      </c>
      <c r="E405" s="382" t="s">
        <v>129</v>
      </c>
      <c r="F405" s="137" t="s">
        <v>129</v>
      </c>
      <c r="G405" s="137" t="s">
        <v>129</v>
      </c>
      <c r="H405" s="137" t="s">
        <v>129</v>
      </c>
      <c r="I405" s="137" t="s">
        <v>129</v>
      </c>
      <c r="J405" s="137" t="s">
        <v>129</v>
      </c>
      <c r="K405" s="137" t="s">
        <v>129</v>
      </c>
      <c r="L405" s="137" t="s">
        <v>129</v>
      </c>
      <c r="M405" s="141"/>
      <c r="N405" s="143"/>
    </row>
    <row r="406" hidden="1" outlineLevel="1">
      <c r="A406" s="219" t="s">
        <v>1127</v>
      </c>
      <c r="B406" s="344">
        <v>46126.0</v>
      </c>
      <c r="C406" s="133" t="str">
        <f t="shared" si="50"/>
        <v>Tue</v>
      </c>
      <c r="D406" s="383">
        <f t="shared" si="51"/>
        <v>1</v>
      </c>
      <c r="E406" s="147" t="s">
        <v>129</v>
      </c>
      <c r="F406" s="137" t="s">
        <v>129</v>
      </c>
      <c r="G406" s="137" t="s">
        <v>129</v>
      </c>
      <c r="H406" s="137" t="s">
        <v>129</v>
      </c>
      <c r="I406" s="137" t="s">
        <v>129</v>
      </c>
      <c r="J406" s="137" t="s">
        <v>129</v>
      </c>
      <c r="K406" s="137" t="s">
        <v>129</v>
      </c>
      <c r="L406" s="137" t="s">
        <v>129</v>
      </c>
      <c r="M406" s="141"/>
      <c r="N406" s="143"/>
    </row>
    <row r="407" hidden="1" outlineLevel="1">
      <c r="A407" s="303" t="s">
        <v>1130</v>
      </c>
      <c r="B407" s="344">
        <v>46127.0</v>
      </c>
      <c r="C407" s="133" t="str">
        <f t="shared" si="50"/>
        <v>Wed</v>
      </c>
      <c r="D407" s="381">
        <f t="shared" si="51"/>
        <v>1</v>
      </c>
      <c r="E407" s="382" t="s">
        <v>129</v>
      </c>
      <c r="F407" s="137" t="s">
        <v>129</v>
      </c>
      <c r="G407" s="137" t="s">
        <v>129</v>
      </c>
      <c r="H407" s="137" t="s">
        <v>129</v>
      </c>
      <c r="I407" s="137" t="s">
        <v>129</v>
      </c>
      <c r="J407" s="137" t="s">
        <v>129</v>
      </c>
      <c r="K407" s="137" t="s">
        <v>129</v>
      </c>
      <c r="L407" s="137" t="s">
        <v>129</v>
      </c>
      <c r="M407" s="141"/>
      <c r="N407" s="143"/>
    </row>
    <row r="408" hidden="1" outlineLevel="1">
      <c r="A408" s="303" t="s">
        <v>1132</v>
      </c>
      <c r="B408" s="344">
        <v>46127.0</v>
      </c>
      <c r="C408" s="133" t="str">
        <f t="shared" si="50"/>
        <v>Wed</v>
      </c>
      <c r="D408" s="383">
        <f t="shared" si="51"/>
        <v>1</v>
      </c>
      <c r="E408" s="147" t="s">
        <v>129</v>
      </c>
      <c r="F408" s="137" t="s">
        <v>129</v>
      </c>
      <c r="G408" s="137" t="s">
        <v>129</v>
      </c>
      <c r="H408" s="137" t="s">
        <v>129</v>
      </c>
      <c r="I408" s="137" t="s">
        <v>129</v>
      </c>
      <c r="J408" s="137" t="s">
        <v>129</v>
      </c>
      <c r="K408" s="137" t="s">
        <v>129</v>
      </c>
      <c r="L408" s="137" t="s">
        <v>129</v>
      </c>
      <c r="M408" s="141"/>
      <c r="N408" s="147"/>
    </row>
    <row r="409" hidden="1" outlineLevel="1">
      <c r="A409" s="303" t="s">
        <v>1135</v>
      </c>
      <c r="B409" s="344">
        <v>46127.0</v>
      </c>
      <c r="C409" s="133" t="str">
        <f t="shared" si="50"/>
        <v>Wed</v>
      </c>
      <c r="D409" s="381">
        <f t="shared" si="51"/>
        <v>1</v>
      </c>
      <c r="E409" s="382" t="s">
        <v>129</v>
      </c>
      <c r="F409" s="137" t="s">
        <v>129</v>
      </c>
      <c r="G409" s="137" t="s">
        <v>129</v>
      </c>
      <c r="H409" s="137" t="s">
        <v>129</v>
      </c>
      <c r="I409" s="137" t="s">
        <v>129</v>
      </c>
      <c r="J409" s="137" t="s">
        <v>129</v>
      </c>
      <c r="K409" s="137" t="s">
        <v>129</v>
      </c>
      <c r="L409" s="137" t="s">
        <v>129</v>
      </c>
      <c r="M409" s="141"/>
      <c r="N409" s="143"/>
    </row>
    <row r="410" hidden="1" outlineLevel="1">
      <c r="A410" s="303" t="s">
        <v>1141</v>
      </c>
      <c r="B410" s="344">
        <v>46128.0</v>
      </c>
      <c r="C410" s="133" t="str">
        <f t="shared" si="50"/>
        <v>Thu</v>
      </c>
      <c r="D410" s="383">
        <f t="shared" si="51"/>
        <v>1</v>
      </c>
      <c r="E410" s="147" t="s">
        <v>129</v>
      </c>
      <c r="F410" s="137" t="s">
        <v>129</v>
      </c>
      <c r="G410" s="137" t="s">
        <v>129</v>
      </c>
      <c r="H410" s="137" t="s">
        <v>129</v>
      </c>
      <c r="I410" s="137" t="s">
        <v>129</v>
      </c>
      <c r="J410" s="137" t="s">
        <v>129</v>
      </c>
      <c r="K410" s="137" t="s">
        <v>129</v>
      </c>
      <c r="L410" s="137" t="s">
        <v>129</v>
      </c>
      <c r="M410" s="141"/>
      <c r="N410" s="147"/>
    </row>
    <row r="411" hidden="1" outlineLevel="1">
      <c r="A411" s="303" t="s">
        <v>1144</v>
      </c>
      <c r="B411" s="344">
        <v>46128.0</v>
      </c>
      <c r="C411" s="133" t="str">
        <f t="shared" si="50"/>
        <v>Thu</v>
      </c>
      <c r="D411" s="381">
        <f t="shared" si="51"/>
        <v>1</v>
      </c>
      <c r="E411" s="382" t="s">
        <v>129</v>
      </c>
      <c r="F411" s="137" t="s">
        <v>129</v>
      </c>
      <c r="G411" s="137" t="s">
        <v>129</v>
      </c>
      <c r="H411" s="137" t="s">
        <v>129</v>
      </c>
      <c r="I411" s="137" t="s">
        <v>129</v>
      </c>
      <c r="J411" s="137" t="s">
        <v>129</v>
      </c>
      <c r="K411" s="137" t="s">
        <v>129</v>
      </c>
      <c r="L411" s="137" t="s">
        <v>129</v>
      </c>
      <c r="M411" s="141"/>
      <c r="N411" s="147"/>
    </row>
    <row r="412" hidden="1" outlineLevel="1">
      <c r="A412" s="303" t="s">
        <v>1147</v>
      </c>
      <c r="B412" s="344">
        <v>46128.0</v>
      </c>
      <c r="C412" s="133" t="str">
        <f t="shared" si="50"/>
        <v>Thu</v>
      </c>
      <c r="D412" s="383">
        <f t="shared" si="51"/>
        <v>1</v>
      </c>
      <c r="E412" s="147" t="s">
        <v>129</v>
      </c>
      <c r="F412" s="137" t="s">
        <v>129</v>
      </c>
      <c r="G412" s="137" t="s">
        <v>129</v>
      </c>
      <c r="H412" s="137" t="s">
        <v>129</v>
      </c>
      <c r="I412" s="137" t="s">
        <v>129</v>
      </c>
      <c r="J412" s="137" t="s">
        <v>129</v>
      </c>
      <c r="K412" s="137" t="s">
        <v>129</v>
      </c>
      <c r="L412" s="137" t="s">
        <v>129</v>
      </c>
      <c r="M412" s="141"/>
      <c r="N412" s="147"/>
    </row>
    <row r="413" hidden="1" outlineLevel="1">
      <c r="A413" s="219" t="s">
        <v>1151</v>
      </c>
      <c r="B413" s="344">
        <v>46129.0</v>
      </c>
      <c r="C413" s="133" t="str">
        <f t="shared" si="50"/>
        <v>Fri</v>
      </c>
      <c r="D413" s="381">
        <f t="shared" si="51"/>
        <v>1</v>
      </c>
      <c r="E413" s="382" t="s">
        <v>129</v>
      </c>
      <c r="F413" s="137" t="s">
        <v>129</v>
      </c>
      <c r="G413" s="137" t="s">
        <v>129</v>
      </c>
      <c r="H413" s="137" t="s">
        <v>129</v>
      </c>
      <c r="I413" s="137" t="s">
        <v>129</v>
      </c>
      <c r="J413" s="137" t="s">
        <v>129</v>
      </c>
      <c r="K413" s="137" t="s">
        <v>129</v>
      </c>
      <c r="L413" s="137" t="s">
        <v>129</v>
      </c>
      <c r="M413" s="141"/>
      <c r="N413" s="143"/>
    </row>
    <row r="414" hidden="1" outlineLevel="1">
      <c r="A414" s="219" t="s">
        <v>1155</v>
      </c>
      <c r="B414" s="344">
        <v>46129.0</v>
      </c>
      <c r="C414" s="133" t="str">
        <f t="shared" si="50"/>
        <v>Fri</v>
      </c>
      <c r="D414" s="383">
        <f t="shared" si="51"/>
        <v>1</v>
      </c>
      <c r="E414" s="147" t="s">
        <v>129</v>
      </c>
      <c r="F414" s="137" t="s">
        <v>129</v>
      </c>
      <c r="G414" s="137" t="s">
        <v>129</v>
      </c>
      <c r="H414" s="137" t="s">
        <v>129</v>
      </c>
      <c r="I414" s="137" t="s">
        <v>129</v>
      </c>
      <c r="J414" s="137" t="s">
        <v>129</v>
      </c>
      <c r="K414" s="137" t="s">
        <v>129</v>
      </c>
      <c r="L414" s="137" t="s">
        <v>129</v>
      </c>
      <c r="M414" s="141"/>
      <c r="N414" s="143"/>
    </row>
    <row r="415" ht="15.0" hidden="1" customHeight="1" outlineLevel="1">
      <c r="A415" s="219" t="s">
        <v>1158</v>
      </c>
      <c r="B415" s="344">
        <v>46129.0</v>
      </c>
      <c r="C415" s="133" t="str">
        <f t="shared" si="50"/>
        <v>Fri</v>
      </c>
      <c r="D415" s="381">
        <f t="shared" si="51"/>
        <v>1</v>
      </c>
      <c r="E415" s="382" t="s">
        <v>129</v>
      </c>
      <c r="F415" s="137" t="s">
        <v>129</v>
      </c>
      <c r="G415" s="137" t="s">
        <v>129</v>
      </c>
      <c r="H415" s="137" t="s">
        <v>129</v>
      </c>
      <c r="I415" s="137" t="s">
        <v>129</v>
      </c>
      <c r="J415" s="137" t="s">
        <v>129</v>
      </c>
      <c r="K415" s="137" t="s">
        <v>129</v>
      </c>
      <c r="L415" s="137" t="s">
        <v>129</v>
      </c>
      <c r="M415" s="141"/>
      <c r="N415" s="147"/>
    </row>
    <row r="416" hidden="1" outlineLevel="1">
      <c r="B416" s="189"/>
      <c r="C416" s="191" t="s">
        <v>194</v>
      </c>
      <c r="D416" s="204">
        <f>AVERAGE(D401:D415)</f>
        <v>1</v>
      </c>
      <c r="E416" s="384"/>
      <c r="L416" s="191" t="s">
        <v>194</v>
      </c>
      <c r="M416" s="204">
        <f>SUM(M401:M415)/75*0.1</f>
        <v>0</v>
      </c>
    </row>
    <row r="417" hidden="1" collapsed="1">
      <c r="A417" s="206" t="s">
        <v>946</v>
      </c>
      <c r="B417" s="207"/>
      <c r="C417" s="207"/>
      <c r="D417" s="385"/>
      <c r="E417" s="109"/>
      <c r="F417" s="109"/>
      <c r="G417" s="110"/>
      <c r="H417" s="110"/>
      <c r="I417" s="110"/>
      <c r="J417" s="110"/>
      <c r="K417" s="110"/>
      <c r="L417" s="110"/>
      <c r="M417" s="111"/>
      <c r="N417" s="113"/>
    </row>
    <row r="418" hidden="1" outlineLevel="1">
      <c r="A418" s="373" t="s">
        <v>98</v>
      </c>
      <c r="B418" s="115" t="s">
        <v>100</v>
      </c>
      <c r="C418" s="115" t="s">
        <v>102</v>
      </c>
      <c r="D418" s="119" t="s">
        <v>103</v>
      </c>
      <c r="E418" s="275" t="s">
        <v>269</v>
      </c>
      <c r="F418" s="275" t="s">
        <v>272</v>
      </c>
      <c r="G418" s="276" t="s">
        <v>328</v>
      </c>
      <c r="H418" s="121" t="s">
        <v>107</v>
      </c>
      <c r="I418" s="121" t="s">
        <v>108</v>
      </c>
      <c r="J418" s="276" t="s">
        <v>329</v>
      </c>
      <c r="K418" s="121" t="s">
        <v>111</v>
      </c>
      <c r="L418" s="276" t="s">
        <v>274</v>
      </c>
      <c r="M418" s="115" t="s">
        <v>114</v>
      </c>
      <c r="N418" s="119" t="s">
        <v>115</v>
      </c>
    </row>
    <row r="419" hidden="1" outlineLevel="1">
      <c r="A419" s="413" t="s">
        <v>1163</v>
      </c>
      <c r="B419" s="344">
        <v>46133.0</v>
      </c>
      <c r="C419" s="133" t="str">
        <f t="shared" ref="C419:C433" si="52">IF(B419="", "", TEXT(B419, "ddd"))</f>
        <v>Tue</v>
      </c>
      <c r="D419" s="381">
        <f t="shared" ref="D419:D433" si="53">IF(E419="Yes",0.05,0)
+IF(F419="Yes",0.1,0)
+IF(G419="Yes",0.15,0)
+IF(H419="Yes",0.15,0)
+IF(I419="Yes",0.05,0)
+IF(J419="Yes",0.05,0)
+IF(K419="Yes",0.15,0)
+IF(L419="Yes",0.3,0)
</f>
        <v>1</v>
      </c>
      <c r="E419" s="382" t="s">
        <v>129</v>
      </c>
      <c r="F419" s="137" t="s">
        <v>129</v>
      </c>
      <c r="G419" s="137" t="s">
        <v>129</v>
      </c>
      <c r="H419" s="137" t="s">
        <v>129</v>
      </c>
      <c r="I419" s="137" t="s">
        <v>129</v>
      </c>
      <c r="J419" s="137" t="s">
        <v>129</v>
      </c>
      <c r="K419" s="137" t="s">
        <v>129</v>
      </c>
      <c r="L419" s="137" t="s">
        <v>129</v>
      </c>
      <c r="M419" s="141"/>
      <c r="N419" s="143"/>
    </row>
    <row r="420" hidden="1" outlineLevel="1">
      <c r="A420" s="413" t="s">
        <v>1165</v>
      </c>
      <c r="B420" s="344">
        <v>46133.0</v>
      </c>
      <c r="C420" s="133" t="str">
        <f t="shared" si="52"/>
        <v>Tue</v>
      </c>
      <c r="D420" s="383">
        <f t="shared" si="53"/>
        <v>1</v>
      </c>
      <c r="E420" s="147" t="s">
        <v>129</v>
      </c>
      <c r="F420" s="137" t="s">
        <v>129</v>
      </c>
      <c r="G420" s="137" t="s">
        <v>129</v>
      </c>
      <c r="H420" s="137" t="s">
        <v>129</v>
      </c>
      <c r="I420" s="137" t="s">
        <v>129</v>
      </c>
      <c r="J420" s="137" t="s">
        <v>129</v>
      </c>
      <c r="K420" s="137" t="s">
        <v>129</v>
      </c>
      <c r="L420" s="137" t="s">
        <v>129</v>
      </c>
      <c r="M420" s="141"/>
      <c r="N420" s="147"/>
    </row>
    <row r="421" hidden="1" outlineLevel="1">
      <c r="A421" s="413" t="s">
        <v>1168</v>
      </c>
      <c r="B421" s="344">
        <v>46133.0</v>
      </c>
      <c r="C421" s="133" t="str">
        <f t="shared" si="52"/>
        <v>Tue</v>
      </c>
      <c r="D421" s="381">
        <f t="shared" si="53"/>
        <v>1</v>
      </c>
      <c r="E421" s="382" t="s">
        <v>129</v>
      </c>
      <c r="F421" s="137" t="s">
        <v>129</v>
      </c>
      <c r="G421" s="137" t="s">
        <v>129</v>
      </c>
      <c r="H421" s="137" t="s">
        <v>129</v>
      </c>
      <c r="I421" s="137" t="s">
        <v>129</v>
      </c>
      <c r="J421" s="137" t="s">
        <v>129</v>
      </c>
      <c r="K421" s="137" t="s">
        <v>129</v>
      </c>
      <c r="L421" s="137" t="s">
        <v>129</v>
      </c>
      <c r="M421" s="141"/>
      <c r="N421" s="147"/>
    </row>
    <row r="422" hidden="1" outlineLevel="1">
      <c r="A422" s="389" t="s">
        <v>1171</v>
      </c>
      <c r="B422" s="344">
        <v>46134.0</v>
      </c>
      <c r="C422" s="133" t="str">
        <f t="shared" si="52"/>
        <v>Wed</v>
      </c>
      <c r="D422" s="383">
        <f t="shared" si="53"/>
        <v>1</v>
      </c>
      <c r="E422" s="147" t="s">
        <v>129</v>
      </c>
      <c r="F422" s="137" t="s">
        <v>129</v>
      </c>
      <c r="G422" s="137" t="s">
        <v>129</v>
      </c>
      <c r="H422" s="137" t="s">
        <v>129</v>
      </c>
      <c r="I422" s="137" t="s">
        <v>129</v>
      </c>
      <c r="J422" s="137" t="s">
        <v>129</v>
      </c>
      <c r="K422" s="137" t="s">
        <v>129</v>
      </c>
      <c r="L422" s="137" t="s">
        <v>129</v>
      </c>
      <c r="M422" s="141"/>
      <c r="N422" s="143"/>
    </row>
    <row r="423" hidden="1" outlineLevel="1">
      <c r="A423" s="388" t="s">
        <v>1173</v>
      </c>
      <c r="B423" s="344">
        <v>46134.0</v>
      </c>
      <c r="C423" s="133" t="str">
        <f t="shared" si="52"/>
        <v>Wed</v>
      </c>
      <c r="D423" s="381">
        <f t="shared" si="53"/>
        <v>1</v>
      </c>
      <c r="E423" s="382" t="s">
        <v>129</v>
      </c>
      <c r="F423" s="137" t="s">
        <v>129</v>
      </c>
      <c r="G423" s="137" t="s">
        <v>129</v>
      </c>
      <c r="H423" s="137" t="s">
        <v>129</v>
      </c>
      <c r="I423" s="137" t="s">
        <v>129</v>
      </c>
      <c r="J423" s="137" t="s">
        <v>129</v>
      </c>
      <c r="K423" s="137" t="s">
        <v>129</v>
      </c>
      <c r="L423" s="137" t="s">
        <v>129</v>
      </c>
      <c r="M423" s="141"/>
      <c r="N423" s="143"/>
    </row>
    <row r="424" hidden="1" outlineLevel="1">
      <c r="A424" s="389" t="s">
        <v>1175</v>
      </c>
      <c r="B424" s="344">
        <v>46134.0</v>
      </c>
      <c r="C424" s="133" t="str">
        <f t="shared" si="52"/>
        <v>Wed</v>
      </c>
      <c r="D424" s="383">
        <f t="shared" si="53"/>
        <v>1</v>
      </c>
      <c r="E424" s="147" t="s">
        <v>129</v>
      </c>
      <c r="F424" s="137" t="s">
        <v>129</v>
      </c>
      <c r="G424" s="137" t="s">
        <v>129</v>
      </c>
      <c r="H424" s="137" t="s">
        <v>129</v>
      </c>
      <c r="I424" s="137" t="s">
        <v>129</v>
      </c>
      <c r="J424" s="137" t="s">
        <v>129</v>
      </c>
      <c r="K424" s="137" t="s">
        <v>129</v>
      </c>
      <c r="L424" s="137" t="s">
        <v>129</v>
      </c>
      <c r="M424" s="141"/>
      <c r="N424" s="143"/>
    </row>
    <row r="425" hidden="1" outlineLevel="1">
      <c r="A425" s="389" t="s">
        <v>1178</v>
      </c>
      <c r="B425" s="344">
        <v>46135.0</v>
      </c>
      <c r="C425" s="133" t="str">
        <f t="shared" si="52"/>
        <v>Thu</v>
      </c>
      <c r="D425" s="381">
        <f t="shared" si="53"/>
        <v>1</v>
      </c>
      <c r="E425" s="382" t="s">
        <v>129</v>
      </c>
      <c r="F425" s="137" t="s">
        <v>129</v>
      </c>
      <c r="G425" s="137" t="s">
        <v>129</v>
      </c>
      <c r="H425" s="137" t="s">
        <v>129</v>
      </c>
      <c r="I425" s="137" t="s">
        <v>129</v>
      </c>
      <c r="J425" s="137" t="s">
        <v>129</v>
      </c>
      <c r="K425" s="137" t="s">
        <v>129</v>
      </c>
      <c r="L425" s="137" t="s">
        <v>129</v>
      </c>
      <c r="M425" s="141"/>
      <c r="N425" s="143"/>
    </row>
    <row r="426" hidden="1" outlineLevel="1">
      <c r="A426" s="388" t="s">
        <v>1181</v>
      </c>
      <c r="B426" s="344">
        <v>46135.0</v>
      </c>
      <c r="C426" s="133" t="str">
        <f t="shared" si="52"/>
        <v>Thu</v>
      </c>
      <c r="D426" s="383">
        <f t="shared" si="53"/>
        <v>1</v>
      </c>
      <c r="E426" s="147" t="s">
        <v>129</v>
      </c>
      <c r="F426" s="137" t="s">
        <v>129</v>
      </c>
      <c r="G426" s="137" t="s">
        <v>129</v>
      </c>
      <c r="H426" s="137" t="s">
        <v>129</v>
      </c>
      <c r="I426" s="137" t="s">
        <v>129</v>
      </c>
      <c r="J426" s="137" t="s">
        <v>129</v>
      </c>
      <c r="K426" s="137" t="s">
        <v>129</v>
      </c>
      <c r="L426" s="137" t="s">
        <v>129</v>
      </c>
      <c r="M426" s="141"/>
      <c r="N426" s="147"/>
    </row>
    <row r="427" hidden="1" outlineLevel="1">
      <c r="A427" s="389" t="s">
        <v>1184</v>
      </c>
      <c r="B427" s="344">
        <v>46135.0</v>
      </c>
      <c r="C427" s="133" t="str">
        <f t="shared" si="52"/>
        <v>Thu</v>
      </c>
      <c r="D427" s="381">
        <f t="shared" si="53"/>
        <v>1</v>
      </c>
      <c r="E427" s="382" t="s">
        <v>129</v>
      </c>
      <c r="F427" s="137" t="s">
        <v>129</v>
      </c>
      <c r="G427" s="137" t="s">
        <v>129</v>
      </c>
      <c r="H427" s="137" t="s">
        <v>129</v>
      </c>
      <c r="I427" s="137" t="s">
        <v>129</v>
      </c>
      <c r="J427" s="137" t="s">
        <v>129</v>
      </c>
      <c r="K427" s="137" t="s">
        <v>129</v>
      </c>
      <c r="L427" s="137" t="s">
        <v>129</v>
      </c>
      <c r="M427" s="141"/>
      <c r="N427" s="143"/>
    </row>
    <row r="428" hidden="1" outlineLevel="1">
      <c r="A428" s="415" t="s">
        <v>1193</v>
      </c>
      <c r="B428" s="344">
        <v>46136.0</v>
      </c>
      <c r="C428" s="133" t="str">
        <f t="shared" si="52"/>
        <v>Fri</v>
      </c>
      <c r="D428" s="383">
        <f t="shared" si="53"/>
        <v>1</v>
      </c>
      <c r="E428" s="147" t="s">
        <v>129</v>
      </c>
      <c r="F428" s="137" t="s">
        <v>129</v>
      </c>
      <c r="G428" s="137" t="s">
        <v>129</v>
      </c>
      <c r="H428" s="137" t="s">
        <v>129</v>
      </c>
      <c r="I428" s="137" t="s">
        <v>129</v>
      </c>
      <c r="J428" s="137" t="s">
        <v>129</v>
      </c>
      <c r="K428" s="137" t="s">
        <v>129</v>
      </c>
      <c r="L428" s="137" t="s">
        <v>129</v>
      </c>
      <c r="M428" s="141"/>
      <c r="N428" s="147"/>
    </row>
    <row r="429" hidden="1" outlineLevel="1">
      <c r="A429" s="415" t="s">
        <v>1197</v>
      </c>
      <c r="B429" s="344">
        <v>46136.0</v>
      </c>
      <c r="C429" s="133" t="str">
        <f t="shared" si="52"/>
        <v>Fri</v>
      </c>
      <c r="D429" s="381">
        <f t="shared" si="53"/>
        <v>1</v>
      </c>
      <c r="E429" s="382" t="s">
        <v>129</v>
      </c>
      <c r="F429" s="137" t="s">
        <v>129</v>
      </c>
      <c r="G429" s="137" t="s">
        <v>129</v>
      </c>
      <c r="H429" s="137" t="s">
        <v>129</v>
      </c>
      <c r="I429" s="137" t="s">
        <v>129</v>
      </c>
      <c r="J429" s="137" t="s">
        <v>129</v>
      </c>
      <c r="K429" s="137" t="s">
        <v>129</v>
      </c>
      <c r="L429" s="137" t="s">
        <v>129</v>
      </c>
      <c r="M429" s="141"/>
      <c r="N429" s="147"/>
    </row>
    <row r="430" hidden="1" outlineLevel="1">
      <c r="A430" s="415" t="s">
        <v>1202</v>
      </c>
      <c r="B430" s="344">
        <v>46136.0</v>
      </c>
      <c r="C430" s="133" t="str">
        <f t="shared" si="52"/>
        <v>Fri</v>
      </c>
      <c r="D430" s="383">
        <f t="shared" si="53"/>
        <v>1</v>
      </c>
      <c r="E430" s="147" t="s">
        <v>129</v>
      </c>
      <c r="F430" s="137" t="s">
        <v>129</v>
      </c>
      <c r="G430" s="137" t="s">
        <v>129</v>
      </c>
      <c r="H430" s="137" t="s">
        <v>129</v>
      </c>
      <c r="I430" s="137" t="s">
        <v>129</v>
      </c>
      <c r="J430" s="137" t="s">
        <v>129</v>
      </c>
      <c r="K430" s="137" t="s">
        <v>129</v>
      </c>
      <c r="L430" s="137" t="s">
        <v>129</v>
      </c>
      <c r="M430" s="141"/>
      <c r="N430" s="147"/>
    </row>
    <row r="431" hidden="1" outlineLevel="1">
      <c r="A431" s="255" t="s">
        <v>1206</v>
      </c>
      <c r="B431" s="344">
        <v>46137.0</v>
      </c>
      <c r="C431" s="133" t="str">
        <f t="shared" si="52"/>
        <v>Sat</v>
      </c>
      <c r="D431" s="381">
        <f t="shared" si="53"/>
        <v>1</v>
      </c>
      <c r="E431" s="382" t="s">
        <v>129</v>
      </c>
      <c r="F431" s="137" t="s">
        <v>129</v>
      </c>
      <c r="G431" s="137" t="s">
        <v>129</v>
      </c>
      <c r="H431" s="137" t="s">
        <v>129</v>
      </c>
      <c r="I431" s="137" t="s">
        <v>129</v>
      </c>
      <c r="J431" s="137" t="s">
        <v>129</v>
      </c>
      <c r="K431" s="137" t="s">
        <v>129</v>
      </c>
      <c r="L431" s="137" t="s">
        <v>129</v>
      </c>
      <c r="M431" s="141"/>
      <c r="N431" s="143"/>
    </row>
    <row r="432" hidden="1" outlineLevel="1">
      <c r="A432" s="255" t="s">
        <v>1210</v>
      </c>
      <c r="B432" s="344">
        <v>46137.0</v>
      </c>
      <c r="C432" s="133" t="str">
        <f t="shared" si="52"/>
        <v>Sat</v>
      </c>
      <c r="D432" s="383">
        <f t="shared" si="53"/>
        <v>1</v>
      </c>
      <c r="E432" s="147" t="s">
        <v>129</v>
      </c>
      <c r="F432" s="137" t="s">
        <v>129</v>
      </c>
      <c r="G432" s="137" t="s">
        <v>129</v>
      </c>
      <c r="H432" s="137" t="s">
        <v>129</v>
      </c>
      <c r="I432" s="137" t="s">
        <v>129</v>
      </c>
      <c r="J432" s="137" t="s">
        <v>129</v>
      </c>
      <c r="K432" s="137" t="s">
        <v>129</v>
      </c>
      <c r="L432" s="137" t="s">
        <v>129</v>
      </c>
      <c r="M432" s="141"/>
      <c r="N432" s="143"/>
    </row>
    <row r="433" ht="15.0" hidden="1" customHeight="1" outlineLevel="1">
      <c r="A433" s="255" t="s">
        <v>1216</v>
      </c>
      <c r="B433" s="344">
        <v>46137.0</v>
      </c>
      <c r="C433" s="133" t="str">
        <f t="shared" si="52"/>
        <v>Sat</v>
      </c>
      <c r="D433" s="381">
        <f t="shared" si="53"/>
        <v>1</v>
      </c>
      <c r="E433" s="382" t="s">
        <v>129</v>
      </c>
      <c r="F433" s="137" t="s">
        <v>129</v>
      </c>
      <c r="G433" s="137" t="s">
        <v>129</v>
      </c>
      <c r="H433" s="137" t="s">
        <v>129</v>
      </c>
      <c r="I433" s="137" t="s">
        <v>129</v>
      </c>
      <c r="J433" s="137" t="s">
        <v>129</v>
      </c>
      <c r="K433" s="137" t="s">
        <v>129</v>
      </c>
      <c r="L433" s="137" t="s">
        <v>129</v>
      </c>
      <c r="M433" s="141"/>
      <c r="N433" s="147"/>
    </row>
    <row r="434" hidden="1" outlineLevel="1">
      <c r="B434" s="189"/>
      <c r="C434" s="191" t="s">
        <v>194</v>
      </c>
      <c r="D434" s="204">
        <f>AVERAGE(D419:D433)</f>
        <v>1</v>
      </c>
      <c r="E434" s="384"/>
      <c r="L434" s="191" t="s">
        <v>194</v>
      </c>
      <c r="M434" s="204">
        <f>SUM(M419:M433)/75*0.1</f>
        <v>0</v>
      </c>
    </row>
    <row r="435" hidden="1" collapsed="1">
      <c r="A435" s="206" t="s">
        <v>978</v>
      </c>
      <c r="B435" s="207"/>
      <c r="C435" s="207"/>
      <c r="D435" s="385"/>
      <c r="E435" s="109"/>
      <c r="F435" s="109"/>
      <c r="G435" s="110"/>
      <c r="H435" s="110"/>
      <c r="I435" s="110"/>
      <c r="J435" s="110"/>
      <c r="K435" s="110"/>
      <c r="L435" s="110"/>
      <c r="M435" s="111"/>
      <c r="N435" s="113"/>
    </row>
    <row r="436" hidden="1" outlineLevel="1">
      <c r="A436" s="373" t="s">
        <v>98</v>
      </c>
      <c r="B436" s="115" t="s">
        <v>100</v>
      </c>
      <c r="C436" s="115" t="s">
        <v>102</v>
      </c>
      <c r="D436" s="119" t="s">
        <v>103</v>
      </c>
      <c r="E436" s="275" t="s">
        <v>269</v>
      </c>
      <c r="F436" s="275" t="s">
        <v>272</v>
      </c>
      <c r="G436" s="276" t="s">
        <v>328</v>
      </c>
      <c r="H436" s="121" t="s">
        <v>107</v>
      </c>
      <c r="I436" s="121" t="s">
        <v>108</v>
      </c>
      <c r="J436" s="276" t="s">
        <v>329</v>
      </c>
      <c r="K436" s="121" t="s">
        <v>111</v>
      </c>
      <c r="L436" s="276" t="s">
        <v>274</v>
      </c>
      <c r="M436" s="115" t="s">
        <v>114</v>
      </c>
      <c r="N436" s="119" t="s">
        <v>115</v>
      </c>
    </row>
    <row r="437" hidden="1" outlineLevel="1">
      <c r="A437" s="303" t="s">
        <v>1222</v>
      </c>
      <c r="B437" s="344">
        <v>46139.0</v>
      </c>
      <c r="C437" s="133" t="str">
        <f t="shared" ref="C437:C451" si="54">IF(B437="", "", TEXT(B437, "ddd"))</f>
        <v>Mon</v>
      </c>
      <c r="D437" s="381">
        <f t="shared" ref="D437:D451" si="55">IF(E437="Yes",0.05,0)
+IF(F437="Yes",0.1,0)
+IF(G437="Yes",0.15,0)
+IF(H437="Yes",0.15,0)
+IF(I437="Yes",0.05,0)
+IF(J437="Yes",0.05,0)
+IF(K437="Yes",0.15,0)
+IF(L437="Yes",0.3,0)
</f>
        <v>1</v>
      </c>
      <c r="E437" s="382" t="s">
        <v>129</v>
      </c>
      <c r="F437" s="137" t="s">
        <v>129</v>
      </c>
      <c r="G437" s="137" t="s">
        <v>129</v>
      </c>
      <c r="H437" s="137" t="s">
        <v>129</v>
      </c>
      <c r="I437" s="137" t="s">
        <v>129</v>
      </c>
      <c r="J437" s="137" t="s">
        <v>129</v>
      </c>
      <c r="K437" s="137" t="s">
        <v>129</v>
      </c>
      <c r="L437" s="137" t="s">
        <v>129</v>
      </c>
      <c r="M437" s="141"/>
      <c r="N437" s="143"/>
    </row>
    <row r="438" hidden="1" outlineLevel="1">
      <c r="A438" s="303" t="s">
        <v>1227</v>
      </c>
      <c r="B438" s="344">
        <v>46139.0</v>
      </c>
      <c r="C438" s="133" t="str">
        <f t="shared" si="54"/>
        <v>Mon</v>
      </c>
      <c r="D438" s="383">
        <f t="shared" si="55"/>
        <v>1</v>
      </c>
      <c r="E438" s="147" t="s">
        <v>129</v>
      </c>
      <c r="F438" s="137" t="s">
        <v>129</v>
      </c>
      <c r="G438" s="137" t="s">
        <v>129</v>
      </c>
      <c r="H438" s="137" t="s">
        <v>129</v>
      </c>
      <c r="I438" s="137" t="s">
        <v>129</v>
      </c>
      <c r="J438" s="137" t="s">
        <v>129</v>
      </c>
      <c r="K438" s="137" t="s">
        <v>129</v>
      </c>
      <c r="L438" s="137" t="s">
        <v>129</v>
      </c>
      <c r="M438" s="141"/>
      <c r="N438" s="147"/>
    </row>
    <row r="439" hidden="1" outlineLevel="1">
      <c r="A439" s="303" t="s">
        <v>1229</v>
      </c>
      <c r="B439" s="344">
        <v>46139.0</v>
      </c>
      <c r="C439" s="133" t="str">
        <f t="shared" si="54"/>
        <v>Mon</v>
      </c>
      <c r="D439" s="381">
        <f t="shared" si="55"/>
        <v>1</v>
      </c>
      <c r="E439" s="382" t="s">
        <v>129</v>
      </c>
      <c r="F439" s="137" t="s">
        <v>129</v>
      </c>
      <c r="G439" s="137" t="s">
        <v>129</v>
      </c>
      <c r="H439" s="137" t="s">
        <v>129</v>
      </c>
      <c r="I439" s="137" t="s">
        <v>129</v>
      </c>
      <c r="J439" s="137" t="s">
        <v>129</v>
      </c>
      <c r="K439" s="137" t="s">
        <v>129</v>
      </c>
      <c r="L439" s="137" t="s">
        <v>129</v>
      </c>
      <c r="M439" s="141"/>
      <c r="N439" s="147"/>
    </row>
    <row r="440" hidden="1" outlineLevel="1">
      <c r="A440" s="255" t="s">
        <v>1232</v>
      </c>
      <c r="B440" s="344">
        <v>46140.0</v>
      </c>
      <c r="C440" s="133" t="str">
        <f t="shared" si="54"/>
        <v>Tue</v>
      </c>
      <c r="D440" s="383">
        <f t="shared" si="55"/>
        <v>1</v>
      </c>
      <c r="E440" s="147" t="s">
        <v>129</v>
      </c>
      <c r="F440" s="137" t="s">
        <v>129</v>
      </c>
      <c r="G440" s="137" t="s">
        <v>129</v>
      </c>
      <c r="H440" s="137" t="s">
        <v>129</v>
      </c>
      <c r="I440" s="137" t="s">
        <v>129</v>
      </c>
      <c r="J440" s="137" t="s">
        <v>129</v>
      </c>
      <c r="K440" s="137" t="s">
        <v>129</v>
      </c>
      <c r="L440" s="137" t="s">
        <v>129</v>
      </c>
      <c r="M440" s="141"/>
      <c r="N440" s="143"/>
    </row>
    <row r="441" hidden="1" outlineLevel="1">
      <c r="A441" s="255" t="s">
        <v>1234</v>
      </c>
      <c r="B441" s="344">
        <v>46140.0</v>
      </c>
      <c r="C441" s="133" t="str">
        <f t="shared" si="54"/>
        <v>Tue</v>
      </c>
      <c r="D441" s="381">
        <f t="shared" si="55"/>
        <v>1</v>
      </c>
      <c r="E441" s="382" t="s">
        <v>129</v>
      </c>
      <c r="F441" s="137" t="s">
        <v>129</v>
      </c>
      <c r="G441" s="137" t="s">
        <v>129</v>
      </c>
      <c r="H441" s="137" t="s">
        <v>129</v>
      </c>
      <c r="I441" s="137" t="s">
        <v>129</v>
      </c>
      <c r="J441" s="137" t="s">
        <v>129</v>
      </c>
      <c r="K441" s="137" t="s">
        <v>129</v>
      </c>
      <c r="L441" s="137" t="s">
        <v>129</v>
      </c>
      <c r="M441" s="141"/>
      <c r="N441" s="143"/>
    </row>
    <row r="442" hidden="1" outlineLevel="1">
      <c r="A442" s="255" t="s">
        <v>1237</v>
      </c>
      <c r="B442" s="344">
        <v>46140.0</v>
      </c>
      <c r="C442" s="133" t="str">
        <f t="shared" si="54"/>
        <v>Tue</v>
      </c>
      <c r="D442" s="383">
        <f t="shared" si="55"/>
        <v>1</v>
      </c>
      <c r="E442" s="147" t="s">
        <v>129</v>
      </c>
      <c r="F442" s="137" t="s">
        <v>129</v>
      </c>
      <c r="G442" s="137" t="s">
        <v>129</v>
      </c>
      <c r="H442" s="137" t="s">
        <v>129</v>
      </c>
      <c r="I442" s="137" t="s">
        <v>129</v>
      </c>
      <c r="J442" s="137" t="s">
        <v>129</v>
      </c>
      <c r="K442" s="137" t="s">
        <v>129</v>
      </c>
      <c r="L442" s="137" t="s">
        <v>129</v>
      </c>
      <c r="M442" s="141"/>
      <c r="N442" s="143"/>
    </row>
    <row r="443" hidden="1" outlineLevel="1">
      <c r="A443" s="255" t="s">
        <v>1240</v>
      </c>
      <c r="B443" s="344">
        <v>46141.0</v>
      </c>
      <c r="C443" s="133" t="str">
        <f t="shared" si="54"/>
        <v>Wed</v>
      </c>
      <c r="D443" s="381">
        <f t="shared" si="55"/>
        <v>1</v>
      </c>
      <c r="E443" s="382" t="s">
        <v>129</v>
      </c>
      <c r="F443" s="137" t="s">
        <v>129</v>
      </c>
      <c r="G443" s="137" t="s">
        <v>129</v>
      </c>
      <c r="H443" s="137" t="s">
        <v>129</v>
      </c>
      <c r="I443" s="137" t="s">
        <v>129</v>
      </c>
      <c r="J443" s="137" t="s">
        <v>129</v>
      </c>
      <c r="K443" s="137" t="s">
        <v>129</v>
      </c>
      <c r="L443" s="137" t="s">
        <v>129</v>
      </c>
      <c r="M443" s="141"/>
      <c r="N443" s="143"/>
    </row>
    <row r="444" hidden="1" outlineLevel="1">
      <c r="A444" s="255" t="s">
        <v>1242</v>
      </c>
      <c r="B444" s="344">
        <v>46141.0</v>
      </c>
      <c r="C444" s="133" t="str">
        <f t="shared" si="54"/>
        <v>Wed</v>
      </c>
      <c r="D444" s="383">
        <f t="shared" si="55"/>
        <v>1</v>
      </c>
      <c r="E444" s="147" t="s">
        <v>129</v>
      </c>
      <c r="F444" s="137" t="s">
        <v>129</v>
      </c>
      <c r="G444" s="137" t="s">
        <v>129</v>
      </c>
      <c r="H444" s="137" t="s">
        <v>129</v>
      </c>
      <c r="I444" s="137" t="s">
        <v>129</v>
      </c>
      <c r="J444" s="137" t="s">
        <v>129</v>
      </c>
      <c r="K444" s="137" t="s">
        <v>129</v>
      </c>
      <c r="L444" s="137" t="s">
        <v>129</v>
      </c>
      <c r="M444" s="141"/>
      <c r="N444" s="147"/>
    </row>
    <row r="445" hidden="1" outlineLevel="1">
      <c r="A445" s="255" t="s">
        <v>1245</v>
      </c>
      <c r="B445" s="344">
        <v>46141.0</v>
      </c>
      <c r="C445" s="133" t="str">
        <f t="shared" si="54"/>
        <v>Wed</v>
      </c>
      <c r="D445" s="381">
        <f t="shared" si="55"/>
        <v>1</v>
      </c>
      <c r="E445" s="382" t="s">
        <v>129</v>
      </c>
      <c r="F445" s="137" t="s">
        <v>129</v>
      </c>
      <c r="G445" s="137" t="s">
        <v>129</v>
      </c>
      <c r="H445" s="137" t="s">
        <v>129</v>
      </c>
      <c r="I445" s="137" t="s">
        <v>129</v>
      </c>
      <c r="J445" s="137" t="s">
        <v>129</v>
      </c>
      <c r="K445" s="137" t="s">
        <v>129</v>
      </c>
      <c r="L445" s="137" t="s">
        <v>129</v>
      </c>
      <c r="M445" s="141"/>
      <c r="N445" s="143"/>
    </row>
    <row r="446" hidden="1" outlineLevel="1">
      <c r="A446" s="390" t="s">
        <v>1247</v>
      </c>
      <c r="B446" s="344">
        <v>46142.0</v>
      </c>
      <c r="C446" s="133" t="str">
        <f t="shared" si="54"/>
        <v>Thu</v>
      </c>
      <c r="D446" s="383">
        <f t="shared" si="55"/>
        <v>1</v>
      </c>
      <c r="E446" s="147" t="s">
        <v>129</v>
      </c>
      <c r="F446" s="137" t="s">
        <v>129</v>
      </c>
      <c r="G446" s="137" t="s">
        <v>129</v>
      </c>
      <c r="H446" s="137" t="s">
        <v>129</v>
      </c>
      <c r="I446" s="137" t="s">
        <v>129</v>
      </c>
      <c r="J446" s="137" t="s">
        <v>129</v>
      </c>
      <c r="K446" s="137" t="s">
        <v>129</v>
      </c>
      <c r="L446" s="137" t="s">
        <v>129</v>
      </c>
      <c r="M446" s="141"/>
      <c r="N446" s="147"/>
    </row>
    <row r="447" hidden="1" outlineLevel="1">
      <c r="A447" s="390" t="s">
        <v>1249</v>
      </c>
      <c r="B447" s="344">
        <v>46142.0</v>
      </c>
      <c r="C447" s="133" t="str">
        <f t="shared" si="54"/>
        <v>Thu</v>
      </c>
      <c r="D447" s="381">
        <f t="shared" si="55"/>
        <v>1</v>
      </c>
      <c r="E447" s="382" t="s">
        <v>129</v>
      </c>
      <c r="F447" s="137" t="s">
        <v>129</v>
      </c>
      <c r="G447" s="137" t="s">
        <v>129</v>
      </c>
      <c r="H447" s="137" t="s">
        <v>129</v>
      </c>
      <c r="I447" s="137" t="s">
        <v>129</v>
      </c>
      <c r="J447" s="137" t="s">
        <v>129</v>
      </c>
      <c r="K447" s="137" t="s">
        <v>129</v>
      </c>
      <c r="L447" s="137" t="s">
        <v>129</v>
      </c>
      <c r="M447" s="141"/>
      <c r="N447" s="147"/>
    </row>
    <row r="448" hidden="1" outlineLevel="1">
      <c r="A448" s="391" t="s">
        <v>1251</v>
      </c>
      <c r="B448" s="344">
        <v>46142.0</v>
      </c>
      <c r="C448" s="133" t="str">
        <f t="shared" si="54"/>
        <v>Thu</v>
      </c>
      <c r="D448" s="383">
        <f t="shared" si="55"/>
        <v>1</v>
      </c>
      <c r="E448" s="147" t="s">
        <v>129</v>
      </c>
      <c r="F448" s="137" t="s">
        <v>129</v>
      </c>
      <c r="G448" s="137" t="s">
        <v>129</v>
      </c>
      <c r="H448" s="137" t="s">
        <v>129</v>
      </c>
      <c r="I448" s="137" t="s">
        <v>129</v>
      </c>
      <c r="J448" s="137" t="s">
        <v>129</v>
      </c>
      <c r="K448" s="137" t="s">
        <v>129</v>
      </c>
      <c r="L448" s="137" t="s">
        <v>129</v>
      </c>
      <c r="M448" s="141"/>
      <c r="N448" s="147"/>
    </row>
    <row r="449" hidden="1" outlineLevel="1">
      <c r="A449" s="390" t="s">
        <v>1253</v>
      </c>
      <c r="B449" s="344">
        <v>46143.0</v>
      </c>
      <c r="C449" s="133" t="str">
        <f t="shared" si="54"/>
        <v>Fri</v>
      </c>
      <c r="D449" s="381">
        <f t="shared" si="55"/>
        <v>1</v>
      </c>
      <c r="E449" s="382" t="s">
        <v>129</v>
      </c>
      <c r="F449" s="137" t="s">
        <v>129</v>
      </c>
      <c r="G449" s="137" t="s">
        <v>129</v>
      </c>
      <c r="H449" s="137" t="s">
        <v>129</v>
      </c>
      <c r="I449" s="137" t="s">
        <v>129</v>
      </c>
      <c r="J449" s="137" t="s">
        <v>129</v>
      </c>
      <c r="K449" s="137" t="s">
        <v>129</v>
      </c>
      <c r="L449" s="137" t="s">
        <v>129</v>
      </c>
      <c r="M449" s="141"/>
      <c r="N449" s="143"/>
    </row>
    <row r="450" hidden="1" outlineLevel="1">
      <c r="A450" s="390" t="s">
        <v>1259</v>
      </c>
      <c r="B450" s="344">
        <v>46143.0</v>
      </c>
      <c r="C450" s="133" t="str">
        <f t="shared" si="54"/>
        <v>Fri</v>
      </c>
      <c r="D450" s="383">
        <f t="shared" si="55"/>
        <v>1</v>
      </c>
      <c r="E450" s="147" t="s">
        <v>129</v>
      </c>
      <c r="F450" s="137" t="s">
        <v>129</v>
      </c>
      <c r="G450" s="137" t="s">
        <v>129</v>
      </c>
      <c r="H450" s="137" t="s">
        <v>129</v>
      </c>
      <c r="I450" s="137" t="s">
        <v>129</v>
      </c>
      <c r="J450" s="137" t="s">
        <v>129</v>
      </c>
      <c r="K450" s="137" t="s">
        <v>129</v>
      </c>
      <c r="L450" s="137" t="s">
        <v>129</v>
      </c>
      <c r="M450" s="141"/>
      <c r="N450" s="143"/>
    </row>
    <row r="451" ht="15.0" hidden="1" customHeight="1" outlineLevel="1">
      <c r="A451" s="391" t="s">
        <v>1262</v>
      </c>
      <c r="B451" s="344">
        <v>46143.0</v>
      </c>
      <c r="C451" s="133" t="str">
        <f t="shared" si="54"/>
        <v>Fri</v>
      </c>
      <c r="D451" s="381">
        <f t="shared" si="55"/>
        <v>1</v>
      </c>
      <c r="E451" s="382" t="s">
        <v>129</v>
      </c>
      <c r="F451" s="137" t="s">
        <v>129</v>
      </c>
      <c r="G451" s="137" t="s">
        <v>129</v>
      </c>
      <c r="H451" s="137" t="s">
        <v>129</v>
      </c>
      <c r="I451" s="137" t="s">
        <v>129</v>
      </c>
      <c r="J451" s="137" t="s">
        <v>129</v>
      </c>
      <c r="K451" s="137" t="s">
        <v>129</v>
      </c>
      <c r="L451" s="137" t="s">
        <v>129</v>
      </c>
      <c r="M451" s="141"/>
      <c r="N451" s="147"/>
    </row>
    <row r="452" hidden="1" outlineLevel="1">
      <c r="B452" s="189"/>
      <c r="C452" s="191" t="s">
        <v>194</v>
      </c>
      <c r="D452" s="204">
        <f>AVERAGE(D437:D451)</f>
        <v>1</v>
      </c>
      <c r="E452" s="384"/>
      <c r="L452" s="191" t="s">
        <v>194</v>
      </c>
      <c r="M452" s="204">
        <f>SUM(M437:M451)/75*0.1</f>
        <v>0</v>
      </c>
    </row>
    <row r="453" hidden="1" collapsed="1">
      <c r="A453" s="206" t="s">
        <v>1006</v>
      </c>
      <c r="B453" s="207"/>
      <c r="C453" s="207"/>
      <c r="D453" s="385"/>
      <c r="E453" s="109"/>
      <c r="F453" s="109"/>
      <c r="G453" s="110"/>
      <c r="H453" s="110"/>
      <c r="I453" s="110"/>
      <c r="J453" s="110"/>
      <c r="K453" s="110"/>
      <c r="L453" s="110"/>
      <c r="M453" s="111"/>
      <c r="N453" s="113"/>
    </row>
    <row r="454" hidden="1" outlineLevel="1">
      <c r="A454" s="373" t="s">
        <v>98</v>
      </c>
      <c r="B454" s="115" t="s">
        <v>100</v>
      </c>
      <c r="C454" s="115" t="s">
        <v>102</v>
      </c>
      <c r="D454" s="119" t="s">
        <v>103</v>
      </c>
      <c r="E454" s="275" t="s">
        <v>269</v>
      </c>
      <c r="F454" s="275" t="s">
        <v>272</v>
      </c>
      <c r="G454" s="276" t="s">
        <v>328</v>
      </c>
      <c r="H454" s="121" t="s">
        <v>107</v>
      </c>
      <c r="I454" s="121" t="s">
        <v>108</v>
      </c>
      <c r="J454" s="276" t="s">
        <v>329</v>
      </c>
      <c r="K454" s="121" t="s">
        <v>111</v>
      </c>
      <c r="L454" s="276" t="s">
        <v>274</v>
      </c>
      <c r="M454" s="115" t="s">
        <v>114</v>
      </c>
      <c r="N454" s="119" t="s">
        <v>115</v>
      </c>
    </row>
    <row r="455" hidden="1" outlineLevel="1">
      <c r="A455" s="390" t="s">
        <v>1269</v>
      </c>
      <c r="B455" s="344">
        <v>46146.0</v>
      </c>
      <c r="C455" s="133" t="str">
        <f t="shared" ref="C455:C469" si="56">IF(B455="", "", TEXT(B455, "ddd"))</f>
        <v>Mon</v>
      </c>
      <c r="D455" s="381">
        <f t="shared" ref="D455:D469" si="57">IF(E455="Yes",0.05,0)
+IF(F455="Yes",0.1,0)
+IF(G455="Yes",0.15,0)
+IF(H455="Yes",0.15,0)
+IF(I455="Yes",0.05,0)
+IF(J455="Yes",0.05,0)
+IF(K455="Yes",0.15,0)
+IF(L455="Yes",0.3,0)
</f>
        <v>1</v>
      </c>
      <c r="E455" s="382" t="s">
        <v>129</v>
      </c>
      <c r="F455" s="137" t="s">
        <v>129</v>
      </c>
      <c r="G455" s="137" t="s">
        <v>129</v>
      </c>
      <c r="H455" s="137" t="s">
        <v>129</v>
      </c>
      <c r="I455" s="137" t="s">
        <v>129</v>
      </c>
      <c r="J455" s="137" t="s">
        <v>129</v>
      </c>
      <c r="K455" s="137" t="s">
        <v>129</v>
      </c>
      <c r="L455" s="137" t="s">
        <v>129</v>
      </c>
      <c r="M455" s="141"/>
      <c r="N455" s="143"/>
    </row>
    <row r="456" hidden="1" outlineLevel="1">
      <c r="A456" s="391" t="s">
        <v>1277</v>
      </c>
      <c r="B456" s="344">
        <v>46146.0</v>
      </c>
      <c r="C456" s="133" t="str">
        <f t="shared" si="56"/>
        <v>Mon</v>
      </c>
      <c r="D456" s="383">
        <f t="shared" si="57"/>
        <v>1</v>
      </c>
      <c r="E456" s="147" t="s">
        <v>129</v>
      </c>
      <c r="F456" s="137" t="s">
        <v>129</v>
      </c>
      <c r="G456" s="137" t="s">
        <v>129</v>
      </c>
      <c r="H456" s="137" t="s">
        <v>129</v>
      </c>
      <c r="I456" s="137" t="s">
        <v>129</v>
      </c>
      <c r="J456" s="137" t="s">
        <v>129</v>
      </c>
      <c r="K456" s="137" t="s">
        <v>129</v>
      </c>
      <c r="L456" s="137" t="s">
        <v>129</v>
      </c>
      <c r="M456" s="141"/>
      <c r="N456" s="147"/>
    </row>
    <row r="457" hidden="1" outlineLevel="1">
      <c r="A457" s="390" t="s">
        <v>1279</v>
      </c>
      <c r="B457" s="344">
        <v>46146.0</v>
      </c>
      <c r="C457" s="133" t="str">
        <f t="shared" si="56"/>
        <v>Mon</v>
      </c>
      <c r="D457" s="381">
        <f t="shared" si="57"/>
        <v>1</v>
      </c>
      <c r="E457" s="382" t="s">
        <v>129</v>
      </c>
      <c r="F457" s="137" t="s">
        <v>129</v>
      </c>
      <c r="G457" s="137" t="s">
        <v>129</v>
      </c>
      <c r="H457" s="137" t="s">
        <v>129</v>
      </c>
      <c r="I457" s="137" t="s">
        <v>129</v>
      </c>
      <c r="J457" s="137" t="s">
        <v>129</v>
      </c>
      <c r="K457" s="137" t="s">
        <v>129</v>
      </c>
      <c r="L457" s="137" t="s">
        <v>129</v>
      </c>
      <c r="M457" s="141"/>
      <c r="N457" s="147"/>
    </row>
    <row r="458" hidden="1" outlineLevel="1">
      <c r="A458" s="391" t="s">
        <v>1285</v>
      </c>
      <c r="B458" s="344">
        <v>46147.0</v>
      </c>
      <c r="C458" s="133" t="str">
        <f t="shared" si="56"/>
        <v>Tue</v>
      </c>
      <c r="D458" s="383">
        <f t="shared" si="57"/>
        <v>1</v>
      </c>
      <c r="E458" s="147" t="s">
        <v>129</v>
      </c>
      <c r="F458" s="137" t="s">
        <v>129</v>
      </c>
      <c r="G458" s="137" t="s">
        <v>129</v>
      </c>
      <c r="H458" s="137" t="s">
        <v>129</v>
      </c>
      <c r="I458" s="137" t="s">
        <v>129</v>
      </c>
      <c r="J458" s="137" t="s">
        <v>129</v>
      </c>
      <c r="K458" s="137" t="s">
        <v>129</v>
      </c>
      <c r="L458" s="137" t="s">
        <v>129</v>
      </c>
      <c r="M458" s="141"/>
      <c r="N458" s="143"/>
    </row>
    <row r="459" hidden="1" outlineLevel="1">
      <c r="A459" s="391" t="s">
        <v>1289</v>
      </c>
      <c r="B459" s="344">
        <v>46147.0</v>
      </c>
      <c r="C459" s="133" t="str">
        <f t="shared" si="56"/>
        <v>Tue</v>
      </c>
      <c r="D459" s="381">
        <f t="shared" si="57"/>
        <v>1</v>
      </c>
      <c r="E459" s="382" t="s">
        <v>129</v>
      </c>
      <c r="F459" s="137" t="s">
        <v>129</v>
      </c>
      <c r="G459" s="137" t="s">
        <v>129</v>
      </c>
      <c r="H459" s="137" t="s">
        <v>129</v>
      </c>
      <c r="I459" s="137" t="s">
        <v>129</v>
      </c>
      <c r="J459" s="137" t="s">
        <v>129</v>
      </c>
      <c r="K459" s="137" t="s">
        <v>129</v>
      </c>
      <c r="L459" s="137" t="s">
        <v>129</v>
      </c>
      <c r="M459" s="141"/>
      <c r="N459" s="143"/>
    </row>
    <row r="460" hidden="1" outlineLevel="1">
      <c r="A460" s="390" t="s">
        <v>1292</v>
      </c>
      <c r="B460" s="344">
        <v>46147.0</v>
      </c>
      <c r="C460" s="133" t="str">
        <f t="shared" si="56"/>
        <v>Tue</v>
      </c>
      <c r="D460" s="383">
        <f t="shared" si="57"/>
        <v>1</v>
      </c>
      <c r="E460" s="147" t="s">
        <v>129</v>
      </c>
      <c r="F460" s="137" t="s">
        <v>129</v>
      </c>
      <c r="G460" s="137" t="s">
        <v>129</v>
      </c>
      <c r="H460" s="137" t="s">
        <v>129</v>
      </c>
      <c r="I460" s="137" t="s">
        <v>129</v>
      </c>
      <c r="J460" s="137" t="s">
        <v>129</v>
      </c>
      <c r="K460" s="137" t="s">
        <v>129</v>
      </c>
      <c r="L460" s="137" t="s">
        <v>129</v>
      </c>
      <c r="M460" s="141"/>
      <c r="N460" s="143"/>
    </row>
    <row r="461" hidden="1" outlineLevel="1">
      <c r="A461" s="391" t="s">
        <v>1293</v>
      </c>
      <c r="B461" s="344">
        <v>46148.0</v>
      </c>
      <c r="C461" s="133" t="str">
        <f t="shared" si="56"/>
        <v>Wed</v>
      </c>
      <c r="D461" s="381">
        <f t="shared" si="57"/>
        <v>1</v>
      </c>
      <c r="E461" s="382" t="s">
        <v>129</v>
      </c>
      <c r="F461" s="137" t="s">
        <v>129</v>
      </c>
      <c r="G461" s="137" t="s">
        <v>129</v>
      </c>
      <c r="H461" s="137" t="s">
        <v>129</v>
      </c>
      <c r="I461" s="137" t="s">
        <v>129</v>
      </c>
      <c r="J461" s="137" t="s">
        <v>129</v>
      </c>
      <c r="K461" s="137" t="s">
        <v>129</v>
      </c>
      <c r="L461" s="137" t="s">
        <v>129</v>
      </c>
      <c r="M461" s="141"/>
      <c r="N461" s="143"/>
    </row>
    <row r="462" hidden="1" outlineLevel="1">
      <c r="A462" s="391" t="s">
        <v>1296</v>
      </c>
      <c r="B462" s="344">
        <v>46148.0</v>
      </c>
      <c r="C462" s="133" t="str">
        <f t="shared" si="56"/>
        <v>Wed</v>
      </c>
      <c r="D462" s="383">
        <f t="shared" si="57"/>
        <v>1</v>
      </c>
      <c r="E462" s="147" t="s">
        <v>129</v>
      </c>
      <c r="F462" s="137" t="s">
        <v>129</v>
      </c>
      <c r="G462" s="137" t="s">
        <v>129</v>
      </c>
      <c r="H462" s="137" t="s">
        <v>129</v>
      </c>
      <c r="I462" s="137" t="s">
        <v>129</v>
      </c>
      <c r="J462" s="137" t="s">
        <v>129</v>
      </c>
      <c r="K462" s="137" t="s">
        <v>129</v>
      </c>
      <c r="L462" s="137" t="s">
        <v>129</v>
      </c>
      <c r="M462" s="141"/>
      <c r="N462" s="147"/>
    </row>
    <row r="463" hidden="1" outlineLevel="1">
      <c r="A463" s="390" t="s">
        <v>1297</v>
      </c>
      <c r="B463" s="344">
        <v>46148.0</v>
      </c>
      <c r="C463" s="133" t="str">
        <f t="shared" si="56"/>
        <v>Wed</v>
      </c>
      <c r="D463" s="381">
        <f t="shared" si="57"/>
        <v>1</v>
      </c>
      <c r="E463" s="382" t="s">
        <v>129</v>
      </c>
      <c r="F463" s="137" t="s">
        <v>129</v>
      </c>
      <c r="G463" s="137" t="s">
        <v>129</v>
      </c>
      <c r="H463" s="137" t="s">
        <v>129</v>
      </c>
      <c r="I463" s="137" t="s">
        <v>129</v>
      </c>
      <c r="J463" s="137" t="s">
        <v>129</v>
      </c>
      <c r="K463" s="137" t="s">
        <v>129</v>
      </c>
      <c r="L463" s="137" t="s">
        <v>129</v>
      </c>
      <c r="M463" s="141"/>
      <c r="N463" s="143"/>
    </row>
    <row r="464" hidden="1" outlineLevel="1">
      <c r="A464" s="391" t="s">
        <v>1299</v>
      </c>
      <c r="B464" s="344">
        <v>46149.0</v>
      </c>
      <c r="C464" s="133" t="str">
        <f t="shared" si="56"/>
        <v>Thu</v>
      </c>
      <c r="D464" s="383">
        <f t="shared" si="57"/>
        <v>1</v>
      </c>
      <c r="E464" s="147" t="s">
        <v>129</v>
      </c>
      <c r="F464" s="137" t="s">
        <v>129</v>
      </c>
      <c r="G464" s="137" t="s">
        <v>129</v>
      </c>
      <c r="H464" s="137" t="s">
        <v>129</v>
      </c>
      <c r="I464" s="137" t="s">
        <v>129</v>
      </c>
      <c r="J464" s="137" t="s">
        <v>129</v>
      </c>
      <c r="K464" s="137" t="s">
        <v>129</v>
      </c>
      <c r="L464" s="137" t="s">
        <v>129</v>
      </c>
      <c r="M464" s="141"/>
      <c r="N464" s="147"/>
    </row>
    <row r="465" hidden="1" outlineLevel="1">
      <c r="A465" s="390" t="s">
        <v>1300</v>
      </c>
      <c r="B465" s="344">
        <v>46149.0</v>
      </c>
      <c r="C465" s="133" t="str">
        <f t="shared" si="56"/>
        <v>Thu</v>
      </c>
      <c r="D465" s="381">
        <f t="shared" si="57"/>
        <v>1</v>
      </c>
      <c r="E465" s="382" t="s">
        <v>129</v>
      </c>
      <c r="F465" s="137" t="s">
        <v>129</v>
      </c>
      <c r="G465" s="137" t="s">
        <v>129</v>
      </c>
      <c r="H465" s="137" t="s">
        <v>129</v>
      </c>
      <c r="I465" s="137" t="s">
        <v>129</v>
      </c>
      <c r="J465" s="137" t="s">
        <v>129</v>
      </c>
      <c r="K465" s="137" t="s">
        <v>129</v>
      </c>
      <c r="L465" s="137" t="s">
        <v>129</v>
      </c>
      <c r="M465" s="141"/>
      <c r="N465" s="147"/>
    </row>
    <row r="466" hidden="1" outlineLevel="1">
      <c r="A466" s="391" t="s">
        <v>1302</v>
      </c>
      <c r="B466" s="344">
        <v>46149.0</v>
      </c>
      <c r="C466" s="133" t="str">
        <f t="shared" si="56"/>
        <v>Thu</v>
      </c>
      <c r="D466" s="383">
        <f t="shared" si="57"/>
        <v>1</v>
      </c>
      <c r="E466" s="147" t="s">
        <v>129</v>
      </c>
      <c r="F466" s="137" t="s">
        <v>129</v>
      </c>
      <c r="G466" s="137" t="s">
        <v>129</v>
      </c>
      <c r="H466" s="137" t="s">
        <v>129</v>
      </c>
      <c r="I466" s="137" t="s">
        <v>129</v>
      </c>
      <c r="J466" s="137" t="s">
        <v>129</v>
      </c>
      <c r="K466" s="137" t="s">
        <v>129</v>
      </c>
      <c r="L466" s="137" t="s">
        <v>129</v>
      </c>
      <c r="M466" s="141"/>
      <c r="N466" s="147"/>
    </row>
    <row r="467" hidden="1" outlineLevel="1">
      <c r="A467" s="390" t="s">
        <v>1304</v>
      </c>
      <c r="B467" s="344">
        <v>46150.0</v>
      </c>
      <c r="C467" s="133" t="str">
        <f t="shared" si="56"/>
        <v>Fri</v>
      </c>
      <c r="D467" s="381">
        <f t="shared" si="57"/>
        <v>1</v>
      </c>
      <c r="E467" s="382" t="s">
        <v>129</v>
      </c>
      <c r="F467" s="137" t="s">
        <v>129</v>
      </c>
      <c r="G467" s="137" t="s">
        <v>129</v>
      </c>
      <c r="H467" s="137" t="s">
        <v>129</v>
      </c>
      <c r="I467" s="137" t="s">
        <v>129</v>
      </c>
      <c r="J467" s="137" t="s">
        <v>129</v>
      </c>
      <c r="K467" s="137" t="s">
        <v>129</v>
      </c>
      <c r="L467" s="137" t="s">
        <v>129</v>
      </c>
      <c r="M467" s="141"/>
      <c r="N467" s="143"/>
    </row>
    <row r="468" hidden="1" outlineLevel="1">
      <c r="A468" s="391" t="s">
        <v>1306</v>
      </c>
      <c r="B468" s="344">
        <v>46150.0</v>
      </c>
      <c r="C468" s="133" t="str">
        <f t="shared" si="56"/>
        <v>Fri</v>
      </c>
      <c r="D468" s="383">
        <f t="shared" si="57"/>
        <v>1</v>
      </c>
      <c r="E468" s="147" t="s">
        <v>129</v>
      </c>
      <c r="F468" s="137" t="s">
        <v>129</v>
      </c>
      <c r="G468" s="137" t="s">
        <v>129</v>
      </c>
      <c r="H468" s="137" t="s">
        <v>129</v>
      </c>
      <c r="I468" s="137" t="s">
        <v>129</v>
      </c>
      <c r="J468" s="137" t="s">
        <v>129</v>
      </c>
      <c r="K468" s="137" t="s">
        <v>129</v>
      </c>
      <c r="L468" s="137" t="s">
        <v>129</v>
      </c>
      <c r="M468" s="141"/>
      <c r="N468" s="143"/>
    </row>
    <row r="469" ht="15.0" hidden="1" customHeight="1" outlineLevel="1">
      <c r="A469" s="391" t="s">
        <v>1309</v>
      </c>
      <c r="B469" s="344">
        <v>46150.0</v>
      </c>
      <c r="C469" s="133" t="str">
        <f t="shared" si="56"/>
        <v>Fri</v>
      </c>
      <c r="D469" s="381">
        <f t="shared" si="57"/>
        <v>1</v>
      </c>
      <c r="E469" s="382" t="s">
        <v>129</v>
      </c>
      <c r="F469" s="137" t="s">
        <v>129</v>
      </c>
      <c r="G469" s="137" t="s">
        <v>129</v>
      </c>
      <c r="H469" s="137" t="s">
        <v>129</v>
      </c>
      <c r="I469" s="137" t="s">
        <v>129</v>
      </c>
      <c r="J469" s="137" t="s">
        <v>129</v>
      </c>
      <c r="K469" s="137" t="s">
        <v>129</v>
      </c>
      <c r="L469" s="137" t="s">
        <v>129</v>
      </c>
      <c r="M469" s="141"/>
      <c r="N469" s="147"/>
    </row>
    <row r="470" hidden="1" outlineLevel="1">
      <c r="B470" s="189"/>
      <c r="C470" s="191" t="s">
        <v>194</v>
      </c>
      <c r="D470" s="204">
        <f>AVERAGE(D455:D469)</f>
        <v>1</v>
      </c>
      <c r="E470" s="384"/>
      <c r="L470" s="191" t="s">
        <v>194</v>
      </c>
      <c r="M470" s="204">
        <f>SUM(M455:M469)/75*0.1</f>
        <v>0</v>
      </c>
    </row>
    <row r="471" hidden="1" collapsed="1">
      <c r="A471" s="206" t="s">
        <v>1036</v>
      </c>
      <c r="B471" s="207"/>
      <c r="C471" s="207"/>
      <c r="D471" s="385"/>
      <c r="E471" s="109"/>
      <c r="F471" s="109"/>
      <c r="G471" s="110"/>
      <c r="H471" s="110"/>
      <c r="I471" s="110"/>
      <c r="J471" s="110"/>
      <c r="K471" s="110"/>
      <c r="L471" s="110"/>
      <c r="M471" s="111"/>
      <c r="N471" s="113"/>
    </row>
    <row r="472" hidden="1" outlineLevel="1">
      <c r="A472" s="373" t="s">
        <v>98</v>
      </c>
      <c r="B472" s="115" t="s">
        <v>100</v>
      </c>
      <c r="C472" s="115" t="s">
        <v>102</v>
      </c>
      <c r="D472" s="119" t="s">
        <v>103</v>
      </c>
      <c r="E472" s="275" t="s">
        <v>269</v>
      </c>
      <c r="F472" s="275" t="s">
        <v>272</v>
      </c>
      <c r="G472" s="276" t="s">
        <v>328</v>
      </c>
      <c r="H472" s="121" t="s">
        <v>107</v>
      </c>
      <c r="I472" s="121" t="s">
        <v>108</v>
      </c>
      <c r="J472" s="276" t="s">
        <v>329</v>
      </c>
      <c r="K472" s="121" t="s">
        <v>111</v>
      </c>
      <c r="L472" s="276" t="s">
        <v>274</v>
      </c>
      <c r="M472" s="115" t="s">
        <v>114</v>
      </c>
      <c r="N472" s="119" t="s">
        <v>115</v>
      </c>
    </row>
    <row r="473" hidden="1" outlineLevel="1">
      <c r="A473" s="390" t="s">
        <v>1314</v>
      </c>
      <c r="B473" s="344">
        <v>46153.0</v>
      </c>
      <c r="C473" s="133" t="str">
        <f t="shared" ref="C473:C487" si="58">IF(B473="", "", TEXT(B473, "ddd"))</f>
        <v>Mon</v>
      </c>
      <c r="D473" s="381">
        <f t="shared" ref="D473:D487" si="59">IF(E473="Yes",0.05,0)
+IF(F473="Yes",0.1,0)
+IF(G473="Yes",0.15,0)
+IF(H473="Yes",0.15,0)
+IF(I473="Yes",0.05,0)
+IF(J473="Yes",0.05,0)
+IF(K473="Yes",0.15,0)
+IF(L473="Yes",0.3,0)
</f>
        <v>1</v>
      </c>
      <c r="E473" s="382" t="s">
        <v>129</v>
      </c>
      <c r="F473" s="137" t="s">
        <v>129</v>
      </c>
      <c r="G473" s="137" t="s">
        <v>129</v>
      </c>
      <c r="H473" s="137" t="s">
        <v>129</v>
      </c>
      <c r="I473" s="137" t="s">
        <v>129</v>
      </c>
      <c r="J473" s="137" t="s">
        <v>129</v>
      </c>
      <c r="K473" s="137" t="s">
        <v>129</v>
      </c>
      <c r="L473" s="137" t="s">
        <v>129</v>
      </c>
      <c r="M473" s="141"/>
      <c r="N473" s="143"/>
    </row>
    <row r="474" hidden="1" outlineLevel="1">
      <c r="A474" s="391" t="s">
        <v>1317</v>
      </c>
      <c r="B474" s="344">
        <v>46153.0</v>
      </c>
      <c r="C474" s="133" t="str">
        <f t="shared" si="58"/>
        <v>Mon</v>
      </c>
      <c r="D474" s="383">
        <f t="shared" si="59"/>
        <v>1</v>
      </c>
      <c r="E474" s="147" t="s">
        <v>129</v>
      </c>
      <c r="F474" s="137" t="s">
        <v>129</v>
      </c>
      <c r="G474" s="137" t="s">
        <v>129</v>
      </c>
      <c r="H474" s="137" t="s">
        <v>129</v>
      </c>
      <c r="I474" s="137" t="s">
        <v>129</v>
      </c>
      <c r="J474" s="137" t="s">
        <v>129</v>
      </c>
      <c r="K474" s="137" t="s">
        <v>129</v>
      </c>
      <c r="L474" s="137" t="s">
        <v>129</v>
      </c>
      <c r="M474" s="141"/>
      <c r="N474" s="147"/>
    </row>
    <row r="475" hidden="1" outlineLevel="1">
      <c r="A475" s="391" t="s">
        <v>1319</v>
      </c>
      <c r="B475" s="344">
        <v>46153.0</v>
      </c>
      <c r="C475" s="133" t="str">
        <f t="shared" si="58"/>
        <v>Mon</v>
      </c>
      <c r="D475" s="381">
        <f t="shared" si="59"/>
        <v>1</v>
      </c>
      <c r="E475" s="382" t="s">
        <v>129</v>
      </c>
      <c r="F475" s="137" t="s">
        <v>129</v>
      </c>
      <c r="G475" s="137" t="s">
        <v>129</v>
      </c>
      <c r="H475" s="137" t="s">
        <v>129</v>
      </c>
      <c r="I475" s="137" t="s">
        <v>129</v>
      </c>
      <c r="J475" s="137" t="s">
        <v>129</v>
      </c>
      <c r="K475" s="137" t="s">
        <v>129</v>
      </c>
      <c r="L475" s="137" t="s">
        <v>129</v>
      </c>
      <c r="M475" s="141"/>
      <c r="N475" s="147"/>
    </row>
    <row r="476" hidden="1" outlineLevel="1">
      <c r="A476" s="390" t="s">
        <v>1321</v>
      </c>
      <c r="B476" s="344">
        <v>46154.0</v>
      </c>
      <c r="C476" s="133" t="str">
        <f t="shared" si="58"/>
        <v>Tue</v>
      </c>
      <c r="D476" s="383">
        <f t="shared" si="59"/>
        <v>1</v>
      </c>
      <c r="E476" s="147" t="s">
        <v>129</v>
      </c>
      <c r="F476" s="137" t="s">
        <v>129</v>
      </c>
      <c r="G476" s="137" t="s">
        <v>129</v>
      </c>
      <c r="H476" s="137" t="s">
        <v>129</v>
      </c>
      <c r="I476" s="137" t="s">
        <v>129</v>
      </c>
      <c r="J476" s="137" t="s">
        <v>129</v>
      </c>
      <c r="K476" s="137" t="s">
        <v>129</v>
      </c>
      <c r="L476" s="137" t="s">
        <v>129</v>
      </c>
      <c r="M476" s="141"/>
      <c r="N476" s="143"/>
    </row>
    <row r="477" hidden="1" outlineLevel="1">
      <c r="A477" s="391" t="s">
        <v>1323</v>
      </c>
      <c r="B477" s="344">
        <v>46154.0</v>
      </c>
      <c r="C477" s="133" t="str">
        <f t="shared" si="58"/>
        <v>Tue</v>
      </c>
      <c r="D477" s="381">
        <f t="shared" si="59"/>
        <v>1</v>
      </c>
      <c r="E477" s="382" t="s">
        <v>129</v>
      </c>
      <c r="F477" s="137" t="s">
        <v>129</v>
      </c>
      <c r="G477" s="137" t="s">
        <v>129</v>
      </c>
      <c r="H477" s="137" t="s">
        <v>129</v>
      </c>
      <c r="I477" s="137" t="s">
        <v>129</v>
      </c>
      <c r="J477" s="137" t="s">
        <v>129</v>
      </c>
      <c r="K477" s="137" t="s">
        <v>129</v>
      </c>
      <c r="L477" s="137" t="s">
        <v>129</v>
      </c>
      <c r="M477" s="141"/>
      <c r="N477" s="143"/>
    </row>
    <row r="478" hidden="1" outlineLevel="1">
      <c r="A478" s="390" t="s">
        <v>1326</v>
      </c>
      <c r="B478" s="344">
        <v>46154.0</v>
      </c>
      <c r="C478" s="133" t="str">
        <f t="shared" si="58"/>
        <v>Tue</v>
      </c>
      <c r="D478" s="383">
        <f t="shared" si="59"/>
        <v>1</v>
      </c>
      <c r="E478" s="147" t="s">
        <v>129</v>
      </c>
      <c r="F478" s="137" t="s">
        <v>129</v>
      </c>
      <c r="G478" s="137" t="s">
        <v>129</v>
      </c>
      <c r="H478" s="137" t="s">
        <v>129</v>
      </c>
      <c r="I478" s="137" t="s">
        <v>129</v>
      </c>
      <c r="J478" s="137" t="s">
        <v>129</v>
      </c>
      <c r="K478" s="137" t="s">
        <v>129</v>
      </c>
      <c r="L478" s="137" t="s">
        <v>129</v>
      </c>
      <c r="M478" s="141"/>
      <c r="N478" s="143"/>
    </row>
    <row r="479" hidden="1" outlineLevel="1">
      <c r="A479" s="390" t="s">
        <v>1328</v>
      </c>
      <c r="B479" s="344">
        <v>46155.0</v>
      </c>
      <c r="C479" s="133" t="str">
        <f t="shared" si="58"/>
        <v>Wed</v>
      </c>
      <c r="D479" s="381">
        <f t="shared" si="59"/>
        <v>1</v>
      </c>
      <c r="E479" s="382" t="s">
        <v>129</v>
      </c>
      <c r="F479" s="137" t="s">
        <v>129</v>
      </c>
      <c r="G479" s="137" t="s">
        <v>129</v>
      </c>
      <c r="H479" s="137" t="s">
        <v>129</v>
      </c>
      <c r="I479" s="137" t="s">
        <v>129</v>
      </c>
      <c r="J479" s="137" t="s">
        <v>129</v>
      </c>
      <c r="K479" s="137" t="s">
        <v>129</v>
      </c>
      <c r="L479" s="137" t="s">
        <v>129</v>
      </c>
      <c r="M479" s="141"/>
      <c r="N479" s="143"/>
    </row>
    <row r="480" hidden="1" outlineLevel="1">
      <c r="A480" s="390" t="s">
        <v>1331</v>
      </c>
      <c r="B480" s="344">
        <v>46155.0</v>
      </c>
      <c r="C480" s="133" t="str">
        <f t="shared" si="58"/>
        <v>Wed</v>
      </c>
      <c r="D480" s="383">
        <f t="shared" si="59"/>
        <v>1</v>
      </c>
      <c r="E480" s="147" t="s">
        <v>129</v>
      </c>
      <c r="F480" s="137" t="s">
        <v>129</v>
      </c>
      <c r="G480" s="137" t="s">
        <v>129</v>
      </c>
      <c r="H480" s="137" t="s">
        <v>129</v>
      </c>
      <c r="I480" s="137" t="s">
        <v>129</v>
      </c>
      <c r="J480" s="137" t="s">
        <v>129</v>
      </c>
      <c r="K480" s="137" t="s">
        <v>129</v>
      </c>
      <c r="L480" s="137" t="s">
        <v>129</v>
      </c>
      <c r="M480" s="141"/>
      <c r="N480" s="147"/>
    </row>
    <row r="481" hidden="1" outlineLevel="1">
      <c r="A481" s="390" t="s">
        <v>1334</v>
      </c>
      <c r="B481" s="344">
        <v>46155.0</v>
      </c>
      <c r="C481" s="133" t="str">
        <f t="shared" si="58"/>
        <v>Wed</v>
      </c>
      <c r="D481" s="381">
        <f t="shared" si="59"/>
        <v>1</v>
      </c>
      <c r="E481" s="382" t="s">
        <v>129</v>
      </c>
      <c r="F481" s="137" t="s">
        <v>129</v>
      </c>
      <c r="G481" s="137" t="s">
        <v>129</v>
      </c>
      <c r="H481" s="137" t="s">
        <v>129</v>
      </c>
      <c r="I481" s="137" t="s">
        <v>129</v>
      </c>
      <c r="J481" s="137" t="s">
        <v>129</v>
      </c>
      <c r="K481" s="137" t="s">
        <v>129</v>
      </c>
      <c r="L481" s="137" t="s">
        <v>129</v>
      </c>
      <c r="M481" s="141"/>
      <c r="N481" s="143"/>
    </row>
    <row r="482" hidden="1" outlineLevel="1">
      <c r="A482" s="391" t="s">
        <v>1336</v>
      </c>
      <c r="B482" s="344">
        <v>46156.0</v>
      </c>
      <c r="C482" s="133" t="str">
        <f t="shared" si="58"/>
        <v>Thu</v>
      </c>
      <c r="D482" s="383">
        <f t="shared" si="59"/>
        <v>1</v>
      </c>
      <c r="E482" s="147" t="s">
        <v>129</v>
      </c>
      <c r="F482" s="137" t="s">
        <v>129</v>
      </c>
      <c r="G482" s="137" t="s">
        <v>129</v>
      </c>
      <c r="H482" s="137" t="s">
        <v>129</v>
      </c>
      <c r="I482" s="137" t="s">
        <v>129</v>
      </c>
      <c r="J482" s="137" t="s">
        <v>129</v>
      </c>
      <c r="K482" s="137" t="s">
        <v>129</v>
      </c>
      <c r="L482" s="137" t="s">
        <v>129</v>
      </c>
      <c r="M482" s="141"/>
      <c r="N482" s="147"/>
    </row>
    <row r="483" hidden="1" outlineLevel="1">
      <c r="A483" s="390" t="s">
        <v>1341</v>
      </c>
      <c r="B483" s="344">
        <v>46156.0</v>
      </c>
      <c r="C483" s="133" t="str">
        <f t="shared" si="58"/>
        <v>Thu</v>
      </c>
      <c r="D483" s="381">
        <f t="shared" si="59"/>
        <v>1</v>
      </c>
      <c r="E483" s="382" t="s">
        <v>129</v>
      </c>
      <c r="F483" s="137" t="s">
        <v>129</v>
      </c>
      <c r="G483" s="137" t="s">
        <v>129</v>
      </c>
      <c r="H483" s="137" t="s">
        <v>129</v>
      </c>
      <c r="I483" s="137" t="s">
        <v>129</v>
      </c>
      <c r="J483" s="137" t="s">
        <v>129</v>
      </c>
      <c r="K483" s="137" t="s">
        <v>129</v>
      </c>
      <c r="L483" s="137" t="s">
        <v>129</v>
      </c>
      <c r="M483" s="141"/>
      <c r="N483" s="147"/>
    </row>
    <row r="484" hidden="1" outlineLevel="1">
      <c r="A484" s="391" t="s">
        <v>1343</v>
      </c>
      <c r="B484" s="344">
        <v>46156.0</v>
      </c>
      <c r="C484" s="133" t="str">
        <f t="shared" si="58"/>
        <v>Thu</v>
      </c>
      <c r="D484" s="383">
        <f t="shared" si="59"/>
        <v>1</v>
      </c>
      <c r="E484" s="147" t="s">
        <v>129</v>
      </c>
      <c r="F484" s="137" t="s">
        <v>129</v>
      </c>
      <c r="G484" s="137" t="s">
        <v>129</v>
      </c>
      <c r="H484" s="137" t="s">
        <v>129</v>
      </c>
      <c r="I484" s="137" t="s">
        <v>129</v>
      </c>
      <c r="J484" s="137" t="s">
        <v>129</v>
      </c>
      <c r="K484" s="137" t="s">
        <v>129</v>
      </c>
      <c r="L484" s="137" t="s">
        <v>129</v>
      </c>
      <c r="M484" s="141"/>
      <c r="N484" s="147"/>
    </row>
    <row r="485" hidden="1" outlineLevel="1">
      <c r="A485" s="390" t="s">
        <v>1344</v>
      </c>
      <c r="B485" s="344">
        <v>46157.0</v>
      </c>
      <c r="C485" s="133" t="str">
        <f t="shared" si="58"/>
        <v>Fri</v>
      </c>
      <c r="D485" s="381">
        <f t="shared" si="59"/>
        <v>1</v>
      </c>
      <c r="E485" s="382" t="s">
        <v>129</v>
      </c>
      <c r="F485" s="137" t="s">
        <v>129</v>
      </c>
      <c r="G485" s="137" t="s">
        <v>129</v>
      </c>
      <c r="H485" s="137" t="s">
        <v>129</v>
      </c>
      <c r="I485" s="137" t="s">
        <v>129</v>
      </c>
      <c r="J485" s="137" t="s">
        <v>129</v>
      </c>
      <c r="K485" s="137" t="s">
        <v>129</v>
      </c>
      <c r="L485" s="137" t="s">
        <v>129</v>
      </c>
      <c r="M485" s="141"/>
      <c r="N485" s="143"/>
    </row>
    <row r="486" hidden="1" outlineLevel="1">
      <c r="A486" s="391" t="s">
        <v>1345</v>
      </c>
      <c r="B486" s="344">
        <v>46157.0</v>
      </c>
      <c r="C486" s="133" t="str">
        <f t="shared" si="58"/>
        <v>Fri</v>
      </c>
      <c r="D486" s="383">
        <f t="shared" si="59"/>
        <v>1</v>
      </c>
      <c r="E486" s="147" t="s">
        <v>129</v>
      </c>
      <c r="F486" s="137" t="s">
        <v>129</v>
      </c>
      <c r="G486" s="137" t="s">
        <v>129</v>
      </c>
      <c r="H486" s="137" t="s">
        <v>129</v>
      </c>
      <c r="I486" s="137" t="s">
        <v>129</v>
      </c>
      <c r="J486" s="137" t="s">
        <v>129</v>
      </c>
      <c r="K486" s="137" t="s">
        <v>129</v>
      </c>
      <c r="L486" s="137" t="s">
        <v>129</v>
      </c>
      <c r="M486" s="141"/>
      <c r="N486" s="143"/>
    </row>
    <row r="487" ht="15.0" hidden="1" customHeight="1" outlineLevel="1">
      <c r="A487" s="391" t="s">
        <v>1348</v>
      </c>
      <c r="B487" s="344">
        <v>46157.0</v>
      </c>
      <c r="C487" s="133" t="str">
        <f t="shared" si="58"/>
        <v>Fri</v>
      </c>
      <c r="D487" s="381">
        <f t="shared" si="59"/>
        <v>1</v>
      </c>
      <c r="E487" s="382" t="s">
        <v>129</v>
      </c>
      <c r="F487" s="137" t="s">
        <v>129</v>
      </c>
      <c r="G487" s="137" t="s">
        <v>129</v>
      </c>
      <c r="H487" s="137" t="s">
        <v>129</v>
      </c>
      <c r="I487" s="137" t="s">
        <v>129</v>
      </c>
      <c r="J487" s="137" t="s">
        <v>129</v>
      </c>
      <c r="K487" s="137" t="s">
        <v>129</v>
      </c>
      <c r="L487" s="137" t="s">
        <v>129</v>
      </c>
      <c r="M487" s="141"/>
      <c r="N487" s="147"/>
    </row>
    <row r="488" hidden="1" outlineLevel="1">
      <c r="B488" s="189"/>
      <c r="C488" s="191" t="s">
        <v>194</v>
      </c>
      <c r="D488" s="204">
        <f>AVERAGE(D473:D487)</f>
        <v>1</v>
      </c>
      <c r="E488" s="384"/>
      <c r="L488" s="191" t="s">
        <v>194</v>
      </c>
      <c r="M488" s="204">
        <f>SUM(M473:M487)/75*0.1</f>
        <v>0</v>
      </c>
    </row>
    <row r="489" hidden="1" collapsed="1">
      <c r="A489" s="206" t="s">
        <v>1057</v>
      </c>
      <c r="B489" s="207"/>
      <c r="C489" s="207"/>
      <c r="D489" s="385"/>
      <c r="E489" s="109"/>
      <c r="F489" s="109"/>
      <c r="G489" s="110"/>
      <c r="H489" s="110"/>
      <c r="I489" s="110"/>
      <c r="J489" s="110"/>
      <c r="K489" s="110"/>
      <c r="L489" s="110"/>
      <c r="M489" s="111"/>
      <c r="N489" s="113"/>
    </row>
    <row r="490" hidden="1" outlineLevel="1">
      <c r="A490" s="373" t="s">
        <v>98</v>
      </c>
      <c r="B490" s="115" t="s">
        <v>100</v>
      </c>
      <c r="C490" s="115" t="s">
        <v>102</v>
      </c>
      <c r="D490" s="119" t="s">
        <v>103</v>
      </c>
      <c r="E490" s="275" t="s">
        <v>269</v>
      </c>
      <c r="F490" s="275" t="s">
        <v>272</v>
      </c>
      <c r="G490" s="276" t="s">
        <v>328</v>
      </c>
      <c r="H490" s="121" t="s">
        <v>107</v>
      </c>
      <c r="I490" s="121" t="s">
        <v>108</v>
      </c>
      <c r="J490" s="276" t="s">
        <v>329</v>
      </c>
      <c r="K490" s="121" t="s">
        <v>111</v>
      </c>
      <c r="L490" s="276" t="s">
        <v>274</v>
      </c>
      <c r="M490" s="115" t="s">
        <v>114</v>
      </c>
      <c r="N490" s="119" t="s">
        <v>115</v>
      </c>
    </row>
    <row r="491" hidden="1" outlineLevel="1">
      <c r="A491" s="303" t="s">
        <v>1349</v>
      </c>
      <c r="B491" s="344">
        <v>46161.0</v>
      </c>
      <c r="C491" s="133" t="str">
        <f t="shared" ref="C491:C505" si="60">IF(B491="", "", TEXT(B491, "ddd"))</f>
        <v>Tue</v>
      </c>
      <c r="D491" s="381">
        <f t="shared" ref="D491:D505" si="61">IF(E491="Yes",0.05,0)
+IF(F491="Yes",0.1,0)
+IF(G491="Yes",0.15,0)
+IF(H491="Yes",0.15,0)
+IF(I491="Yes",0.05,0)
+IF(J491="Yes",0.05,0)
+IF(K491="Yes",0.15,0)
+IF(L491="Yes",0.3,0)
</f>
        <v>1</v>
      </c>
      <c r="E491" s="382" t="s">
        <v>129</v>
      </c>
      <c r="F491" s="137" t="s">
        <v>129</v>
      </c>
      <c r="G491" s="137" t="s">
        <v>129</v>
      </c>
      <c r="H491" s="137" t="s">
        <v>129</v>
      </c>
      <c r="I491" s="137" t="s">
        <v>129</v>
      </c>
      <c r="J491" s="137" t="s">
        <v>129</v>
      </c>
      <c r="K491" s="137" t="s">
        <v>129</v>
      </c>
      <c r="L491" s="137" t="s">
        <v>129</v>
      </c>
      <c r="M491" s="141"/>
      <c r="N491" s="143"/>
    </row>
    <row r="492" hidden="1" outlineLevel="1">
      <c r="A492" s="303" t="s">
        <v>1350</v>
      </c>
      <c r="B492" s="344">
        <v>46161.0</v>
      </c>
      <c r="C492" s="133" t="str">
        <f t="shared" si="60"/>
        <v>Tue</v>
      </c>
      <c r="D492" s="383">
        <f t="shared" si="61"/>
        <v>1</v>
      </c>
      <c r="E492" s="147" t="s">
        <v>129</v>
      </c>
      <c r="F492" s="137" t="s">
        <v>129</v>
      </c>
      <c r="G492" s="137" t="s">
        <v>129</v>
      </c>
      <c r="H492" s="137" t="s">
        <v>129</v>
      </c>
      <c r="I492" s="137" t="s">
        <v>129</v>
      </c>
      <c r="J492" s="137" t="s">
        <v>129</v>
      </c>
      <c r="K492" s="137" t="s">
        <v>129</v>
      </c>
      <c r="L492" s="137" t="s">
        <v>129</v>
      </c>
      <c r="M492" s="141"/>
      <c r="N492" s="147"/>
    </row>
    <row r="493" hidden="1" outlineLevel="1">
      <c r="A493" s="303" t="s">
        <v>1351</v>
      </c>
      <c r="B493" s="344">
        <v>46161.0</v>
      </c>
      <c r="C493" s="133" t="str">
        <f t="shared" si="60"/>
        <v>Tue</v>
      </c>
      <c r="D493" s="381">
        <f t="shared" si="61"/>
        <v>1</v>
      </c>
      <c r="E493" s="382" t="s">
        <v>129</v>
      </c>
      <c r="F493" s="137" t="s">
        <v>129</v>
      </c>
      <c r="G493" s="137" t="s">
        <v>129</v>
      </c>
      <c r="H493" s="137" t="s">
        <v>129</v>
      </c>
      <c r="I493" s="137" t="s">
        <v>129</v>
      </c>
      <c r="J493" s="137" t="s">
        <v>129</v>
      </c>
      <c r="K493" s="137" t="s">
        <v>129</v>
      </c>
      <c r="L493" s="137" t="s">
        <v>129</v>
      </c>
      <c r="M493" s="141"/>
      <c r="N493" s="147"/>
    </row>
    <row r="494" hidden="1" outlineLevel="1">
      <c r="A494" s="303" t="s">
        <v>1352</v>
      </c>
      <c r="B494" s="344">
        <v>46162.0</v>
      </c>
      <c r="C494" s="133" t="str">
        <f t="shared" si="60"/>
        <v>Wed</v>
      </c>
      <c r="D494" s="383">
        <f t="shared" si="61"/>
        <v>1</v>
      </c>
      <c r="E494" s="147" t="s">
        <v>129</v>
      </c>
      <c r="F494" s="137" t="s">
        <v>129</v>
      </c>
      <c r="G494" s="137" t="s">
        <v>129</v>
      </c>
      <c r="H494" s="137" t="s">
        <v>129</v>
      </c>
      <c r="I494" s="137" t="s">
        <v>129</v>
      </c>
      <c r="J494" s="137" t="s">
        <v>129</v>
      </c>
      <c r="K494" s="137" t="s">
        <v>129</v>
      </c>
      <c r="L494" s="137" t="s">
        <v>129</v>
      </c>
      <c r="M494" s="141"/>
      <c r="N494" s="143"/>
    </row>
    <row r="495" hidden="1" outlineLevel="1">
      <c r="A495" s="303" t="s">
        <v>1353</v>
      </c>
      <c r="B495" s="344">
        <v>46162.0</v>
      </c>
      <c r="C495" s="133" t="str">
        <f t="shared" si="60"/>
        <v>Wed</v>
      </c>
      <c r="D495" s="381">
        <f t="shared" si="61"/>
        <v>1</v>
      </c>
      <c r="E495" s="382" t="s">
        <v>129</v>
      </c>
      <c r="F495" s="137" t="s">
        <v>129</v>
      </c>
      <c r="G495" s="137" t="s">
        <v>129</v>
      </c>
      <c r="H495" s="137" t="s">
        <v>129</v>
      </c>
      <c r="I495" s="137" t="s">
        <v>129</v>
      </c>
      <c r="J495" s="137" t="s">
        <v>129</v>
      </c>
      <c r="K495" s="137" t="s">
        <v>129</v>
      </c>
      <c r="L495" s="137" t="s">
        <v>129</v>
      </c>
      <c r="M495" s="141"/>
      <c r="N495" s="143"/>
    </row>
    <row r="496" hidden="1" outlineLevel="1">
      <c r="A496" s="303" t="s">
        <v>1354</v>
      </c>
      <c r="B496" s="344">
        <v>46162.0</v>
      </c>
      <c r="C496" s="133" t="str">
        <f t="shared" si="60"/>
        <v>Wed</v>
      </c>
      <c r="D496" s="383">
        <f t="shared" si="61"/>
        <v>1</v>
      </c>
      <c r="E496" s="147" t="s">
        <v>129</v>
      </c>
      <c r="F496" s="137" t="s">
        <v>129</v>
      </c>
      <c r="G496" s="137" t="s">
        <v>129</v>
      </c>
      <c r="H496" s="137" t="s">
        <v>129</v>
      </c>
      <c r="I496" s="137" t="s">
        <v>129</v>
      </c>
      <c r="J496" s="137" t="s">
        <v>129</v>
      </c>
      <c r="K496" s="137" t="s">
        <v>129</v>
      </c>
      <c r="L496" s="137" t="s">
        <v>129</v>
      </c>
      <c r="M496" s="141"/>
      <c r="N496" s="143"/>
    </row>
    <row r="497" hidden="1" outlineLevel="1">
      <c r="A497" s="303" t="s">
        <v>1355</v>
      </c>
      <c r="B497" s="344">
        <v>46163.0</v>
      </c>
      <c r="C497" s="133" t="str">
        <f t="shared" si="60"/>
        <v>Thu</v>
      </c>
      <c r="D497" s="381">
        <f t="shared" si="61"/>
        <v>1</v>
      </c>
      <c r="E497" s="382" t="s">
        <v>129</v>
      </c>
      <c r="F497" s="137" t="s">
        <v>129</v>
      </c>
      <c r="G497" s="137" t="s">
        <v>129</v>
      </c>
      <c r="H497" s="137" t="s">
        <v>129</v>
      </c>
      <c r="I497" s="137" t="s">
        <v>129</v>
      </c>
      <c r="J497" s="137" t="s">
        <v>129</v>
      </c>
      <c r="K497" s="137" t="s">
        <v>129</v>
      </c>
      <c r="L497" s="137" t="s">
        <v>129</v>
      </c>
      <c r="M497" s="141"/>
      <c r="N497" s="143"/>
    </row>
    <row r="498" hidden="1" outlineLevel="1">
      <c r="A498" s="303" t="s">
        <v>1356</v>
      </c>
      <c r="B498" s="344">
        <v>46163.0</v>
      </c>
      <c r="C498" s="133" t="str">
        <f t="shared" si="60"/>
        <v>Thu</v>
      </c>
      <c r="D498" s="383">
        <f t="shared" si="61"/>
        <v>1</v>
      </c>
      <c r="E498" s="147" t="s">
        <v>129</v>
      </c>
      <c r="F498" s="137" t="s">
        <v>129</v>
      </c>
      <c r="G498" s="137" t="s">
        <v>129</v>
      </c>
      <c r="H498" s="137" t="s">
        <v>129</v>
      </c>
      <c r="I498" s="137" t="s">
        <v>129</v>
      </c>
      <c r="J498" s="137" t="s">
        <v>129</v>
      </c>
      <c r="K498" s="137" t="s">
        <v>129</v>
      </c>
      <c r="L498" s="137" t="s">
        <v>129</v>
      </c>
      <c r="M498" s="141"/>
      <c r="N498" s="147"/>
    </row>
    <row r="499" hidden="1" outlineLevel="1">
      <c r="A499" s="303" t="s">
        <v>1357</v>
      </c>
      <c r="B499" s="344">
        <v>46163.0</v>
      </c>
      <c r="C499" s="133" t="str">
        <f t="shared" si="60"/>
        <v>Thu</v>
      </c>
      <c r="D499" s="381">
        <f t="shared" si="61"/>
        <v>1</v>
      </c>
      <c r="E499" s="382" t="s">
        <v>129</v>
      </c>
      <c r="F499" s="137" t="s">
        <v>129</v>
      </c>
      <c r="G499" s="137" t="s">
        <v>129</v>
      </c>
      <c r="H499" s="137" t="s">
        <v>129</v>
      </c>
      <c r="I499" s="137" t="s">
        <v>129</v>
      </c>
      <c r="J499" s="137" t="s">
        <v>129</v>
      </c>
      <c r="K499" s="137" t="s">
        <v>129</v>
      </c>
      <c r="L499" s="137" t="s">
        <v>129</v>
      </c>
      <c r="M499" s="141"/>
      <c r="N499" s="143"/>
    </row>
    <row r="500" hidden="1" outlineLevel="1">
      <c r="A500" s="303" t="s">
        <v>1358</v>
      </c>
      <c r="B500" s="344">
        <v>46164.0</v>
      </c>
      <c r="C500" s="133" t="str">
        <f t="shared" si="60"/>
        <v>Fri</v>
      </c>
      <c r="D500" s="383">
        <f t="shared" si="61"/>
        <v>1</v>
      </c>
      <c r="E500" s="147" t="s">
        <v>129</v>
      </c>
      <c r="F500" s="137" t="s">
        <v>129</v>
      </c>
      <c r="G500" s="137" t="s">
        <v>129</v>
      </c>
      <c r="H500" s="137" t="s">
        <v>129</v>
      </c>
      <c r="I500" s="137" t="s">
        <v>129</v>
      </c>
      <c r="J500" s="137" t="s">
        <v>129</v>
      </c>
      <c r="K500" s="137" t="s">
        <v>129</v>
      </c>
      <c r="L500" s="137" t="s">
        <v>129</v>
      </c>
      <c r="M500" s="141"/>
      <c r="N500" s="147"/>
    </row>
    <row r="501" hidden="1" outlineLevel="1">
      <c r="A501" s="303" t="s">
        <v>1359</v>
      </c>
      <c r="B501" s="344">
        <v>46164.0</v>
      </c>
      <c r="C501" s="133" t="str">
        <f t="shared" si="60"/>
        <v>Fri</v>
      </c>
      <c r="D501" s="381">
        <f t="shared" si="61"/>
        <v>1</v>
      </c>
      <c r="E501" s="382" t="s">
        <v>129</v>
      </c>
      <c r="F501" s="137" t="s">
        <v>129</v>
      </c>
      <c r="G501" s="137" t="s">
        <v>129</v>
      </c>
      <c r="H501" s="137" t="s">
        <v>129</v>
      </c>
      <c r="I501" s="137" t="s">
        <v>129</v>
      </c>
      <c r="J501" s="137" t="s">
        <v>129</v>
      </c>
      <c r="K501" s="137" t="s">
        <v>129</v>
      </c>
      <c r="L501" s="137" t="s">
        <v>129</v>
      </c>
      <c r="M501" s="141"/>
      <c r="N501" s="147"/>
    </row>
    <row r="502" hidden="1" outlineLevel="1">
      <c r="A502" s="303" t="s">
        <v>1361</v>
      </c>
      <c r="B502" s="344">
        <v>46164.0</v>
      </c>
      <c r="C502" s="133" t="str">
        <f t="shared" si="60"/>
        <v>Fri</v>
      </c>
      <c r="D502" s="383">
        <f t="shared" si="61"/>
        <v>1</v>
      </c>
      <c r="E502" s="147" t="s">
        <v>129</v>
      </c>
      <c r="F502" s="137" t="s">
        <v>129</v>
      </c>
      <c r="G502" s="137" t="s">
        <v>129</v>
      </c>
      <c r="H502" s="137" t="s">
        <v>129</v>
      </c>
      <c r="I502" s="137" t="s">
        <v>129</v>
      </c>
      <c r="J502" s="137" t="s">
        <v>129</v>
      </c>
      <c r="K502" s="137" t="s">
        <v>129</v>
      </c>
      <c r="L502" s="137" t="s">
        <v>129</v>
      </c>
      <c r="M502" s="141"/>
      <c r="N502" s="147"/>
    </row>
    <row r="503" hidden="1" outlineLevel="1">
      <c r="A503" s="411" t="s">
        <v>1362</v>
      </c>
      <c r="B503" s="344"/>
      <c r="C503" s="133" t="str">
        <f t="shared" si="60"/>
        <v/>
      </c>
      <c r="D503" s="381">
        <f t="shared" si="61"/>
        <v>1</v>
      </c>
      <c r="E503" s="382" t="s">
        <v>129</v>
      </c>
      <c r="F503" s="137" t="s">
        <v>129</v>
      </c>
      <c r="G503" s="137" t="s">
        <v>129</v>
      </c>
      <c r="H503" s="137" t="s">
        <v>129</v>
      </c>
      <c r="I503" s="137" t="s">
        <v>129</v>
      </c>
      <c r="J503" s="137" t="s">
        <v>129</v>
      </c>
      <c r="K503" s="137" t="s">
        <v>129</v>
      </c>
      <c r="L503" s="137" t="s">
        <v>129</v>
      </c>
      <c r="M503" s="141"/>
      <c r="N503" s="143"/>
    </row>
    <row r="504" hidden="1" outlineLevel="1">
      <c r="A504" s="411" t="s">
        <v>1362</v>
      </c>
      <c r="B504" s="344"/>
      <c r="C504" s="133" t="str">
        <f t="shared" si="60"/>
        <v/>
      </c>
      <c r="D504" s="383">
        <f t="shared" si="61"/>
        <v>1</v>
      </c>
      <c r="E504" s="147" t="s">
        <v>129</v>
      </c>
      <c r="F504" s="137" t="s">
        <v>129</v>
      </c>
      <c r="G504" s="137" t="s">
        <v>129</v>
      </c>
      <c r="H504" s="137" t="s">
        <v>129</v>
      </c>
      <c r="I504" s="137" t="s">
        <v>129</v>
      </c>
      <c r="J504" s="137" t="s">
        <v>129</v>
      </c>
      <c r="K504" s="137" t="s">
        <v>129</v>
      </c>
      <c r="L504" s="137" t="s">
        <v>129</v>
      </c>
      <c r="M504" s="141"/>
      <c r="N504" s="143"/>
    </row>
    <row r="505" ht="15.0" hidden="1" customHeight="1" outlineLevel="1">
      <c r="A505" s="411" t="s">
        <v>1362</v>
      </c>
      <c r="B505" s="344"/>
      <c r="C505" s="133" t="str">
        <f t="shared" si="60"/>
        <v/>
      </c>
      <c r="D505" s="381">
        <f t="shared" si="61"/>
        <v>1</v>
      </c>
      <c r="E505" s="382" t="s">
        <v>129</v>
      </c>
      <c r="F505" s="137" t="s">
        <v>129</v>
      </c>
      <c r="G505" s="137" t="s">
        <v>129</v>
      </c>
      <c r="H505" s="137" t="s">
        <v>129</v>
      </c>
      <c r="I505" s="137" t="s">
        <v>129</v>
      </c>
      <c r="J505" s="137" t="s">
        <v>129</v>
      </c>
      <c r="K505" s="137" t="s">
        <v>129</v>
      </c>
      <c r="L505" s="137" t="s">
        <v>129</v>
      </c>
      <c r="M505" s="141"/>
      <c r="N505" s="147"/>
    </row>
    <row r="506" hidden="1" outlineLevel="1">
      <c r="B506" s="189"/>
      <c r="C506" s="191" t="s">
        <v>194</v>
      </c>
      <c r="D506" s="204">
        <f>AVERAGE(D491:D505)</f>
        <v>1</v>
      </c>
      <c r="E506" s="384"/>
      <c r="L506" s="191" t="s">
        <v>194</v>
      </c>
      <c r="M506" s="204">
        <f>SUM(M491:M505)/75*0.1</f>
        <v>0</v>
      </c>
    </row>
    <row r="507" hidden="1" collapsed="1">
      <c r="A507" s="206" t="s">
        <v>1084</v>
      </c>
      <c r="B507" s="207"/>
      <c r="C507" s="207"/>
      <c r="D507" s="385"/>
      <c r="E507" s="109"/>
      <c r="F507" s="109"/>
      <c r="G507" s="110"/>
      <c r="H507" s="110"/>
      <c r="I507" s="110"/>
      <c r="J507" s="110"/>
      <c r="K507" s="110"/>
      <c r="L507" s="110"/>
      <c r="M507" s="111"/>
      <c r="N507" s="113"/>
    </row>
    <row r="508" hidden="1" outlineLevel="1">
      <c r="A508" s="373" t="s">
        <v>98</v>
      </c>
      <c r="B508" s="115" t="s">
        <v>100</v>
      </c>
      <c r="C508" s="115" t="s">
        <v>102</v>
      </c>
      <c r="D508" s="119" t="s">
        <v>103</v>
      </c>
      <c r="E508" s="275" t="s">
        <v>269</v>
      </c>
      <c r="F508" s="275" t="s">
        <v>272</v>
      </c>
      <c r="G508" s="276" t="s">
        <v>328</v>
      </c>
      <c r="H508" s="121" t="s">
        <v>107</v>
      </c>
      <c r="I508" s="121" t="s">
        <v>108</v>
      </c>
      <c r="J508" s="276" t="s">
        <v>329</v>
      </c>
      <c r="K508" s="121" t="s">
        <v>111</v>
      </c>
      <c r="L508" s="276" t="s">
        <v>274</v>
      </c>
      <c r="M508" s="115" t="s">
        <v>114</v>
      </c>
      <c r="N508" s="119" t="s">
        <v>115</v>
      </c>
    </row>
    <row r="509" hidden="1" outlineLevel="1">
      <c r="A509" s="303" t="s">
        <v>1371</v>
      </c>
      <c r="B509" s="344">
        <v>46167.0</v>
      </c>
      <c r="C509" s="133" t="str">
        <f t="shared" ref="C509:C523" si="62">IF(B509="", "", TEXT(B509, "ddd"))</f>
        <v>Mon</v>
      </c>
      <c r="D509" s="381">
        <f t="shared" ref="D509:D523" si="63">IF(E509="Yes",0.05,0)
+IF(F509="Yes",0.1,0)
+IF(G509="Yes",0.15,0)
+IF(H509="Yes",0.15,0)
+IF(I509="Yes",0.05,0)
+IF(J509="Yes",0.05,0)
+IF(K509="Yes",0.15,0)
+IF(L509="Yes",0.3,0)
</f>
        <v>1</v>
      </c>
      <c r="E509" s="382" t="s">
        <v>129</v>
      </c>
      <c r="F509" s="137" t="s">
        <v>129</v>
      </c>
      <c r="G509" s="137" t="s">
        <v>129</v>
      </c>
      <c r="H509" s="137" t="s">
        <v>129</v>
      </c>
      <c r="I509" s="137" t="s">
        <v>129</v>
      </c>
      <c r="J509" s="137" t="s">
        <v>129</v>
      </c>
      <c r="K509" s="137" t="s">
        <v>129</v>
      </c>
      <c r="L509" s="137" t="s">
        <v>129</v>
      </c>
      <c r="M509" s="141"/>
      <c r="N509" s="143"/>
    </row>
    <row r="510" hidden="1" outlineLevel="1">
      <c r="A510" s="303" t="s">
        <v>1372</v>
      </c>
      <c r="B510" s="344">
        <v>46167.0</v>
      </c>
      <c r="C510" s="133" t="str">
        <f t="shared" si="62"/>
        <v>Mon</v>
      </c>
      <c r="D510" s="383">
        <f t="shared" si="63"/>
        <v>1</v>
      </c>
      <c r="E510" s="147" t="s">
        <v>129</v>
      </c>
      <c r="F510" s="137" t="s">
        <v>129</v>
      </c>
      <c r="G510" s="137" t="s">
        <v>129</v>
      </c>
      <c r="H510" s="137" t="s">
        <v>129</v>
      </c>
      <c r="I510" s="137" t="s">
        <v>129</v>
      </c>
      <c r="J510" s="137" t="s">
        <v>129</v>
      </c>
      <c r="K510" s="137" t="s">
        <v>129</v>
      </c>
      <c r="L510" s="137" t="s">
        <v>129</v>
      </c>
      <c r="M510" s="141"/>
      <c r="N510" s="147"/>
    </row>
    <row r="511" hidden="1" outlineLevel="1">
      <c r="A511" s="303" t="s">
        <v>1374</v>
      </c>
      <c r="B511" s="344">
        <v>46167.0</v>
      </c>
      <c r="C511" s="133" t="str">
        <f t="shared" si="62"/>
        <v>Mon</v>
      </c>
      <c r="D511" s="381">
        <f t="shared" si="63"/>
        <v>1</v>
      </c>
      <c r="E511" s="382" t="s">
        <v>129</v>
      </c>
      <c r="F511" s="137" t="s">
        <v>129</v>
      </c>
      <c r="G511" s="137" t="s">
        <v>129</v>
      </c>
      <c r="H511" s="137" t="s">
        <v>129</v>
      </c>
      <c r="I511" s="137" t="s">
        <v>129</v>
      </c>
      <c r="J511" s="137" t="s">
        <v>129</v>
      </c>
      <c r="K511" s="137" t="s">
        <v>129</v>
      </c>
      <c r="L511" s="137" t="s">
        <v>129</v>
      </c>
      <c r="M511" s="141"/>
      <c r="N511" s="147"/>
    </row>
    <row r="512" hidden="1" outlineLevel="1">
      <c r="A512" s="303" t="s">
        <v>1376</v>
      </c>
      <c r="B512" s="344">
        <v>46168.0</v>
      </c>
      <c r="C512" s="133" t="str">
        <f t="shared" si="62"/>
        <v>Tue</v>
      </c>
      <c r="D512" s="383">
        <f t="shared" si="63"/>
        <v>1</v>
      </c>
      <c r="E512" s="147" t="s">
        <v>129</v>
      </c>
      <c r="F512" s="137" t="s">
        <v>129</v>
      </c>
      <c r="G512" s="137" t="s">
        <v>129</v>
      </c>
      <c r="H512" s="137" t="s">
        <v>129</v>
      </c>
      <c r="I512" s="137" t="s">
        <v>129</v>
      </c>
      <c r="J512" s="137" t="s">
        <v>129</v>
      </c>
      <c r="K512" s="137" t="s">
        <v>129</v>
      </c>
      <c r="L512" s="137" t="s">
        <v>129</v>
      </c>
      <c r="M512" s="141"/>
      <c r="N512" s="143"/>
    </row>
    <row r="513" hidden="1" outlineLevel="1">
      <c r="A513" s="303" t="s">
        <v>1378</v>
      </c>
      <c r="B513" s="344">
        <v>46168.0</v>
      </c>
      <c r="C513" s="133" t="str">
        <f t="shared" si="62"/>
        <v>Tue</v>
      </c>
      <c r="D513" s="381">
        <f t="shared" si="63"/>
        <v>1</v>
      </c>
      <c r="E513" s="382" t="s">
        <v>129</v>
      </c>
      <c r="F513" s="137" t="s">
        <v>129</v>
      </c>
      <c r="G513" s="137" t="s">
        <v>129</v>
      </c>
      <c r="H513" s="137" t="s">
        <v>129</v>
      </c>
      <c r="I513" s="137" t="s">
        <v>129</v>
      </c>
      <c r="J513" s="137" t="s">
        <v>129</v>
      </c>
      <c r="K513" s="137" t="s">
        <v>129</v>
      </c>
      <c r="L513" s="137" t="s">
        <v>129</v>
      </c>
      <c r="M513" s="141"/>
      <c r="N513" s="143"/>
    </row>
    <row r="514" hidden="1" outlineLevel="1">
      <c r="A514" s="303" t="s">
        <v>1380</v>
      </c>
      <c r="B514" s="344">
        <v>46168.0</v>
      </c>
      <c r="C514" s="133" t="str">
        <f t="shared" si="62"/>
        <v>Tue</v>
      </c>
      <c r="D514" s="383">
        <f t="shared" si="63"/>
        <v>1</v>
      </c>
      <c r="E514" s="147" t="s">
        <v>129</v>
      </c>
      <c r="F514" s="137" t="s">
        <v>129</v>
      </c>
      <c r="G514" s="137" t="s">
        <v>129</v>
      </c>
      <c r="H514" s="137" t="s">
        <v>129</v>
      </c>
      <c r="I514" s="137" t="s">
        <v>129</v>
      </c>
      <c r="J514" s="137" t="s">
        <v>129</v>
      </c>
      <c r="K514" s="137" t="s">
        <v>129</v>
      </c>
      <c r="L514" s="137" t="s">
        <v>129</v>
      </c>
      <c r="M514" s="141"/>
      <c r="N514" s="143"/>
    </row>
    <row r="515" hidden="1" outlineLevel="1">
      <c r="A515" s="303" t="s">
        <v>1382</v>
      </c>
      <c r="B515" s="344">
        <v>46169.0</v>
      </c>
      <c r="C515" s="133" t="str">
        <f t="shared" si="62"/>
        <v>Wed</v>
      </c>
      <c r="D515" s="381">
        <f t="shared" si="63"/>
        <v>1</v>
      </c>
      <c r="E515" s="382" t="s">
        <v>129</v>
      </c>
      <c r="F515" s="137" t="s">
        <v>129</v>
      </c>
      <c r="G515" s="137" t="s">
        <v>129</v>
      </c>
      <c r="H515" s="137" t="s">
        <v>129</v>
      </c>
      <c r="I515" s="137" t="s">
        <v>129</v>
      </c>
      <c r="J515" s="137" t="s">
        <v>129</v>
      </c>
      <c r="K515" s="137" t="s">
        <v>129</v>
      </c>
      <c r="L515" s="137" t="s">
        <v>129</v>
      </c>
      <c r="M515" s="141"/>
      <c r="N515" s="143"/>
    </row>
    <row r="516" hidden="1" outlineLevel="1">
      <c r="A516" s="303" t="s">
        <v>1383</v>
      </c>
      <c r="B516" s="344">
        <v>46169.0</v>
      </c>
      <c r="C516" s="133" t="str">
        <f t="shared" si="62"/>
        <v>Wed</v>
      </c>
      <c r="D516" s="383">
        <f t="shared" si="63"/>
        <v>1</v>
      </c>
      <c r="E516" s="147" t="s">
        <v>129</v>
      </c>
      <c r="F516" s="137" t="s">
        <v>129</v>
      </c>
      <c r="G516" s="137" t="s">
        <v>129</v>
      </c>
      <c r="H516" s="137" t="s">
        <v>129</v>
      </c>
      <c r="I516" s="137" t="s">
        <v>129</v>
      </c>
      <c r="J516" s="137" t="s">
        <v>129</v>
      </c>
      <c r="K516" s="137" t="s">
        <v>129</v>
      </c>
      <c r="L516" s="137" t="s">
        <v>129</v>
      </c>
      <c r="M516" s="141"/>
      <c r="N516" s="147"/>
    </row>
    <row r="517" hidden="1" outlineLevel="1">
      <c r="A517" s="303" t="s">
        <v>1385</v>
      </c>
      <c r="B517" s="344">
        <v>46169.0</v>
      </c>
      <c r="C517" s="133" t="str">
        <f t="shared" si="62"/>
        <v>Wed</v>
      </c>
      <c r="D517" s="381">
        <f t="shared" si="63"/>
        <v>1</v>
      </c>
      <c r="E517" s="382" t="s">
        <v>129</v>
      </c>
      <c r="F517" s="137" t="s">
        <v>129</v>
      </c>
      <c r="G517" s="137" t="s">
        <v>129</v>
      </c>
      <c r="H517" s="137" t="s">
        <v>129</v>
      </c>
      <c r="I517" s="137" t="s">
        <v>129</v>
      </c>
      <c r="J517" s="137" t="s">
        <v>129</v>
      </c>
      <c r="K517" s="137" t="s">
        <v>129</v>
      </c>
      <c r="L517" s="137" t="s">
        <v>129</v>
      </c>
      <c r="M517" s="141"/>
      <c r="N517" s="143"/>
    </row>
    <row r="518" hidden="1" outlineLevel="1">
      <c r="A518" s="303" t="s">
        <v>1386</v>
      </c>
      <c r="B518" s="344">
        <v>46170.0</v>
      </c>
      <c r="C518" s="133" t="str">
        <f t="shared" si="62"/>
        <v>Thu</v>
      </c>
      <c r="D518" s="383">
        <f t="shared" si="63"/>
        <v>1</v>
      </c>
      <c r="E518" s="147" t="s">
        <v>129</v>
      </c>
      <c r="F518" s="137" t="s">
        <v>129</v>
      </c>
      <c r="G518" s="137" t="s">
        <v>129</v>
      </c>
      <c r="H518" s="137" t="s">
        <v>129</v>
      </c>
      <c r="I518" s="137" t="s">
        <v>129</v>
      </c>
      <c r="J518" s="137" t="s">
        <v>129</v>
      </c>
      <c r="K518" s="137" t="s">
        <v>129</v>
      </c>
      <c r="L518" s="137" t="s">
        <v>129</v>
      </c>
      <c r="M518" s="141"/>
      <c r="N518" s="147"/>
    </row>
    <row r="519" hidden="1" outlineLevel="1">
      <c r="A519" s="303" t="s">
        <v>1390</v>
      </c>
      <c r="B519" s="344">
        <v>46170.0</v>
      </c>
      <c r="C519" s="133" t="str">
        <f t="shared" si="62"/>
        <v>Thu</v>
      </c>
      <c r="D519" s="381">
        <f t="shared" si="63"/>
        <v>1</v>
      </c>
      <c r="E519" s="382" t="s">
        <v>129</v>
      </c>
      <c r="F519" s="137" t="s">
        <v>129</v>
      </c>
      <c r="G519" s="137" t="s">
        <v>129</v>
      </c>
      <c r="H519" s="137" t="s">
        <v>129</v>
      </c>
      <c r="I519" s="137" t="s">
        <v>129</v>
      </c>
      <c r="J519" s="137" t="s">
        <v>129</v>
      </c>
      <c r="K519" s="137" t="s">
        <v>129</v>
      </c>
      <c r="L519" s="137" t="s">
        <v>129</v>
      </c>
      <c r="M519" s="141"/>
      <c r="N519" s="147"/>
    </row>
    <row r="520" hidden="1" outlineLevel="1">
      <c r="A520" s="303" t="s">
        <v>1392</v>
      </c>
      <c r="B520" s="344">
        <v>46170.0</v>
      </c>
      <c r="C520" s="133" t="str">
        <f t="shared" si="62"/>
        <v>Thu</v>
      </c>
      <c r="D520" s="383">
        <f t="shared" si="63"/>
        <v>1</v>
      </c>
      <c r="E520" s="147" t="s">
        <v>129</v>
      </c>
      <c r="F520" s="137" t="s">
        <v>129</v>
      </c>
      <c r="G520" s="137" t="s">
        <v>129</v>
      </c>
      <c r="H520" s="137" t="s">
        <v>129</v>
      </c>
      <c r="I520" s="137" t="s">
        <v>129</v>
      </c>
      <c r="J520" s="137" t="s">
        <v>129</v>
      </c>
      <c r="K520" s="137" t="s">
        <v>129</v>
      </c>
      <c r="L520" s="137" t="s">
        <v>129</v>
      </c>
      <c r="M520" s="141"/>
      <c r="N520" s="147"/>
    </row>
    <row r="521" hidden="1" outlineLevel="1">
      <c r="A521" s="303" t="s">
        <v>1394</v>
      </c>
      <c r="B521" s="344">
        <v>46171.0</v>
      </c>
      <c r="C521" s="133" t="str">
        <f t="shared" si="62"/>
        <v>Fri</v>
      </c>
      <c r="D521" s="381">
        <f t="shared" si="63"/>
        <v>1</v>
      </c>
      <c r="E521" s="382" t="s">
        <v>129</v>
      </c>
      <c r="F521" s="137" t="s">
        <v>129</v>
      </c>
      <c r="G521" s="137" t="s">
        <v>129</v>
      </c>
      <c r="H521" s="137" t="s">
        <v>129</v>
      </c>
      <c r="I521" s="137" t="s">
        <v>129</v>
      </c>
      <c r="J521" s="137" t="s">
        <v>129</v>
      </c>
      <c r="K521" s="137" t="s">
        <v>129</v>
      </c>
      <c r="L521" s="137" t="s">
        <v>129</v>
      </c>
      <c r="M521" s="141"/>
      <c r="N521" s="143"/>
    </row>
    <row r="522" hidden="1" outlineLevel="1">
      <c r="A522" s="303" t="s">
        <v>1395</v>
      </c>
      <c r="B522" s="344">
        <v>46171.0</v>
      </c>
      <c r="C522" s="133" t="str">
        <f t="shared" si="62"/>
        <v>Fri</v>
      </c>
      <c r="D522" s="383">
        <f t="shared" si="63"/>
        <v>1</v>
      </c>
      <c r="E522" s="147" t="s">
        <v>129</v>
      </c>
      <c r="F522" s="137" t="s">
        <v>129</v>
      </c>
      <c r="G522" s="137" t="s">
        <v>129</v>
      </c>
      <c r="H522" s="137" t="s">
        <v>129</v>
      </c>
      <c r="I522" s="137" t="s">
        <v>129</v>
      </c>
      <c r="J522" s="137" t="s">
        <v>129</v>
      </c>
      <c r="K522" s="137" t="s">
        <v>129</v>
      </c>
      <c r="L522" s="137" t="s">
        <v>129</v>
      </c>
      <c r="M522" s="141"/>
      <c r="N522" s="143"/>
    </row>
    <row r="523" ht="15.0" hidden="1" customHeight="1" outlineLevel="1">
      <c r="A523" s="303" t="s">
        <v>1396</v>
      </c>
      <c r="B523" s="344">
        <v>46171.0</v>
      </c>
      <c r="C523" s="133" t="str">
        <f t="shared" si="62"/>
        <v>Fri</v>
      </c>
      <c r="D523" s="381">
        <f t="shared" si="63"/>
        <v>1</v>
      </c>
      <c r="E523" s="382" t="s">
        <v>129</v>
      </c>
      <c r="F523" s="137" t="s">
        <v>129</v>
      </c>
      <c r="G523" s="137" t="s">
        <v>129</v>
      </c>
      <c r="H523" s="137" t="s">
        <v>129</v>
      </c>
      <c r="I523" s="137" t="s">
        <v>129</v>
      </c>
      <c r="J523" s="137" t="s">
        <v>129</v>
      </c>
      <c r="K523" s="137" t="s">
        <v>129</v>
      </c>
      <c r="L523" s="137" t="s">
        <v>129</v>
      </c>
      <c r="M523" s="141"/>
      <c r="N523" s="147"/>
    </row>
    <row r="524" hidden="1" outlineLevel="1">
      <c r="B524" s="189"/>
      <c r="C524" s="191" t="s">
        <v>194</v>
      </c>
      <c r="D524" s="204">
        <f>AVERAGE(D509:D523)</f>
        <v>1</v>
      </c>
      <c r="E524" s="384"/>
      <c r="L524" s="191" t="s">
        <v>194</v>
      </c>
      <c r="M524" s="204">
        <f>SUM(M509:M523)/75*0.1</f>
        <v>0</v>
      </c>
    </row>
    <row r="525" hidden="1" collapsed="1">
      <c r="A525" s="206" t="s">
        <v>1109</v>
      </c>
      <c r="B525" s="207"/>
      <c r="C525" s="207"/>
      <c r="D525" s="385"/>
      <c r="E525" s="109"/>
      <c r="F525" s="109"/>
      <c r="G525" s="110"/>
      <c r="H525" s="110"/>
      <c r="I525" s="110"/>
      <c r="J525" s="110"/>
      <c r="K525" s="110"/>
      <c r="L525" s="110"/>
      <c r="M525" s="111"/>
      <c r="N525" s="113"/>
    </row>
    <row r="526" hidden="1" outlineLevel="1">
      <c r="A526" s="373" t="s">
        <v>98</v>
      </c>
      <c r="B526" s="115" t="s">
        <v>100</v>
      </c>
      <c r="C526" s="115" t="s">
        <v>102</v>
      </c>
      <c r="D526" s="119" t="s">
        <v>103</v>
      </c>
      <c r="E526" s="275" t="s">
        <v>269</v>
      </c>
      <c r="F526" s="275" t="s">
        <v>272</v>
      </c>
      <c r="G526" s="276" t="s">
        <v>328</v>
      </c>
      <c r="H526" s="121" t="s">
        <v>107</v>
      </c>
      <c r="I526" s="121" t="s">
        <v>108</v>
      </c>
      <c r="J526" s="276" t="s">
        <v>329</v>
      </c>
      <c r="K526" s="121" t="s">
        <v>111</v>
      </c>
      <c r="L526" s="276" t="s">
        <v>274</v>
      </c>
      <c r="M526" s="115" t="s">
        <v>114</v>
      </c>
      <c r="N526" s="119" t="s">
        <v>115</v>
      </c>
    </row>
    <row r="527" hidden="1" outlineLevel="1">
      <c r="A527" s="255" t="s">
        <v>1399</v>
      </c>
      <c r="B527" s="344">
        <v>46174.0</v>
      </c>
      <c r="C527" s="133" t="str">
        <f t="shared" ref="C527:C541" si="64">IF(B527="", "", TEXT(B527, "ddd"))</f>
        <v>Mon</v>
      </c>
      <c r="D527" s="381">
        <f t="shared" ref="D527:D541" si="65">IF(E527="Yes",0.05,0)
+IF(F527="Yes",0.1,0)
+IF(G527="Yes",0.15,0)
+IF(H527="Yes",0.15,0)
+IF(I527="Yes",0.05,0)
+IF(J527="Yes",0.05,0)
+IF(K527="Yes",0.15,0)
+IF(L527="Yes",0.3,0)
</f>
        <v>1</v>
      </c>
      <c r="E527" s="382" t="s">
        <v>129</v>
      </c>
      <c r="F527" s="137" t="s">
        <v>129</v>
      </c>
      <c r="G527" s="137" t="s">
        <v>129</v>
      </c>
      <c r="H527" s="137" t="s">
        <v>129</v>
      </c>
      <c r="I527" s="137" t="s">
        <v>129</v>
      </c>
      <c r="J527" s="137" t="s">
        <v>129</v>
      </c>
      <c r="K527" s="137" t="s">
        <v>129</v>
      </c>
      <c r="L527" s="137" t="s">
        <v>129</v>
      </c>
      <c r="M527" s="141"/>
      <c r="N527" s="143"/>
    </row>
    <row r="528" hidden="1" outlineLevel="1">
      <c r="A528" s="255" t="s">
        <v>1405</v>
      </c>
      <c r="B528" s="344">
        <v>46174.0</v>
      </c>
      <c r="C528" s="133" t="str">
        <f t="shared" si="64"/>
        <v>Mon</v>
      </c>
      <c r="D528" s="383">
        <f t="shared" si="65"/>
        <v>1</v>
      </c>
      <c r="E528" s="147" t="s">
        <v>129</v>
      </c>
      <c r="F528" s="137" t="s">
        <v>129</v>
      </c>
      <c r="G528" s="137" t="s">
        <v>129</v>
      </c>
      <c r="H528" s="137" t="s">
        <v>129</v>
      </c>
      <c r="I528" s="137" t="s">
        <v>129</v>
      </c>
      <c r="J528" s="137" t="s">
        <v>129</v>
      </c>
      <c r="K528" s="137" t="s">
        <v>129</v>
      </c>
      <c r="L528" s="137" t="s">
        <v>129</v>
      </c>
      <c r="M528" s="141"/>
      <c r="N528" s="147"/>
    </row>
    <row r="529" hidden="1" outlineLevel="1">
      <c r="A529" s="255" t="s">
        <v>1408</v>
      </c>
      <c r="B529" s="344">
        <v>46174.0</v>
      </c>
      <c r="C529" s="133" t="str">
        <f t="shared" si="64"/>
        <v>Mon</v>
      </c>
      <c r="D529" s="381">
        <f t="shared" si="65"/>
        <v>1</v>
      </c>
      <c r="E529" s="382" t="s">
        <v>129</v>
      </c>
      <c r="F529" s="137" t="s">
        <v>129</v>
      </c>
      <c r="G529" s="137" t="s">
        <v>129</v>
      </c>
      <c r="H529" s="137" t="s">
        <v>129</v>
      </c>
      <c r="I529" s="137" t="s">
        <v>129</v>
      </c>
      <c r="J529" s="137" t="s">
        <v>129</v>
      </c>
      <c r="K529" s="137" t="s">
        <v>129</v>
      </c>
      <c r="L529" s="137" t="s">
        <v>129</v>
      </c>
      <c r="M529" s="141"/>
      <c r="N529" s="147"/>
    </row>
    <row r="530" hidden="1" outlineLevel="1">
      <c r="A530" s="255" t="s">
        <v>1410</v>
      </c>
      <c r="B530" s="344">
        <v>46175.0</v>
      </c>
      <c r="C530" s="133" t="str">
        <f t="shared" si="64"/>
        <v>Tue</v>
      </c>
      <c r="D530" s="383">
        <f t="shared" si="65"/>
        <v>1</v>
      </c>
      <c r="E530" s="147" t="s">
        <v>129</v>
      </c>
      <c r="F530" s="137" t="s">
        <v>129</v>
      </c>
      <c r="G530" s="137" t="s">
        <v>129</v>
      </c>
      <c r="H530" s="137" t="s">
        <v>129</v>
      </c>
      <c r="I530" s="137" t="s">
        <v>129</v>
      </c>
      <c r="J530" s="137" t="s">
        <v>129</v>
      </c>
      <c r="K530" s="137" t="s">
        <v>129</v>
      </c>
      <c r="L530" s="137" t="s">
        <v>129</v>
      </c>
      <c r="M530" s="141"/>
      <c r="N530" s="143"/>
    </row>
    <row r="531" hidden="1" outlineLevel="1">
      <c r="A531" s="255" t="s">
        <v>1413</v>
      </c>
      <c r="B531" s="344">
        <v>46175.0</v>
      </c>
      <c r="C531" s="133" t="str">
        <f t="shared" si="64"/>
        <v>Tue</v>
      </c>
      <c r="D531" s="381">
        <f t="shared" si="65"/>
        <v>1</v>
      </c>
      <c r="E531" s="382" t="s">
        <v>129</v>
      </c>
      <c r="F531" s="137" t="s">
        <v>129</v>
      </c>
      <c r="G531" s="137" t="s">
        <v>129</v>
      </c>
      <c r="H531" s="137" t="s">
        <v>129</v>
      </c>
      <c r="I531" s="137" t="s">
        <v>129</v>
      </c>
      <c r="J531" s="137" t="s">
        <v>129</v>
      </c>
      <c r="K531" s="137" t="s">
        <v>129</v>
      </c>
      <c r="L531" s="137" t="s">
        <v>129</v>
      </c>
      <c r="M531" s="141"/>
      <c r="N531" s="143"/>
    </row>
    <row r="532" hidden="1" outlineLevel="1">
      <c r="A532" s="255" t="s">
        <v>1415</v>
      </c>
      <c r="B532" s="344">
        <v>46175.0</v>
      </c>
      <c r="C532" s="133" t="str">
        <f t="shared" si="64"/>
        <v>Tue</v>
      </c>
      <c r="D532" s="383">
        <f t="shared" si="65"/>
        <v>1</v>
      </c>
      <c r="E532" s="147" t="s">
        <v>129</v>
      </c>
      <c r="F532" s="137" t="s">
        <v>129</v>
      </c>
      <c r="G532" s="137" t="s">
        <v>129</v>
      </c>
      <c r="H532" s="137" t="s">
        <v>129</v>
      </c>
      <c r="I532" s="137" t="s">
        <v>129</v>
      </c>
      <c r="J532" s="137" t="s">
        <v>129</v>
      </c>
      <c r="K532" s="137" t="s">
        <v>129</v>
      </c>
      <c r="L532" s="137" t="s">
        <v>129</v>
      </c>
      <c r="M532" s="141"/>
      <c r="N532" s="143"/>
    </row>
    <row r="533" hidden="1" outlineLevel="1">
      <c r="A533" s="428" t="s">
        <v>1417</v>
      </c>
      <c r="B533" s="344">
        <v>46176.0</v>
      </c>
      <c r="C533" s="133" t="str">
        <f t="shared" si="64"/>
        <v>Wed</v>
      </c>
      <c r="D533" s="381">
        <f t="shared" si="65"/>
        <v>1</v>
      </c>
      <c r="E533" s="382" t="s">
        <v>129</v>
      </c>
      <c r="F533" s="137" t="s">
        <v>129</v>
      </c>
      <c r="G533" s="137" t="s">
        <v>129</v>
      </c>
      <c r="H533" s="137" t="s">
        <v>129</v>
      </c>
      <c r="I533" s="137" t="s">
        <v>129</v>
      </c>
      <c r="J533" s="137" t="s">
        <v>129</v>
      </c>
      <c r="K533" s="137" t="s">
        <v>129</v>
      </c>
      <c r="L533" s="137" t="s">
        <v>129</v>
      </c>
      <c r="M533" s="141"/>
      <c r="N533" s="143"/>
    </row>
    <row r="534" hidden="1" outlineLevel="1">
      <c r="A534" s="255" t="s">
        <v>1418</v>
      </c>
      <c r="B534" s="344">
        <v>46176.0</v>
      </c>
      <c r="C534" s="133" t="str">
        <f t="shared" si="64"/>
        <v>Wed</v>
      </c>
      <c r="D534" s="383">
        <f t="shared" si="65"/>
        <v>1</v>
      </c>
      <c r="E534" s="147" t="s">
        <v>129</v>
      </c>
      <c r="F534" s="137" t="s">
        <v>129</v>
      </c>
      <c r="G534" s="137" t="s">
        <v>129</v>
      </c>
      <c r="H534" s="137" t="s">
        <v>129</v>
      </c>
      <c r="I534" s="137" t="s">
        <v>129</v>
      </c>
      <c r="J534" s="137" t="s">
        <v>129</v>
      </c>
      <c r="K534" s="137" t="s">
        <v>129</v>
      </c>
      <c r="L534" s="137" t="s">
        <v>129</v>
      </c>
      <c r="M534" s="141"/>
      <c r="N534" s="147"/>
    </row>
    <row r="535" hidden="1" outlineLevel="1">
      <c r="A535" s="255" t="s">
        <v>1420</v>
      </c>
      <c r="B535" s="344">
        <v>46176.0</v>
      </c>
      <c r="C535" s="133" t="str">
        <f t="shared" si="64"/>
        <v>Wed</v>
      </c>
      <c r="D535" s="381">
        <f t="shared" si="65"/>
        <v>1</v>
      </c>
      <c r="E535" s="382" t="s">
        <v>129</v>
      </c>
      <c r="F535" s="137" t="s">
        <v>129</v>
      </c>
      <c r="G535" s="137" t="s">
        <v>129</v>
      </c>
      <c r="H535" s="137" t="s">
        <v>129</v>
      </c>
      <c r="I535" s="137" t="s">
        <v>129</v>
      </c>
      <c r="J535" s="137" t="s">
        <v>129</v>
      </c>
      <c r="K535" s="137" t="s">
        <v>129</v>
      </c>
      <c r="L535" s="137" t="s">
        <v>129</v>
      </c>
      <c r="M535" s="141"/>
      <c r="N535" s="143"/>
    </row>
    <row r="536" hidden="1" outlineLevel="1">
      <c r="A536" s="255" t="s">
        <v>1421</v>
      </c>
      <c r="B536" s="344">
        <v>46177.0</v>
      </c>
      <c r="C536" s="133" t="str">
        <f t="shared" si="64"/>
        <v>Thu</v>
      </c>
      <c r="D536" s="383">
        <f t="shared" si="65"/>
        <v>1</v>
      </c>
      <c r="E536" s="147" t="s">
        <v>129</v>
      </c>
      <c r="F536" s="137" t="s">
        <v>129</v>
      </c>
      <c r="G536" s="137" t="s">
        <v>129</v>
      </c>
      <c r="H536" s="137" t="s">
        <v>129</v>
      </c>
      <c r="I536" s="137" t="s">
        <v>129</v>
      </c>
      <c r="J536" s="137" t="s">
        <v>129</v>
      </c>
      <c r="K536" s="137" t="s">
        <v>129</v>
      </c>
      <c r="L536" s="137" t="s">
        <v>129</v>
      </c>
      <c r="M536" s="141"/>
      <c r="N536" s="147"/>
    </row>
    <row r="537" hidden="1" outlineLevel="1">
      <c r="A537" s="255" t="s">
        <v>1423</v>
      </c>
      <c r="B537" s="344">
        <v>46177.0</v>
      </c>
      <c r="C537" s="133" t="str">
        <f t="shared" si="64"/>
        <v>Thu</v>
      </c>
      <c r="D537" s="381">
        <f t="shared" si="65"/>
        <v>1</v>
      </c>
      <c r="E537" s="382" t="s">
        <v>129</v>
      </c>
      <c r="F537" s="137" t="s">
        <v>129</v>
      </c>
      <c r="G537" s="137" t="s">
        <v>129</v>
      </c>
      <c r="H537" s="137" t="s">
        <v>129</v>
      </c>
      <c r="I537" s="137" t="s">
        <v>129</v>
      </c>
      <c r="J537" s="137" t="s">
        <v>129</v>
      </c>
      <c r="K537" s="137" t="s">
        <v>129</v>
      </c>
      <c r="L537" s="137" t="s">
        <v>129</v>
      </c>
      <c r="M537" s="141"/>
      <c r="N537" s="147"/>
    </row>
    <row r="538" hidden="1" outlineLevel="1">
      <c r="A538" s="255" t="s">
        <v>1428</v>
      </c>
      <c r="B538" s="344">
        <v>46177.0</v>
      </c>
      <c r="C538" s="133" t="str">
        <f t="shared" si="64"/>
        <v>Thu</v>
      </c>
      <c r="D538" s="383">
        <f t="shared" si="65"/>
        <v>1</v>
      </c>
      <c r="E538" s="147" t="s">
        <v>129</v>
      </c>
      <c r="F538" s="137" t="s">
        <v>129</v>
      </c>
      <c r="G538" s="137" t="s">
        <v>129</v>
      </c>
      <c r="H538" s="137" t="s">
        <v>129</v>
      </c>
      <c r="I538" s="137" t="s">
        <v>129</v>
      </c>
      <c r="J538" s="137" t="s">
        <v>129</v>
      </c>
      <c r="K538" s="137" t="s">
        <v>129</v>
      </c>
      <c r="L538" s="137" t="s">
        <v>129</v>
      </c>
      <c r="M538" s="141"/>
      <c r="N538" s="147"/>
    </row>
    <row r="539" hidden="1" outlineLevel="1">
      <c r="A539" s="255" t="s">
        <v>1430</v>
      </c>
      <c r="B539" s="344">
        <v>46178.0</v>
      </c>
      <c r="C539" s="133" t="str">
        <f t="shared" si="64"/>
        <v>Fri</v>
      </c>
      <c r="D539" s="381">
        <f t="shared" si="65"/>
        <v>1</v>
      </c>
      <c r="E539" s="382" t="s">
        <v>129</v>
      </c>
      <c r="F539" s="137" t="s">
        <v>129</v>
      </c>
      <c r="G539" s="137" t="s">
        <v>129</v>
      </c>
      <c r="H539" s="137" t="s">
        <v>129</v>
      </c>
      <c r="I539" s="137" t="s">
        <v>129</v>
      </c>
      <c r="J539" s="137" t="s">
        <v>129</v>
      </c>
      <c r="K539" s="137" t="s">
        <v>129</v>
      </c>
      <c r="L539" s="137" t="s">
        <v>129</v>
      </c>
      <c r="M539" s="141"/>
      <c r="N539" s="143"/>
    </row>
    <row r="540" hidden="1" outlineLevel="1">
      <c r="A540" s="255" t="s">
        <v>1435</v>
      </c>
      <c r="B540" s="344">
        <v>46178.0</v>
      </c>
      <c r="C540" s="133" t="str">
        <f t="shared" si="64"/>
        <v>Fri</v>
      </c>
      <c r="D540" s="383">
        <f t="shared" si="65"/>
        <v>1</v>
      </c>
      <c r="E540" s="147" t="s">
        <v>129</v>
      </c>
      <c r="F540" s="137" t="s">
        <v>129</v>
      </c>
      <c r="G540" s="137" t="s">
        <v>129</v>
      </c>
      <c r="H540" s="137" t="s">
        <v>129</v>
      </c>
      <c r="I540" s="137" t="s">
        <v>129</v>
      </c>
      <c r="J540" s="137" t="s">
        <v>129</v>
      </c>
      <c r="K540" s="137" t="s">
        <v>129</v>
      </c>
      <c r="L540" s="137" t="s">
        <v>129</v>
      </c>
      <c r="M540" s="141"/>
      <c r="N540" s="143"/>
    </row>
    <row r="541" ht="15.0" hidden="1" customHeight="1" outlineLevel="1">
      <c r="A541" s="255" t="s">
        <v>1437</v>
      </c>
      <c r="B541" s="344">
        <v>46178.0</v>
      </c>
      <c r="C541" s="133" t="str">
        <f t="shared" si="64"/>
        <v>Fri</v>
      </c>
      <c r="D541" s="381">
        <f t="shared" si="65"/>
        <v>1</v>
      </c>
      <c r="E541" s="382" t="s">
        <v>129</v>
      </c>
      <c r="F541" s="137" t="s">
        <v>129</v>
      </c>
      <c r="G541" s="137" t="s">
        <v>129</v>
      </c>
      <c r="H541" s="137" t="s">
        <v>129</v>
      </c>
      <c r="I541" s="137" t="s">
        <v>129</v>
      </c>
      <c r="J541" s="137" t="s">
        <v>129</v>
      </c>
      <c r="K541" s="137" t="s">
        <v>129</v>
      </c>
      <c r="L541" s="137" t="s">
        <v>129</v>
      </c>
      <c r="M541" s="141"/>
      <c r="N541" s="147"/>
    </row>
    <row r="542" hidden="1" outlineLevel="1">
      <c r="B542" s="189"/>
      <c r="C542" s="191" t="s">
        <v>194</v>
      </c>
      <c r="D542" s="204">
        <f>AVERAGE(D527:D541)</f>
        <v>1</v>
      </c>
      <c r="E542" s="384"/>
      <c r="L542" s="191" t="s">
        <v>194</v>
      </c>
      <c r="M542" s="204">
        <f>SUM(M527:M541)/75*0.1</f>
        <v>0</v>
      </c>
    </row>
    <row r="543" hidden="1" collapsed="1">
      <c r="A543" s="206" t="s">
        <v>1138</v>
      </c>
      <c r="B543" s="207"/>
      <c r="C543" s="207"/>
      <c r="D543" s="385"/>
      <c r="E543" s="109"/>
      <c r="F543" s="109"/>
      <c r="G543" s="110"/>
      <c r="H543" s="110"/>
      <c r="I543" s="110"/>
      <c r="J543" s="110"/>
      <c r="K543" s="110"/>
      <c r="L543" s="110"/>
      <c r="M543" s="111"/>
      <c r="N543" s="113"/>
    </row>
    <row r="544" hidden="1" outlineLevel="1">
      <c r="A544" s="373" t="s">
        <v>98</v>
      </c>
      <c r="B544" s="115" t="s">
        <v>100</v>
      </c>
      <c r="C544" s="115" t="s">
        <v>102</v>
      </c>
      <c r="D544" s="119" t="s">
        <v>103</v>
      </c>
      <c r="E544" s="275" t="s">
        <v>269</v>
      </c>
      <c r="F544" s="275" t="s">
        <v>272</v>
      </c>
      <c r="G544" s="276" t="s">
        <v>328</v>
      </c>
      <c r="H544" s="121" t="s">
        <v>107</v>
      </c>
      <c r="I544" s="121" t="s">
        <v>108</v>
      </c>
      <c r="J544" s="276" t="s">
        <v>329</v>
      </c>
      <c r="K544" s="121" t="s">
        <v>111</v>
      </c>
      <c r="L544" s="276" t="s">
        <v>274</v>
      </c>
      <c r="M544" s="115" t="s">
        <v>114</v>
      </c>
      <c r="N544" s="119" t="s">
        <v>115</v>
      </c>
    </row>
    <row r="545" hidden="1" outlineLevel="1">
      <c r="A545" s="255" t="s">
        <v>1441</v>
      </c>
      <c r="B545" s="344">
        <v>46183.0</v>
      </c>
      <c r="C545" s="133" t="str">
        <f t="shared" ref="C545:C559" si="66">IF(B545="", "", TEXT(B545, "ddd"))</f>
        <v>Wed</v>
      </c>
      <c r="D545" s="381">
        <f t="shared" ref="D545:D559" si="67">IF(E545="Yes",0.05,0)
+IF(F545="Yes",0.1,0)
+IF(G545="Yes",0.15,0)
+IF(H545="Yes",0.15,0)
+IF(I545="Yes",0.05,0)
+IF(J545="Yes",0.05,0)
+IF(K545="Yes",0.15,0)
+IF(L545="Yes",0.3,0)
</f>
        <v>1</v>
      </c>
      <c r="E545" s="382" t="s">
        <v>129</v>
      </c>
      <c r="F545" s="137" t="s">
        <v>129</v>
      </c>
      <c r="G545" s="137" t="s">
        <v>129</v>
      </c>
      <c r="H545" s="137" t="s">
        <v>129</v>
      </c>
      <c r="I545" s="137" t="s">
        <v>129</v>
      </c>
      <c r="J545" s="137" t="s">
        <v>129</v>
      </c>
      <c r="K545" s="137" t="s">
        <v>129</v>
      </c>
      <c r="L545" s="137" t="s">
        <v>129</v>
      </c>
      <c r="M545" s="141"/>
      <c r="N545" s="143"/>
    </row>
    <row r="546" hidden="1" outlineLevel="1">
      <c r="A546" s="255" t="s">
        <v>1445</v>
      </c>
      <c r="B546" s="344">
        <v>46183.0</v>
      </c>
      <c r="C546" s="133" t="str">
        <f t="shared" si="66"/>
        <v>Wed</v>
      </c>
      <c r="D546" s="383">
        <f t="shared" si="67"/>
        <v>1</v>
      </c>
      <c r="E546" s="147" t="s">
        <v>129</v>
      </c>
      <c r="F546" s="137" t="s">
        <v>129</v>
      </c>
      <c r="G546" s="137" t="s">
        <v>129</v>
      </c>
      <c r="H546" s="137" t="s">
        <v>129</v>
      </c>
      <c r="I546" s="137" t="s">
        <v>129</v>
      </c>
      <c r="J546" s="137" t="s">
        <v>129</v>
      </c>
      <c r="K546" s="137" t="s">
        <v>129</v>
      </c>
      <c r="L546" s="137" t="s">
        <v>129</v>
      </c>
      <c r="M546" s="141"/>
      <c r="N546" s="147"/>
    </row>
    <row r="547" hidden="1" outlineLevel="1">
      <c r="A547" s="255" t="s">
        <v>1448</v>
      </c>
      <c r="B547" s="344">
        <v>46183.0</v>
      </c>
      <c r="C547" s="133" t="str">
        <f t="shared" si="66"/>
        <v>Wed</v>
      </c>
      <c r="D547" s="381">
        <f t="shared" si="67"/>
        <v>1</v>
      </c>
      <c r="E547" s="382" t="s">
        <v>129</v>
      </c>
      <c r="F547" s="137" t="s">
        <v>129</v>
      </c>
      <c r="G547" s="137" t="s">
        <v>129</v>
      </c>
      <c r="H547" s="137" t="s">
        <v>129</v>
      </c>
      <c r="I547" s="137" t="s">
        <v>129</v>
      </c>
      <c r="J547" s="137" t="s">
        <v>129</v>
      </c>
      <c r="K547" s="137" t="s">
        <v>129</v>
      </c>
      <c r="L547" s="137" t="s">
        <v>129</v>
      </c>
      <c r="M547" s="141"/>
      <c r="N547" s="147"/>
    </row>
    <row r="548" hidden="1" outlineLevel="1">
      <c r="A548" s="255" t="s">
        <v>1450</v>
      </c>
      <c r="B548" s="344">
        <v>46184.0</v>
      </c>
      <c r="C548" s="133" t="str">
        <f t="shared" si="66"/>
        <v>Thu</v>
      </c>
      <c r="D548" s="383">
        <f t="shared" si="67"/>
        <v>1</v>
      </c>
      <c r="E548" s="147" t="s">
        <v>129</v>
      </c>
      <c r="F548" s="137" t="s">
        <v>129</v>
      </c>
      <c r="G548" s="137" t="s">
        <v>129</v>
      </c>
      <c r="H548" s="137" t="s">
        <v>129</v>
      </c>
      <c r="I548" s="137" t="s">
        <v>129</v>
      </c>
      <c r="J548" s="137" t="s">
        <v>129</v>
      </c>
      <c r="K548" s="137" t="s">
        <v>129</v>
      </c>
      <c r="L548" s="137" t="s">
        <v>129</v>
      </c>
      <c r="M548" s="141"/>
      <c r="N548" s="143"/>
    </row>
    <row r="549" hidden="1" outlineLevel="1">
      <c r="A549" s="255" t="s">
        <v>1452</v>
      </c>
      <c r="B549" s="344">
        <v>46184.0</v>
      </c>
      <c r="C549" s="133" t="str">
        <f t="shared" si="66"/>
        <v>Thu</v>
      </c>
      <c r="D549" s="381">
        <f t="shared" si="67"/>
        <v>1</v>
      </c>
      <c r="E549" s="382" t="s">
        <v>129</v>
      </c>
      <c r="F549" s="137" t="s">
        <v>129</v>
      </c>
      <c r="G549" s="137" t="s">
        <v>129</v>
      </c>
      <c r="H549" s="137" t="s">
        <v>129</v>
      </c>
      <c r="I549" s="137" t="s">
        <v>129</v>
      </c>
      <c r="J549" s="137" t="s">
        <v>129</v>
      </c>
      <c r="K549" s="137" t="s">
        <v>129</v>
      </c>
      <c r="L549" s="137" t="s">
        <v>129</v>
      </c>
      <c r="M549" s="141"/>
      <c r="N549" s="143"/>
    </row>
    <row r="550" hidden="1" outlineLevel="1">
      <c r="A550" s="255" t="s">
        <v>1454</v>
      </c>
      <c r="B550" s="344">
        <v>46184.0</v>
      </c>
      <c r="C550" s="133" t="str">
        <f t="shared" si="66"/>
        <v>Thu</v>
      </c>
      <c r="D550" s="383">
        <f t="shared" si="67"/>
        <v>1</v>
      </c>
      <c r="E550" s="147" t="s">
        <v>129</v>
      </c>
      <c r="F550" s="137" t="s">
        <v>129</v>
      </c>
      <c r="G550" s="137" t="s">
        <v>129</v>
      </c>
      <c r="H550" s="137" t="s">
        <v>129</v>
      </c>
      <c r="I550" s="137" t="s">
        <v>129</v>
      </c>
      <c r="J550" s="137" t="s">
        <v>129</v>
      </c>
      <c r="K550" s="137" t="s">
        <v>129</v>
      </c>
      <c r="L550" s="137" t="s">
        <v>129</v>
      </c>
      <c r="M550" s="141"/>
      <c r="N550" s="143"/>
    </row>
    <row r="551" hidden="1" outlineLevel="1">
      <c r="A551" s="255" t="s">
        <v>1456</v>
      </c>
      <c r="B551" s="344">
        <v>46185.0</v>
      </c>
      <c r="C551" s="133" t="str">
        <f t="shared" si="66"/>
        <v>Fri</v>
      </c>
      <c r="D551" s="381">
        <f t="shared" si="67"/>
        <v>1</v>
      </c>
      <c r="E551" s="382" t="s">
        <v>129</v>
      </c>
      <c r="F551" s="137" t="s">
        <v>129</v>
      </c>
      <c r="G551" s="137" t="s">
        <v>129</v>
      </c>
      <c r="H551" s="137" t="s">
        <v>129</v>
      </c>
      <c r="I551" s="137" t="s">
        <v>129</v>
      </c>
      <c r="J551" s="137" t="s">
        <v>129</v>
      </c>
      <c r="K551" s="137" t="s">
        <v>129</v>
      </c>
      <c r="L551" s="137" t="s">
        <v>129</v>
      </c>
      <c r="M551" s="141"/>
      <c r="N551" s="143"/>
    </row>
    <row r="552" hidden="1" outlineLevel="1">
      <c r="A552" s="255" t="s">
        <v>1457</v>
      </c>
      <c r="B552" s="344">
        <v>46185.0</v>
      </c>
      <c r="C552" s="133" t="str">
        <f t="shared" si="66"/>
        <v>Fri</v>
      </c>
      <c r="D552" s="383">
        <f t="shared" si="67"/>
        <v>1</v>
      </c>
      <c r="E552" s="147" t="s">
        <v>129</v>
      </c>
      <c r="F552" s="137" t="s">
        <v>129</v>
      </c>
      <c r="G552" s="137" t="s">
        <v>129</v>
      </c>
      <c r="H552" s="137" t="s">
        <v>129</v>
      </c>
      <c r="I552" s="137" t="s">
        <v>129</v>
      </c>
      <c r="J552" s="137" t="s">
        <v>129</v>
      </c>
      <c r="K552" s="137" t="s">
        <v>129</v>
      </c>
      <c r="L552" s="137" t="s">
        <v>129</v>
      </c>
      <c r="M552" s="141"/>
      <c r="N552" s="147"/>
    </row>
    <row r="553" hidden="1" outlineLevel="1">
      <c r="A553" s="255" t="s">
        <v>1459</v>
      </c>
      <c r="B553" s="344">
        <v>46185.0</v>
      </c>
      <c r="C553" s="133" t="str">
        <f t="shared" si="66"/>
        <v>Fri</v>
      </c>
      <c r="D553" s="381">
        <f t="shared" si="67"/>
        <v>1</v>
      </c>
      <c r="E553" s="382" t="s">
        <v>129</v>
      </c>
      <c r="F553" s="137" t="s">
        <v>129</v>
      </c>
      <c r="G553" s="137" t="s">
        <v>129</v>
      </c>
      <c r="H553" s="137" t="s">
        <v>129</v>
      </c>
      <c r="I553" s="137" t="s">
        <v>129</v>
      </c>
      <c r="J553" s="137" t="s">
        <v>129</v>
      </c>
      <c r="K553" s="137" t="s">
        <v>129</v>
      </c>
      <c r="L553" s="137" t="s">
        <v>129</v>
      </c>
      <c r="M553" s="141"/>
      <c r="N553" s="143"/>
    </row>
    <row r="554" hidden="1" outlineLevel="1">
      <c r="A554" s="255" t="s">
        <v>1461</v>
      </c>
      <c r="B554" s="344">
        <v>46186.0</v>
      </c>
      <c r="C554" s="133" t="str">
        <f t="shared" si="66"/>
        <v>Sat</v>
      </c>
      <c r="D554" s="383">
        <f t="shared" si="67"/>
        <v>1</v>
      </c>
      <c r="E554" s="147" t="s">
        <v>129</v>
      </c>
      <c r="F554" s="137" t="s">
        <v>129</v>
      </c>
      <c r="G554" s="137" t="s">
        <v>129</v>
      </c>
      <c r="H554" s="137" t="s">
        <v>129</v>
      </c>
      <c r="I554" s="137" t="s">
        <v>129</v>
      </c>
      <c r="J554" s="137" t="s">
        <v>129</v>
      </c>
      <c r="K554" s="137" t="s">
        <v>129</v>
      </c>
      <c r="L554" s="137" t="s">
        <v>129</v>
      </c>
      <c r="M554" s="141"/>
      <c r="N554" s="147"/>
    </row>
    <row r="555" hidden="1" outlineLevel="1">
      <c r="A555" s="255" t="s">
        <v>1463</v>
      </c>
      <c r="B555" s="344">
        <v>46186.0</v>
      </c>
      <c r="C555" s="133" t="str">
        <f t="shared" si="66"/>
        <v>Sat</v>
      </c>
      <c r="D555" s="381">
        <f t="shared" si="67"/>
        <v>1</v>
      </c>
      <c r="E555" s="382" t="s">
        <v>129</v>
      </c>
      <c r="F555" s="137" t="s">
        <v>129</v>
      </c>
      <c r="G555" s="137" t="s">
        <v>129</v>
      </c>
      <c r="H555" s="137" t="s">
        <v>129</v>
      </c>
      <c r="I555" s="137" t="s">
        <v>129</v>
      </c>
      <c r="J555" s="137" t="s">
        <v>129</v>
      </c>
      <c r="K555" s="137" t="s">
        <v>129</v>
      </c>
      <c r="L555" s="137" t="s">
        <v>129</v>
      </c>
      <c r="M555" s="141"/>
      <c r="N555" s="147"/>
    </row>
    <row r="556" hidden="1" outlineLevel="1">
      <c r="A556" s="255" t="s">
        <v>1465</v>
      </c>
      <c r="B556" s="344">
        <v>46186.0</v>
      </c>
      <c r="C556" s="133" t="str">
        <f t="shared" si="66"/>
        <v>Sat</v>
      </c>
      <c r="D556" s="383">
        <f t="shared" si="67"/>
        <v>1</v>
      </c>
      <c r="E556" s="147" t="s">
        <v>129</v>
      </c>
      <c r="F556" s="137" t="s">
        <v>129</v>
      </c>
      <c r="G556" s="137" t="s">
        <v>129</v>
      </c>
      <c r="H556" s="137" t="s">
        <v>129</v>
      </c>
      <c r="I556" s="137" t="s">
        <v>129</v>
      </c>
      <c r="J556" s="137" t="s">
        <v>129</v>
      </c>
      <c r="K556" s="137" t="s">
        <v>129</v>
      </c>
      <c r="L556" s="137" t="s">
        <v>129</v>
      </c>
      <c r="M556" s="141"/>
      <c r="N556" s="147"/>
    </row>
    <row r="557" hidden="1" outlineLevel="1">
      <c r="A557" s="255" t="s">
        <v>1467</v>
      </c>
      <c r="B557" s="344">
        <v>46187.0</v>
      </c>
      <c r="C557" s="133" t="str">
        <f t="shared" si="66"/>
        <v>Sun</v>
      </c>
      <c r="D557" s="381">
        <f t="shared" si="67"/>
        <v>1</v>
      </c>
      <c r="E557" s="382" t="s">
        <v>129</v>
      </c>
      <c r="F557" s="137" t="s">
        <v>129</v>
      </c>
      <c r="G557" s="137" t="s">
        <v>129</v>
      </c>
      <c r="H557" s="137" t="s">
        <v>129</v>
      </c>
      <c r="I557" s="137" t="s">
        <v>129</v>
      </c>
      <c r="J557" s="137" t="s">
        <v>129</v>
      </c>
      <c r="K557" s="137" t="s">
        <v>129</v>
      </c>
      <c r="L557" s="137" t="s">
        <v>129</v>
      </c>
      <c r="M557" s="141"/>
      <c r="N557" s="143"/>
    </row>
    <row r="558" hidden="1" outlineLevel="1">
      <c r="A558" s="255" t="s">
        <v>1471</v>
      </c>
      <c r="B558" s="344">
        <v>46187.0</v>
      </c>
      <c r="C558" s="133" t="str">
        <f t="shared" si="66"/>
        <v>Sun</v>
      </c>
      <c r="D558" s="383">
        <f t="shared" si="67"/>
        <v>1</v>
      </c>
      <c r="E558" s="147" t="s">
        <v>129</v>
      </c>
      <c r="F558" s="137" t="s">
        <v>129</v>
      </c>
      <c r="G558" s="137" t="s">
        <v>129</v>
      </c>
      <c r="H558" s="137" t="s">
        <v>129</v>
      </c>
      <c r="I558" s="137" t="s">
        <v>129</v>
      </c>
      <c r="J558" s="137" t="s">
        <v>129</v>
      </c>
      <c r="K558" s="137" t="s">
        <v>129</v>
      </c>
      <c r="L558" s="137" t="s">
        <v>129</v>
      </c>
      <c r="M558" s="141"/>
      <c r="N558" s="143"/>
    </row>
    <row r="559" ht="15.0" hidden="1" customHeight="1" outlineLevel="1">
      <c r="A559" s="255" t="s">
        <v>1472</v>
      </c>
      <c r="B559" s="344">
        <v>46187.0</v>
      </c>
      <c r="C559" s="133" t="str">
        <f t="shared" si="66"/>
        <v>Sun</v>
      </c>
      <c r="D559" s="381">
        <f t="shared" si="67"/>
        <v>1</v>
      </c>
      <c r="E559" s="382" t="s">
        <v>129</v>
      </c>
      <c r="F559" s="137" t="s">
        <v>129</v>
      </c>
      <c r="G559" s="137" t="s">
        <v>129</v>
      </c>
      <c r="H559" s="137" t="s">
        <v>129</v>
      </c>
      <c r="I559" s="137" t="s">
        <v>129</v>
      </c>
      <c r="J559" s="137" t="s">
        <v>129</v>
      </c>
      <c r="K559" s="137" t="s">
        <v>129</v>
      </c>
      <c r="L559" s="137" t="s">
        <v>129</v>
      </c>
      <c r="M559" s="141"/>
      <c r="N559" s="147"/>
    </row>
    <row r="560" hidden="1" outlineLevel="1">
      <c r="B560" s="189"/>
      <c r="C560" s="191" t="s">
        <v>194</v>
      </c>
      <c r="D560" s="204">
        <f>AVERAGE(D545:D559)</f>
        <v>1</v>
      </c>
      <c r="E560" s="384"/>
      <c r="L560" s="191" t="s">
        <v>194</v>
      </c>
      <c r="M560" s="204">
        <f>SUM(M545:M559)/75*0.1</f>
        <v>0</v>
      </c>
    </row>
    <row r="561" hidden="1" collapsed="1">
      <c r="A561" s="206" t="s">
        <v>1161</v>
      </c>
      <c r="B561" s="207"/>
      <c r="C561" s="207"/>
      <c r="D561" s="385"/>
      <c r="E561" s="109"/>
      <c r="F561" s="109"/>
      <c r="G561" s="110"/>
      <c r="H561" s="110"/>
      <c r="I561" s="110"/>
      <c r="J561" s="110"/>
      <c r="K561" s="110"/>
      <c r="L561" s="110"/>
      <c r="M561" s="111"/>
      <c r="N561" s="113"/>
    </row>
    <row r="562" hidden="1" outlineLevel="1">
      <c r="A562" s="373" t="s">
        <v>98</v>
      </c>
      <c r="B562" s="115" t="s">
        <v>100</v>
      </c>
      <c r="C562" s="115" t="s">
        <v>102</v>
      </c>
      <c r="D562" s="119" t="s">
        <v>103</v>
      </c>
      <c r="E562" s="275" t="s">
        <v>269</v>
      </c>
      <c r="F562" s="275" t="s">
        <v>272</v>
      </c>
      <c r="G562" s="276" t="s">
        <v>328</v>
      </c>
      <c r="H562" s="121" t="s">
        <v>107</v>
      </c>
      <c r="I562" s="121" t="s">
        <v>108</v>
      </c>
      <c r="J562" s="276" t="s">
        <v>329</v>
      </c>
      <c r="K562" s="121" t="s">
        <v>111</v>
      </c>
      <c r="L562" s="276" t="s">
        <v>274</v>
      </c>
      <c r="M562" s="115" t="s">
        <v>114</v>
      </c>
      <c r="N562" s="119" t="s">
        <v>115</v>
      </c>
    </row>
    <row r="563" hidden="1" outlineLevel="1">
      <c r="A563" s="412" t="s">
        <v>1162</v>
      </c>
      <c r="B563" s="344"/>
      <c r="C563" s="133" t="str">
        <f t="shared" ref="C563:C577" si="68">IF(B563="", "", TEXT(B563, "ddd"))</f>
        <v/>
      </c>
      <c r="D563" s="381">
        <f t="shared" ref="D563:D577" si="69">IF(E563="Yes",0.05,0)
+IF(F563="Yes",0.1,0)
+IF(G563="Yes",0.15,0)
+IF(H563="Yes",0.15,0)
+IF(I563="Yes",0.05,0)
+IF(J563="Yes",0.05,0)
+IF(K563="Yes",0.15,0)
+IF(L563="Yes",0.3,0)
</f>
        <v>1</v>
      </c>
      <c r="E563" s="382" t="s">
        <v>129</v>
      </c>
      <c r="F563" s="137" t="s">
        <v>129</v>
      </c>
      <c r="G563" s="137" t="s">
        <v>129</v>
      </c>
      <c r="H563" s="137" t="s">
        <v>129</v>
      </c>
      <c r="I563" s="137" t="s">
        <v>129</v>
      </c>
      <c r="J563" s="137" t="s">
        <v>129</v>
      </c>
      <c r="K563" s="137" t="s">
        <v>129</v>
      </c>
      <c r="L563" s="137" t="s">
        <v>129</v>
      </c>
      <c r="M563" s="141"/>
      <c r="N563" s="143"/>
    </row>
    <row r="564" hidden="1" outlineLevel="1">
      <c r="A564" s="412" t="s">
        <v>1162</v>
      </c>
      <c r="B564" s="344"/>
      <c r="C564" s="133" t="str">
        <f t="shared" si="68"/>
        <v/>
      </c>
      <c r="D564" s="383">
        <f t="shared" si="69"/>
        <v>1</v>
      </c>
      <c r="E564" s="147" t="s">
        <v>129</v>
      </c>
      <c r="F564" s="137" t="s">
        <v>129</v>
      </c>
      <c r="G564" s="137" t="s">
        <v>129</v>
      </c>
      <c r="H564" s="137" t="s">
        <v>129</v>
      </c>
      <c r="I564" s="137" t="s">
        <v>129</v>
      </c>
      <c r="J564" s="137" t="s">
        <v>129</v>
      </c>
      <c r="K564" s="137" t="s">
        <v>129</v>
      </c>
      <c r="L564" s="137" t="s">
        <v>129</v>
      </c>
      <c r="M564" s="141"/>
      <c r="N564" s="147"/>
    </row>
    <row r="565" hidden="1" outlineLevel="1">
      <c r="A565" s="412" t="s">
        <v>1162</v>
      </c>
      <c r="B565" s="344"/>
      <c r="C565" s="133" t="str">
        <f t="shared" si="68"/>
        <v/>
      </c>
      <c r="D565" s="381">
        <f t="shared" si="69"/>
        <v>1</v>
      </c>
      <c r="E565" s="382" t="s">
        <v>129</v>
      </c>
      <c r="F565" s="137" t="s">
        <v>129</v>
      </c>
      <c r="G565" s="137" t="s">
        <v>129</v>
      </c>
      <c r="H565" s="137" t="s">
        <v>129</v>
      </c>
      <c r="I565" s="137" t="s">
        <v>129</v>
      </c>
      <c r="J565" s="137" t="s">
        <v>129</v>
      </c>
      <c r="K565" s="137" t="s">
        <v>129</v>
      </c>
      <c r="L565" s="137" t="s">
        <v>129</v>
      </c>
      <c r="M565" s="141"/>
      <c r="N565" s="147"/>
    </row>
    <row r="566" hidden="1" outlineLevel="1">
      <c r="A566" s="412" t="s">
        <v>1162</v>
      </c>
      <c r="B566" s="344"/>
      <c r="C566" s="133" t="str">
        <f t="shared" si="68"/>
        <v/>
      </c>
      <c r="D566" s="383">
        <f t="shared" si="69"/>
        <v>1</v>
      </c>
      <c r="E566" s="147" t="s">
        <v>129</v>
      </c>
      <c r="F566" s="137" t="s">
        <v>129</v>
      </c>
      <c r="G566" s="137" t="s">
        <v>129</v>
      </c>
      <c r="H566" s="137" t="s">
        <v>129</v>
      </c>
      <c r="I566" s="137" t="s">
        <v>129</v>
      </c>
      <c r="J566" s="137" t="s">
        <v>129</v>
      </c>
      <c r="K566" s="137" t="s">
        <v>129</v>
      </c>
      <c r="L566" s="137" t="s">
        <v>129</v>
      </c>
      <c r="M566" s="141"/>
      <c r="N566" s="143"/>
    </row>
    <row r="567" hidden="1" outlineLevel="1">
      <c r="A567" s="412" t="s">
        <v>1162</v>
      </c>
      <c r="B567" s="344"/>
      <c r="C567" s="133" t="str">
        <f t="shared" si="68"/>
        <v/>
      </c>
      <c r="D567" s="381">
        <f t="shared" si="69"/>
        <v>1</v>
      </c>
      <c r="E567" s="382" t="s">
        <v>129</v>
      </c>
      <c r="F567" s="137" t="s">
        <v>129</v>
      </c>
      <c r="G567" s="137" t="s">
        <v>129</v>
      </c>
      <c r="H567" s="137" t="s">
        <v>129</v>
      </c>
      <c r="I567" s="137" t="s">
        <v>129</v>
      </c>
      <c r="J567" s="137" t="s">
        <v>129</v>
      </c>
      <c r="K567" s="137" t="s">
        <v>129</v>
      </c>
      <c r="L567" s="137" t="s">
        <v>129</v>
      </c>
      <c r="M567" s="141"/>
      <c r="N567" s="143"/>
    </row>
    <row r="568" hidden="1" outlineLevel="1">
      <c r="A568" s="412" t="s">
        <v>1162</v>
      </c>
      <c r="B568" s="344"/>
      <c r="C568" s="133" t="str">
        <f t="shared" si="68"/>
        <v/>
      </c>
      <c r="D568" s="383">
        <f t="shared" si="69"/>
        <v>1</v>
      </c>
      <c r="E568" s="147" t="s">
        <v>129</v>
      </c>
      <c r="F568" s="137" t="s">
        <v>129</v>
      </c>
      <c r="G568" s="137" t="s">
        <v>129</v>
      </c>
      <c r="H568" s="137" t="s">
        <v>129</v>
      </c>
      <c r="I568" s="137" t="s">
        <v>129</v>
      </c>
      <c r="J568" s="137" t="s">
        <v>129</v>
      </c>
      <c r="K568" s="137" t="s">
        <v>129</v>
      </c>
      <c r="L568" s="137" t="s">
        <v>129</v>
      </c>
      <c r="M568" s="141"/>
      <c r="N568" s="143"/>
    </row>
    <row r="569" hidden="1" outlineLevel="1">
      <c r="A569" s="412" t="s">
        <v>1162</v>
      </c>
      <c r="B569" s="344"/>
      <c r="C569" s="133" t="str">
        <f t="shared" si="68"/>
        <v/>
      </c>
      <c r="D569" s="381">
        <f t="shared" si="69"/>
        <v>1</v>
      </c>
      <c r="E569" s="382" t="s">
        <v>129</v>
      </c>
      <c r="F569" s="137" t="s">
        <v>129</v>
      </c>
      <c r="G569" s="137" t="s">
        <v>129</v>
      </c>
      <c r="H569" s="137" t="s">
        <v>129</v>
      </c>
      <c r="I569" s="137" t="s">
        <v>129</v>
      </c>
      <c r="J569" s="137" t="s">
        <v>129</v>
      </c>
      <c r="K569" s="137" t="s">
        <v>129</v>
      </c>
      <c r="L569" s="137" t="s">
        <v>129</v>
      </c>
      <c r="M569" s="141"/>
      <c r="N569" s="143"/>
    </row>
    <row r="570" hidden="1" outlineLevel="1">
      <c r="A570" s="412" t="s">
        <v>1162</v>
      </c>
      <c r="B570" s="344"/>
      <c r="C570" s="133" t="str">
        <f t="shared" si="68"/>
        <v/>
      </c>
      <c r="D570" s="383">
        <f t="shared" si="69"/>
        <v>1</v>
      </c>
      <c r="E570" s="147" t="s">
        <v>129</v>
      </c>
      <c r="F570" s="137" t="s">
        <v>129</v>
      </c>
      <c r="G570" s="137" t="s">
        <v>129</v>
      </c>
      <c r="H570" s="137" t="s">
        <v>129</v>
      </c>
      <c r="I570" s="137" t="s">
        <v>129</v>
      </c>
      <c r="J570" s="137" t="s">
        <v>129</v>
      </c>
      <c r="K570" s="137" t="s">
        <v>129</v>
      </c>
      <c r="L570" s="137" t="s">
        <v>129</v>
      </c>
      <c r="M570" s="141"/>
      <c r="N570" s="147"/>
    </row>
    <row r="571" hidden="1" outlineLevel="1">
      <c r="A571" s="412" t="s">
        <v>1162</v>
      </c>
      <c r="B571" s="344"/>
      <c r="C571" s="133" t="str">
        <f t="shared" si="68"/>
        <v/>
      </c>
      <c r="D571" s="381">
        <f t="shared" si="69"/>
        <v>1</v>
      </c>
      <c r="E571" s="382" t="s">
        <v>129</v>
      </c>
      <c r="F571" s="137" t="s">
        <v>129</v>
      </c>
      <c r="G571" s="137" t="s">
        <v>129</v>
      </c>
      <c r="H571" s="137" t="s">
        <v>129</v>
      </c>
      <c r="I571" s="137" t="s">
        <v>129</v>
      </c>
      <c r="J571" s="137" t="s">
        <v>129</v>
      </c>
      <c r="K571" s="137" t="s">
        <v>129</v>
      </c>
      <c r="L571" s="137" t="s">
        <v>129</v>
      </c>
      <c r="M571" s="141"/>
      <c r="N571" s="143"/>
    </row>
    <row r="572" hidden="1" outlineLevel="1">
      <c r="A572" s="412" t="s">
        <v>1162</v>
      </c>
      <c r="B572" s="344"/>
      <c r="C572" s="133" t="str">
        <f t="shared" si="68"/>
        <v/>
      </c>
      <c r="D572" s="383">
        <f t="shared" si="69"/>
        <v>1</v>
      </c>
      <c r="E572" s="147" t="s">
        <v>129</v>
      </c>
      <c r="F572" s="137" t="s">
        <v>129</v>
      </c>
      <c r="G572" s="137" t="s">
        <v>129</v>
      </c>
      <c r="H572" s="137" t="s">
        <v>129</v>
      </c>
      <c r="I572" s="137" t="s">
        <v>129</v>
      </c>
      <c r="J572" s="137" t="s">
        <v>129</v>
      </c>
      <c r="K572" s="137" t="s">
        <v>129</v>
      </c>
      <c r="L572" s="137" t="s">
        <v>129</v>
      </c>
      <c r="M572" s="141"/>
      <c r="N572" s="147"/>
    </row>
    <row r="573" hidden="1" outlineLevel="1">
      <c r="A573" s="412" t="s">
        <v>1162</v>
      </c>
      <c r="B573" s="344"/>
      <c r="C573" s="133" t="str">
        <f t="shared" si="68"/>
        <v/>
      </c>
      <c r="D573" s="381">
        <f t="shared" si="69"/>
        <v>1</v>
      </c>
      <c r="E573" s="382" t="s">
        <v>129</v>
      </c>
      <c r="F573" s="137" t="s">
        <v>129</v>
      </c>
      <c r="G573" s="137" t="s">
        <v>129</v>
      </c>
      <c r="H573" s="137" t="s">
        <v>129</v>
      </c>
      <c r="I573" s="137" t="s">
        <v>129</v>
      </c>
      <c r="J573" s="137" t="s">
        <v>129</v>
      </c>
      <c r="K573" s="137" t="s">
        <v>129</v>
      </c>
      <c r="L573" s="137" t="s">
        <v>129</v>
      </c>
      <c r="M573" s="141"/>
      <c r="N573" s="147"/>
    </row>
    <row r="574" hidden="1" outlineLevel="1">
      <c r="A574" s="412" t="s">
        <v>1162</v>
      </c>
      <c r="B574" s="344"/>
      <c r="C574" s="133" t="str">
        <f t="shared" si="68"/>
        <v/>
      </c>
      <c r="D574" s="383">
        <f t="shared" si="69"/>
        <v>1</v>
      </c>
      <c r="E574" s="147" t="s">
        <v>129</v>
      </c>
      <c r="F574" s="137" t="s">
        <v>129</v>
      </c>
      <c r="G574" s="137" t="s">
        <v>129</v>
      </c>
      <c r="H574" s="137" t="s">
        <v>129</v>
      </c>
      <c r="I574" s="137" t="s">
        <v>129</v>
      </c>
      <c r="J574" s="137" t="s">
        <v>129</v>
      </c>
      <c r="K574" s="137" t="s">
        <v>129</v>
      </c>
      <c r="L574" s="137" t="s">
        <v>129</v>
      </c>
      <c r="M574" s="141"/>
      <c r="N574" s="147"/>
    </row>
    <row r="575" hidden="1" outlineLevel="1">
      <c r="A575" s="412" t="s">
        <v>1162</v>
      </c>
      <c r="B575" s="344"/>
      <c r="C575" s="133" t="str">
        <f t="shared" si="68"/>
        <v/>
      </c>
      <c r="D575" s="381">
        <f t="shared" si="69"/>
        <v>1</v>
      </c>
      <c r="E575" s="382" t="s">
        <v>129</v>
      </c>
      <c r="F575" s="137" t="s">
        <v>129</v>
      </c>
      <c r="G575" s="137" t="s">
        <v>129</v>
      </c>
      <c r="H575" s="137" t="s">
        <v>129</v>
      </c>
      <c r="I575" s="137" t="s">
        <v>129</v>
      </c>
      <c r="J575" s="137" t="s">
        <v>129</v>
      </c>
      <c r="K575" s="137" t="s">
        <v>129</v>
      </c>
      <c r="L575" s="137" t="s">
        <v>129</v>
      </c>
      <c r="M575" s="141"/>
      <c r="N575" s="143"/>
    </row>
    <row r="576" hidden="1" outlineLevel="1">
      <c r="A576" s="412" t="s">
        <v>1162</v>
      </c>
      <c r="B576" s="344"/>
      <c r="C576" s="133" t="str">
        <f t="shared" si="68"/>
        <v/>
      </c>
      <c r="D576" s="383">
        <f t="shared" si="69"/>
        <v>1</v>
      </c>
      <c r="E576" s="147" t="s">
        <v>129</v>
      </c>
      <c r="F576" s="137" t="s">
        <v>129</v>
      </c>
      <c r="G576" s="137" t="s">
        <v>129</v>
      </c>
      <c r="H576" s="137" t="s">
        <v>129</v>
      </c>
      <c r="I576" s="137" t="s">
        <v>129</v>
      </c>
      <c r="J576" s="137" t="s">
        <v>129</v>
      </c>
      <c r="K576" s="137" t="s">
        <v>129</v>
      </c>
      <c r="L576" s="137" t="s">
        <v>129</v>
      </c>
      <c r="M576" s="141"/>
      <c r="N576" s="143"/>
    </row>
    <row r="577" ht="15.0" hidden="1" customHeight="1" outlineLevel="1">
      <c r="A577" s="412" t="s">
        <v>1162</v>
      </c>
      <c r="B577" s="344"/>
      <c r="C577" s="133" t="str">
        <f t="shared" si="68"/>
        <v/>
      </c>
      <c r="D577" s="381">
        <f t="shared" si="69"/>
        <v>1</v>
      </c>
      <c r="E577" s="382" t="s">
        <v>129</v>
      </c>
      <c r="F577" s="137" t="s">
        <v>129</v>
      </c>
      <c r="G577" s="137" t="s">
        <v>129</v>
      </c>
      <c r="H577" s="137" t="s">
        <v>129</v>
      </c>
      <c r="I577" s="137" t="s">
        <v>129</v>
      </c>
      <c r="J577" s="137" t="s">
        <v>129</v>
      </c>
      <c r="K577" s="137" t="s">
        <v>129</v>
      </c>
      <c r="L577" s="137" t="s">
        <v>129</v>
      </c>
      <c r="M577" s="141"/>
      <c r="N577" s="147"/>
    </row>
    <row r="578" hidden="1" outlineLevel="1">
      <c r="B578" s="189"/>
      <c r="C578" s="191" t="s">
        <v>194</v>
      </c>
      <c r="D578" s="204">
        <f>AVERAGE(D563:D577)</f>
        <v>1</v>
      </c>
      <c r="E578" s="384"/>
      <c r="L578" s="191" t="s">
        <v>194</v>
      </c>
      <c r="M578" s="204">
        <f>SUM(M563:M577)/75*0.1</f>
        <v>0</v>
      </c>
    </row>
    <row r="579" hidden="1" collapsed="1">
      <c r="A579" s="206" t="s">
        <v>1169</v>
      </c>
      <c r="B579" s="207"/>
      <c r="C579" s="207"/>
      <c r="D579" s="385"/>
      <c r="E579" s="109"/>
      <c r="F579" s="109"/>
      <c r="G579" s="110"/>
      <c r="H579" s="110"/>
      <c r="I579" s="110"/>
      <c r="J579" s="110"/>
      <c r="K579" s="110"/>
      <c r="L579" s="110"/>
      <c r="M579" s="111"/>
      <c r="N579" s="113"/>
    </row>
    <row r="580" hidden="1" outlineLevel="1">
      <c r="A580" s="373" t="s">
        <v>98</v>
      </c>
      <c r="B580" s="115" t="s">
        <v>100</v>
      </c>
      <c r="C580" s="115" t="s">
        <v>102</v>
      </c>
      <c r="D580" s="119" t="s">
        <v>103</v>
      </c>
      <c r="E580" s="275" t="s">
        <v>269</v>
      </c>
      <c r="F580" s="275" t="s">
        <v>272</v>
      </c>
      <c r="G580" s="276" t="s">
        <v>328</v>
      </c>
      <c r="H580" s="121" t="s">
        <v>107</v>
      </c>
      <c r="I580" s="121" t="s">
        <v>108</v>
      </c>
      <c r="J580" s="276" t="s">
        <v>329</v>
      </c>
      <c r="K580" s="121" t="s">
        <v>111</v>
      </c>
      <c r="L580" s="276" t="s">
        <v>274</v>
      </c>
      <c r="M580" s="115" t="s">
        <v>114</v>
      </c>
      <c r="N580" s="119" t="s">
        <v>115</v>
      </c>
    </row>
    <row r="581" hidden="1" outlineLevel="1">
      <c r="A581" s="255" t="s">
        <v>1492</v>
      </c>
      <c r="B581" s="344">
        <v>46195.0</v>
      </c>
      <c r="C581" s="133" t="str">
        <f t="shared" ref="C581:C595" si="70">IF(B581="", "", TEXT(B581, "ddd"))</f>
        <v>Mon</v>
      </c>
      <c r="D581" s="381">
        <f t="shared" ref="D581:D595" si="71">IF(E581="Yes",0.05,0)
+IF(F581="Yes",0.1,0)
+IF(G581="Yes",0.15,0)
+IF(H581="Yes",0.15,0)
+IF(I581="Yes",0.05,0)
+IF(J581="Yes",0.05,0)
+IF(K581="Yes",0.15,0)
+IF(L581="Yes",0.3,0)
</f>
        <v>1</v>
      </c>
      <c r="E581" s="382" t="s">
        <v>129</v>
      </c>
      <c r="F581" s="137" t="s">
        <v>129</v>
      </c>
      <c r="G581" s="137" t="s">
        <v>129</v>
      </c>
      <c r="H581" s="137" t="s">
        <v>129</v>
      </c>
      <c r="I581" s="137" t="s">
        <v>129</v>
      </c>
      <c r="J581" s="137" t="s">
        <v>129</v>
      </c>
      <c r="K581" s="137" t="s">
        <v>129</v>
      </c>
      <c r="L581" s="137" t="s">
        <v>129</v>
      </c>
      <c r="M581" s="141"/>
      <c r="N581" s="143"/>
    </row>
    <row r="582" hidden="1" outlineLevel="1">
      <c r="A582" s="255" t="s">
        <v>1494</v>
      </c>
      <c r="B582" s="344">
        <v>46195.0</v>
      </c>
      <c r="C582" s="133" t="str">
        <f t="shared" si="70"/>
        <v>Mon</v>
      </c>
      <c r="D582" s="383">
        <f t="shared" si="71"/>
        <v>1</v>
      </c>
      <c r="E582" s="147" t="s">
        <v>129</v>
      </c>
      <c r="F582" s="137" t="s">
        <v>129</v>
      </c>
      <c r="G582" s="137" t="s">
        <v>129</v>
      </c>
      <c r="H582" s="137" t="s">
        <v>129</v>
      </c>
      <c r="I582" s="137" t="s">
        <v>129</v>
      </c>
      <c r="J582" s="137" t="s">
        <v>129</v>
      </c>
      <c r="K582" s="137" t="s">
        <v>129</v>
      </c>
      <c r="L582" s="137" t="s">
        <v>129</v>
      </c>
      <c r="M582" s="141"/>
      <c r="N582" s="147"/>
    </row>
    <row r="583" hidden="1" outlineLevel="1">
      <c r="A583" s="255" t="s">
        <v>1497</v>
      </c>
      <c r="B583" s="344">
        <v>46195.0</v>
      </c>
      <c r="C583" s="133" t="str">
        <f t="shared" si="70"/>
        <v>Mon</v>
      </c>
      <c r="D583" s="381">
        <f t="shared" si="71"/>
        <v>1</v>
      </c>
      <c r="E583" s="382" t="s">
        <v>129</v>
      </c>
      <c r="F583" s="137" t="s">
        <v>129</v>
      </c>
      <c r="G583" s="137" t="s">
        <v>129</v>
      </c>
      <c r="H583" s="137" t="s">
        <v>129</v>
      </c>
      <c r="I583" s="137" t="s">
        <v>129</v>
      </c>
      <c r="J583" s="137" t="s">
        <v>129</v>
      </c>
      <c r="K583" s="137" t="s">
        <v>129</v>
      </c>
      <c r="L583" s="137" t="s">
        <v>129</v>
      </c>
      <c r="M583" s="141"/>
      <c r="N583" s="147"/>
    </row>
    <row r="584" hidden="1" outlineLevel="1">
      <c r="A584" s="303" t="s">
        <v>1499</v>
      </c>
      <c r="B584" s="344">
        <v>46197.0</v>
      </c>
      <c r="C584" s="133" t="str">
        <f t="shared" si="70"/>
        <v>Wed</v>
      </c>
      <c r="D584" s="383">
        <f t="shared" si="71"/>
        <v>1</v>
      </c>
      <c r="E584" s="147" t="s">
        <v>129</v>
      </c>
      <c r="F584" s="137" t="s">
        <v>129</v>
      </c>
      <c r="G584" s="137" t="s">
        <v>129</v>
      </c>
      <c r="H584" s="137" t="s">
        <v>129</v>
      </c>
      <c r="I584" s="137" t="s">
        <v>129</v>
      </c>
      <c r="J584" s="137" t="s">
        <v>129</v>
      </c>
      <c r="K584" s="137" t="s">
        <v>129</v>
      </c>
      <c r="L584" s="137" t="s">
        <v>129</v>
      </c>
      <c r="M584" s="141"/>
      <c r="N584" s="143"/>
    </row>
    <row r="585" hidden="1" outlineLevel="1">
      <c r="A585" s="303" t="s">
        <v>1500</v>
      </c>
      <c r="B585" s="344">
        <v>46197.0</v>
      </c>
      <c r="C585" s="133" t="str">
        <f t="shared" si="70"/>
        <v>Wed</v>
      </c>
      <c r="D585" s="381">
        <f t="shared" si="71"/>
        <v>1</v>
      </c>
      <c r="E585" s="382" t="s">
        <v>129</v>
      </c>
      <c r="F585" s="137" t="s">
        <v>129</v>
      </c>
      <c r="G585" s="137" t="s">
        <v>129</v>
      </c>
      <c r="H585" s="137" t="s">
        <v>129</v>
      </c>
      <c r="I585" s="137" t="s">
        <v>129</v>
      </c>
      <c r="J585" s="137" t="s">
        <v>129</v>
      </c>
      <c r="K585" s="137" t="s">
        <v>129</v>
      </c>
      <c r="L585" s="137" t="s">
        <v>129</v>
      </c>
      <c r="M585" s="141"/>
      <c r="N585" s="143"/>
    </row>
    <row r="586" hidden="1" outlineLevel="1">
      <c r="A586" s="303" t="s">
        <v>1501</v>
      </c>
      <c r="B586" s="344">
        <v>46197.0</v>
      </c>
      <c r="C586" s="133" t="str">
        <f t="shared" si="70"/>
        <v>Wed</v>
      </c>
      <c r="D586" s="383">
        <f t="shared" si="71"/>
        <v>1</v>
      </c>
      <c r="E586" s="147" t="s">
        <v>129</v>
      </c>
      <c r="F586" s="137" t="s">
        <v>129</v>
      </c>
      <c r="G586" s="137" t="s">
        <v>129</v>
      </c>
      <c r="H586" s="137" t="s">
        <v>129</v>
      </c>
      <c r="I586" s="137" t="s">
        <v>129</v>
      </c>
      <c r="J586" s="137" t="s">
        <v>129</v>
      </c>
      <c r="K586" s="137" t="s">
        <v>129</v>
      </c>
      <c r="L586" s="137" t="s">
        <v>129</v>
      </c>
      <c r="M586" s="141"/>
      <c r="N586" s="143"/>
    </row>
    <row r="587" hidden="1" outlineLevel="1">
      <c r="A587" s="303" t="s">
        <v>1503</v>
      </c>
      <c r="B587" s="344">
        <v>46198.0</v>
      </c>
      <c r="C587" s="133" t="str">
        <f t="shared" si="70"/>
        <v>Thu</v>
      </c>
      <c r="D587" s="381">
        <f t="shared" si="71"/>
        <v>1</v>
      </c>
      <c r="E587" s="382" t="s">
        <v>129</v>
      </c>
      <c r="F587" s="137" t="s">
        <v>129</v>
      </c>
      <c r="G587" s="137" t="s">
        <v>129</v>
      </c>
      <c r="H587" s="137" t="s">
        <v>129</v>
      </c>
      <c r="I587" s="137" t="s">
        <v>129</v>
      </c>
      <c r="J587" s="137" t="s">
        <v>129</v>
      </c>
      <c r="K587" s="137" t="s">
        <v>129</v>
      </c>
      <c r="L587" s="137" t="s">
        <v>129</v>
      </c>
      <c r="M587" s="141"/>
      <c r="N587" s="143"/>
    </row>
    <row r="588" hidden="1" outlineLevel="1">
      <c r="A588" s="303" t="s">
        <v>1505</v>
      </c>
      <c r="B588" s="344">
        <v>46198.0</v>
      </c>
      <c r="C588" s="133" t="str">
        <f t="shared" si="70"/>
        <v>Thu</v>
      </c>
      <c r="D588" s="383">
        <f t="shared" si="71"/>
        <v>1</v>
      </c>
      <c r="E588" s="147" t="s">
        <v>129</v>
      </c>
      <c r="F588" s="137" t="s">
        <v>129</v>
      </c>
      <c r="G588" s="137" t="s">
        <v>129</v>
      </c>
      <c r="H588" s="137" t="s">
        <v>129</v>
      </c>
      <c r="I588" s="137" t="s">
        <v>129</v>
      </c>
      <c r="J588" s="137" t="s">
        <v>129</v>
      </c>
      <c r="K588" s="137" t="s">
        <v>129</v>
      </c>
      <c r="L588" s="137" t="s">
        <v>129</v>
      </c>
      <c r="M588" s="141"/>
      <c r="N588" s="147"/>
    </row>
    <row r="589" hidden="1" outlineLevel="1">
      <c r="A589" s="303" t="s">
        <v>1507</v>
      </c>
      <c r="B589" s="344">
        <v>46198.0</v>
      </c>
      <c r="C589" s="133" t="str">
        <f t="shared" si="70"/>
        <v>Thu</v>
      </c>
      <c r="D589" s="381">
        <f t="shared" si="71"/>
        <v>1</v>
      </c>
      <c r="E589" s="382" t="s">
        <v>129</v>
      </c>
      <c r="F589" s="137" t="s">
        <v>129</v>
      </c>
      <c r="G589" s="137" t="s">
        <v>129</v>
      </c>
      <c r="H589" s="137" t="s">
        <v>129</v>
      </c>
      <c r="I589" s="137" t="s">
        <v>129</v>
      </c>
      <c r="J589" s="137" t="s">
        <v>129</v>
      </c>
      <c r="K589" s="137" t="s">
        <v>129</v>
      </c>
      <c r="L589" s="137" t="s">
        <v>129</v>
      </c>
      <c r="M589" s="141"/>
      <c r="N589" s="143"/>
    </row>
    <row r="590" hidden="1" outlineLevel="1">
      <c r="A590" s="303" t="s">
        <v>1509</v>
      </c>
      <c r="B590" s="344">
        <v>46199.0</v>
      </c>
      <c r="C590" s="133" t="str">
        <f t="shared" si="70"/>
        <v>Fri</v>
      </c>
      <c r="D590" s="383">
        <f t="shared" si="71"/>
        <v>1</v>
      </c>
      <c r="E590" s="147" t="s">
        <v>129</v>
      </c>
      <c r="F590" s="137" t="s">
        <v>129</v>
      </c>
      <c r="G590" s="137" t="s">
        <v>129</v>
      </c>
      <c r="H590" s="137" t="s">
        <v>129</v>
      </c>
      <c r="I590" s="137" t="s">
        <v>129</v>
      </c>
      <c r="J590" s="137" t="s">
        <v>129</v>
      </c>
      <c r="K590" s="137" t="s">
        <v>129</v>
      </c>
      <c r="L590" s="137" t="s">
        <v>129</v>
      </c>
      <c r="M590" s="141"/>
      <c r="N590" s="147"/>
    </row>
    <row r="591" hidden="1" outlineLevel="1">
      <c r="A591" s="303" t="s">
        <v>1512</v>
      </c>
      <c r="B591" s="344">
        <v>46199.0</v>
      </c>
      <c r="C591" s="133" t="str">
        <f t="shared" si="70"/>
        <v>Fri</v>
      </c>
      <c r="D591" s="381">
        <f t="shared" si="71"/>
        <v>1</v>
      </c>
      <c r="E591" s="382" t="s">
        <v>129</v>
      </c>
      <c r="F591" s="137" t="s">
        <v>129</v>
      </c>
      <c r="G591" s="137" t="s">
        <v>129</v>
      </c>
      <c r="H591" s="137" t="s">
        <v>129</v>
      </c>
      <c r="I591" s="137" t="s">
        <v>129</v>
      </c>
      <c r="J591" s="137" t="s">
        <v>129</v>
      </c>
      <c r="K591" s="137" t="s">
        <v>129</v>
      </c>
      <c r="L591" s="137" t="s">
        <v>129</v>
      </c>
      <c r="M591" s="141"/>
      <c r="N591" s="147"/>
    </row>
    <row r="592" hidden="1" outlineLevel="1">
      <c r="A592" s="303" t="s">
        <v>1517</v>
      </c>
      <c r="B592" s="344">
        <v>46199.0</v>
      </c>
      <c r="C592" s="133" t="str">
        <f t="shared" si="70"/>
        <v>Fri</v>
      </c>
      <c r="D592" s="383">
        <f t="shared" si="71"/>
        <v>1</v>
      </c>
      <c r="E592" s="147" t="s">
        <v>129</v>
      </c>
      <c r="F592" s="137" t="s">
        <v>129</v>
      </c>
      <c r="G592" s="137" t="s">
        <v>129</v>
      </c>
      <c r="H592" s="137" t="s">
        <v>129</v>
      </c>
      <c r="I592" s="137" t="s">
        <v>129</v>
      </c>
      <c r="J592" s="137" t="s">
        <v>129</v>
      </c>
      <c r="K592" s="137" t="s">
        <v>129</v>
      </c>
      <c r="L592" s="137" t="s">
        <v>129</v>
      </c>
      <c r="M592" s="141"/>
      <c r="N592" s="147"/>
    </row>
    <row r="593" hidden="1" outlineLevel="1">
      <c r="A593" s="303" t="s">
        <v>1521</v>
      </c>
      <c r="B593" s="344">
        <v>46200.0</v>
      </c>
      <c r="C593" s="133" t="str">
        <f t="shared" si="70"/>
        <v>Sat</v>
      </c>
      <c r="D593" s="381">
        <f t="shared" si="71"/>
        <v>1</v>
      </c>
      <c r="E593" s="382" t="s">
        <v>129</v>
      </c>
      <c r="F593" s="137" t="s">
        <v>129</v>
      </c>
      <c r="G593" s="137" t="s">
        <v>129</v>
      </c>
      <c r="H593" s="137" t="s">
        <v>129</v>
      </c>
      <c r="I593" s="137" t="s">
        <v>129</v>
      </c>
      <c r="J593" s="137" t="s">
        <v>129</v>
      </c>
      <c r="K593" s="137" t="s">
        <v>129</v>
      </c>
      <c r="L593" s="137" t="s">
        <v>129</v>
      </c>
      <c r="M593" s="141"/>
      <c r="N593" s="143"/>
    </row>
    <row r="594" hidden="1" outlineLevel="1">
      <c r="A594" s="303" t="s">
        <v>1523</v>
      </c>
      <c r="B594" s="344">
        <v>46200.0</v>
      </c>
      <c r="C594" s="133" t="str">
        <f t="shared" si="70"/>
        <v>Sat</v>
      </c>
      <c r="D594" s="383">
        <f t="shared" si="71"/>
        <v>1</v>
      </c>
      <c r="E594" s="147" t="s">
        <v>129</v>
      </c>
      <c r="F594" s="137" t="s">
        <v>129</v>
      </c>
      <c r="G594" s="137" t="s">
        <v>129</v>
      </c>
      <c r="H594" s="137" t="s">
        <v>129</v>
      </c>
      <c r="I594" s="137" t="s">
        <v>129</v>
      </c>
      <c r="J594" s="137" t="s">
        <v>129</v>
      </c>
      <c r="K594" s="137" t="s">
        <v>129</v>
      </c>
      <c r="L594" s="137" t="s">
        <v>129</v>
      </c>
      <c r="M594" s="141"/>
      <c r="N594" s="143"/>
    </row>
    <row r="595" ht="15.0" hidden="1" customHeight="1" outlineLevel="1">
      <c r="A595" s="303" t="s">
        <v>1525</v>
      </c>
      <c r="B595" s="344">
        <v>46200.0</v>
      </c>
      <c r="C595" s="133" t="str">
        <f t="shared" si="70"/>
        <v>Sat</v>
      </c>
      <c r="D595" s="381">
        <f t="shared" si="71"/>
        <v>1</v>
      </c>
      <c r="E595" s="382" t="s">
        <v>129</v>
      </c>
      <c r="F595" s="137" t="s">
        <v>129</v>
      </c>
      <c r="G595" s="137" t="s">
        <v>129</v>
      </c>
      <c r="H595" s="137" t="s">
        <v>129</v>
      </c>
      <c r="I595" s="137" t="s">
        <v>129</v>
      </c>
      <c r="J595" s="137" t="s">
        <v>129</v>
      </c>
      <c r="K595" s="137" t="s">
        <v>129</v>
      </c>
      <c r="L595" s="137" t="s">
        <v>129</v>
      </c>
      <c r="M595" s="141"/>
      <c r="N595" s="147"/>
    </row>
    <row r="596" hidden="1" outlineLevel="1">
      <c r="B596" s="189"/>
      <c r="C596" s="191" t="s">
        <v>194</v>
      </c>
      <c r="D596" s="204">
        <f>AVERAGE(D581:D595)</f>
        <v>1</v>
      </c>
      <c r="E596" s="384"/>
      <c r="L596" s="191" t="s">
        <v>194</v>
      </c>
      <c r="M596" s="204">
        <f>SUM(M581:M595)/75*0.1</f>
        <v>0</v>
      </c>
    </row>
    <row r="597" hidden="1" collapsed="1">
      <c r="A597" s="206" t="s">
        <v>1194</v>
      </c>
      <c r="B597" s="207"/>
      <c r="C597" s="207"/>
      <c r="D597" s="385"/>
      <c r="E597" s="109"/>
      <c r="F597" s="109"/>
      <c r="G597" s="110"/>
      <c r="H597" s="110"/>
      <c r="I597" s="110"/>
      <c r="J597" s="110"/>
      <c r="K597" s="110"/>
      <c r="L597" s="110"/>
      <c r="M597" s="111"/>
      <c r="N597" s="113"/>
    </row>
    <row r="598" hidden="1" outlineLevel="1">
      <c r="A598" s="373" t="s">
        <v>98</v>
      </c>
      <c r="B598" s="115" t="s">
        <v>100</v>
      </c>
      <c r="C598" s="115" t="s">
        <v>102</v>
      </c>
      <c r="D598" s="119" t="s">
        <v>103</v>
      </c>
      <c r="E598" s="275" t="s">
        <v>269</v>
      </c>
      <c r="F598" s="275" t="s">
        <v>272</v>
      </c>
      <c r="G598" s="276" t="s">
        <v>328</v>
      </c>
      <c r="H598" s="121" t="s">
        <v>107</v>
      </c>
      <c r="I598" s="121" t="s">
        <v>108</v>
      </c>
      <c r="J598" s="276" t="s">
        <v>329</v>
      </c>
      <c r="K598" s="121" t="s">
        <v>111</v>
      </c>
      <c r="L598" s="276" t="s">
        <v>274</v>
      </c>
      <c r="M598" s="115" t="s">
        <v>114</v>
      </c>
      <c r="N598" s="119" t="s">
        <v>115</v>
      </c>
    </row>
    <row r="599" hidden="1" outlineLevel="1">
      <c r="A599" s="255" t="s">
        <v>1529</v>
      </c>
      <c r="B599" s="344">
        <v>46202.0</v>
      </c>
      <c r="C599" s="133" t="str">
        <f t="shared" ref="C599:C613" si="72">IF(B599="", "", TEXT(B599, "ddd"))</f>
        <v>Mon</v>
      </c>
      <c r="D599" s="381">
        <f t="shared" ref="D599:D613" si="73">IF(E599="Yes",0.05,0)
+IF(F599="Yes",0.1,0)
+IF(G599="Yes",0.15,0)
+IF(H599="Yes",0.15,0)
+IF(I599="Yes",0.05,0)
+IF(J599="Yes",0.05,0)
+IF(K599="Yes",0.15,0)
+IF(L599="Yes",0.3,0)
</f>
        <v>1</v>
      </c>
      <c r="E599" s="382" t="s">
        <v>129</v>
      </c>
      <c r="F599" s="137" t="s">
        <v>129</v>
      </c>
      <c r="G599" s="137" t="s">
        <v>129</v>
      </c>
      <c r="H599" s="137" t="s">
        <v>129</v>
      </c>
      <c r="I599" s="137" t="s">
        <v>129</v>
      </c>
      <c r="J599" s="137" t="s">
        <v>129</v>
      </c>
      <c r="K599" s="137" t="s">
        <v>129</v>
      </c>
      <c r="L599" s="137" t="s">
        <v>129</v>
      </c>
      <c r="M599" s="141"/>
      <c r="N599" s="143"/>
    </row>
    <row r="600" hidden="1" outlineLevel="1">
      <c r="A600" s="255" t="s">
        <v>1532</v>
      </c>
      <c r="B600" s="344">
        <v>46202.0</v>
      </c>
      <c r="C600" s="133" t="str">
        <f t="shared" si="72"/>
        <v>Mon</v>
      </c>
      <c r="D600" s="383">
        <f t="shared" si="73"/>
        <v>1</v>
      </c>
      <c r="E600" s="147" t="s">
        <v>129</v>
      </c>
      <c r="F600" s="137" t="s">
        <v>129</v>
      </c>
      <c r="G600" s="137" t="s">
        <v>129</v>
      </c>
      <c r="H600" s="137" t="s">
        <v>129</v>
      </c>
      <c r="I600" s="137" t="s">
        <v>129</v>
      </c>
      <c r="J600" s="137" t="s">
        <v>129</v>
      </c>
      <c r="K600" s="137" t="s">
        <v>129</v>
      </c>
      <c r="L600" s="137" t="s">
        <v>129</v>
      </c>
      <c r="M600" s="141"/>
      <c r="N600" s="147"/>
    </row>
    <row r="601" hidden="1" outlineLevel="1">
      <c r="A601" s="255" t="s">
        <v>1534</v>
      </c>
      <c r="B601" s="344">
        <v>46202.0</v>
      </c>
      <c r="C601" s="133" t="str">
        <f t="shared" si="72"/>
        <v>Mon</v>
      </c>
      <c r="D601" s="381">
        <f t="shared" si="73"/>
        <v>1</v>
      </c>
      <c r="E601" s="382" t="s">
        <v>129</v>
      </c>
      <c r="F601" s="137" t="s">
        <v>129</v>
      </c>
      <c r="G601" s="137" t="s">
        <v>129</v>
      </c>
      <c r="H601" s="137" t="s">
        <v>129</v>
      </c>
      <c r="I601" s="137" t="s">
        <v>129</v>
      </c>
      <c r="J601" s="137" t="s">
        <v>129</v>
      </c>
      <c r="K601" s="137" t="s">
        <v>129</v>
      </c>
      <c r="L601" s="137" t="s">
        <v>129</v>
      </c>
      <c r="M601" s="141"/>
      <c r="N601" s="147"/>
    </row>
    <row r="602" hidden="1" outlineLevel="1">
      <c r="A602" s="303" t="s">
        <v>1536</v>
      </c>
      <c r="B602" s="344">
        <v>46203.0</v>
      </c>
      <c r="C602" s="133" t="str">
        <f t="shared" si="72"/>
        <v>Tue</v>
      </c>
      <c r="D602" s="383">
        <f t="shared" si="73"/>
        <v>1</v>
      </c>
      <c r="E602" s="147" t="s">
        <v>129</v>
      </c>
      <c r="F602" s="137" t="s">
        <v>129</v>
      </c>
      <c r="G602" s="137" t="s">
        <v>129</v>
      </c>
      <c r="H602" s="137" t="s">
        <v>129</v>
      </c>
      <c r="I602" s="137" t="s">
        <v>129</v>
      </c>
      <c r="J602" s="137" t="s">
        <v>129</v>
      </c>
      <c r="K602" s="137" t="s">
        <v>129</v>
      </c>
      <c r="L602" s="137" t="s">
        <v>129</v>
      </c>
      <c r="M602" s="141"/>
      <c r="N602" s="143"/>
    </row>
    <row r="603" hidden="1" outlineLevel="1">
      <c r="A603" s="303" t="s">
        <v>1538</v>
      </c>
      <c r="B603" s="344">
        <v>46203.0</v>
      </c>
      <c r="C603" s="133" t="str">
        <f t="shared" si="72"/>
        <v>Tue</v>
      </c>
      <c r="D603" s="381">
        <f t="shared" si="73"/>
        <v>1</v>
      </c>
      <c r="E603" s="382" t="s">
        <v>129</v>
      </c>
      <c r="F603" s="137" t="s">
        <v>129</v>
      </c>
      <c r="G603" s="137" t="s">
        <v>129</v>
      </c>
      <c r="H603" s="137" t="s">
        <v>129</v>
      </c>
      <c r="I603" s="137" t="s">
        <v>129</v>
      </c>
      <c r="J603" s="137" t="s">
        <v>129</v>
      </c>
      <c r="K603" s="137" t="s">
        <v>129</v>
      </c>
      <c r="L603" s="137" t="s">
        <v>129</v>
      </c>
      <c r="M603" s="141"/>
      <c r="N603" s="143"/>
    </row>
    <row r="604" hidden="1" outlineLevel="1">
      <c r="A604" s="303" t="s">
        <v>1544</v>
      </c>
      <c r="B604" s="344">
        <v>46203.0</v>
      </c>
      <c r="C604" s="133" t="str">
        <f t="shared" si="72"/>
        <v>Tue</v>
      </c>
      <c r="D604" s="383">
        <f t="shared" si="73"/>
        <v>1</v>
      </c>
      <c r="E604" s="147" t="s">
        <v>129</v>
      </c>
      <c r="F604" s="137" t="s">
        <v>129</v>
      </c>
      <c r="G604" s="137" t="s">
        <v>129</v>
      </c>
      <c r="H604" s="137" t="s">
        <v>129</v>
      </c>
      <c r="I604" s="137" t="s">
        <v>129</v>
      </c>
      <c r="J604" s="137" t="s">
        <v>129</v>
      </c>
      <c r="K604" s="137" t="s">
        <v>129</v>
      </c>
      <c r="L604" s="137" t="s">
        <v>129</v>
      </c>
      <c r="M604" s="141"/>
      <c r="N604" s="143"/>
    </row>
    <row r="605" hidden="1" outlineLevel="1">
      <c r="A605" s="303" t="s">
        <v>1546</v>
      </c>
      <c r="B605" s="344">
        <v>46204.0</v>
      </c>
      <c r="C605" s="133" t="str">
        <f t="shared" si="72"/>
        <v>Wed</v>
      </c>
      <c r="D605" s="381">
        <f t="shared" si="73"/>
        <v>1</v>
      </c>
      <c r="E605" s="382" t="s">
        <v>129</v>
      </c>
      <c r="F605" s="137" t="s">
        <v>129</v>
      </c>
      <c r="G605" s="137" t="s">
        <v>129</v>
      </c>
      <c r="H605" s="137" t="s">
        <v>129</v>
      </c>
      <c r="I605" s="137" t="s">
        <v>129</v>
      </c>
      <c r="J605" s="137" t="s">
        <v>129</v>
      </c>
      <c r="K605" s="137" t="s">
        <v>129</v>
      </c>
      <c r="L605" s="137" t="s">
        <v>129</v>
      </c>
      <c r="M605" s="141"/>
      <c r="N605" s="143"/>
    </row>
    <row r="606" hidden="1" outlineLevel="1">
      <c r="A606" s="303" t="s">
        <v>1548</v>
      </c>
      <c r="B606" s="344">
        <v>46204.0</v>
      </c>
      <c r="C606" s="133" t="str">
        <f t="shared" si="72"/>
        <v>Wed</v>
      </c>
      <c r="D606" s="383">
        <f t="shared" si="73"/>
        <v>1</v>
      </c>
      <c r="E606" s="147" t="s">
        <v>129</v>
      </c>
      <c r="F606" s="137" t="s">
        <v>129</v>
      </c>
      <c r="G606" s="137" t="s">
        <v>129</v>
      </c>
      <c r="H606" s="137" t="s">
        <v>129</v>
      </c>
      <c r="I606" s="137" t="s">
        <v>129</v>
      </c>
      <c r="J606" s="137" t="s">
        <v>129</v>
      </c>
      <c r="K606" s="137" t="s">
        <v>129</v>
      </c>
      <c r="L606" s="137" t="s">
        <v>129</v>
      </c>
      <c r="M606" s="141"/>
      <c r="N606" s="147"/>
    </row>
    <row r="607" hidden="1" outlineLevel="1">
      <c r="A607" s="303" t="s">
        <v>1550</v>
      </c>
      <c r="B607" s="344">
        <v>46204.0</v>
      </c>
      <c r="C607" s="133" t="str">
        <f t="shared" si="72"/>
        <v>Wed</v>
      </c>
      <c r="D607" s="381">
        <f t="shared" si="73"/>
        <v>1</v>
      </c>
      <c r="E607" s="382" t="s">
        <v>129</v>
      </c>
      <c r="F607" s="137" t="s">
        <v>129</v>
      </c>
      <c r="G607" s="137" t="s">
        <v>129</v>
      </c>
      <c r="H607" s="137" t="s">
        <v>129</v>
      </c>
      <c r="I607" s="137" t="s">
        <v>129</v>
      </c>
      <c r="J607" s="137" t="s">
        <v>129</v>
      </c>
      <c r="K607" s="137" t="s">
        <v>129</v>
      </c>
      <c r="L607" s="137" t="s">
        <v>129</v>
      </c>
      <c r="M607" s="141"/>
      <c r="N607" s="143"/>
    </row>
    <row r="608" hidden="1" outlineLevel="1">
      <c r="A608" s="303" t="s">
        <v>1552</v>
      </c>
      <c r="B608" s="344">
        <v>46205.0</v>
      </c>
      <c r="C608" s="133" t="str">
        <f t="shared" si="72"/>
        <v>Thu</v>
      </c>
      <c r="D608" s="383">
        <f t="shared" si="73"/>
        <v>1</v>
      </c>
      <c r="E608" s="147" t="s">
        <v>129</v>
      </c>
      <c r="F608" s="137" t="s">
        <v>129</v>
      </c>
      <c r="G608" s="137" t="s">
        <v>129</v>
      </c>
      <c r="H608" s="137" t="s">
        <v>129</v>
      </c>
      <c r="I608" s="137" t="s">
        <v>129</v>
      </c>
      <c r="J608" s="137" t="s">
        <v>129</v>
      </c>
      <c r="K608" s="137" t="s">
        <v>129</v>
      </c>
      <c r="L608" s="137" t="s">
        <v>129</v>
      </c>
      <c r="M608" s="141"/>
      <c r="N608" s="147"/>
    </row>
    <row r="609" hidden="1" outlineLevel="1">
      <c r="A609" s="303" t="s">
        <v>1553</v>
      </c>
      <c r="B609" s="344">
        <v>46205.0</v>
      </c>
      <c r="C609" s="133" t="str">
        <f t="shared" si="72"/>
        <v>Thu</v>
      </c>
      <c r="D609" s="381">
        <f t="shared" si="73"/>
        <v>1</v>
      </c>
      <c r="E609" s="382" t="s">
        <v>129</v>
      </c>
      <c r="F609" s="137" t="s">
        <v>129</v>
      </c>
      <c r="G609" s="137" t="s">
        <v>129</v>
      </c>
      <c r="H609" s="137" t="s">
        <v>129</v>
      </c>
      <c r="I609" s="137" t="s">
        <v>129</v>
      </c>
      <c r="J609" s="137" t="s">
        <v>129</v>
      </c>
      <c r="K609" s="137" t="s">
        <v>129</v>
      </c>
      <c r="L609" s="137" t="s">
        <v>129</v>
      </c>
      <c r="M609" s="141"/>
      <c r="N609" s="147"/>
    </row>
    <row r="610" hidden="1" outlineLevel="1">
      <c r="A610" s="303" t="s">
        <v>1555</v>
      </c>
      <c r="B610" s="344">
        <v>46205.0</v>
      </c>
      <c r="C610" s="133" t="str">
        <f t="shared" si="72"/>
        <v>Thu</v>
      </c>
      <c r="D610" s="383">
        <f t="shared" si="73"/>
        <v>1</v>
      </c>
      <c r="E610" s="147" t="s">
        <v>129</v>
      </c>
      <c r="F610" s="137" t="s">
        <v>129</v>
      </c>
      <c r="G610" s="137" t="s">
        <v>129</v>
      </c>
      <c r="H610" s="137" t="s">
        <v>129</v>
      </c>
      <c r="I610" s="137" t="s">
        <v>129</v>
      </c>
      <c r="J610" s="137" t="s">
        <v>129</v>
      </c>
      <c r="K610" s="137" t="s">
        <v>129</v>
      </c>
      <c r="L610" s="137" t="s">
        <v>129</v>
      </c>
      <c r="M610" s="141"/>
      <c r="N610" s="147"/>
    </row>
    <row r="611" hidden="1" outlineLevel="1">
      <c r="A611" s="303" t="s">
        <v>1558</v>
      </c>
      <c r="B611" s="344">
        <v>46206.0</v>
      </c>
      <c r="C611" s="133" t="str">
        <f t="shared" si="72"/>
        <v>Fri</v>
      </c>
      <c r="D611" s="381">
        <f t="shared" si="73"/>
        <v>1</v>
      </c>
      <c r="E611" s="382" t="s">
        <v>129</v>
      </c>
      <c r="F611" s="137" t="s">
        <v>129</v>
      </c>
      <c r="G611" s="137" t="s">
        <v>129</v>
      </c>
      <c r="H611" s="137" t="s">
        <v>129</v>
      </c>
      <c r="I611" s="137" t="s">
        <v>129</v>
      </c>
      <c r="J611" s="137" t="s">
        <v>129</v>
      </c>
      <c r="K611" s="137" t="s">
        <v>129</v>
      </c>
      <c r="L611" s="137" t="s">
        <v>129</v>
      </c>
      <c r="M611" s="141"/>
      <c r="N611" s="143"/>
    </row>
    <row r="612" hidden="1" outlineLevel="1">
      <c r="A612" s="303" t="s">
        <v>1560</v>
      </c>
      <c r="B612" s="344">
        <v>46206.0</v>
      </c>
      <c r="C612" s="133" t="str">
        <f t="shared" si="72"/>
        <v>Fri</v>
      </c>
      <c r="D612" s="383">
        <f t="shared" si="73"/>
        <v>1</v>
      </c>
      <c r="E612" s="147" t="s">
        <v>129</v>
      </c>
      <c r="F612" s="137" t="s">
        <v>129</v>
      </c>
      <c r="G612" s="137" t="s">
        <v>129</v>
      </c>
      <c r="H612" s="137" t="s">
        <v>129</v>
      </c>
      <c r="I612" s="137" t="s">
        <v>129</v>
      </c>
      <c r="J612" s="137" t="s">
        <v>129</v>
      </c>
      <c r="K612" s="137" t="s">
        <v>129</v>
      </c>
      <c r="L612" s="137" t="s">
        <v>129</v>
      </c>
      <c r="M612" s="141"/>
      <c r="N612" s="143"/>
    </row>
    <row r="613" ht="15.0" hidden="1" customHeight="1" outlineLevel="1">
      <c r="A613" s="303" t="s">
        <v>1562</v>
      </c>
      <c r="B613" s="344">
        <v>46206.0</v>
      </c>
      <c r="C613" s="133" t="str">
        <f t="shared" si="72"/>
        <v>Fri</v>
      </c>
      <c r="D613" s="381">
        <f t="shared" si="73"/>
        <v>1</v>
      </c>
      <c r="E613" s="382" t="s">
        <v>129</v>
      </c>
      <c r="F613" s="137" t="s">
        <v>129</v>
      </c>
      <c r="G613" s="137" t="s">
        <v>129</v>
      </c>
      <c r="H613" s="137" t="s">
        <v>129</v>
      </c>
      <c r="I613" s="137" t="s">
        <v>129</v>
      </c>
      <c r="J613" s="137" t="s">
        <v>129</v>
      </c>
      <c r="K613" s="137" t="s">
        <v>129</v>
      </c>
      <c r="L613" s="137" t="s">
        <v>129</v>
      </c>
      <c r="M613" s="141"/>
      <c r="N613" s="147"/>
    </row>
    <row r="614" hidden="1" outlineLevel="1">
      <c r="B614" s="189"/>
      <c r="C614" s="191" t="s">
        <v>194</v>
      </c>
      <c r="D614" s="204">
        <f>AVERAGE(D599:D613)</f>
        <v>1</v>
      </c>
      <c r="E614" s="384"/>
      <c r="L614" s="191" t="s">
        <v>194</v>
      </c>
      <c r="M614" s="204">
        <f>SUM(M599:M613)/75*0.1</f>
        <v>0</v>
      </c>
    </row>
    <row r="615" collapsed="1">
      <c r="A615" s="206" t="s">
        <v>1220</v>
      </c>
      <c r="B615" s="207"/>
      <c r="C615" s="207"/>
      <c r="D615" s="385"/>
      <c r="E615" s="109"/>
      <c r="F615" s="109"/>
      <c r="G615" s="110"/>
      <c r="H615" s="110"/>
      <c r="I615" s="110"/>
      <c r="J615" s="110"/>
      <c r="K615" s="110"/>
      <c r="L615" s="110"/>
      <c r="M615" s="111"/>
      <c r="N615" s="113"/>
    </row>
    <row r="616" hidden="1" outlineLevel="1">
      <c r="A616" s="373" t="s">
        <v>98</v>
      </c>
      <c r="B616" s="115" t="s">
        <v>100</v>
      </c>
      <c r="C616" s="115" t="s">
        <v>102</v>
      </c>
      <c r="D616" s="119" t="s">
        <v>103</v>
      </c>
      <c r="E616" s="275" t="s">
        <v>269</v>
      </c>
      <c r="F616" s="275" t="s">
        <v>272</v>
      </c>
      <c r="G616" s="276" t="s">
        <v>328</v>
      </c>
      <c r="H616" s="121" t="s">
        <v>107</v>
      </c>
      <c r="I616" s="121" t="s">
        <v>108</v>
      </c>
      <c r="J616" s="276" t="s">
        <v>329</v>
      </c>
      <c r="K616" s="121" t="s">
        <v>111</v>
      </c>
      <c r="L616" s="276" t="s">
        <v>274</v>
      </c>
      <c r="M616" s="115" t="s">
        <v>114</v>
      </c>
      <c r="N616" s="119" t="s">
        <v>115</v>
      </c>
    </row>
    <row r="617" hidden="1" outlineLevel="1">
      <c r="A617" s="255" t="s">
        <v>1571</v>
      </c>
      <c r="B617" s="344">
        <v>46209.0</v>
      </c>
      <c r="C617" s="133" t="str">
        <f t="shared" ref="C617:C631" si="74">IF(B617="", "", TEXT(B617, "ddd"))</f>
        <v>Mon</v>
      </c>
      <c r="D617" s="381">
        <f t="shared" ref="D617:D631" si="75">IF(E617="Yes",0.05,0)
+IF(F617="Yes",0.1,0)
+IF(G617="Yes",0.15,0)
+IF(H617="Yes",0.15,0)
+IF(I617="Yes",0.05,0)
+IF(J617="Yes",0.05,0)
+IF(K617="Yes",0.15,0)
+IF(L617="Yes",0.3,0)
</f>
        <v>1</v>
      </c>
      <c r="E617" s="382" t="s">
        <v>129</v>
      </c>
      <c r="F617" s="137" t="s">
        <v>129</v>
      </c>
      <c r="G617" s="137" t="s">
        <v>129</v>
      </c>
      <c r="H617" s="137" t="s">
        <v>129</v>
      </c>
      <c r="I617" s="137" t="s">
        <v>129</v>
      </c>
      <c r="J617" s="137" t="s">
        <v>129</v>
      </c>
      <c r="K617" s="137" t="s">
        <v>129</v>
      </c>
      <c r="L617" s="137" t="s">
        <v>129</v>
      </c>
      <c r="M617" s="141"/>
      <c r="N617" s="143"/>
    </row>
    <row r="618" hidden="1" outlineLevel="1">
      <c r="A618" s="255" t="s">
        <v>1574</v>
      </c>
      <c r="B618" s="344">
        <v>46209.0</v>
      </c>
      <c r="C618" s="133" t="str">
        <f t="shared" si="74"/>
        <v>Mon</v>
      </c>
      <c r="D618" s="383">
        <f t="shared" si="75"/>
        <v>1</v>
      </c>
      <c r="E618" s="147" t="s">
        <v>129</v>
      </c>
      <c r="F618" s="137" t="s">
        <v>129</v>
      </c>
      <c r="G618" s="137" t="s">
        <v>129</v>
      </c>
      <c r="H618" s="137" t="s">
        <v>129</v>
      </c>
      <c r="I618" s="137" t="s">
        <v>129</v>
      </c>
      <c r="J618" s="137" t="s">
        <v>129</v>
      </c>
      <c r="K618" s="137" t="s">
        <v>129</v>
      </c>
      <c r="L618" s="137" t="s">
        <v>129</v>
      </c>
      <c r="M618" s="141"/>
      <c r="N618" s="147"/>
    </row>
    <row r="619" hidden="1" outlineLevel="1">
      <c r="A619" s="255" t="s">
        <v>1576</v>
      </c>
      <c r="B619" s="344">
        <v>46209.0</v>
      </c>
      <c r="C619" s="133" t="str">
        <f t="shared" si="74"/>
        <v>Mon</v>
      </c>
      <c r="D619" s="381">
        <f t="shared" si="75"/>
        <v>1</v>
      </c>
      <c r="E619" s="382" t="s">
        <v>129</v>
      </c>
      <c r="F619" s="137" t="s">
        <v>129</v>
      </c>
      <c r="G619" s="137" t="s">
        <v>129</v>
      </c>
      <c r="H619" s="137" t="s">
        <v>129</v>
      </c>
      <c r="I619" s="137" t="s">
        <v>129</v>
      </c>
      <c r="J619" s="137" t="s">
        <v>129</v>
      </c>
      <c r="K619" s="137" t="s">
        <v>129</v>
      </c>
      <c r="L619" s="137" t="s">
        <v>129</v>
      </c>
      <c r="M619" s="141"/>
      <c r="N619" s="147"/>
    </row>
    <row r="620" hidden="1" outlineLevel="1">
      <c r="A620" s="255" t="s">
        <v>1580</v>
      </c>
      <c r="B620" s="344">
        <v>46210.0</v>
      </c>
      <c r="C620" s="133" t="str">
        <f t="shared" si="74"/>
        <v>Tue</v>
      </c>
      <c r="D620" s="383">
        <f t="shared" si="75"/>
        <v>1</v>
      </c>
      <c r="E620" s="147" t="s">
        <v>129</v>
      </c>
      <c r="F620" s="137" t="s">
        <v>129</v>
      </c>
      <c r="G620" s="137" t="s">
        <v>129</v>
      </c>
      <c r="H620" s="137" t="s">
        <v>129</v>
      </c>
      <c r="I620" s="137" t="s">
        <v>129</v>
      </c>
      <c r="J620" s="137" t="s">
        <v>129</v>
      </c>
      <c r="K620" s="137" t="s">
        <v>129</v>
      </c>
      <c r="L620" s="137" t="s">
        <v>129</v>
      </c>
      <c r="M620" s="141"/>
      <c r="N620" s="143"/>
    </row>
    <row r="621" hidden="1" outlineLevel="1">
      <c r="A621" s="255" t="s">
        <v>1581</v>
      </c>
      <c r="B621" s="344">
        <v>46210.0</v>
      </c>
      <c r="C621" s="133" t="str">
        <f t="shared" si="74"/>
        <v>Tue</v>
      </c>
      <c r="D621" s="381">
        <f t="shared" si="75"/>
        <v>1</v>
      </c>
      <c r="E621" s="382" t="s">
        <v>129</v>
      </c>
      <c r="F621" s="137" t="s">
        <v>129</v>
      </c>
      <c r="G621" s="137" t="s">
        <v>129</v>
      </c>
      <c r="H621" s="137" t="s">
        <v>129</v>
      </c>
      <c r="I621" s="137" t="s">
        <v>129</v>
      </c>
      <c r="J621" s="137" t="s">
        <v>129</v>
      </c>
      <c r="K621" s="137" t="s">
        <v>129</v>
      </c>
      <c r="L621" s="137" t="s">
        <v>129</v>
      </c>
      <c r="M621" s="141"/>
      <c r="N621" s="143"/>
    </row>
    <row r="622" hidden="1" outlineLevel="1">
      <c r="A622" s="255" t="s">
        <v>1583</v>
      </c>
      <c r="B622" s="344">
        <v>46210.0</v>
      </c>
      <c r="C622" s="133" t="str">
        <f t="shared" si="74"/>
        <v>Tue</v>
      </c>
      <c r="D622" s="383">
        <f t="shared" si="75"/>
        <v>1</v>
      </c>
      <c r="E622" s="147" t="s">
        <v>129</v>
      </c>
      <c r="F622" s="137" t="s">
        <v>129</v>
      </c>
      <c r="G622" s="137" t="s">
        <v>129</v>
      </c>
      <c r="H622" s="137" t="s">
        <v>129</v>
      </c>
      <c r="I622" s="137" t="s">
        <v>129</v>
      </c>
      <c r="J622" s="137" t="s">
        <v>129</v>
      </c>
      <c r="K622" s="137" t="s">
        <v>129</v>
      </c>
      <c r="L622" s="137" t="s">
        <v>129</v>
      </c>
      <c r="M622" s="141"/>
      <c r="N622" s="143"/>
    </row>
    <row r="623" hidden="1" outlineLevel="1">
      <c r="A623" s="255" t="s">
        <v>1585</v>
      </c>
      <c r="B623" s="344">
        <v>46211.0</v>
      </c>
      <c r="C623" s="133" t="str">
        <f t="shared" si="74"/>
        <v>Wed</v>
      </c>
      <c r="D623" s="381">
        <f t="shared" si="75"/>
        <v>1</v>
      </c>
      <c r="E623" s="382" t="s">
        <v>129</v>
      </c>
      <c r="F623" s="137" t="s">
        <v>129</v>
      </c>
      <c r="G623" s="137" t="s">
        <v>129</v>
      </c>
      <c r="H623" s="137" t="s">
        <v>129</v>
      </c>
      <c r="I623" s="137" t="s">
        <v>129</v>
      </c>
      <c r="J623" s="137" t="s">
        <v>129</v>
      </c>
      <c r="K623" s="137" t="s">
        <v>129</v>
      </c>
      <c r="L623" s="137" t="s">
        <v>129</v>
      </c>
      <c r="M623" s="141"/>
      <c r="N623" s="143"/>
    </row>
    <row r="624" hidden="1" outlineLevel="1">
      <c r="A624" s="255" t="s">
        <v>1587</v>
      </c>
      <c r="B624" s="344">
        <v>46211.0</v>
      </c>
      <c r="C624" s="133" t="str">
        <f t="shared" si="74"/>
        <v>Wed</v>
      </c>
      <c r="D624" s="383">
        <f t="shared" si="75"/>
        <v>1</v>
      </c>
      <c r="E624" s="147" t="s">
        <v>129</v>
      </c>
      <c r="F624" s="137" t="s">
        <v>129</v>
      </c>
      <c r="G624" s="137" t="s">
        <v>129</v>
      </c>
      <c r="H624" s="137" t="s">
        <v>129</v>
      </c>
      <c r="I624" s="137" t="s">
        <v>129</v>
      </c>
      <c r="J624" s="137" t="s">
        <v>129</v>
      </c>
      <c r="K624" s="137" t="s">
        <v>129</v>
      </c>
      <c r="L624" s="137" t="s">
        <v>129</v>
      </c>
      <c r="M624" s="141"/>
      <c r="N624" s="147"/>
    </row>
    <row r="625" hidden="1" outlineLevel="1">
      <c r="A625" s="255" t="s">
        <v>1590</v>
      </c>
      <c r="B625" s="344">
        <v>46211.0</v>
      </c>
      <c r="C625" s="133" t="str">
        <f t="shared" si="74"/>
        <v>Wed</v>
      </c>
      <c r="D625" s="381">
        <f t="shared" si="75"/>
        <v>1</v>
      </c>
      <c r="E625" s="382" t="s">
        <v>129</v>
      </c>
      <c r="F625" s="137" t="s">
        <v>129</v>
      </c>
      <c r="G625" s="137" t="s">
        <v>129</v>
      </c>
      <c r="H625" s="137" t="s">
        <v>129</v>
      </c>
      <c r="I625" s="137" t="s">
        <v>129</v>
      </c>
      <c r="J625" s="137" t="s">
        <v>129</v>
      </c>
      <c r="K625" s="137" t="s">
        <v>129</v>
      </c>
      <c r="L625" s="137" t="s">
        <v>129</v>
      </c>
      <c r="M625" s="141"/>
      <c r="N625" s="143"/>
    </row>
    <row r="626" hidden="1" outlineLevel="1">
      <c r="A626" s="255" t="s">
        <v>1593</v>
      </c>
      <c r="B626" s="344">
        <v>46212.0</v>
      </c>
      <c r="C626" s="133" t="str">
        <f t="shared" si="74"/>
        <v>Thu</v>
      </c>
      <c r="D626" s="383">
        <f t="shared" si="75"/>
        <v>1</v>
      </c>
      <c r="E626" s="147" t="s">
        <v>129</v>
      </c>
      <c r="F626" s="137" t="s">
        <v>129</v>
      </c>
      <c r="G626" s="137" t="s">
        <v>129</v>
      </c>
      <c r="H626" s="137" t="s">
        <v>129</v>
      </c>
      <c r="I626" s="137" t="s">
        <v>129</v>
      </c>
      <c r="J626" s="137" t="s">
        <v>129</v>
      </c>
      <c r="K626" s="137" t="s">
        <v>129</v>
      </c>
      <c r="L626" s="137" t="s">
        <v>129</v>
      </c>
      <c r="M626" s="141"/>
      <c r="N626" s="147"/>
    </row>
    <row r="627" hidden="1" outlineLevel="1">
      <c r="A627" s="255" t="s">
        <v>1595</v>
      </c>
      <c r="B627" s="344">
        <v>46212.0</v>
      </c>
      <c r="C627" s="133" t="str">
        <f t="shared" si="74"/>
        <v>Thu</v>
      </c>
      <c r="D627" s="381">
        <f t="shared" si="75"/>
        <v>1</v>
      </c>
      <c r="E627" s="382" t="s">
        <v>129</v>
      </c>
      <c r="F627" s="137" t="s">
        <v>129</v>
      </c>
      <c r="G627" s="137" t="s">
        <v>129</v>
      </c>
      <c r="H627" s="137" t="s">
        <v>129</v>
      </c>
      <c r="I627" s="137" t="s">
        <v>129</v>
      </c>
      <c r="J627" s="137" t="s">
        <v>129</v>
      </c>
      <c r="K627" s="137" t="s">
        <v>129</v>
      </c>
      <c r="L627" s="137" t="s">
        <v>129</v>
      </c>
      <c r="M627" s="141"/>
      <c r="N627" s="147"/>
    </row>
    <row r="628" hidden="1" outlineLevel="1">
      <c r="A628" s="255" t="s">
        <v>1597</v>
      </c>
      <c r="B628" s="344">
        <v>46212.0</v>
      </c>
      <c r="C628" s="133" t="str">
        <f t="shared" si="74"/>
        <v>Thu</v>
      </c>
      <c r="D628" s="383">
        <f t="shared" si="75"/>
        <v>1</v>
      </c>
      <c r="E628" s="147" t="s">
        <v>129</v>
      </c>
      <c r="F628" s="137" t="s">
        <v>129</v>
      </c>
      <c r="G628" s="137" t="s">
        <v>129</v>
      </c>
      <c r="H628" s="137" t="s">
        <v>129</v>
      </c>
      <c r="I628" s="137" t="s">
        <v>129</v>
      </c>
      <c r="J628" s="137" t="s">
        <v>129</v>
      </c>
      <c r="K628" s="137" t="s">
        <v>129</v>
      </c>
      <c r="L628" s="137" t="s">
        <v>129</v>
      </c>
      <c r="M628" s="141"/>
      <c r="N628" s="147"/>
    </row>
    <row r="629" hidden="1" outlineLevel="1">
      <c r="A629" s="255" t="s">
        <v>1599</v>
      </c>
      <c r="B629" s="344">
        <v>46213.0</v>
      </c>
      <c r="C629" s="133" t="str">
        <f t="shared" si="74"/>
        <v>Fri</v>
      </c>
      <c r="D629" s="381">
        <f t="shared" si="75"/>
        <v>1</v>
      </c>
      <c r="E629" s="382" t="s">
        <v>129</v>
      </c>
      <c r="F629" s="137" t="s">
        <v>129</v>
      </c>
      <c r="G629" s="137" t="s">
        <v>129</v>
      </c>
      <c r="H629" s="137" t="s">
        <v>129</v>
      </c>
      <c r="I629" s="137" t="s">
        <v>129</v>
      </c>
      <c r="J629" s="137" t="s">
        <v>129</v>
      </c>
      <c r="K629" s="137" t="s">
        <v>129</v>
      </c>
      <c r="L629" s="137" t="s">
        <v>129</v>
      </c>
      <c r="M629" s="141"/>
      <c r="N629" s="143"/>
    </row>
    <row r="630" hidden="1" outlineLevel="1">
      <c r="A630" s="255" t="s">
        <v>1603</v>
      </c>
      <c r="B630" s="344">
        <v>46213.0</v>
      </c>
      <c r="C630" s="133" t="str">
        <f t="shared" si="74"/>
        <v>Fri</v>
      </c>
      <c r="D630" s="383">
        <f t="shared" si="75"/>
        <v>1</v>
      </c>
      <c r="E630" s="147" t="s">
        <v>129</v>
      </c>
      <c r="F630" s="137" t="s">
        <v>129</v>
      </c>
      <c r="G630" s="137" t="s">
        <v>129</v>
      </c>
      <c r="H630" s="137" t="s">
        <v>129</v>
      </c>
      <c r="I630" s="137" t="s">
        <v>129</v>
      </c>
      <c r="J630" s="137" t="s">
        <v>129</v>
      </c>
      <c r="K630" s="137" t="s">
        <v>129</v>
      </c>
      <c r="L630" s="137" t="s">
        <v>129</v>
      </c>
      <c r="M630" s="141"/>
      <c r="N630" s="143"/>
    </row>
    <row r="631" ht="15.0" hidden="1" customHeight="1" outlineLevel="1">
      <c r="A631" s="255" t="s">
        <v>1606</v>
      </c>
      <c r="B631" s="344">
        <v>46213.0</v>
      </c>
      <c r="C631" s="133" t="str">
        <f t="shared" si="74"/>
        <v>Fri</v>
      </c>
      <c r="D631" s="381">
        <f t="shared" si="75"/>
        <v>1</v>
      </c>
      <c r="E631" s="382" t="s">
        <v>129</v>
      </c>
      <c r="F631" s="137" t="s">
        <v>129</v>
      </c>
      <c r="G631" s="137" t="s">
        <v>129</v>
      </c>
      <c r="H631" s="137" t="s">
        <v>129</v>
      </c>
      <c r="I631" s="137" t="s">
        <v>129</v>
      </c>
      <c r="J631" s="137" t="s">
        <v>129</v>
      </c>
      <c r="K631" s="137" t="s">
        <v>129</v>
      </c>
      <c r="L631" s="137" t="s">
        <v>129</v>
      </c>
      <c r="M631" s="141"/>
      <c r="N631" s="147"/>
    </row>
    <row r="632" hidden="1" outlineLevel="1">
      <c r="B632" s="189"/>
      <c r="C632" s="191" t="s">
        <v>194</v>
      </c>
      <c r="D632" s="204">
        <f>AVERAGE(D617:D631)</f>
        <v>1</v>
      </c>
      <c r="E632" s="384"/>
      <c r="L632" s="191" t="s">
        <v>194</v>
      </c>
      <c r="M632" s="204">
        <f>SUM(M617:M631)/75*0.1</f>
        <v>0</v>
      </c>
    </row>
    <row r="633" collapsed="1">
      <c r="A633" s="206" t="s">
        <v>1246</v>
      </c>
      <c r="B633" s="207"/>
      <c r="C633" s="207"/>
      <c r="D633" s="385"/>
      <c r="E633" s="109"/>
      <c r="F633" s="109"/>
      <c r="G633" s="110"/>
      <c r="H633" s="110"/>
      <c r="I633" s="110"/>
      <c r="J633" s="110"/>
      <c r="K633" s="110"/>
      <c r="L633" s="110"/>
      <c r="M633" s="111"/>
      <c r="N633" s="113"/>
    </row>
    <row r="634" hidden="1" outlineLevel="1">
      <c r="A634" s="373" t="s">
        <v>98</v>
      </c>
      <c r="B634" s="115" t="s">
        <v>100</v>
      </c>
      <c r="C634" s="115" t="s">
        <v>102</v>
      </c>
      <c r="D634" s="119" t="s">
        <v>103</v>
      </c>
      <c r="E634" s="275" t="s">
        <v>269</v>
      </c>
      <c r="F634" s="275" t="s">
        <v>272</v>
      </c>
      <c r="G634" s="276" t="s">
        <v>328</v>
      </c>
      <c r="H634" s="121" t="s">
        <v>107</v>
      </c>
      <c r="I634" s="121" t="s">
        <v>108</v>
      </c>
      <c r="J634" s="276" t="s">
        <v>329</v>
      </c>
      <c r="K634" s="121" t="s">
        <v>111</v>
      </c>
      <c r="L634" s="276" t="s">
        <v>274</v>
      </c>
      <c r="M634" s="115" t="s">
        <v>114</v>
      </c>
      <c r="N634" s="119" t="s">
        <v>115</v>
      </c>
    </row>
    <row r="635" hidden="1" outlineLevel="1">
      <c r="A635" s="255" t="s">
        <v>1611</v>
      </c>
      <c r="B635" s="344">
        <v>46216.0</v>
      </c>
      <c r="C635" s="133" t="str">
        <f t="shared" ref="C635:C649" si="76">IF(B635="", "", TEXT(B635, "ddd"))</f>
        <v>Mon</v>
      </c>
      <c r="D635" s="381">
        <f t="shared" ref="D635:D649" si="77">IF(E635="Yes",0.05,0)
+IF(F635="Yes",0.1,0)
+IF(G635="Yes",0.15,0)
+IF(H635="Yes",0.15,0)
+IF(I635="Yes",0.05,0)
+IF(J635="Yes",0.05,0)
+IF(K635="Yes",0.15,0)
+IF(L635="Yes",0.3,0)
</f>
        <v>1</v>
      </c>
      <c r="E635" s="382" t="s">
        <v>129</v>
      </c>
      <c r="F635" s="137" t="s">
        <v>129</v>
      </c>
      <c r="G635" s="137" t="s">
        <v>129</v>
      </c>
      <c r="H635" s="137" t="s">
        <v>129</v>
      </c>
      <c r="I635" s="137" t="s">
        <v>129</v>
      </c>
      <c r="J635" s="137" t="s">
        <v>129</v>
      </c>
      <c r="K635" s="137" t="s">
        <v>129</v>
      </c>
      <c r="L635" s="137" t="s">
        <v>129</v>
      </c>
      <c r="M635" s="141"/>
      <c r="N635" s="143"/>
    </row>
    <row r="636" hidden="1" outlineLevel="1">
      <c r="A636" s="255" t="s">
        <v>1614</v>
      </c>
      <c r="B636" s="344">
        <v>46216.0</v>
      </c>
      <c r="C636" s="133" t="str">
        <f t="shared" si="76"/>
        <v>Mon</v>
      </c>
      <c r="D636" s="383">
        <f t="shared" si="77"/>
        <v>1</v>
      </c>
      <c r="E636" s="147" t="s">
        <v>129</v>
      </c>
      <c r="F636" s="137" t="s">
        <v>129</v>
      </c>
      <c r="G636" s="137" t="s">
        <v>129</v>
      </c>
      <c r="H636" s="137" t="s">
        <v>129</v>
      </c>
      <c r="I636" s="137" t="s">
        <v>129</v>
      </c>
      <c r="J636" s="137" t="s">
        <v>129</v>
      </c>
      <c r="K636" s="137" t="s">
        <v>129</v>
      </c>
      <c r="L636" s="137" t="s">
        <v>129</v>
      </c>
      <c r="M636" s="141"/>
      <c r="N636" s="147"/>
    </row>
    <row r="637" hidden="1" outlineLevel="1">
      <c r="A637" s="255" t="s">
        <v>1616</v>
      </c>
      <c r="B637" s="344">
        <v>46216.0</v>
      </c>
      <c r="C637" s="133" t="str">
        <f t="shared" si="76"/>
        <v>Mon</v>
      </c>
      <c r="D637" s="381">
        <f t="shared" si="77"/>
        <v>1</v>
      </c>
      <c r="E637" s="382" t="s">
        <v>129</v>
      </c>
      <c r="F637" s="137" t="s">
        <v>129</v>
      </c>
      <c r="G637" s="137" t="s">
        <v>129</v>
      </c>
      <c r="H637" s="137" t="s">
        <v>129</v>
      </c>
      <c r="I637" s="137" t="s">
        <v>129</v>
      </c>
      <c r="J637" s="137" t="s">
        <v>129</v>
      </c>
      <c r="K637" s="137" t="s">
        <v>129</v>
      </c>
      <c r="L637" s="137" t="s">
        <v>129</v>
      </c>
      <c r="M637" s="141"/>
      <c r="N637" s="147"/>
    </row>
    <row r="638" hidden="1" outlineLevel="1">
      <c r="A638" s="255" t="s">
        <v>1619</v>
      </c>
      <c r="B638" s="344">
        <v>46217.0</v>
      </c>
      <c r="C638" s="133" t="str">
        <f t="shared" si="76"/>
        <v>Tue</v>
      </c>
      <c r="D638" s="383">
        <f t="shared" si="77"/>
        <v>1</v>
      </c>
      <c r="E638" s="147" t="s">
        <v>129</v>
      </c>
      <c r="F638" s="137" t="s">
        <v>129</v>
      </c>
      <c r="G638" s="137" t="s">
        <v>129</v>
      </c>
      <c r="H638" s="137" t="s">
        <v>129</v>
      </c>
      <c r="I638" s="137" t="s">
        <v>129</v>
      </c>
      <c r="J638" s="137" t="s">
        <v>129</v>
      </c>
      <c r="K638" s="137" t="s">
        <v>129</v>
      </c>
      <c r="L638" s="137" t="s">
        <v>129</v>
      </c>
      <c r="M638" s="141"/>
      <c r="N638" s="143"/>
    </row>
    <row r="639" hidden="1" outlineLevel="1">
      <c r="A639" s="255" t="s">
        <v>1622</v>
      </c>
      <c r="B639" s="344">
        <v>46217.0</v>
      </c>
      <c r="C639" s="133" t="str">
        <f t="shared" si="76"/>
        <v>Tue</v>
      </c>
      <c r="D639" s="381">
        <f t="shared" si="77"/>
        <v>1</v>
      </c>
      <c r="E639" s="382" t="s">
        <v>129</v>
      </c>
      <c r="F639" s="137" t="s">
        <v>129</v>
      </c>
      <c r="G639" s="137" t="s">
        <v>129</v>
      </c>
      <c r="H639" s="137" t="s">
        <v>129</v>
      </c>
      <c r="I639" s="137" t="s">
        <v>129</v>
      </c>
      <c r="J639" s="137" t="s">
        <v>129</v>
      </c>
      <c r="K639" s="137" t="s">
        <v>129</v>
      </c>
      <c r="L639" s="137" t="s">
        <v>129</v>
      </c>
      <c r="M639" s="141"/>
      <c r="N639" s="143"/>
    </row>
    <row r="640" hidden="1" outlineLevel="1">
      <c r="A640" s="255" t="s">
        <v>1625</v>
      </c>
      <c r="B640" s="344">
        <v>46217.0</v>
      </c>
      <c r="C640" s="133" t="str">
        <f t="shared" si="76"/>
        <v>Tue</v>
      </c>
      <c r="D640" s="383">
        <f t="shared" si="77"/>
        <v>1</v>
      </c>
      <c r="E640" s="147" t="s">
        <v>129</v>
      </c>
      <c r="F640" s="137" t="s">
        <v>129</v>
      </c>
      <c r="G640" s="137" t="s">
        <v>129</v>
      </c>
      <c r="H640" s="137" t="s">
        <v>129</v>
      </c>
      <c r="I640" s="137" t="s">
        <v>129</v>
      </c>
      <c r="J640" s="137" t="s">
        <v>129</v>
      </c>
      <c r="K640" s="137" t="s">
        <v>129</v>
      </c>
      <c r="L640" s="137" t="s">
        <v>129</v>
      </c>
      <c r="M640" s="141"/>
      <c r="N640" s="143"/>
    </row>
    <row r="641" hidden="1" outlineLevel="1">
      <c r="A641" s="255" t="s">
        <v>1628</v>
      </c>
      <c r="B641" s="344">
        <v>46218.0</v>
      </c>
      <c r="C641" s="133" t="str">
        <f t="shared" si="76"/>
        <v>Wed</v>
      </c>
      <c r="D641" s="381">
        <f t="shared" si="77"/>
        <v>1</v>
      </c>
      <c r="E641" s="382" t="s">
        <v>129</v>
      </c>
      <c r="F641" s="137" t="s">
        <v>129</v>
      </c>
      <c r="G641" s="137" t="s">
        <v>129</v>
      </c>
      <c r="H641" s="137" t="s">
        <v>129</v>
      </c>
      <c r="I641" s="137" t="s">
        <v>129</v>
      </c>
      <c r="J641" s="137" t="s">
        <v>129</v>
      </c>
      <c r="K641" s="137" t="s">
        <v>129</v>
      </c>
      <c r="L641" s="137" t="s">
        <v>129</v>
      </c>
      <c r="M641" s="141"/>
      <c r="N641" s="143"/>
    </row>
    <row r="642" hidden="1" outlineLevel="1">
      <c r="A642" s="255" t="s">
        <v>1630</v>
      </c>
      <c r="B642" s="344">
        <v>46218.0</v>
      </c>
      <c r="C642" s="133" t="str">
        <f t="shared" si="76"/>
        <v>Wed</v>
      </c>
      <c r="D642" s="383">
        <f t="shared" si="77"/>
        <v>1</v>
      </c>
      <c r="E642" s="147" t="s">
        <v>129</v>
      </c>
      <c r="F642" s="137" t="s">
        <v>129</v>
      </c>
      <c r="G642" s="137" t="s">
        <v>129</v>
      </c>
      <c r="H642" s="137" t="s">
        <v>129</v>
      </c>
      <c r="I642" s="137" t="s">
        <v>129</v>
      </c>
      <c r="J642" s="137" t="s">
        <v>129</v>
      </c>
      <c r="K642" s="137" t="s">
        <v>129</v>
      </c>
      <c r="L642" s="137" t="s">
        <v>129</v>
      </c>
      <c r="M642" s="141"/>
      <c r="N642" s="147"/>
    </row>
    <row r="643" hidden="1" outlineLevel="1">
      <c r="A643" s="255" t="s">
        <v>1635</v>
      </c>
      <c r="B643" s="344">
        <v>46218.0</v>
      </c>
      <c r="C643" s="133" t="str">
        <f t="shared" si="76"/>
        <v>Wed</v>
      </c>
      <c r="D643" s="381">
        <f t="shared" si="77"/>
        <v>1</v>
      </c>
      <c r="E643" s="382" t="s">
        <v>129</v>
      </c>
      <c r="F643" s="137" t="s">
        <v>129</v>
      </c>
      <c r="G643" s="137" t="s">
        <v>129</v>
      </c>
      <c r="H643" s="137" t="s">
        <v>129</v>
      </c>
      <c r="I643" s="137" t="s">
        <v>129</v>
      </c>
      <c r="J643" s="137" t="s">
        <v>129</v>
      </c>
      <c r="K643" s="137" t="s">
        <v>129</v>
      </c>
      <c r="L643" s="137" t="s">
        <v>129</v>
      </c>
      <c r="M643" s="141"/>
      <c r="N643" s="143"/>
    </row>
    <row r="644" hidden="1" outlineLevel="1">
      <c r="A644" s="255" t="s">
        <v>1636</v>
      </c>
      <c r="B644" s="344">
        <v>46219.0</v>
      </c>
      <c r="C644" s="133" t="str">
        <f t="shared" si="76"/>
        <v>Thu</v>
      </c>
      <c r="D644" s="383">
        <f t="shared" si="77"/>
        <v>1</v>
      </c>
      <c r="E644" s="147" t="s">
        <v>129</v>
      </c>
      <c r="F644" s="137" t="s">
        <v>129</v>
      </c>
      <c r="G644" s="137" t="s">
        <v>129</v>
      </c>
      <c r="H644" s="137" t="s">
        <v>129</v>
      </c>
      <c r="I644" s="137" t="s">
        <v>129</v>
      </c>
      <c r="J644" s="137" t="s">
        <v>129</v>
      </c>
      <c r="K644" s="137" t="s">
        <v>129</v>
      </c>
      <c r="L644" s="137" t="s">
        <v>129</v>
      </c>
      <c r="M644" s="141"/>
      <c r="N644" s="147"/>
    </row>
    <row r="645" hidden="1" outlineLevel="1">
      <c r="A645" s="255" t="s">
        <v>1642</v>
      </c>
      <c r="B645" s="344">
        <v>46219.0</v>
      </c>
      <c r="C645" s="133" t="str">
        <f t="shared" si="76"/>
        <v>Thu</v>
      </c>
      <c r="D645" s="381">
        <f t="shared" si="77"/>
        <v>1</v>
      </c>
      <c r="E645" s="382" t="s">
        <v>129</v>
      </c>
      <c r="F645" s="137" t="s">
        <v>129</v>
      </c>
      <c r="G645" s="137" t="s">
        <v>129</v>
      </c>
      <c r="H645" s="137" t="s">
        <v>129</v>
      </c>
      <c r="I645" s="137" t="s">
        <v>129</v>
      </c>
      <c r="J645" s="137" t="s">
        <v>129</v>
      </c>
      <c r="K645" s="137" t="s">
        <v>129</v>
      </c>
      <c r="L645" s="137" t="s">
        <v>129</v>
      </c>
      <c r="M645" s="141"/>
      <c r="N645" s="147"/>
    </row>
    <row r="646" hidden="1" outlineLevel="1">
      <c r="A646" s="255" t="s">
        <v>1646</v>
      </c>
      <c r="B646" s="344">
        <v>46219.0</v>
      </c>
      <c r="C646" s="133" t="str">
        <f t="shared" si="76"/>
        <v>Thu</v>
      </c>
      <c r="D646" s="383">
        <f t="shared" si="77"/>
        <v>1</v>
      </c>
      <c r="E646" s="147" t="s">
        <v>129</v>
      </c>
      <c r="F646" s="137" t="s">
        <v>129</v>
      </c>
      <c r="G646" s="137" t="s">
        <v>129</v>
      </c>
      <c r="H646" s="137" t="s">
        <v>129</v>
      </c>
      <c r="I646" s="137" t="s">
        <v>129</v>
      </c>
      <c r="J646" s="137" t="s">
        <v>129</v>
      </c>
      <c r="K646" s="137" t="s">
        <v>129</v>
      </c>
      <c r="L646" s="137" t="s">
        <v>129</v>
      </c>
      <c r="M646" s="141"/>
      <c r="N646" s="147"/>
    </row>
    <row r="647" hidden="1" outlineLevel="1">
      <c r="A647" s="255" t="s">
        <v>1651</v>
      </c>
      <c r="B647" s="344">
        <v>46220.0</v>
      </c>
      <c r="C647" s="133" t="str">
        <f t="shared" si="76"/>
        <v>Fri</v>
      </c>
      <c r="D647" s="381">
        <f t="shared" si="77"/>
        <v>1</v>
      </c>
      <c r="E647" s="382" t="s">
        <v>129</v>
      </c>
      <c r="F647" s="137" t="s">
        <v>129</v>
      </c>
      <c r="G647" s="137" t="s">
        <v>129</v>
      </c>
      <c r="H647" s="137" t="s">
        <v>129</v>
      </c>
      <c r="I647" s="137" t="s">
        <v>129</v>
      </c>
      <c r="J647" s="137" t="s">
        <v>129</v>
      </c>
      <c r="K647" s="137" t="s">
        <v>129</v>
      </c>
      <c r="L647" s="137" t="s">
        <v>129</v>
      </c>
      <c r="M647" s="141"/>
      <c r="N647" s="143"/>
    </row>
    <row r="648" hidden="1" outlineLevel="1">
      <c r="A648" s="255" t="s">
        <v>1655</v>
      </c>
      <c r="B648" s="344">
        <v>46220.0</v>
      </c>
      <c r="C648" s="133" t="str">
        <f t="shared" si="76"/>
        <v>Fri</v>
      </c>
      <c r="D648" s="383">
        <f t="shared" si="77"/>
        <v>1</v>
      </c>
      <c r="E648" s="147" t="s">
        <v>129</v>
      </c>
      <c r="F648" s="137" t="s">
        <v>129</v>
      </c>
      <c r="G648" s="137" t="s">
        <v>129</v>
      </c>
      <c r="H648" s="137" t="s">
        <v>129</v>
      </c>
      <c r="I648" s="137" t="s">
        <v>129</v>
      </c>
      <c r="J648" s="137" t="s">
        <v>129</v>
      </c>
      <c r="K648" s="137" t="s">
        <v>129</v>
      </c>
      <c r="L648" s="137" t="s">
        <v>129</v>
      </c>
      <c r="M648" s="141"/>
      <c r="N648" s="143"/>
    </row>
    <row r="649" ht="15.0" hidden="1" customHeight="1" outlineLevel="1">
      <c r="A649" s="255" t="s">
        <v>1660</v>
      </c>
      <c r="B649" s="344">
        <v>46220.0</v>
      </c>
      <c r="C649" s="133" t="str">
        <f t="shared" si="76"/>
        <v>Fri</v>
      </c>
      <c r="D649" s="381">
        <f t="shared" si="77"/>
        <v>1</v>
      </c>
      <c r="E649" s="382" t="s">
        <v>129</v>
      </c>
      <c r="F649" s="137" t="s">
        <v>129</v>
      </c>
      <c r="G649" s="137" t="s">
        <v>129</v>
      </c>
      <c r="H649" s="137" t="s">
        <v>129</v>
      </c>
      <c r="I649" s="137" t="s">
        <v>129</v>
      </c>
      <c r="J649" s="137" t="s">
        <v>129</v>
      </c>
      <c r="K649" s="137" t="s">
        <v>129</v>
      </c>
      <c r="L649" s="137" t="s">
        <v>129</v>
      </c>
      <c r="M649" s="141"/>
      <c r="N649" s="147"/>
    </row>
    <row r="650" hidden="1" outlineLevel="1">
      <c r="B650" s="189"/>
      <c r="C650" s="191" t="s">
        <v>194</v>
      </c>
      <c r="D650" s="204">
        <f>AVERAGE(D635:D649)</f>
        <v>1</v>
      </c>
      <c r="E650" s="384"/>
      <c r="L650" s="191" t="s">
        <v>194</v>
      </c>
      <c r="M650" s="204">
        <f>SUM(M635:M649)/75*0.1</f>
        <v>0</v>
      </c>
    </row>
    <row r="651" collapsed="1">
      <c r="A651" s="206" t="s">
        <v>1270</v>
      </c>
      <c r="B651" s="207"/>
      <c r="C651" s="207"/>
      <c r="D651" s="385"/>
      <c r="E651" s="109"/>
      <c r="F651" s="109"/>
      <c r="G651" s="110"/>
      <c r="H651" s="110"/>
      <c r="I651" s="110"/>
      <c r="J651" s="110"/>
      <c r="K651" s="110"/>
      <c r="L651" s="110"/>
      <c r="M651" s="111"/>
      <c r="N651" s="113"/>
    </row>
    <row r="652" hidden="1" outlineLevel="1">
      <c r="A652" s="373" t="s">
        <v>98</v>
      </c>
      <c r="B652" s="115" t="s">
        <v>100</v>
      </c>
      <c r="C652" s="115" t="s">
        <v>102</v>
      </c>
      <c r="D652" s="119" t="s">
        <v>103</v>
      </c>
      <c r="E652" s="275" t="s">
        <v>269</v>
      </c>
      <c r="F652" s="275" t="s">
        <v>272</v>
      </c>
      <c r="G652" s="276" t="s">
        <v>328</v>
      </c>
      <c r="H652" s="121" t="s">
        <v>107</v>
      </c>
      <c r="I652" s="121" t="s">
        <v>108</v>
      </c>
      <c r="J652" s="276" t="s">
        <v>329</v>
      </c>
      <c r="K652" s="121" t="s">
        <v>111</v>
      </c>
      <c r="L652" s="276" t="s">
        <v>274</v>
      </c>
      <c r="M652" s="115" t="s">
        <v>114</v>
      </c>
      <c r="N652" s="119" t="s">
        <v>115</v>
      </c>
    </row>
    <row r="653" hidden="1" outlineLevel="1">
      <c r="A653" s="255" t="s">
        <v>1664</v>
      </c>
      <c r="B653" s="418">
        <v>46223.0</v>
      </c>
      <c r="C653" s="133" t="str">
        <f t="shared" ref="C653:C667" si="78">IF(B653="", "", TEXT(B653, "ddd"))</f>
        <v>Mon</v>
      </c>
      <c r="D653" s="381">
        <f t="shared" ref="D653:D667" si="79">IF(E653="Yes",0.05,0)
+IF(F653="Yes",0.1,0)
+IF(G653="Yes",0.15,0)
+IF(H653="Yes",0.15,0)
+IF(I653="Yes",0.05,0)
+IF(J653="Yes",0.05,0)
+IF(K653="Yes",0.15,0)
+IF(L653="Yes",0.3,0)
</f>
        <v>1</v>
      </c>
      <c r="E653" s="382" t="s">
        <v>129</v>
      </c>
      <c r="F653" s="137" t="s">
        <v>129</v>
      </c>
      <c r="G653" s="137" t="s">
        <v>129</v>
      </c>
      <c r="H653" s="137" t="s">
        <v>129</v>
      </c>
      <c r="I653" s="137" t="s">
        <v>129</v>
      </c>
      <c r="J653" s="137" t="s">
        <v>129</v>
      </c>
      <c r="K653" s="137" t="s">
        <v>129</v>
      </c>
      <c r="L653" s="137" t="s">
        <v>129</v>
      </c>
      <c r="M653" s="141"/>
      <c r="N653" s="143"/>
    </row>
    <row r="654" hidden="1" outlineLevel="1">
      <c r="A654" s="255" t="s">
        <v>1668</v>
      </c>
      <c r="B654" s="418">
        <v>46223.0</v>
      </c>
      <c r="C654" s="133" t="str">
        <f t="shared" si="78"/>
        <v>Mon</v>
      </c>
      <c r="D654" s="383">
        <f t="shared" si="79"/>
        <v>1</v>
      </c>
      <c r="E654" s="147" t="s">
        <v>129</v>
      </c>
      <c r="F654" s="137" t="s">
        <v>129</v>
      </c>
      <c r="G654" s="137" t="s">
        <v>129</v>
      </c>
      <c r="H654" s="137" t="s">
        <v>129</v>
      </c>
      <c r="I654" s="137" t="s">
        <v>129</v>
      </c>
      <c r="J654" s="137" t="s">
        <v>129</v>
      </c>
      <c r="K654" s="137" t="s">
        <v>129</v>
      </c>
      <c r="L654" s="137" t="s">
        <v>129</v>
      </c>
      <c r="M654" s="141"/>
      <c r="N654" s="147"/>
    </row>
    <row r="655" hidden="1" outlineLevel="1">
      <c r="A655" s="255" t="s">
        <v>1671</v>
      </c>
      <c r="B655" s="418">
        <v>46223.0</v>
      </c>
      <c r="C655" s="133" t="str">
        <f t="shared" si="78"/>
        <v>Mon</v>
      </c>
      <c r="D655" s="381">
        <f t="shared" si="79"/>
        <v>1</v>
      </c>
      <c r="E655" s="382" t="s">
        <v>129</v>
      </c>
      <c r="F655" s="137" t="s">
        <v>129</v>
      </c>
      <c r="G655" s="137" t="s">
        <v>129</v>
      </c>
      <c r="H655" s="137" t="s">
        <v>129</v>
      </c>
      <c r="I655" s="137" t="s">
        <v>129</v>
      </c>
      <c r="J655" s="137" t="s">
        <v>129</v>
      </c>
      <c r="K655" s="137" t="s">
        <v>129</v>
      </c>
      <c r="L655" s="137" t="s">
        <v>129</v>
      </c>
      <c r="M655" s="141"/>
      <c r="N655" s="147"/>
    </row>
    <row r="656" hidden="1" outlineLevel="1">
      <c r="A656" s="255" t="s">
        <v>1672</v>
      </c>
      <c r="B656" s="418">
        <v>46224.0</v>
      </c>
      <c r="C656" s="133" t="str">
        <f t="shared" si="78"/>
        <v>Tue</v>
      </c>
      <c r="D656" s="383">
        <f t="shared" si="79"/>
        <v>1</v>
      </c>
      <c r="E656" s="147" t="s">
        <v>129</v>
      </c>
      <c r="F656" s="137" t="s">
        <v>129</v>
      </c>
      <c r="G656" s="137" t="s">
        <v>129</v>
      </c>
      <c r="H656" s="137" t="s">
        <v>129</v>
      </c>
      <c r="I656" s="137" t="s">
        <v>129</v>
      </c>
      <c r="J656" s="137" t="s">
        <v>129</v>
      </c>
      <c r="K656" s="137" t="s">
        <v>129</v>
      </c>
      <c r="L656" s="137" t="s">
        <v>129</v>
      </c>
      <c r="M656" s="141"/>
      <c r="N656" s="143"/>
    </row>
    <row r="657" hidden="1" outlineLevel="1">
      <c r="A657" s="255" t="s">
        <v>1674</v>
      </c>
      <c r="B657" s="418">
        <v>46224.0</v>
      </c>
      <c r="C657" s="133" t="str">
        <f t="shared" si="78"/>
        <v>Tue</v>
      </c>
      <c r="D657" s="381">
        <f t="shared" si="79"/>
        <v>1</v>
      </c>
      <c r="E657" s="382" t="s">
        <v>129</v>
      </c>
      <c r="F657" s="137" t="s">
        <v>129</v>
      </c>
      <c r="G657" s="137" t="s">
        <v>129</v>
      </c>
      <c r="H657" s="137" t="s">
        <v>129</v>
      </c>
      <c r="I657" s="137" t="s">
        <v>129</v>
      </c>
      <c r="J657" s="137" t="s">
        <v>129</v>
      </c>
      <c r="K657" s="137" t="s">
        <v>129</v>
      </c>
      <c r="L657" s="137" t="s">
        <v>129</v>
      </c>
      <c r="M657" s="141"/>
      <c r="N657" s="143"/>
    </row>
    <row r="658" hidden="1" outlineLevel="1">
      <c r="A658" s="255" t="s">
        <v>1676</v>
      </c>
      <c r="B658" s="418">
        <v>46224.0</v>
      </c>
      <c r="C658" s="133" t="str">
        <f t="shared" si="78"/>
        <v>Tue</v>
      </c>
      <c r="D658" s="383">
        <f t="shared" si="79"/>
        <v>1</v>
      </c>
      <c r="E658" s="147" t="s">
        <v>129</v>
      </c>
      <c r="F658" s="137" t="s">
        <v>129</v>
      </c>
      <c r="G658" s="137" t="s">
        <v>129</v>
      </c>
      <c r="H658" s="137" t="s">
        <v>129</v>
      </c>
      <c r="I658" s="137" t="s">
        <v>129</v>
      </c>
      <c r="J658" s="137" t="s">
        <v>129</v>
      </c>
      <c r="K658" s="137" t="s">
        <v>129</v>
      </c>
      <c r="L658" s="137" t="s">
        <v>129</v>
      </c>
      <c r="M658" s="141"/>
      <c r="N658" s="143"/>
    </row>
    <row r="659" hidden="1" outlineLevel="1">
      <c r="A659" s="255" t="s">
        <v>1680</v>
      </c>
      <c r="B659" s="418">
        <v>46225.0</v>
      </c>
      <c r="C659" s="133" t="str">
        <f t="shared" si="78"/>
        <v>Wed</v>
      </c>
      <c r="D659" s="381">
        <f t="shared" si="79"/>
        <v>1</v>
      </c>
      <c r="E659" s="382" t="s">
        <v>129</v>
      </c>
      <c r="F659" s="137" t="s">
        <v>129</v>
      </c>
      <c r="G659" s="137" t="s">
        <v>129</v>
      </c>
      <c r="H659" s="137" t="s">
        <v>129</v>
      </c>
      <c r="I659" s="137" t="s">
        <v>129</v>
      </c>
      <c r="J659" s="137" t="s">
        <v>129</v>
      </c>
      <c r="K659" s="137" t="s">
        <v>129</v>
      </c>
      <c r="L659" s="137" t="s">
        <v>129</v>
      </c>
      <c r="M659" s="141"/>
      <c r="N659" s="143"/>
    </row>
    <row r="660" hidden="1" outlineLevel="1">
      <c r="A660" s="255" t="s">
        <v>1686</v>
      </c>
      <c r="B660" s="418">
        <v>46225.0</v>
      </c>
      <c r="C660" s="133" t="str">
        <f t="shared" si="78"/>
        <v>Wed</v>
      </c>
      <c r="D660" s="383">
        <f t="shared" si="79"/>
        <v>1</v>
      </c>
      <c r="E660" s="147" t="s">
        <v>129</v>
      </c>
      <c r="F660" s="137" t="s">
        <v>129</v>
      </c>
      <c r="G660" s="137" t="s">
        <v>129</v>
      </c>
      <c r="H660" s="137" t="s">
        <v>129</v>
      </c>
      <c r="I660" s="137" t="s">
        <v>129</v>
      </c>
      <c r="J660" s="137" t="s">
        <v>129</v>
      </c>
      <c r="K660" s="137" t="s">
        <v>129</v>
      </c>
      <c r="L660" s="137" t="s">
        <v>129</v>
      </c>
      <c r="M660" s="141"/>
      <c r="N660" s="147"/>
    </row>
    <row r="661" hidden="1" outlineLevel="1">
      <c r="A661" s="255" t="s">
        <v>1688</v>
      </c>
      <c r="B661" s="418">
        <v>46225.0</v>
      </c>
      <c r="C661" s="133" t="str">
        <f t="shared" si="78"/>
        <v>Wed</v>
      </c>
      <c r="D661" s="381">
        <f t="shared" si="79"/>
        <v>1</v>
      </c>
      <c r="E661" s="382" t="s">
        <v>129</v>
      </c>
      <c r="F661" s="137" t="s">
        <v>129</v>
      </c>
      <c r="G661" s="137" t="s">
        <v>129</v>
      </c>
      <c r="H661" s="137" t="s">
        <v>129</v>
      </c>
      <c r="I661" s="137" t="s">
        <v>129</v>
      </c>
      <c r="J661" s="137" t="s">
        <v>129</v>
      </c>
      <c r="K661" s="137" t="s">
        <v>129</v>
      </c>
      <c r="L661" s="137" t="s">
        <v>129</v>
      </c>
      <c r="M661" s="141"/>
      <c r="N661" s="143"/>
    </row>
    <row r="662" hidden="1" outlineLevel="1">
      <c r="A662" s="255" t="s">
        <v>1689</v>
      </c>
      <c r="B662" s="418">
        <v>46226.0</v>
      </c>
      <c r="C662" s="133" t="str">
        <f t="shared" si="78"/>
        <v>Thu</v>
      </c>
      <c r="D662" s="383">
        <f t="shared" si="79"/>
        <v>1</v>
      </c>
      <c r="E662" s="147" t="s">
        <v>129</v>
      </c>
      <c r="F662" s="137" t="s">
        <v>129</v>
      </c>
      <c r="G662" s="137" t="s">
        <v>129</v>
      </c>
      <c r="H662" s="137" t="s">
        <v>129</v>
      </c>
      <c r="I662" s="137" t="s">
        <v>129</v>
      </c>
      <c r="J662" s="137" t="s">
        <v>129</v>
      </c>
      <c r="K662" s="137" t="s">
        <v>129</v>
      </c>
      <c r="L662" s="137" t="s">
        <v>129</v>
      </c>
      <c r="M662" s="141"/>
      <c r="N662" s="147"/>
    </row>
    <row r="663" hidden="1" outlineLevel="1">
      <c r="A663" s="255" t="s">
        <v>1691</v>
      </c>
      <c r="B663" s="418">
        <v>46226.0</v>
      </c>
      <c r="C663" s="133" t="str">
        <f t="shared" si="78"/>
        <v>Thu</v>
      </c>
      <c r="D663" s="381">
        <f t="shared" si="79"/>
        <v>1</v>
      </c>
      <c r="E663" s="382" t="s">
        <v>129</v>
      </c>
      <c r="F663" s="137" t="s">
        <v>129</v>
      </c>
      <c r="G663" s="137" t="s">
        <v>129</v>
      </c>
      <c r="H663" s="137" t="s">
        <v>129</v>
      </c>
      <c r="I663" s="137" t="s">
        <v>129</v>
      </c>
      <c r="J663" s="137" t="s">
        <v>129</v>
      </c>
      <c r="K663" s="137" t="s">
        <v>129</v>
      </c>
      <c r="L663" s="137" t="s">
        <v>129</v>
      </c>
      <c r="M663" s="141"/>
      <c r="N663" s="147"/>
    </row>
    <row r="664" hidden="1" outlineLevel="1">
      <c r="A664" s="255" t="s">
        <v>1692</v>
      </c>
      <c r="B664" s="418">
        <v>46226.0</v>
      </c>
      <c r="C664" s="133" t="str">
        <f t="shared" si="78"/>
        <v>Thu</v>
      </c>
      <c r="D664" s="383">
        <f t="shared" si="79"/>
        <v>1</v>
      </c>
      <c r="E664" s="147" t="s">
        <v>129</v>
      </c>
      <c r="F664" s="137" t="s">
        <v>129</v>
      </c>
      <c r="G664" s="137" t="s">
        <v>129</v>
      </c>
      <c r="H664" s="137" t="s">
        <v>129</v>
      </c>
      <c r="I664" s="137" t="s">
        <v>129</v>
      </c>
      <c r="J664" s="137" t="s">
        <v>129</v>
      </c>
      <c r="K664" s="137" t="s">
        <v>129</v>
      </c>
      <c r="L664" s="137" t="s">
        <v>129</v>
      </c>
      <c r="M664" s="141"/>
      <c r="N664" s="147"/>
    </row>
    <row r="665" hidden="1" outlineLevel="1">
      <c r="A665" s="255" t="s">
        <v>1694</v>
      </c>
      <c r="B665" s="418">
        <v>46227.0</v>
      </c>
      <c r="C665" s="133" t="str">
        <f t="shared" si="78"/>
        <v>Fri</v>
      </c>
      <c r="D665" s="381">
        <f t="shared" si="79"/>
        <v>1</v>
      </c>
      <c r="E665" s="382" t="s">
        <v>129</v>
      </c>
      <c r="F665" s="137" t="s">
        <v>129</v>
      </c>
      <c r="G665" s="137" t="s">
        <v>129</v>
      </c>
      <c r="H665" s="137" t="s">
        <v>129</v>
      </c>
      <c r="I665" s="137" t="s">
        <v>129</v>
      </c>
      <c r="J665" s="137" t="s">
        <v>129</v>
      </c>
      <c r="K665" s="137" t="s">
        <v>129</v>
      </c>
      <c r="L665" s="137" t="s">
        <v>129</v>
      </c>
      <c r="M665" s="141"/>
      <c r="N665" s="143"/>
    </row>
    <row r="666" hidden="1" outlineLevel="1">
      <c r="A666" s="255" t="s">
        <v>1697</v>
      </c>
      <c r="B666" s="418">
        <v>46227.0</v>
      </c>
      <c r="C666" s="133" t="str">
        <f t="shared" si="78"/>
        <v>Fri</v>
      </c>
      <c r="D666" s="383">
        <f t="shared" si="79"/>
        <v>1</v>
      </c>
      <c r="E666" s="147" t="s">
        <v>129</v>
      </c>
      <c r="F666" s="137" t="s">
        <v>129</v>
      </c>
      <c r="G666" s="137" t="s">
        <v>129</v>
      </c>
      <c r="H666" s="137" t="s">
        <v>129</v>
      </c>
      <c r="I666" s="137" t="s">
        <v>129</v>
      </c>
      <c r="J666" s="137" t="s">
        <v>129</v>
      </c>
      <c r="K666" s="137" t="s">
        <v>129</v>
      </c>
      <c r="L666" s="137" t="s">
        <v>129</v>
      </c>
      <c r="M666" s="141"/>
      <c r="N666" s="143"/>
    </row>
    <row r="667" ht="15.0" hidden="1" customHeight="1" outlineLevel="1">
      <c r="A667" s="255" t="s">
        <v>1699</v>
      </c>
      <c r="B667" s="418">
        <v>46227.0</v>
      </c>
      <c r="C667" s="133" t="str">
        <f t="shared" si="78"/>
        <v>Fri</v>
      </c>
      <c r="D667" s="381">
        <f t="shared" si="79"/>
        <v>1</v>
      </c>
      <c r="E667" s="382" t="s">
        <v>129</v>
      </c>
      <c r="F667" s="137" t="s">
        <v>129</v>
      </c>
      <c r="G667" s="137" t="s">
        <v>129</v>
      </c>
      <c r="H667" s="137" t="s">
        <v>129</v>
      </c>
      <c r="I667" s="137" t="s">
        <v>129</v>
      </c>
      <c r="J667" s="137" t="s">
        <v>129</v>
      </c>
      <c r="K667" s="137" t="s">
        <v>129</v>
      </c>
      <c r="L667" s="137" t="s">
        <v>129</v>
      </c>
      <c r="M667" s="141"/>
      <c r="N667" s="147"/>
    </row>
    <row r="668" hidden="1" outlineLevel="1">
      <c r="B668" s="189"/>
      <c r="C668" s="191" t="s">
        <v>194</v>
      </c>
      <c r="D668" s="204">
        <f>AVERAGE(D653:D667)</f>
        <v>1</v>
      </c>
      <c r="E668" s="384"/>
      <c r="L668" s="191" t="s">
        <v>194</v>
      </c>
      <c r="M668" s="204">
        <f>SUM(M653:M667)/75*0.1</f>
        <v>0</v>
      </c>
    </row>
    <row r="669" collapsed="1">
      <c r="A669" s="206" t="s">
        <v>1294</v>
      </c>
      <c r="B669" s="207"/>
      <c r="C669" s="207"/>
      <c r="D669" s="385"/>
      <c r="E669" s="109"/>
      <c r="F669" s="109"/>
      <c r="G669" s="110"/>
      <c r="H669" s="110"/>
      <c r="I669" s="110"/>
      <c r="J669" s="110"/>
      <c r="K669" s="110"/>
      <c r="L669" s="110"/>
      <c r="M669" s="111"/>
      <c r="N669" s="113"/>
    </row>
    <row r="670" hidden="1" outlineLevel="1">
      <c r="A670" s="373" t="s">
        <v>98</v>
      </c>
      <c r="B670" s="115" t="s">
        <v>100</v>
      </c>
      <c r="C670" s="115" t="s">
        <v>102</v>
      </c>
      <c r="D670" s="119" t="s">
        <v>103</v>
      </c>
      <c r="E670" s="275" t="s">
        <v>269</v>
      </c>
      <c r="F670" s="275" t="s">
        <v>272</v>
      </c>
      <c r="G670" s="276" t="s">
        <v>328</v>
      </c>
      <c r="H670" s="121" t="s">
        <v>107</v>
      </c>
      <c r="I670" s="121" t="s">
        <v>108</v>
      </c>
      <c r="J670" s="276" t="s">
        <v>329</v>
      </c>
      <c r="K670" s="121" t="s">
        <v>111</v>
      </c>
      <c r="L670" s="276" t="s">
        <v>274</v>
      </c>
      <c r="M670" s="115" t="s">
        <v>114</v>
      </c>
      <c r="N670" s="119" t="s">
        <v>115</v>
      </c>
    </row>
    <row r="671" hidden="1" outlineLevel="1">
      <c r="A671" s="428" t="s">
        <v>1709</v>
      </c>
      <c r="B671" s="420">
        <v>46230.0</v>
      </c>
      <c r="C671" s="133" t="str">
        <f t="shared" ref="C671:C685" si="80">IF(B671="", "", TEXT(B671, "ddd"))</f>
        <v>Mon</v>
      </c>
      <c r="D671" s="381">
        <f t="shared" ref="D671:D685" si="81">IF(E671="Yes",0.05,0)
+IF(F671="Yes",0.1,0)
+IF(G671="Yes",0.15,0)
+IF(H671="Yes",0.15,0)
+IF(I671="Yes",0.05,0)
+IF(J671="Yes",0.05,0)
+IF(K671="Yes",0.15,0)
+IF(L671="Yes",0.3,0)
</f>
        <v>1</v>
      </c>
      <c r="E671" s="382" t="s">
        <v>129</v>
      </c>
      <c r="F671" s="137" t="s">
        <v>129</v>
      </c>
      <c r="G671" s="137" t="s">
        <v>129</v>
      </c>
      <c r="H671" s="137" t="s">
        <v>129</v>
      </c>
      <c r="I671" s="137" t="s">
        <v>129</v>
      </c>
      <c r="J671" s="137" t="s">
        <v>129</v>
      </c>
      <c r="K671" s="137" t="s">
        <v>129</v>
      </c>
      <c r="L671" s="137" t="s">
        <v>129</v>
      </c>
      <c r="M671" s="141"/>
      <c r="N671" s="143"/>
    </row>
    <row r="672" hidden="1" outlineLevel="1">
      <c r="A672" s="255" t="s">
        <v>1712</v>
      </c>
      <c r="B672" s="420">
        <v>46230.0</v>
      </c>
      <c r="C672" s="133" t="str">
        <f t="shared" si="80"/>
        <v>Mon</v>
      </c>
      <c r="D672" s="383">
        <f t="shared" si="81"/>
        <v>1</v>
      </c>
      <c r="E672" s="147" t="s">
        <v>129</v>
      </c>
      <c r="F672" s="137" t="s">
        <v>129</v>
      </c>
      <c r="G672" s="137" t="s">
        <v>129</v>
      </c>
      <c r="H672" s="137" t="s">
        <v>129</v>
      </c>
      <c r="I672" s="137" t="s">
        <v>129</v>
      </c>
      <c r="J672" s="137" t="s">
        <v>129</v>
      </c>
      <c r="K672" s="137" t="s">
        <v>129</v>
      </c>
      <c r="L672" s="137" t="s">
        <v>129</v>
      </c>
      <c r="M672" s="141"/>
      <c r="N672" s="147"/>
    </row>
    <row r="673" hidden="1" outlineLevel="1">
      <c r="A673" s="255" t="s">
        <v>1714</v>
      </c>
      <c r="B673" s="420">
        <v>46230.0</v>
      </c>
      <c r="C673" s="133" t="str">
        <f t="shared" si="80"/>
        <v>Mon</v>
      </c>
      <c r="D673" s="381">
        <f t="shared" si="81"/>
        <v>1</v>
      </c>
      <c r="E673" s="382" t="s">
        <v>129</v>
      </c>
      <c r="F673" s="137" t="s">
        <v>129</v>
      </c>
      <c r="G673" s="137" t="s">
        <v>129</v>
      </c>
      <c r="H673" s="137" t="s">
        <v>129</v>
      </c>
      <c r="I673" s="137" t="s">
        <v>129</v>
      </c>
      <c r="J673" s="137" t="s">
        <v>129</v>
      </c>
      <c r="K673" s="137" t="s">
        <v>129</v>
      </c>
      <c r="L673" s="137" t="s">
        <v>129</v>
      </c>
      <c r="M673" s="141"/>
      <c r="N673" s="147"/>
    </row>
    <row r="674" hidden="1" outlineLevel="1">
      <c r="A674" s="255" t="s">
        <v>1716</v>
      </c>
      <c r="B674" s="420">
        <v>46231.0</v>
      </c>
      <c r="C674" s="133" t="str">
        <f t="shared" si="80"/>
        <v>Tue</v>
      </c>
      <c r="D674" s="383">
        <f t="shared" si="81"/>
        <v>1</v>
      </c>
      <c r="E674" s="147" t="s">
        <v>129</v>
      </c>
      <c r="F674" s="137" t="s">
        <v>129</v>
      </c>
      <c r="G674" s="137" t="s">
        <v>129</v>
      </c>
      <c r="H674" s="137" t="s">
        <v>129</v>
      </c>
      <c r="I674" s="137" t="s">
        <v>129</v>
      </c>
      <c r="J674" s="137" t="s">
        <v>129</v>
      </c>
      <c r="K674" s="137" t="s">
        <v>129</v>
      </c>
      <c r="L674" s="137" t="s">
        <v>129</v>
      </c>
      <c r="M674" s="141"/>
      <c r="N674" s="147"/>
    </row>
    <row r="675" hidden="1" outlineLevel="1">
      <c r="A675" s="255" t="s">
        <v>1717</v>
      </c>
      <c r="B675" s="420">
        <v>46231.0</v>
      </c>
      <c r="C675" s="133" t="str">
        <f t="shared" si="80"/>
        <v>Tue</v>
      </c>
      <c r="D675" s="381">
        <f t="shared" si="81"/>
        <v>1</v>
      </c>
      <c r="E675" s="382" t="s">
        <v>129</v>
      </c>
      <c r="F675" s="137" t="s">
        <v>129</v>
      </c>
      <c r="G675" s="137" t="s">
        <v>129</v>
      </c>
      <c r="H675" s="137" t="s">
        <v>129</v>
      </c>
      <c r="I675" s="137" t="s">
        <v>129</v>
      </c>
      <c r="J675" s="137" t="s">
        <v>129</v>
      </c>
      <c r="K675" s="137" t="s">
        <v>129</v>
      </c>
      <c r="L675" s="137" t="s">
        <v>129</v>
      </c>
      <c r="M675" s="141"/>
      <c r="N675" s="147"/>
    </row>
    <row r="676" hidden="1" outlineLevel="1">
      <c r="A676" s="255" t="s">
        <v>1719</v>
      </c>
      <c r="B676" s="420">
        <v>46231.0</v>
      </c>
      <c r="C676" s="133" t="str">
        <f t="shared" si="80"/>
        <v>Tue</v>
      </c>
      <c r="D676" s="383">
        <f t="shared" si="81"/>
        <v>1</v>
      </c>
      <c r="E676" s="147" t="s">
        <v>129</v>
      </c>
      <c r="F676" s="137" t="s">
        <v>129</v>
      </c>
      <c r="G676" s="137" t="s">
        <v>129</v>
      </c>
      <c r="H676" s="137" t="s">
        <v>129</v>
      </c>
      <c r="I676" s="137" t="s">
        <v>129</v>
      </c>
      <c r="J676" s="137" t="s">
        <v>129</v>
      </c>
      <c r="K676" s="137" t="s">
        <v>129</v>
      </c>
      <c r="L676" s="137" t="s">
        <v>129</v>
      </c>
      <c r="M676" s="141"/>
      <c r="N676" s="147"/>
    </row>
    <row r="677" hidden="1" outlineLevel="1">
      <c r="A677" s="255" t="s">
        <v>1721</v>
      </c>
      <c r="B677" s="420">
        <v>46232.0</v>
      </c>
      <c r="C677" s="133" t="str">
        <f t="shared" si="80"/>
        <v>Wed</v>
      </c>
      <c r="D677" s="381">
        <f t="shared" si="81"/>
        <v>1</v>
      </c>
      <c r="E677" s="382" t="s">
        <v>129</v>
      </c>
      <c r="F677" s="137" t="s">
        <v>129</v>
      </c>
      <c r="G677" s="137" t="s">
        <v>129</v>
      </c>
      <c r="H677" s="137" t="s">
        <v>129</v>
      </c>
      <c r="I677" s="137" t="s">
        <v>129</v>
      </c>
      <c r="J677" s="137" t="s">
        <v>129</v>
      </c>
      <c r="K677" s="137" t="s">
        <v>129</v>
      </c>
      <c r="L677" s="137" t="s">
        <v>129</v>
      </c>
      <c r="M677" s="141"/>
      <c r="N677" s="143"/>
    </row>
    <row r="678" hidden="1" outlineLevel="1">
      <c r="A678" s="255" t="s">
        <v>1723</v>
      </c>
      <c r="B678" s="420">
        <v>46232.0</v>
      </c>
      <c r="C678" s="133" t="str">
        <f t="shared" si="80"/>
        <v>Wed</v>
      </c>
      <c r="D678" s="383">
        <f t="shared" si="81"/>
        <v>1</v>
      </c>
      <c r="E678" s="147" t="s">
        <v>129</v>
      </c>
      <c r="F678" s="137" t="s">
        <v>129</v>
      </c>
      <c r="G678" s="137" t="s">
        <v>129</v>
      </c>
      <c r="H678" s="137" t="s">
        <v>129</v>
      </c>
      <c r="I678" s="137" t="s">
        <v>129</v>
      </c>
      <c r="J678" s="137" t="s">
        <v>129</v>
      </c>
      <c r="K678" s="137" t="s">
        <v>129</v>
      </c>
      <c r="L678" s="137" t="s">
        <v>129</v>
      </c>
      <c r="M678" s="141"/>
      <c r="N678" s="147"/>
    </row>
    <row r="679" hidden="1" outlineLevel="1">
      <c r="A679" s="255" t="s">
        <v>1725</v>
      </c>
      <c r="B679" s="420">
        <v>46232.0</v>
      </c>
      <c r="C679" s="133" t="str">
        <f t="shared" si="80"/>
        <v>Wed</v>
      </c>
      <c r="D679" s="381">
        <f t="shared" si="81"/>
        <v>1</v>
      </c>
      <c r="E679" s="382" t="s">
        <v>129</v>
      </c>
      <c r="F679" s="137" t="s">
        <v>129</v>
      </c>
      <c r="G679" s="137" t="s">
        <v>129</v>
      </c>
      <c r="H679" s="137" t="s">
        <v>129</v>
      </c>
      <c r="I679" s="137" t="s">
        <v>129</v>
      </c>
      <c r="J679" s="137" t="s">
        <v>129</v>
      </c>
      <c r="K679" s="137" t="s">
        <v>129</v>
      </c>
      <c r="L679" s="137" t="s">
        <v>129</v>
      </c>
      <c r="M679" s="141"/>
      <c r="N679" s="143"/>
    </row>
    <row r="680" hidden="1" outlineLevel="1">
      <c r="A680" s="255" t="s">
        <v>1728</v>
      </c>
      <c r="B680" s="420">
        <v>46233.0</v>
      </c>
      <c r="C680" s="133" t="str">
        <f t="shared" si="80"/>
        <v>Thu</v>
      </c>
      <c r="D680" s="383">
        <f t="shared" si="81"/>
        <v>1</v>
      </c>
      <c r="E680" s="147" t="s">
        <v>129</v>
      </c>
      <c r="F680" s="137" t="s">
        <v>129</v>
      </c>
      <c r="G680" s="137" t="s">
        <v>129</v>
      </c>
      <c r="H680" s="137" t="s">
        <v>129</v>
      </c>
      <c r="I680" s="137" t="s">
        <v>129</v>
      </c>
      <c r="J680" s="137" t="s">
        <v>129</v>
      </c>
      <c r="K680" s="137" t="s">
        <v>129</v>
      </c>
      <c r="L680" s="137" t="s">
        <v>129</v>
      </c>
      <c r="M680" s="141"/>
      <c r="N680" s="147"/>
    </row>
    <row r="681" hidden="1" outlineLevel="1">
      <c r="A681" s="255" t="s">
        <v>1733</v>
      </c>
      <c r="B681" s="420">
        <v>46233.0</v>
      </c>
      <c r="C681" s="133" t="str">
        <f t="shared" si="80"/>
        <v>Thu</v>
      </c>
      <c r="D681" s="381">
        <f t="shared" si="81"/>
        <v>1</v>
      </c>
      <c r="E681" s="382" t="s">
        <v>129</v>
      </c>
      <c r="F681" s="137" t="s">
        <v>129</v>
      </c>
      <c r="G681" s="137" t="s">
        <v>129</v>
      </c>
      <c r="H681" s="137" t="s">
        <v>129</v>
      </c>
      <c r="I681" s="137" t="s">
        <v>129</v>
      </c>
      <c r="J681" s="137" t="s">
        <v>129</v>
      </c>
      <c r="K681" s="137" t="s">
        <v>129</v>
      </c>
      <c r="L681" s="137" t="s">
        <v>129</v>
      </c>
      <c r="M681" s="141"/>
      <c r="N681" s="147"/>
    </row>
    <row r="682" hidden="1" outlineLevel="1">
      <c r="A682" s="255" t="s">
        <v>1735</v>
      </c>
      <c r="B682" s="420">
        <v>46233.0</v>
      </c>
      <c r="C682" s="133" t="str">
        <f t="shared" si="80"/>
        <v>Thu</v>
      </c>
      <c r="D682" s="383">
        <f t="shared" si="81"/>
        <v>1</v>
      </c>
      <c r="E682" s="147" t="s">
        <v>129</v>
      </c>
      <c r="F682" s="137" t="s">
        <v>129</v>
      </c>
      <c r="G682" s="137" t="s">
        <v>129</v>
      </c>
      <c r="H682" s="137" t="s">
        <v>129</v>
      </c>
      <c r="I682" s="137" t="s">
        <v>129</v>
      </c>
      <c r="J682" s="137" t="s">
        <v>129</v>
      </c>
      <c r="K682" s="137" t="s">
        <v>129</v>
      </c>
      <c r="L682" s="137" t="s">
        <v>129</v>
      </c>
      <c r="M682" s="141"/>
      <c r="N682" s="147"/>
    </row>
    <row r="683" hidden="1" outlineLevel="1">
      <c r="A683" s="255" t="s">
        <v>1737</v>
      </c>
      <c r="B683" s="420">
        <v>46234.0</v>
      </c>
      <c r="C683" s="133" t="str">
        <f t="shared" si="80"/>
        <v>Fri</v>
      </c>
      <c r="D683" s="381">
        <f t="shared" si="81"/>
        <v>1</v>
      </c>
      <c r="E683" s="382" t="s">
        <v>129</v>
      </c>
      <c r="F683" s="137" t="s">
        <v>129</v>
      </c>
      <c r="G683" s="137" t="s">
        <v>129</v>
      </c>
      <c r="H683" s="137" t="s">
        <v>129</v>
      </c>
      <c r="I683" s="137" t="s">
        <v>129</v>
      </c>
      <c r="J683" s="137" t="s">
        <v>129</v>
      </c>
      <c r="K683" s="137" t="s">
        <v>129</v>
      </c>
      <c r="L683" s="137" t="s">
        <v>129</v>
      </c>
      <c r="M683" s="141"/>
      <c r="N683" s="143"/>
    </row>
    <row r="684" hidden="1" outlineLevel="1">
      <c r="A684" s="255" t="s">
        <v>1739</v>
      </c>
      <c r="B684" s="420">
        <v>46234.0</v>
      </c>
      <c r="C684" s="133" t="str">
        <f t="shared" si="80"/>
        <v>Fri</v>
      </c>
      <c r="D684" s="383">
        <f t="shared" si="81"/>
        <v>1</v>
      </c>
      <c r="E684" s="147" t="s">
        <v>129</v>
      </c>
      <c r="F684" s="137" t="s">
        <v>129</v>
      </c>
      <c r="G684" s="137" t="s">
        <v>129</v>
      </c>
      <c r="H684" s="137" t="s">
        <v>129</v>
      </c>
      <c r="I684" s="137" t="s">
        <v>129</v>
      </c>
      <c r="J684" s="137" t="s">
        <v>129</v>
      </c>
      <c r="K684" s="137" t="s">
        <v>129</v>
      </c>
      <c r="L684" s="137" t="s">
        <v>129</v>
      </c>
      <c r="M684" s="141"/>
      <c r="N684" s="143"/>
    </row>
    <row r="685" ht="15.0" hidden="1" customHeight="1" outlineLevel="1">
      <c r="A685" s="255" t="s">
        <v>1741</v>
      </c>
      <c r="B685" s="420">
        <v>46234.0</v>
      </c>
      <c r="C685" s="133" t="str">
        <f t="shared" si="80"/>
        <v>Fri</v>
      </c>
      <c r="D685" s="381">
        <f t="shared" si="81"/>
        <v>1</v>
      </c>
      <c r="E685" s="382" t="s">
        <v>129</v>
      </c>
      <c r="F685" s="137" t="s">
        <v>129</v>
      </c>
      <c r="G685" s="137" t="s">
        <v>129</v>
      </c>
      <c r="H685" s="137" t="s">
        <v>129</v>
      </c>
      <c r="I685" s="137" t="s">
        <v>129</v>
      </c>
      <c r="J685" s="137" t="s">
        <v>129</v>
      </c>
      <c r="K685" s="137" t="s">
        <v>129</v>
      </c>
      <c r="L685" s="137" t="s">
        <v>129</v>
      </c>
      <c r="M685" s="141"/>
      <c r="N685" s="147"/>
    </row>
    <row r="686" hidden="1" outlineLevel="1">
      <c r="B686" s="189"/>
      <c r="C686" s="191" t="s">
        <v>194</v>
      </c>
      <c r="D686" s="204">
        <f>AVERAGE(D671:D685)</f>
        <v>1</v>
      </c>
      <c r="E686" s="384"/>
      <c r="L686" s="191" t="s">
        <v>194</v>
      </c>
      <c r="M686" s="204">
        <f>SUM(M671:M685)/75*0.1</f>
        <v>0</v>
      </c>
    </row>
    <row r="687">
      <c r="A687" s="206" t="s">
        <v>1318</v>
      </c>
      <c r="B687" s="207"/>
      <c r="C687" s="207"/>
      <c r="D687" s="385"/>
      <c r="E687" s="109"/>
      <c r="F687" s="109"/>
      <c r="G687" s="110"/>
      <c r="H687" s="110"/>
      <c r="I687" s="110"/>
      <c r="J687" s="110"/>
      <c r="K687" s="110"/>
      <c r="L687" s="110"/>
      <c r="M687" s="111"/>
      <c r="N687" s="113"/>
    </row>
    <row r="688" outlineLevel="1">
      <c r="A688" s="373" t="s">
        <v>98</v>
      </c>
      <c r="B688" s="115" t="s">
        <v>100</v>
      </c>
      <c r="C688" s="115" t="s">
        <v>102</v>
      </c>
      <c r="D688" s="119" t="s">
        <v>103</v>
      </c>
      <c r="E688" s="275" t="s">
        <v>269</v>
      </c>
      <c r="F688" s="275" t="s">
        <v>272</v>
      </c>
      <c r="G688" s="276" t="s">
        <v>328</v>
      </c>
      <c r="H688" s="121" t="s">
        <v>107</v>
      </c>
      <c r="I688" s="121" t="s">
        <v>108</v>
      </c>
      <c r="J688" s="276" t="s">
        <v>329</v>
      </c>
      <c r="K688" s="121" t="s">
        <v>111</v>
      </c>
      <c r="L688" s="276" t="s">
        <v>274</v>
      </c>
      <c r="M688" s="115" t="s">
        <v>114</v>
      </c>
      <c r="N688" s="119" t="s">
        <v>115</v>
      </c>
    </row>
    <row r="689" outlineLevel="1">
      <c r="A689" s="255" t="s">
        <v>1745</v>
      </c>
      <c r="B689" s="420">
        <v>46237.0</v>
      </c>
      <c r="C689" s="133" t="str">
        <f t="shared" ref="C689:C703" si="82">IF(B689="", "", TEXT(B689, "ddd"))</f>
        <v>Mon</v>
      </c>
      <c r="D689" s="381">
        <f t="shared" ref="D689:D703" si="83">IF(E689="Yes",0.05,0)
+IF(F689="Yes",0.1,0)
+IF(G689="Yes",0.15,0)
+IF(H689="Yes",0.15,0)
+IF(I689="Yes",0.05,0)
+IF(J689="Yes",0.05,0)
+IF(K689="Yes",0.15,0)
+IF(L689="Yes",0.3,0)
</f>
        <v>1</v>
      </c>
      <c r="E689" s="382" t="s">
        <v>129</v>
      </c>
      <c r="F689" s="137" t="s">
        <v>129</v>
      </c>
      <c r="G689" s="137" t="s">
        <v>129</v>
      </c>
      <c r="H689" s="137" t="s">
        <v>129</v>
      </c>
      <c r="I689" s="137" t="s">
        <v>129</v>
      </c>
      <c r="J689" s="137" t="s">
        <v>129</v>
      </c>
      <c r="K689" s="137" t="s">
        <v>129</v>
      </c>
      <c r="L689" s="137" t="s">
        <v>129</v>
      </c>
      <c r="M689" s="141"/>
      <c r="N689" s="143"/>
    </row>
    <row r="690" outlineLevel="1">
      <c r="A690" s="255" t="s">
        <v>1747</v>
      </c>
      <c r="B690" s="420">
        <v>46237.0</v>
      </c>
      <c r="C690" s="133" t="str">
        <f t="shared" si="82"/>
        <v>Mon</v>
      </c>
      <c r="D690" s="383">
        <f t="shared" si="83"/>
        <v>1</v>
      </c>
      <c r="E690" s="147" t="s">
        <v>129</v>
      </c>
      <c r="F690" s="137" t="s">
        <v>129</v>
      </c>
      <c r="G690" s="137" t="s">
        <v>129</v>
      </c>
      <c r="H690" s="137" t="s">
        <v>129</v>
      </c>
      <c r="I690" s="137" t="s">
        <v>129</v>
      </c>
      <c r="J690" s="137" t="s">
        <v>129</v>
      </c>
      <c r="K690" s="137" t="s">
        <v>129</v>
      </c>
      <c r="L690" s="137" t="s">
        <v>129</v>
      </c>
      <c r="M690" s="141"/>
      <c r="N690" s="147"/>
    </row>
    <row r="691" outlineLevel="1">
      <c r="A691" s="255" t="s">
        <v>1752</v>
      </c>
      <c r="B691" s="420">
        <v>46237.0</v>
      </c>
      <c r="C691" s="133" t="str">
        <f t="shared" si="82"/>
        <v>Mon</v>
      </c>
      <c r="D691" s="381">
        <f t="shared" si="83"/>
        <v>1</v>
      </c>
      <c r="E691" s="382" t="s">
        <v>129</v>
      </c>
      <c r="F691" s="137" t="s">
        <v>129</v>
      </c>
      <c r="G691" s="137" t="s">
        <v>129</v>
      </c>
      <c r="H691" s="137" t="s">
        <v>129</v>
      </c>
      <c r="I691" s="137" t="s">
        <v>129</v>
      </c>
      <c r="J691" s="137" t="s">
        <v>129</v>
      </c>
      <c r="K691" s="137" t="s">
        <v>129</v>
      </c>
      <c r="L691" s="137" t="s">
        <v>129</v>
      </c>
      <c r="M691" s="141"/>
      <c r="N691" s="147"/>
    </row>
    <row r="692" outlineLevel="1">
      <c r="A692" s="255" t="s">
        <v>1754</v>
      </c>
      <c r="B692" s="420">
        <v>46238.0</v>
      </c>
      <c r="C692" s="133" t="str">
        <f t="shared" si="82"/>
        <v>Tue</v>
      </c>
      <c r="D692" s="383">
        <f t="shared" si="83"/>
        <v>1</v>
      </c>
      <c r="E692" s="147" t="s">
        <v>129</v>
      </c>
      <c r="F692" s="137" t="s">
        <v>129</v>
      </c>
      <c r="G692" s="137" t="s">
        <v>129</v>
      </c>
      <c r="H692" s="137" t="s">
        <v>129</v>
      </c>
      <c r="I692" s="137" t="s">
        <v>129</v>
      </c>
      <c r="J692" s="137" t="s">
        <v>129</v>
      </c>
      <c r="K692" s="137" t="s">
        <v>129</v>
      </c>
      <c r="L692" s="137" t="s">
        <v>129</v>
      </c>
      <c r="M692" s="141"/>
      <c r="N692" s="147"/>
    </row>
    <row r="693" outlineLevel="1">
      <c r="A693" s="255" t="s">
        <v>1757</v>
      </c>
      <c r="B693" s="420">
        <v>46238.0</v>
      </c>
      <c r="C693" s="133" t="str">
        <f t="shared" si="82"/>
        <v>Tue</v>
      </c>
      <c r="D693" s="381">
        <f t="shared" si="83"/>
        <v>1</v>
      </c>
      <c r="E693" s="382" t="s">
        <v>129</v>
      </c>
      <c r="F693" s="137" t="s">
        <v>129</v>
      </c>
      <c r="G693" s="137" t="s">
        <v>129</v>
      </c>
      <c r="H693" s="137" t="s">
        <v>129</v>
      </c>
      <c r="I693" s="137" t="s">
        <v>129</v>
      </c>
      <c r="J693" s="137" t="s">
        <v>129</v>
      </c>
      <c r="K693" s="137" t="s">
        <v>129</v>
      </c>
      <c r="L693" s="137" t="s">
        <v>129</v>
      </c>
      <c r="M693" s="141"/>
      <c r="N693" s="147"/>
    </row>
    <row r="694" outlineLevel="1">
      <c r="A694" s="255" t="s">
        <v>1759</v>
      </c>
      <c r="B694" s="420">
        <v>46238.0</v>
      </c>
      <c r="C694" s="133" t="str">
        <f t="shared" si="82"/>
        <v>Tue</v>
      </c>
      <c r="D694" s="383">
        <f t="shared" si="83"/>
        <v>1</v>
      </c>
      <c r="E694" s="147" t="s">
        <v>129</v>
      </c>
      <c r="F694" s="137" t="s">
        <v>129</v>
      </c>
      <c r="G694" s="137" t="s">
        <v>129</v>
      </c>
      <c r="H694" s="137" t="s">
        <v>129</v>
      </c>
      <c r="I694" s="137" t="s">
        <v>129</v>
      </c>
      <c r="J694" s="137" t="s">
        <v>129</v>
      </c>
      <c r="K694" s="137" t="s">
        <v>129</v>
      </c>
      <c r="L694" s="137" t="s">
        <v>129</v>
      </c>
      <c r="M694" s="141"/>
      <c r="N694" s="147"/>
    </row>
    <row r="695" outlineLevel="1">
      <c r="A695" s="255" t="s">
        <v>1761</v>
      </c>
      <c r="B695" s="418">
        <v>46239.0</v>
      </c>
      <c r="C695" s="133" t="str">
        <f t="shared" si="82"/>
        <v>Wed</v>
      </c>
      <c r="D695" s="381">
        <f t="shared" si="83"/>
        <v>1</v>
      </c>
      <c r="E695" s="382" t="s">
        <v>129</v>
      </c>
      <c r="F695" s="137" t="s">
        <v>129</v>
      </c>
      <c r="G695" s="137" t="s">
        <v>129</v>
      </c>
      <c r="H695" s="137" t="s">
        <v>129</v>
      </c>
      <c r="I695" s="137" t="s">
        <v>129</v>
      </c>
      <c r="J695" s="137" t="s">
        <v>129</v>
      </c>
      <c r="K695" s="137" t="s">
        <v>129</v>
      </c>
      <c r="L695" s="137" t="s">
        <v>129</v>
      </c>
      <c r="M695" s="141"/>
      <c r="N695" s="143"/>
    </row>
    <row r="696" outlineLevel="1">
      <c r="A696" s="255" t="s">
        <v>1764</v>
      </c>
      <c r="B696" s="418">
        <v>46239.0</v>
      </c>
      <c r="C696" s="133" t="str">
        <f t="shared" si="82"/>
        <v>Wed</v>
      </c>
      <c r="D696" s="383">
        <f t="shared" si="83"/>
        <v>1</v>
      </c>
      <c r="E696" s="147" t="s">
        <v>129</v>
      </c>
      <c r="F696" s="137" t="s">
        <v>129</v>
      </c>
      <c r="G696" s="137" t="s">
        <v>129</v>
      </c>
      <c r="H696" s="137" t="s">
        <v>129</v>
      </c>
      <c r="I696" s="137" t="s">
        <v>129</v>
      </c>
      <c r="J696" s="137" t="s">
        <v>129</v>
      </c>
      <c r="K696" s="137" t="s">
        <v>129</v>
      </c>
      <c r="L696" s="137" t="s">
        <v>129</v>
      </c>
      <c r="M696" s="141"/>
      <c r="N696" s="147"/>
    </row>
    <row r="697" outlineLevel="1">
      <c r="A697" s="255" t="s">
        <v>1767</v>
      </c>
      <c r="B697" s="418">
        <v>46239.0</v>
      </c>
      <c r="C697" s="133" t="str">
        <f t="shared" si="82"/>
        <v>Wed</v>
      </c>
      <c r="D697" s="381">
        <f t="shared" si="83"/>
        <v>1</v>
      </c>
      <c r="E697" s="382" t="s">
        <v>129</v>
      </c>
      <c r="F697" s="137" t="s">
        <v>129</v>
      </c>
      <c r="G697" s="137" t="s">
        <v>129</v>
      </c>
      <c r="H697" s="137" t="s">
        <v>129</v>
      </c>
      <c r="I697" s="137" t="s">
        <v>129</v>
      </c>
      <c r="J697" s="137" t="s">
        <v>129</v>
      </c>
      <c r="K697" s="137" t="s">
        <v>129</v>
      </c>
      <c r="L697" s="137" t="s">
        <v>129</v>
      </c>
      <c r="M697" s="141"/>
      <c r="N697" s="147"/>
    </row>
    <row r="698" outlineLevel="1">
      <c r="A698" s="255" t="s">
        <v>1769</v>
      </c>
      <c r="B698" s="418">
        <v>46240.0</v>
      </c>
      <c r="C698" s="133" t="str">
        <f t="shared" si="82"/>
        <v>Thu</v>
      </c>
      <c r="D698" s="383">
        <f t="shared" si="83"/>
        <v>1</v>
      </c>
      <c r="E698" s="147" t="s">
        <v>129</v>
      </c>
      <c r="F698" s="137" t="s">
        <v>129</v>
      </c>
      <c r="G698" s="137" t="s">
        <v>129</v>
      </c>
      <c r="H698" s="137" t="s">
        <v>129</v>
      </c>
      <c r="I698" s="137" t="s">
        <v>129</v>
      </c>
      <c r="J698" s="137" t="s">
        <v>129</v>
      </c>
      <c r="K698" s="137" t="s">
        <v>129</v>
      </c>
      <c r="L698" s="137" t="s">
        <v>129</v>
      </c>
      <c r="M698" s="141"/>
      <c r="N698" s="147"/>
    </row>
    <row r="699" outlineLevel="1">
      <c r="A699" s="255" t="s">
        <v>1770</v>
      </c>
      <c r="B699" s="418">
        <v>46240.0</v>
      </c>
      <c r="C699" s="133" t="str">
        <f t="shared" si="82"/>
        <v>Thu</v>
      </c>
      <c r="D699" s="381">
        <f t="shared" si="83"/>
        <v>1</v>
      </c>
      <c r="E699" s="382" t="s">
        <v>129</v>
      </c>
      <c r="F699" s="137" t="s">
        <v>129</v>
      </c>
      <c r="G699" s="137" t="s">
        <v>129</v>
      </c>
      <c r="H699" s="137" t="s">
        <v>129</v>
      </c>
      <c r="I699" s="137" t="s">
        <v>129</v>
      </c>
      <c r="J699" s="137" t="s">
        <v>129</v>
      </c>
      <c r="K699" s="137" t="s">
        <v>129</v>
      </c>
      <c r="L699" s="137" t="s">
        <v>129</v>
      </c>
      <c r="M699" s="141"/>
      <c r="N699" s="147"/>
    </row>
    <row r="700" outlineLevel="1">
      <c r="A700" s="255" t="s">
        <v>1772</v>
      </c>
      <c r="B700" s="418">
        <v>46240.0</v>
      </c>
      <c r="C700" s="133" t="str">
        <f t="shared" si="82"/>
        <v>Thu</v>
      </c>
      <c r="D700" s="383">
        <f t="shared" si="83"/>
        <v>1</v>
      </c>
      <c r="E700" s="147" t="s">
        <v>129</v>
      </c>
      <c r="F700" s="137" t="s">
        <v>129</v>
      </c>
      <c r="G700" s="137" t="s">
        <v>129</v>
      </c>
      <c r="H700" s="137" t="s">
        <v>129</v>
      </c>
      <c r="I700" s="137" t="s">
        <v>129</v>
      </c>
      <c r="J700" s="137" t="s">
        <v>129</v>
      </c>
      <c r="K700" s="137" t="s">
        <v>129</v>
      </c>
      <c r="L700" s="137" t="s">
        <v>129</v>
      </c>
      <c r="M700" s="141"/>
      <c r="N700" s="147"/>
    </row>
    <row r="701" outlineLevel="1">
      <c r="A701" s="255" t="s">
        <v>1773</v>
      </c>
      <c r="B701" s="418">
        <v>46241.0</v>
      </c>
      <c r="C701" s="133" t="str">
        <f t="shared" si="82"/>
        <v>Fri</v>
      </c>
      <c r="D701" s="381">
        <f t="shared" si="83"/>
        <v>1</v>
      </c>
      <c r="E701" s="382" t="s">
        <v>129</v>
      </c>
      <c r="F701" s="137" t="s">
        <v>129</v>
      </c>
      <c r="G701" s="137" t="s">
        <v>129</v>
      </c>
      <c r="H701" s="137" t="s">
        <v>129</v>
      </c>
      <c r="I701" s="137" t="s">
        <v>129</v>
      </c>
      <c r="J701" s="137" t="s">
        <v>129</v>
      </c>
      <c r="K701" s="137" t="s">
        <v>129</v>
      </c>
      <c r="L701" s="137" t="s">
        <v>129</v>
      </c>
      <c r="M701" s="141"/>
      <c r="N701" s="147"/>
    </row>
    <row r="702" outlineLevel="1">
      <c r="A702" s="255" t="s">
        <v>1775</v>
      </c>
      <c r="B702" s="418">
        <v>46241.0</v>
      </c>
      <c r="C702" s="133" t="str">
        <f t="shared" si="82"/>
        <v>Fri</v>
      </c>
      <c r="D702" s="383">
        <f t="shared" si="83"/>
        <v>1</v>
      </c>
      <c r="E702" s="147" t="s">
        <v>129</v>
      </c>
      <c r="F702" s="137" t="s">
        <v>129</v>
      </c>
      <c r="G702" s="137" t="s">
        <v>129</v>
      </c>
      <c r="H702" s="137" t="s">
        <v>129</v>
      </c>
      <c r="I702" s="137" t="s">
        <v>129</v>
      </c>
      <c r="J702" s="137" t="s">
        <v>129</v>
      </c>
      <c r="K702" s="137" t="s">
        <v>129</v>
      </c>
      <c r="L702" s="137" t="s">
        <v>129</v>
      </c>
      <c r="M702" s="141"/>
      <c r="N702" s="147"/>
    </row>
    <row r="703" ht="15.0" customHeight="1" outlineLevel="1">
      <c r="A703" s="255" t="s">
        <v>1777</v>
      </c>
      <c r="B703" s="418">
        <v>46241.0</v>
      </c>
      <c r="C703" s="133" t="str">
        <f t="shared" si="82"/>
        <v>Fri</v>
      </c>
      <c r="D703" s="381">
        <f t="shared" si="83"/>
        <v>1</v>
      </c>
      <c r="E703" s="382" t="s">
        <v>129</v>
      </c>
      <c r="F703" s="137" t="s">
        <v>129</v>
      </c>
      <c r="G703" s="137" t="s">
        <v>129</v>
      </c>
      <c r="H703" s="137" t="s">
        <v>129</v>
      </c>
      <c r="I703" s="137" t="s">
        <v>129</v>
      </c>
      <c r="J703" s="137" t="s">
        <v>129</v>
      </c>
      <c r="K703" s="137" t="s">
        <v>129</v>
      </c>
      <c r="L703" s="137" t="s">
        <v>129</v>
      </c>
      <c r="M703" s="141"/>
      <c r="N703" s="147"/>
    </row>
    <row r="704" outlineLevel="1">
      <c r="B704" s="189"/>
      <c r="C704" s="191" t="s">
        <v>194</v>
      </c>
      <c r="D704" s="204">
        <f>AVERAGE(D689:D703)</f>
        <v>1</v>
      </c>
      <c r="E704" s="384"/>
      <c r="L704" s="191" t="s">
        <v>194</v>
      </c>
      <c r="M704" s="204">
        <f>SUM(M689:M703)/75*0.1</f>
        <v>0</v>
      </c>
    </row>
    <row r="705">
      <c r="B705" s="189"/>
    </row>
    <row r="706">
      <c r="B706" s="189"/>
    </row>
    <row r="707">
      <c r="B707" s="189"/>
    </row>
    <row r="708">
      <c r="B708" s="189"/>
    </row>
    <row r="709">
      <c r="B709" s="189"/>
    </row>
    <row r="710">
      <c r="B710" s="189"/>
    </row>
    <row r="711">
      <c r="B711" s="189"/>
    </row>
    <row r="712">
      <c r="B712" s="189"/>
    </row>
    <row r="713">
      <c r="B713" s="189"/>
    </row>
    <row r="714">
      <c r="B714" s="189"/>
    </row>
    <row r="715">
      <c r="B715" s="189"/>
    </row>
    <row r="716">
      <c r="B716" s="189"/>
    </row>
    <row r="717">
      <c r="B717" s="189"/>
    </row>
    <row r="718">
      <c r="B718" s="189"/>
    </row>
    <row r="719">
      <c r="B719" s="189"/>
    </row>
    <row r="720">
      <c r="B720" s="189"/>
    </row>
    <row r="721">
      <c r="B721" s="189"/>
    </row>
    <row r="722">
      <c r="B722" s="189"/>
    </row>
    <row r="723">
      <c r="B723" s="189"/>
    </row>
    <row r="724">
      <c r="B724" s="189"/>
    </row>
    <row r="725">
      <c r="B725" s="189"/>
    </row>
    <row r="726">
      <c r="B726" s="189"/>
    </row>
    <row r="727">
      <c r="B727" s="189"/>
    </row>
    <row r="728">
      <c r="B728" s="189"/>
    </row>
    <row r="729">
      <c r="B729" s="189"/>
    </row>
    <row r="730">
      <c r="B730" s="189"/>
    </row>
    <row r="731">
      <c r="B731" s="189"/>
    </row>
    <row r="732">
      <c r="B732" s="189"/>
    </row>
    <row r="733">
      <c r="B733" s="189"/>
    </row>
    <row r="734">
      <c r="B734" s="189"/>
    </row>
    <row r="735">
      <c r="B735" s="189"/>
    </row>
    <row r="736">
      <c r="B736" s="189"/>
    </row>
    <row r="737">
      <c r="B737" s="189"/>
    </row>
    <row r="738">
      <c r="B738" s="189"/>
    </row>
    <row r="739">
      <c r="B739" s="189"/>
    </row>
    <row r="740">
      <c r="B740" s="189"/>
    </row>
    <row r="741">
      <c r="B741" s="189"/>
    </row>
    <row r="742">
      <c r="B742" s="189"/>
    </row>
    <row r="743">
      <c r="B743" s="189"/>
    </row>
    <row r="744">
      <c r="B744" s="189"/>
    </row>
    <row r="745">
      <c r="B745" s="189"/>
    </row>
    <row r="746">
      <c r="B746" s="189"/>
    </row>
    <row r="747">
      <c r="B747" s="189"/>
    </row>
    <row r="748">
      <c r="B748" s="189"/>
    </row>
    <row r="749">
      <c r="B749" s="189"/>
    </row>
    <row r="750">
      <c r="B750" s="189"/>
    </row>
    <row r="751">
      <c r="B751" s="189"/>
    </row>
    <row r="752">
      <c r="B752" s="189"/>
    </row>
    <row r="753">
      <c r="B753" s="189"/>
    </row>
    <row r="754">
      <c r="B754" s="189"/>
    </row>
    <row r="755">
      <c r="B755" s="189"/>
    </row>
    <row r="756">
      <c r="B756" s="189"/>
    </row>
    <row r="757">
      <c r="B757" s="189"/>
    </row>
    <row r="758">
      <c r="B758" s="189"/>
    </row>
    <row r="759">
      <c r="B759" s="189"/>
    </row>
    <row r="760">
      <c r="B760" s="189"/>
    </row>
    <row r="761">
      <c r="B761" s="189"/>
    </row>
    <row r="762">
      <c r="B762" s="189"/>
    </row>
    <row r="763">
      <c r="B763" s="189"/>
    </row>
    <row r="764">
      <c r="B764" s="189"/>
    </row>
    <row r="765">
      <c r="B765" s="189"/>
    </row>
    <row r="766">
      <c r="B766" s="189"/>
    </row>
    <row r="767">
      <c r="B767" s="189"/>
    </row>
    <row r="768">
      <c r="B768" s="189"/>
    </row>
    <row r="769">
      <c r="B769" s="189"/>
    </row>
    <row r="770">
      <c r="B770" s="189"/>
    </row>
    <row r="771">
      <c r="B771" s="189"/>
    </row>
    <row r="772">
      <c r="B772" s="189"/>
    </row>
    <row r="773">
      <c r="B773" s="189"/>
    </row>
    <row r="774">
      <c r="B774" s="189"/>
    </row>
    <row r="775">
      <c r="B775" s="189"/>
    </row>
    <row r="776">
      <c r="B776" s="189"/>
    </row>
    <row r="777">
      <c r="B777" s="189"/>
    </row>
    <row r="778">
      <c r="B778" s="189"/>
    </row>
    <row r="779">
      <c r="B779" s="189"/>
    </row>
    <row r="780">
      <c r="B780" s="189"/>
    </row>
    <row r="781">
      <c r="B781" s="189"/>
    </row>
    <row r="782">
      <c r="B782" s="189"/>
    </row>
    <row r="783">
      <c r="B783" s="189"/>
    </row>
    <row r="784">
      <c r="B784" s="189"/>
    </row>
    <row r="785">
      <c r="B785" s="189"/>
    </row>
    <row r="786">
      <c r="B786" s="189"/>
    </row>
    <row r="787">
      <c r="B787" s="189"/>
    </row>
    <row r="788">
      <c r="B788" s="189"/>
    </row>
    <row r="789">
      <c r="B789" s="189"/>
    </row>
    <row r="790">
      <c r="B790" s="189"/>
    </row>
    <row r="791">
      <c r="B791" s="189"/>
    </row>
    <row r="792">
      <c r="B792" s="189"/>
    </row>
    <row r="793">
      <c r="B793" s="189"/>
    </row>
    <row r="794">
      <c r="B794" s="189"/>
    </row>
    <row r="795">
      <c r="B795" s="189"/>
    </row>
    <row r="796">
      <c r="B796" s="189"/>
    </row>
    <row r="797">
      <c r="B797" s="189"/>
    </row>
    <row r="798">
      <c r="B798" s="189"/>
    </row>
    <row r="799">
      <c r="B799" s="189"/>
    </row>
    <row r="800">
      <c r="B800" s="189"/>
    </row>
    <row r="801">
      <c r="B801" s="189"/>
    </row>
    <row r="802">
      <c r="B802" s="189"/>
    </row>
    <row r="803">
      <c r="B803" s="189"/>
    </row>
    <row r="804">
      <c r="B804" s="189"/>
    </row>
    <row r="805">
      <c r="B805" s="189"/>
    </row>
    <row r="806">
      <c r="B806" s="189"/>
    </row>
    <row r="807">
      <c r="B807" s="189"/>
    </row>
    <row r="808">
      <c r="B808" s="189"/>
    </row>
    <row r="809">
      <c r="B809" s="189"/>
    </row>
    <row r="810">
      <c r="B810" s="189"/>
    </row>
    <row r="811">
      <c r="B811" s="189"/>
    </row>
    <row r="812">
      <c r="B812" s="189"/>
    </row>
    <row r="813">
      <c r="B813" s="189"/>
    </row>
    <row r="814">
      <c r="B814" s="189"/>
    </row>
    <row r="815">
      <c r="B815" s="189"/>
    </row>
    <row r="816">
      <c r="B816" s="189"/>
    </row>
    <row r="817">
      <c r="B817" s="189"/>
    </row>
    <row r="818">
      <c r="B818" s="189"/>
    </row>
    <row r="819">
      <c r="B819" s="189"/>
    </row>
    <row r="820">
      <c r="B820" s="189"/>
    </row>
    <row r="821">
      <c r="B821" s="189"/>
    </row>
    <row r="822">
      <c r="B822" s="189"/>
    </row>
    <row r="823">
      <c r="B823" s="189"/>
    </row>
    <row r="824">
      <c r="B824" s="189"/>
    </row>
    <row r="825">
      <c r="B825" s="189"/>
    </row>
    <row r="826">
      <c r="B826" s="189"/>
    </row>
    <row r="827">
      <c r="B827" s="189"/>
    </row>
    <row r="828">
      <c r="B828" s="189"/>
    </row>
    <row r="829">
      <c r="B829" s="189"/>
    </row>
    <row r="830">
      <c r="B830" s="189"/>
    </row>
    <row r="831">
      <c r="B831" s="189"/>
    </row>
    <row r="832">
      <c r="B832" s="189"/>
    </row>
    <row r="833">
      <c r="B833" s="189"/>
    </row>
    <row r="834">
      <c r="B834" s="189"/>
    </row>
    <row r="835">
      <c r="B835" s="189"/>
    </row>
    <row r="836">
      <c r="B836" s="189"/>
    </row>
    <row r="837">
      <c r="B837" s="189"/>
    </row>
    <row r="838">
      <c r="B838" s="189"/>
    </row>
    <row r="839">
      <c r="B839" s="189"/>
    </row>
    <row r="840">
      <c r="B840" s="189"/>
    </row>
    <row r="841">
      <c r="B841" s="189"/>
    </row>
    <row r="842">
      <c r="B842" s="189"/>
    </row>
    <row r="843">
      <c r="B843" s="189"/>
    </row>
    <row r="844">
      <c r="B844" s="189"/>
    </row>
    <row r="845">
      <c r="B845" s="189"/>
    </row>
    <row r="846">
      <c r="B846" s="189"/>
    </row>
    <row r="847">
      <c r="B847" s="189"/>
    </row>
    <row r="848">
      <c r="B848" s="189"/>
    </row>
    <row r="849">
      <c r="B849" s="189"/>
    </row>
    <row r="850">
      <c r="B850" s="189"/>
    </row>
    <row r="851">
      <c r="B851" s="189"/>
    </row>
    <row r="852">
      <c r="B852" s="189"/>
    </row>
    <row r="853">
      <c r="B853" s="189"/>
    </row>
    <row r="854">
      <c r="B854" s="189"/>
    </row>
    <row r="855">
      <c r="B855" s="189"/>
    </row>
    <row r="856">
      <c r="B856" s="189"/>
    </row>
    <row r="857">
      <c r="B857" s="189"/>
    </row>
    <row r="858">
      <c r="B858" s="189"/>
    </row>
    <row r="859">
      <c r="B859" s="189"/>
    </row>
    <row r="860">
      <c r="B860" s="189"/>
    </row>
    <row r="861">
      <c r="B861" s="189"/>
    </row>
    <row r="862">
      <c r="B862" s="189"/>
    </row>
    <row r="863">
      <c r="B863" s="189"/>
    </row>
    <row r="864">
      <c r="B864" s="189"/>
    </row>
    <row r="865">
      <c r="B865" s="189"/>
    </row>
    <row r="866">
      <c r="B866" s="189"/>
    </row>
    <row r="867">
      <c r="B867" s="189"/>
    </row>
    <row r="868">
      <c r="B868" s="189"/>
    </row>
    <row r="869">
      <c r="B869" s="189"/>
    </row>
    <row r="870">
      <c r="B870" s="189"/>
    </row>
    <row r="871">
      <c r="B871" s="189"/>
    </row>
    <row r="872">
      <c r="B872" s="189"/>
    </row>
    <row r="873">
      <c r="B873" s="189"/>
    </row>
    <row r="874">
      <c r="B874" s="189"/>
    </row>
    <row r="875">
      <c r="B875" s="189"/>
    </row>
    <row r="876">
      <c r="B876" s="189"/>
    </row>
    <row r="877">
      <c r="B877" s="189"/>
    </row>
    <row r="878">
      <c r="B878" s="189"/>
    </row>
    <row r="879">
      <c r="B879" s="189"/>
    </row>
    <row r="880">
      <c r="B880" s="189"/>
    </row>
    <row r="881">
      <c r="B881" s="189"/>
    </row>
    <row r="882">
      <c r="B882" s="189"/>
    </row>
    <row r="883">
      <c r="B883" s="189"/>
    </row>
    <row r="884">
      <c r="B884" s="189"/>
    </row>
    <row r="885">
      <c r="B885" s="189"/>
    </row>
    <row r="886">
      <c r="B886" s="189"/>
    </row>
    <row r="887">
      <c r="B887" s="189"/>
    </row>
    <row r="888">
      <c r="B888" s="189"/>
    </row>
    <row r="889">
      <c r="B889" s="189"/>
    </row>
    <row r="890">
      <c r="B890" s="189"/>
    </row>
    <row r="891">
      <c r="B891" s="189"/>
    </row>
    <row r="892">
      <c r="B892" s="189"/>
    </row>
    <row r="893">
      <c r="B893" s="189"/>
    </row>
    <row r="894">
      <c r="B894" s="189"/>
    </row>
    <row r="895">
      <c r="B895" s="189"/>
    </row>
    <row r="896">
      <c r="B896" s="189"/>
    </row>
    <row r="897">
      <c r="B897" s="189"/>
    </row>
    <row r="898">
      <c r="B898" s="189"/>
    </row>
    <row r="899">
      <c r="B899" s="189"/>
    </row>
    <row r="900">
      <c r="B900" s="189"/>
    </row>
    <row r="901">
      <c r="B901" s="189"/>
    </row>
    <row r="902">
      <c r="B902" s="189"/>
    </row>
    <row r="903">
      <c r="B903" s="189"/>
    </row>
    <row r="904">
      <c r="B904" s="189"/>
    </row>
    <row r="905">
      <c r="B905" s="189"/>
    </row>
    <row r="906">
      <c r="B906" s="189"/>
    </row>
    <row r="907">
      <c r="B907" s="189"/>
    </row>
    <row r="908">
      <c r="B908" s="189"/>
    </row>
    <row r="909">
      <c r="B909" s="189"/>
    </row>
    <row r="910">
      <c r="B910" s="189"/>
    </row>
    <row r="911">
      <c r="B911" s="189"/>
    </row>
    <row r="912">
      <c r="B912" s="189"/>
    </row>
    <row r="913">
      <c r="B913" s="189"/>
    </row>
    <row r="914">
      <c r="B914" s="189"/>
    </row>
    <row r="915">
      <c r="B915" s="189"/>
    </row>
    <row r="916">
      <c r="B916" s="189"/>
    </row>
    <row r="917">
      <c r="B917" s="189"/>
    </row>
    <row r="918">
      <c r="B918" s="189"/>
    </row>
    <row r="919">
      <c r="B919" s="189"/>
    </row>
    <row r="920">
      <c r="B920" s="189"/>
    </row>
    <row r="921">
      <c r="B921" s="189"/>
    </row>
    <row r="922">
      <c r="B922" s="189"/>
    </row>
    <row r="923">
      <c r="B923" s="189"/>
    </row>
    <row r="924">
      <c r="B924" s="189"/>
    </row>
    <row r="925">
      <c r="B925" s="189"/>
    </row>
    <row r="926">
      <c r="B926" s="189"/>
    </row>
    <row r="927">
      <c r="B927" s="189"/>
    </row>
    <row r="928">
      <c r="B928" s="189"/>
    </row>
    <row r="929">
      <c r="B929" s="189"/>
    </row>
    <row r="930">
      <c r="B930" s="189"/>
    </row>
    <row r="931">
      <c r="B931" s="189"/>
    </row>
    <row r="932">
      <c r="B932" s="189"/>
    </row>
    <row r="933">
      <c r="B933" s="189"/>
    </row>
    <row r="934">
      <c r="B934" s="189"/>
    </row>
    <row r="935">
      <c r="B935" s="189"/>
    </row>
    <row r="936">
      <c r="B936" s="189"/>
    </row>
    <row r="937">
      <c r="B937" s="189"/>
    </row>
    <row r="938">
      <c r="B938" s="189"/>
    </row>
    <row r="939">
      <c r="B939" s="189"/>
    </row>
    <row r="940">
      <c r="B940" s="189"/>
    </row>
    <row r="941">
      <c r="B941" s="189"/>
    </row>
    <row r="942">
      <c r="B942" s="189"/>
    </row>
    <row r="943">
      <c r="B943" s="189"/>
    </row>
    <row r="944">
      <c r="B944" s="189"/>
    </row>
    <row r="945">
      <c r="B945" s="189"/>
    </row>
    <row r="946">
      <c r="B946" s="189"/>
    </row>
    <row r="947">
      <c r="B947" s="189"/>
    </row>
    <row r="948">
      <c r="B948" s="189"/>
    </row>
    <row r="949">
      <c r="B949" s="189"/>
    </row>
    <row r="950">
      <c r="B950" s="189"/>
    </row>
    <row r="951">
      <c r="B951" s="189"/>
    </row>
    <row r="952">
      <c r="B952" s="189"/>
    </row>
    <row r="953">
      <c r="B953" s="189"/>
    </row>
    <row r="954">
      <c r="B954" s="189"/>
    </row>
    <row r="955">
      <c r="B955" s="189"/>
    </row>
    <row r="956">
      <c r="B956" s="189"/>
    </row>
    <row r="957">
      <c r="B957" s="189"/>
    </row>
    <row r="958">
      <c r="B958" s="189"/>
    </row>
    <row r="959">
      <c r="B959" s="189"/>
    </row>
    <row r="960">
      <c r="B960" s="189"/>
    </row>
    <row r="961">
      <c r="B961" s="189"/>
    </row>
    <row r="962">
      <c r="B962" s="189"/>
    </row>
    <row r="963">
      <c r="B963" s="189"/>
    </row>
    <row r="964">
      <c r="B964" s="189"/>
    </row>
    <row r="965">
      <c r="B965" s="189"/>
    </row>
    <row r="966">
      <c r="B966" s="189"/>
    </row>
    <row r="967">
      <c r="B967" s="189"/>
    </row>
    <row r="968">
      <c r="B968" s="189"/>
    </row>
    <row r="969">
      <c r="B969" s="189"/>
    </row>
    <row r="970">
      <c r="B970" s="189"/>
    </row>
    <row r="971">
      <c r="B971" s="189"/>
    </row>
    <row r="972">
      <c r="B972" s="189"/>
    </row>
    <row r="973">
      <c r="B973" s="189"/>
    </row>
    <row r="974">
      <c r="B974" s="189"/>
    </row>
    <row r="975">
      <c r="B975" s="189"/>
    </row>
    <row r="976">
      <c r="B976" s="189"/>
    </row>
    <row r="977">
      <c r="B977" s="189"/>
    </row>
    <row r="978">
      <c r="B978" s="189"/>
    </row>
    <row r="979">
      <c r="B979" s="189"/>
    </row>
    <row r="980">
      <c r="B980" s="189"/>
    </row>
    <row r="981">
      <c r="B981" s="189"/>
    </row>
    <row r="982">
      <c r="B982" s="189"/>
    </row>
    <row r="983">
      <c r="B983" s="189"/>
    </row>
    <row r="984">
      <c r="B984" s="189"/>
    </row>
    <row r="985">
      <c r="B985" s="189"/>
    </row>
    <row r="986">
      <c r="B986" s="189"/>
    </row>
    <row r="987">
      <c r="B987" s="189"/>
    </row>
    <row r="988">
      <c r="B988" s="189"/>
    </row>
    <row r="989">
      <c r="B989" s="189"/>
    </row>
    <row r="990">
      <c r="B990" s="189"/>
    </row>
    <row r="991">
      <c r="B991" s="189"/>
    </row>
    <row r="992">
      <c r="B992" s="189"/>
    </row>
    <row r="993">
      <c r="B993" s="189"/>
    </row>
    <row r="994">
      <c r="B994" s="189"/>
    </row>
    <row r="995">
      <c r="B995" s="189"/>
    </row>
    <row r="996">
      <c r="B996" s="189"/>
    </row>
    <row r="997">
      <c r="B997" s="189"/>
    </row>
    <row r="998">
      <c r="B998" s="189"/>
    </row>
    <row r="999">
      <c r="B999" s="189"/>
    </row>
    <row r="1000">
      <c r="B1000" s="189"/>
    </row>
    <row r="1001">
      <c r="B1001" s="189"/>
    </row>
    <row r="1002">
      <c r="B1002" s="189"/>
    </row>
    <row r="1003">
      <c r="B1003" s="189"/>
    </row>
  </sheetData>
  <mergeCells count="39">
    <mergeCell ref="A2:D2"/>
    <mergeCell ref="A20:D20"/>
    <mergeCell ref="A38:D38"/>
    <mergeCell ref="A57:D57"/>
    <mergeCell ref="A75:D75"/>
    <mergeCell ref="A93:D93"/>
    <mergeCell ref="A111:D111"/>
    <mergeCell ref="A129:D129"/>
    <mergeCell ref="A147:D147"/>
    <mergeCell ref="A165:D165"/>
    <mergeCell ref="A183:D183"/>
    <mergeCell ref="A201:D201"/>
    <mergeCell ref="A219:D219"/>
    <mergeCell ref="A237:D237"/>
    <mergeCell ref="A255:D255"/>
    <mergeCell ref="A273:D273"/>
    <mergeCell ref="A291:D291"/>
    <mergeCell ref="A309:D309"/>
    <mergeCell ref="A327:D327"/>
    <mergeCell ref="A345:D345"/>
    <mergeCell ref="A363:D363"/>
    <mergeCell ref="A381:D381"/>
    <mergeCell ref="A399:D399"/>
    <mergeCell ref="A417:D417"/>
    <mergeCell ref="A435:D435"/>
    <mergeCell ref="A453:D453"/>
    <mergeCell ref="A471:D471"/>
    <mergeCell ref="A489:D489"/>
    <mergeCell ref="A633:D633"/>
    <mergeCell ref="A651:D651"/>
    <mergeCell ref="A669:D669"/>
    <mergeCell ref="A687:D687"/>
    <mergeCell ref="A507:D507"/>
    <mergeCell ref="A525:D525"/>
    <mergeCell ref="A543:D543"/>
    <mergeCell ref="A561:D561"/>
    <mergeCell ref="A579:D579"/>
    <mergeCell ref="A597:D597"/>
    <mergeCell ref="A615:D615"/>
  </mergeCells>
  <conditionalFormatting sqref="E59:L70 A77:A79 B77:B91 C77:D79 E77:L88 A95:A97 B95:B109 C95:D97 E95:L109 A113:A115 B113:B127 C113:D115 E113:L127 A131:A133 B131:B145 C131:D133 E131:L145 A149:A151 B149:B163 C149:D151 E149:L163 A167:A169 B167:B181 C167:D169 E167:L181 A185:A187 B185:B199 C185:D187 E185:L199 A203:A205 B203:B217 C203:D205 E203:L217 C215:C217 A221:A223 B221:B235 C221:D223 E221:L235 C233:C235 A239:A241 B239:B253 C239:D241 E239:L253 C251:C253 A257:A259 B257:B271 C257:D259 E257:L271 C269:C271 A275:A277 B275:B289 C275:D277 E275:L289 C287:C289 A293:A295 B293:B307 C293:D295 E293:L307 C305:C307 A311:A313 B311:B325 C311:D313 E311:L325 C323:C325 A329:A331 B329:B343 C329:D331 E329:L343 C341:C343 A347:A349 B347:B361 C347:D349 E347:L361 C359:C361 A365:A367 B365:B379 C365:D367 E365:L379 C377:C379 A383:A385 B383:B397 C383:D385 E383:L397 C395:C397 A401:A403 B401:B415 C401:D403 E401:L415 C413:C415 A419:A421 B419:B433 C419:D421 E419:L433 A431:A433 C431:D433 A437:A439 B437:B451 C437:D439 E437:L451 A449:A451 C449:D451 A455:A457 B455:B469 C455:D457 E455:L469 A467:A469 C467:D469 A473:A475 B473:B487 C473:D475 E473:L487 A485:A487 C485:D487 A491:A493 B491:B505 C491:D493 E491:L505 A503:A505 C503:D505 A509:A511 B509:B523 C509:D511 E509:L523 A521:A523 C521:D523 A527:A529 B527:B541 C527:D529 E527:L541 A539:A541 C539:D541 A545:A547 B545:B559 C545:D547 E545:L559 A557:A559 C557:D559 A563:B577 C563:D565 E563:L577 C575:D577 A581:B595 C581:D583 E581:L595 C593:D595 A599:B613 C599:D601 E599:L613 C611:D613 A617:B631 C617:D619 E617:L631 C629:D631 A635:B649 C635:D637 E635:L649 C647:D649 A653:B667 C653:D655 E653:L667 C665:D667 A671:B685 C671:D673 E671:L685 C683:D685 A689:B703 C689:D691 E689:L703 C701:D703">
    <cfRule type="cellIs" dxfId="7" priority="1" operator="equal">
      <formula>"LWOP"</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8" priority="2" operator="equal">
      <formula>"OFF"</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9" priority="3" operator="equal">
      <formula>"A"</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10" priority="4" operator="equal">
      <formula>"LWOP"</formula>
    </cfRule>
  </conditionalFormatting>
  <conditionalFormatting sqref="A1:N1003">
    <cfRule type="cellIs" dxfId="6" priority="5" operator="equal">
      <formula>"Absent"</formula>
    </cfRule>
  </conditionalFormatting>
  <dataValidations>
    <dataValidation type="list" allowBlank="1" showErrorMessage="1" sqref="E4:L18 E22:L36 E40:L54 E59:L73 E77:L91 E95:L109 E113:L127 E131:L145 E149:L163 E167:L181 E185:L199 E203:L217 E221:L235 E239:L253 E257:L271 E275:L289 E293:L307 E311:L325 E329:L343 E347:L361 E365:L379 E383:L397 E401:L415 E419:L433 E437:L451 E455:L469 E473:L487 E491:L505 E509:L523 E527:L541 E545:L559 E563:L577 E581:L595 E599:L613 E617:L631 E635:L649 E653:L667 E671:L685 E689:L703">
      <formula1>"Yes,No"</formula1>
    </dataValidation>
  </dataValidations>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22"/>
    <hyperlink r:id="rId17" ref="A23"/>
    <hyperlink r:id="rId18" ref="A24"/>
    <hyperlink r:id="rId19" ref="A25"/>
    <hyperlink r:id="rId20" ref="A26"/>
    <hyperlink r:id="rId21" ref="A27"/>
    <hyperlink r:id="rId22" ref="A28"/>
    <hyperlink r:id="rId23" ref="A29"/>
    <hyperlink r:id="rId24" ref="A30"/>
    <hyperlink r:id="rId25" ref="A31"/>
    <hyperlink r:id="rId26" ref="A32"/>
    <hyperlink r:id="rId27" ref="A33"/>
    <hyperlink r:id="rId28" ref="A34"/>
    <hyperlink r:id="rId29" ref="A35"/>
    <hyperlink r:id="rId30" ref="A36"/>
    <hyperlink r:id="rId31" ref="A40"/>
    <hyperlink r:id="rId32" ref="A41"/>
    <hyperlink r:id="rId33" ref="A42"/>
    <hyperlink r:id="rId34" ref="A43"/>
    <hyperlink r:id="rId35" ref="A44"/>
    <hyperlink r:id="rId36" ref="A45"/>
    <hyperlink r:id="rId37" ref="A46"/>
    <hyperlink r:id="rId38" ref="A47"/>
    <hyperlink r:id="rId39" ref="A48"/>
    <hyperlink r:id="rId40" ref="A49"/>
    <hyperlink r:id="rId41" ref="A50"/>
    <hyperlink r:id="rId42" ref="A51"/>
    <hyperlink r:id="rId43" ref="A52"/>
    <hyperlink r:id="rId44" ref="A53"/>
    <hyperlink r:id="rId45" ref="A54"/>
    <hyperlink r:id="rId46" ref="A59"/>
    <hyperlink r:id="rId47" ref="A60"/>
    <hyperlink r:id="rId48" ref="A61"/>
    <hyperlink r:id="rId49" ref="A62"/>
    <hyperlink r:id="rId50" ref="A63"/>
    <hyperlink r:id="rId51" ref="A64"/>
    <hyperlink r:id="rId52" ref="A65"/>
    <hyperlink r:id="rId53" ref="A66"/>
    <hyperlink r:id="rId54" ref="A67"/>
    <hyperlink r:id="rId55" ref="A68"/>
    <hyperlink r:id="rId56" ref="A69"/>
    <hyperlink r:id="rId57" ref="A70"/>
    <hyperlink r:id="rId58" ref="A71"/>
    <hyperlink r:id="rId59" ref="A72"/>
    <hyperlink r:id="rId60" ref="A73"/>
    <hyperlink r:id="rId61" ref="A77"/>
    <hyperlink r:id="rId62" ref="A78"/>
    <hyperlink r:id="rId63" ref="A79"/>
    <hyperlink r:id="rId64" ref="A80"/>
    <hyperlink r:id="rId65" ref="A81"/>
    <hyperlink r:id="rId66" ref="A82"/>
    <hyperlink r:id="rId67" ref="A83"/>
    <hyperlink r:id="rId68" ref="A84"/>
    <hyperlink r:id="rId69" ref="A85"/>
    <hyperlink r:id="rId70" ref="A86"/>
    <hyperlink r:id="rId71" ref="A87"/>
    <hyperlink r:id="rId72" ref="A88"/>
    <hyperlink r:id="rId73" ref="A89"/>
    <hyperlink r:id="rId74" ref="A90"/>
    <hyperlink r:id="rId75" ref="A91"/>
    <hyperlink r:id="rId76" ref="A95"/>
    <hyperlink r:id="rId77" ref="A96"/>
    <hyperlink r:id="rId78" ref="A97"/>
    <hyperlink r:id="rId79" ref="A98"/>
    <hyperlink r:id="rId80" ref="A99"/>
    <hyperlink r:id="rId81" ref="A100"/>
    <hyperlink r:id="rId82" ref="A104"/>
    <hyperlink r:id="rId83" ref="A105"/>
    <hyperlink r:id="rId84" ref="A106"/>
    <hyperlink r:id="rId85" ref="A107"/>
    <hyperlink r:id="rId86" ref="A108"/>
    <hyperlink r:id="rId87" ref="A109"/>
    <hyperlink r:id="rId88" ref="A113"/>
    <hyperlink r:id="rId89" ref="A114"/>
    <hyperlink r:id="rId90" ref="A115"/>
    <hyperlink r:id="rId91" ref="A116"/>
    <hyperlink r:id="rId92" ref="A117"/>
    <hyperlink r:id="rId93" ref="A118"/>
    <hyperlink r:id="rId94" ref="A119"/>
    <hyperlink r:id="rId95" ref="A120"/>
    <hyperlink r:id="rId96" ref="A121"/>
    <hyperlink r:id="rId97" ref="A125"/>
    <hyperlink r:id="rId98" ref="A126"/>
    <hyperlink r:id="rId99" ref="A127"/>
    <hyperlink r:id="rId100" ref="A131"/>
    <hyperlink r:id="rId101" ref="A132"/>
    <hyperlink r:id="rId102" ref="A133"/>
    <hyperlink r:id="rId103" ref="A137"/>
    <hyperlink r:id="rId104" ref="A138"/>
    <hyperlink r:id="rId105" ref="A139"/>
    <hyperlink r:id="rId106" ref="A140"/>
    <hyperlink r:id="rId107" ref="A141"/>
    <hyperlink r:id="rId108" ref="A142"/>
    <hyperlink r:id="rId109" ref="A143"/>
    <hyperlink r:id="rId110" ref="A144"/>
    <hyperlink r:id="rId111" ref="A145"/>
    <hyperlink r:id="rId112" ref="A149"/>
    <hyperlink r:id="rId113" ref="A150"/>
    <hyperlink r:id="rId114" ref="A151"/>
    <hyperlink r:id="rId115" ref="A152"/>
    <hyperlink r:id="rId116" ref="A153"/>
    <hyperlink r:id="rId117" ref="A154"/>
    <hyperlink r:id="rId118" ref="A155"/>
    <hyperlink r:id="rId119" ref="A156"/>
    <hyperlink r:id="rId120" ref="A157"/>
    <hyperlink r:id="rId121" ref="A158"/>
    <hyperlink r:id="rId122" ref="A159"/>
    <hyperlink r:id="rId123" ref="A160"/>
    <hyperlink r:id="rId124" ref="A161"/>
    <hyperlink r:id="rId125" ref="A162"/>
    <hyperlink r:id="rId126" ref="A163"/>
    <hyperlink r:id="rId127" ref="A167"/>
    <hyperlink r:id="rId128" ref="A168"/>
    <hyperlink r:id="rId129" ref="A169"/>
    <hyperlink r:id="rId130" ref="A170"/>
    <hyperlink r:id="rId131" ref="A171"/>
    <hyperlink r:id="rId132" ref="A172"/>
    <hyperlink r:id="rId133" ref="A173"/>
    <hyperlink r:id="rId134" ref="A174"/>
    <hyperlink r:id="rId135" ref="A175"/>
    <hyperlink r:id="rId136" ref="A176"/>
    <hyperlink r:id="rId137" ref="A177"/>
    <hyperlink r:id="rId138" ref="A178"/>
    <hyperlink r:id="rId139" ref="A179"/>
    <hyperlink r:id="rId140" ref="A180"/>
    <hyperlink r:id="rId141" ref="A181"/>
    <hyperlink r:id="rId142" ref="A185"/>
    <hyperlink r:id="rId143" ref="A186"/>
    <hyperlink r:id="rId144" ref="A187"/>
    <hyperlink r:id="rId145" ref="A188"/>
    <hyperlink r:id="rId146" ref="A189"/>
    <hyperlink r:id="rId147" ref="A190"/>
    <hyperlink r:id="rId148" ref="A197"/>
    <hyperlink r:id="rId149" ref="A198"/>
    <hyperlink r:id="rId150" ref="A199"/>
    <hyperlink r:id="rId151" ref="A203"/>
    <hyperlink r:id="rId152" ref="A204"/>
    <hyperlink r:id="rId153" ref="A205"/>
    <hyperlink r:id="rId154" ref="A206"/>
    <hyperlink r:id="rId155" ref="A207"/>
    <hyperlink r:id="rId156" ref="A208"/>
    <hyperlink r:id="rId157" ref="A209"/>
    <hyperlink r:id="rId158" ref="A210"/>
    <hyperlink r:id="rId159" ref="A211"/>
    <hyperlink r:id="rId160" ref="A212"/>
    <hyperlink r:id="rId161" ref="A213"/>
    <hyperlink r:id="rId162" ref="A214"/>
    <hyperlink r:id="rId163" ref="A215"/>
    <hyperlink r:id="rId164" ref="A216"/>
    <hyperlink r:id="rId165" ref="A217"/>
    <hyperlink r:id="rId166" ref="A221"/>
    <hyperlink r:id="rId167" ref="A222"/>
    <hyperlink r:id="rId168" ref="A223"/>
    <hyperlink r:id="rId169" ref="A224"/>
    <hyperlink r:id="rId170" ref="A225"/>
    <hyperlink r:id="rId171" ref="A226"/>
    <hyperlink r:id="rId172" ref="A227"/>
    <hyperlink r:id="rId173" ref="A228"/>
    <hyperlink r:id="rId174" ref="A229"/>
    <hyperlink r:id="rId175" ref="A230"/>
    <hyperlink r:id="rId176" ref="A231"/>
    <hyperlink r:id="rId177" ref="A232"/>
    <hyperlink r:id="rId178" ref="A233"/>
    <hyperlink r:id="rId179" ref="A234"/>
    <hyperlink r:id="rId180" ref="A235"/>
    <hyperlink r:id="rId181" ref="A240"/>
    <hyperlink r:id="rId182" ref="A241"/>
    <hyperlink r:id="rId183" ref="A242"/>
    <hyperlink r:id="rId184" ref="A243"/>
    <hyperlink r:id="rId185" ref="A244"/>
    <hyperlink r:id="rId186" ref="A248"/>
    <hyperlink r:id="rId187" ref="A249"/>
    <hyperlink r:id="rId188" ref="A250"/>
    <hyperlink r:id="rId189" ref="A251"/>
    <hyperlink r:id="rId190" ref="A252"/>
    <hyperlink r:id="rId191" ref="A253"/>
    <hyperlink r:id="rId192" ref="A257"/>
    <hyperlink r:id="rId193" ref="A258"/>
    <hyperlink r:id="rId194" ref="A259"/>
    <hyperlink r:id="rId195" ref="A260"/>
    <hyperlink r:id="rId196" ref="A261"/>
    <hyperlink r:id="rId197" ref="A262"/>
    <hyperlink r:id="rId198" ref="A263"/>
    <hyperlink r:id="rId199" ref="A264"/>
    <hyperlink r:id="rId200" ref="A265"/>
    <hyperlink r:id="rId201" ref="A266"/>
    <hyperlink r:id="rId202" ref="A267"/>
    <hyperlink r:id="rId203" ref="A268"/>
    <hyperlink r:id="rId204" ref="A269"/>
    <hyperlink r:id="rId205" ref="A270"/>
    <hyperlink r:id="rId206" ref="A271"/>
    <hyperlink r:id="rId207" ref="A275"/>
    <hyperlink r:id="rId208" ref="A276"/>
    <hyperlink r:id="rId209" ref="A277"/>
    <hyperlink r:id="rId210" ref="A278"/>
    <hyperlink r:id="rId211" ref="A279"/>
    <hyperlink r:id="rId212" ref="A280"/>
    <hyperlink r:id="rId213" ref="A281"/>
    <hyperlink r:id="rId214" ref="A282"/>
    <hyperlink r:id="rId215" ref="A283"/>
    <hyperlink r:id="rId216" ref="A284"/>
    <hyperlink r:id="rId217" ref="A285"/>
    <hyperlink r:id="rId218" ref="A286"/>
    <hyperlink r:id="rId219" ref="A287"/>
    <hyperlink r:id="rId220" ref="A288"/>
    <hyperlink r:id="rId221" ref="A289"/>
    <hyperlink r:id="rId222" ref="A293"/>
    <hyperlink r:id="rId223" ref="A294"/>
    <hyperlink r:id="rId224" ref="A295"/>
    <hyperlink r:id="rId225" ref="A296"/>
    <hyperlink r:id="rId226" ref="A297"/>
    <hyperlink r:id="rId227" ref="A298"/>
    <hyperlink r:id="rId228" ref="A299"/>
    <hyperlink r:id="rId229" ref="A300"/>
    <hyperlink r:id="rId230" ref="A301"/>
    <hyperlink r:id="rId231" ref="A302"/>
    <hyperlink r:id="rId232" ref="A303"/>
    <hyperlink r:id="rId233" ref="A304"/>
    <hyperlink r:id="rId234" ref="A305"/>
    <hyperlink r:id="rId235" ref="A306"/>
    <hyperlink r:id="rId236" ref="A307"/>
    <hyperlink r:id="rId237" ref="A311"/>
    <hyperlink r:id="rId238" ref="A312"/>
    <hyperlink r:id="rId239" ref="A313"/>
    <hyperlink r:id="rId240" ref="A314"/>
    <hyperlink r:id="rId241" ref="A315"/>
    <hyperlink r:id="rId242" ref="A316"/>
    <hyperlink r:id="rId243" ref="A317"/>
    <hyperlink r:id="rId244" ref="A318"/>
    <hyperlink r:id="rId245" ref="A319"/>
    <hyperlink r:id="rId246" ref="A320"/>
    <hyperlink r:id="rId247" ref="A321"/>
    <hyperlink r:id="rId248" ref="A322"/>
    <hyperlink r:id="rId249" ref="A323"/>
    <hyperlink r:id="rId250" ref="A324"/>
    <hyperlink r:id="rId251" ref="A325"/>
    <hyperlink r:id="rId252" ref="A329"/>
    <hyperlink r:id="rId253" ref="A330"/>
    <hyperlink r:id="rId254" ref="A331"/>
    <hyperlink r:id="rId255" ref="A332"/>
    <hyperlink r:id="rId256" ref="A333"/>
    <hyperlink r:id="rId257" ref="A334"/>
    <hyperlink r:id="rId258" ref="A335"/>
    <hyperlink r:id="rId259" ref="A336"/>
    <hyperlink r:id="rId260" ref="A337"/>
    <hyperlink r:id="rId261" ref="A338"/>
    <hyperlink r:id="rId262" ref="A339"/>
    <hyperlink r:id="rId263" ref="A340"/>
    <hyperlink r:id="rId264" ref="A341"/>
    <hyperlink r:id="rId265" ref="A342"/>
    <hyperlink r:id="rId266" ref="A343"/>
    <hyperlink r:id="rId267" ref="A347"/>
    <hyperlink r:id="rId268" ref="A348"/>
    <hyperlink r:id="rId269" ref="A349"/>
    <hyperlink r:id="rId270" ref="A350"/>
    <hyperlink r:id="rId271" ref="A351"/>
    <hyperlink r:id="rId272" ref="A352"/>
    <hyperlink r:id="rId273" ref="A353"/>
    <hyperlink r:id="rId274" ref="A354"/>
    <hyperlink r:id="rId275" ref="A355"/>
    <hyperlink r:id="rId276" ref="A356"/>
    <hyperlink r:id="rId277" ref="A357"/>
    <hyperlink r:id="rId278" ref="A358"/>
    <hyperlink r:id="rId279" ref="A359"/>
    <hyperlink r:id="rId280" ref="A360"/>
    <hyperlink r:id="rId281" ref="A361"/>
    <hyperlink r:id="rId282" ref="A365"/>
    <hyperlink r:id="rId283" ref="A366"/>
    <hyperlink r:id="rId284" ref="A367"/>
    <hyperlink r:id="rId285" ref="A368"/>
    <hyperlink r:id="rId286" ref="A369"/>
    <hyperlink r:id="rId287" ref="A370"/>
    <hyperlink r:id="rId288" ref="A371"/>
    <hyperlink r:id="rId289" ref="A372"/>
    <hyperlink r:id="rId290" ref="A373"/>
    <hyperlink r:id="rId291" ref="A374"/>
    <hyperlink r:id="rId292" ref="A375"/>
    <hyperlink r:id="rId293" ref="A376"/>
    <hyperlink r:id="rId294" ref="A383"/>
    <hyperlink r:id="rId295" ref="A384"/>
    <hyperlink r:id="rId296" ref="A385"/>
    <hyperlink r:id="rId297" ref="A386"/>
    <hyperlink r:id="rId298" ref="A387"/>
    <hyperlink r:id="rId299" ref="A388"/>
    <hyperlink r:id="rId300" ref="A389"/>
    <hyperlink r:id="rId301" ref="A390"/>
    <hyperlink r:id="rId302" ref="A391"/>
    <hyperlink r:id="rId303" ref="A392"/>
    <hyperlink r:id="rId304" ref="A393"/>
    <hyperlink r:id="rId305" ref="A394"/>
    <hyperlink r:id="rId306" ref="A395"/>
    <hyperlink r:id="rId307" ref="A396"/>
    <hyperlink r:id="rId308" ref="A397"/>
    <hyperlink r:id="rId309" ref="A401"/>
    <hyperlink r:id="rId310" ref="A402"/>
    <hyperlink r:id="rId311" ref="A403"/>
    <hyperlink r:id="rId312" ref="A404"/>
    <hyperlink r:id="rId313" ref="A405"/>
    <hyperlink r:id="rId314" ref="A406"/>
    <hyperlink r:id="rId315" ref="A407"/>
    <hyperlink r:id="rId316" ref="A408"/>
    <hyperlink r:id="rId317" ref="A409"/>
    <hyperlink r:id="rId318" ref="A410"/>
    <hyperlink r:id="rId319" ref="A411"/>
    <hyperlink r:id="rId320" ref="A412"/>
    <hyperlink r:id="rId321" ref="A413"/>
    <hyperlink r:id="rId322" ref="A414"/>
    <hyperlink r:id="rId323" ref="A415"/>
    <hyperlink r:id="rId324" ref="A419"/>
    <hyperlink r:id="rId325" ref="A420"/>
    <hyperlink r:id="rId326" ref="A421"/>
    <hyperlink r:id="rId327" ref="A422"/>
    <hyperlink r:id="rId328" ref="A423"/>
    <hyperlink r:id="rId329" ref="A424"/>
    <hyperlink r:id="rId330" ref="A425"/>
    <hyperlink r:id="rId331" ref="A426"/>
    <hyperlink r:id="rId332" ref="A427"/>
    <hyperlink r:id="rId333" ref="A428"/>
    <hyperlink r:id="rId334" ref="A429"/>
    <hyperlink r:id="rId335" ref="A430"/>
    <hyperlink r:id="rId336" ref="A431"/>
    <hyperlink r:id="rId337" ref="A432"/>
    <hyperlink r:id="rId338" ref="A433"/>
    <hyperlink r:id="rId339" ref="A437"/>
    <hyperlink r:id="rId340" ref="A438"/>
    <hyperlink r:id="rId341" ref="A439"/>
    <hyperlink r:id="rId342" ref="A440"/>
    <hyperlink r:id="rId343" ref="A441"/>
    <hyperlink r:id="rId344" ref="A442"/>
    <hyperlink r:id="rId345" ref="A443"/>
    <hyperlink r:id="rId346" ref="A444"/>
    <hyperlink r:id="rId347" ref="A445"/>
    <hyperlink r:id="rId348" ref="A446"/>
    <hyperlink r:id="rId349" ref="A447"/>
    <hyperlink r:id="rId350" ref="A448"/>
    <hyperlink r:id="rId351" ref="A449"/>
    <hyperlink r:id="rId352" ref="A450"/>
    <hyperlink r:id="rId353" ref="A451"/>
    <hyperlink r:id="rId354" ref="A455"/>
    <hyperlink r:id="rId355" ref="A456"/>
    <hyperlink r:id="rId356" ref="A457"/>
    <hyperlink r:id="rId357" ref="A458"/>
    <hyperlink r:id="rId358" ref="A459"/>
    <hyperlink r:id="rId359" ref="A460"/>
    <hyperlink r:id="rId360" ref="A461"/>
    <hyperlink r:id="rId361" ref="A462"/>
    <hyperlink r:id="rId362" ref="A463"/>
    <hyperlink r:id="rId363" ref="A464"/>
    <hyperlink r:id="rId364" ref="A465"/>
    <hyperlink r:id="rId365" ref="A466"/>
    <hyperlink r:id="rId366" ref="A467"/>
    <hyperlink r:id="rId367" ref="A468"/>
    <hyperlink r:id="rId368" ref="A469"/>
    <hyperlink r:id="rId369" ref="A473"/>
    <hyperlink r:id="rId370" ref="A474"/>
    <hyperlink r:id="rId371" ref="A475"/>
    <hyperlink r:id="rId372" ref="A476"/>
    <hyperlink r:id="rId373" ref="A477"/>
    <hyperlink r:id="rId374" ref="A478"/>
    <hyperlink r:id="rId375" ref="A479"/>
    <hyperlink r:id="rId376" ref="A480"/>
    <hyperlink r:id="rId377" ref="A481"/>
    <hyperlink r:id="rId378" ref="A482"/>
    <hyperlink r:id="rId379" ref="A483"/>
    <hyperlink r:id="rId380" ref="A484"/>
    <hyperlink r:id="rId381" ref="A485"/>
    <hyperlink r:id="rId382" ref="A486"/>
    <hyperlink r:id="rId383" ref="A487"/>
    <hyperlink r:id="rId384" ref="A491"/>
    <hyperlink r:id="rId385" ref="A492"/>
    <hyperlink r:id="rId386" ref="A493"/>
    <hyperlink r:id="rId387" ref="A494"/>
    <hyperlink r:id="rId388" ref="A495"/>
    <hyperlink r:id="rId389" ref="A496"/>
    <hyperlink r:id="rId390" ref="A497"/>
    <hyperlink r:id="rId391" ref="A498"/>
    <hyperlink r:id="rId392" ref="A499"/>
    <hyperlink r:id="rId393" ref="A500"/>
    <hyperlink r:id="rId394" ref="A501"/>
    <hyperlink r:id="rId395" ref="A502"/>
    <hyperlink r:id="rId396" ref="A509"/>
    <hyperlink r:id="rId397" ref="A510"/>
    <hyperlink r:id="rId398" ref="A511"/>
    <hyperlink r:id="rId399" ref="A512"/>
    <hyperlink r:id="rId400" ref="A513"/>
    <hyperlink r:id="rId401" ref="A514"/>
    <hyperlink r:id="rId402" ref="A515"/>
    <hyperlink r:id="rId403" ref="A516"/>
    <hyperlink r:id="rId404" ref="A517"/>
    <hyperlink r:id="rId405" ref="A518"/>
    <hyperlink r:id="rId406" ref="A519"/>
    <hyperlink r:id="rId407" ref="A520"/>
    <hyperlink r:id="rId408" ref="A521"/>
    <hyperlink r:id="rId409" ref="A522"/>
    <hyperlink r:id="rId410" ref="A523"/>
    <hyperlink r:id="rId411" ref="A527"/>
    <hyperlink r:id="rId412" ref="A528"/>
    <hyperlink r:id="rId413" ref="A529"/>
    <hyperlink r:id="rId414" ref="A530"/>
    <hyperlink r:id="rId415" ref="A531"/>
    <hyperlink r:id="rId416" ref="A532"/>
    <hyperlink r:id="rId417" ref="A534"/>
    <hyperlink r:id="rId418" ref="A535"/>
    <hyperlink r:id="rId419" ref="A536"/>
    <hyperlink r:id="rId420" ref="A537"/>
    <hyperlink r:id="rId421" ref="A538"/>
    <hyperlink r:id="rId422" ref="A539"/>
    <hyperlink r:id="rId423" ref="A540"/>
    <hyperlink r:id="rId424" ref="A541"/>
    <hyperlink r:id="rId425" ref="A545"/>
    <hyperlink r:id="rId426" ref="A546"/>
    <hyperlink r:id="rId427" ref="A547"/>
    <hyperlink r:id="rId428" ref="A548"/>
    <hyperlink r:id="rId429" ref="A549"/>
    <hyperlink r:id="rId430" ref="A550"/>
    <hyperlink r:id="rId431" ref="A551"/>
    <hyperlink r:id="rId432" ref="A552"/>
    <hyperlink r:id="rId433" ref="A553"/>
    <hyperlink r:id="rId434" ref="A554"/>
    <hyperlink r:id="rId435" ref="A555"/>
    <hyperlink r:id="rId436" ref="A556"/>
    <hyperlink r:id="rId437" ref="A557"/>
    <hyperlink r:id="rId438" ref="A558"/>
    <hyperlink r:id="rId439" ref="A559"/>
    <hyperlink r:id="rId440" ref="A581"/>
    <hyperlink r:id="rId441" ref="A582"/>
    <hyperlink r:id="rId442" ref="A583"/>
    <hyperlink r:id="rId443" ref="A584"/>
    <hyperlink r:id="rId444" ref="A585"/>
    <hyperlink r:id="rId445" ref="A586"/>
    <hyperlink r:id="rId446" ref="A587"/>
    <hyperlink r:id="rId447" ref="A588"/>
    <hyperlink r:id="rId448" ref="A589"/>
    <hyperlink r:id="rId449" ref="A590"/>
    <hyperlink r:id="rId450" ref="A591"/>
    <hyperlink r:id="rId451" ref="A592"/>
    <hyperlink r:id="rId452" ref="A593"/>
    <hyperlink r:id="rId453" ref="A594"/>
    <hyperlink r:id="rId454" ref="A595"/>
    <hyperlink r:id="rId455" ref="A599"/>
    <hyperlink r:id="rId456" ref="A600"/>
    <hyperlink r:id="rId457" ref="A601"/>
    <hyperlink r:id="rId458" ref="A602"/>
    <hyperlink r:id="rId459" ref="A603"/>
    <hyperlink r:id="rId460" ref="A604"/>
    <hyperlink r:id="rId461" ref="A605"/>
    <hyperlink r:id="rId462" ref="A606"/>
    <hyperlink r:id="rId463" ref="A607"/>
    <hyperlink r:id="rId464" ref="A608"/>
    <hyperlink r:id="rId465" ref="A609"/>
    <hyperlink r:id="rId466" ref="A610"/>
    <hyperlink r:id="rId467" ref="A611"/>
    <hyperlink r:id="rId468" ref="A612"/>
    <hyperlink r:id="rId469" ref="A613"/>
    <hyperlink r:id="rId470" ref="A617"/>
    <hyperlink r:id="rId471" ref="A618"/>
    <hyperlink r:id="rId472" ref="A619"/>
    <hyperlink r:id="rId473" ref="A620"/>
    <hyperlink r:id="rId474" ref="A621"/>
    <hyperlink r:id="rId475" ref="A622"/>
    <hyperlink r:id="rId476" ref="A623"/>
    <hyperlink r:id="rId477" ref="A624"/>
    <hyperlink r:id="rId478" ref="A625"/>
    <hyperlink r:id="rId479" ref="A626"/>
    <hyperlink r:id="rId480" ref="A627"/>
    <hyperlink r:id="rId481" ref="A628"/>
    <hyperlink r:id="rId482" ref="A629"/>
    <hyperlink r:id="rId483" ref="A630"/>
    <hyperlink r:id="rId484" ref="A631"/>
    <hyperlink r:id="rId485" ref="A635"/>
    <hyperlink r:id="rId486" ref="A636"/>
    <hyperlink r:id="rId487" ref="A637"/>
    <hyperlink r:id="rId488" ref="A638"/>
    <hyperlink r:id="rId489" ref="A639"/>
    <hyperlink r:id="rId490" ref="A640"/>
    <hyperlink r:id="rId491" ref="A641"/>
    <hyperlink r:id="rId492" ref="A642"/>
    <hyperlink r:id="rId493" ref="A643"/>
    <hyperlink r:id="rId494" ref="A644"/>
    <hyperlink r:id="rId495" ref="A645"/>
    <hyperlink r:id="rId496" ref="A646"/>
    <hyperlink r:id="rId497" ref="A647"/>
    <hyperlink r:id="rId498" ref="A648"/>
    <hyperlink r:id="rId499" ref="A649"/>
    <hyperlink r:id="rId500" ref="A653"/>
    <hyperlink r:id="rId501" ref="A654"/>
    <hyperlink r:id="rId502" ref="A655"/>
    <hyperlink r:id="rId503" ref="A656"/>
    <hyperlink r:id="rId504" ref="A657"/>
    <hyperlink r:id="rId505" ref="A658"/>
    <hyperlink r:id="rId506" ref="A659"/>
    <hyperlink r:id="rId507" ref="A660"/>
    <hyperlink r:id="rId508" ref="A661"/>
    <hyperlink r:id="rId509" ref="A662"/>
    <hyperlink r:id="rId510" ref="A663"/>
    <hyperlink r:id="rId511" ref="A664"/>
    <hyperlink r:id="rId512" ref="A665"/>
    <hyperlink r:id="rId513" ref="A666"/>
    <hyperlink r:id="rId514" ref="A667"/>
    <hyperlink r:id="rId515" ref="A672"/>
    <hyperlink r:id="rId516" ref="A673"/>
    <hyperlink r:id="rId517" ref="A674"/>
    <hyperlink r:id="rId518" ref="A675"/>
    <hyperlink r:id="rId519" ref="A676"/>
    <hyperlink r:id="rId520" ref="A677"/>
    <hyperlink r:id="rId521" ref="A678"/>
    <hyperlink r:id="rId522" ref="A679"/>
    <hyperlink r:id="rId523" ref="A680"/>
    <hyperlink r:id="rId524" ref="A681"/>
    <hyperlink r:id="rId525" ref="A682"/>
    <hyperlink r:id="rId526" ref="A683"/>
    <hyperlink r:id="rId527" ref="A684"/>
    <hyperlink r:id="rId528" ref="A685"/>
    <hyperlink r:id="rId529" ref="A689"/>
    <hyperlink r:id="rId530" ref="A690"/>
    <hyperlink r:id="rId531" ref="A691"/>
    <hyperlink r:id="rId532" ref="A692"/>
    <hyperlink r:id="rId533" ref="A693"/>
    <hyperlink r:id="rId534" ref="A694"/>
    <hyperlink r:id="rId535" ref="A695"/>
    <hyperlink r:id="rId536" ref="A696"/>
    <hyperlink r:id="rId537" ref="A697"/>
    <hyperlink r:id="rId538" ref="A698"/>
    <hyperlink r:id="rId539" ref="A699"/>
    <hyperlink r:id="rId540" ref="A700"/>
    <hyperlink r:id="rId541" ref="A701"/>
    <hyperlink r:id="rId542" ref="A702"/>
    <hyperlink r:id="rId543" ref="A703"/>
  </hyperlinks>
  <drawing r:id="rId544"/>
  <tableParts count="22">
    <tablePart r:id="rId567"/>
    <tablePart r:id="rId568"/>
    <tablePart r:id="rId569"/>
    <tablePart r:id="rId570"/>
    <tablePart r:id="rId571"/>
    <tablePart r:id="rId572"/>
    <tablePart r:id="rId573"/>
    <tablePart r:id="rId574"/>
    <tablePart r:id="rId575"/>
    <tablePart r:id="rId576"/>
    <tablePart r:id="rId577"/>
    <tablePart r:id="rId578"/>
    <tablePart r:id="rId579"/>
    <tablePart r:id="rId580"/>
    <tablePart r:id="rId581"/>
    <tablePart r:id="rId582"/>
    <tablePart r:id="rId583"/>
    <tablePart r:id="rId584"/>
    <tablePart r:id="rId585"/>
    <tablePart r:id="rId586"/>
    <tablePart r:id="rId587"/>
    <tablePart r:id="rId58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74.88"/>
  </cols>
  <sheetData>
    <row r="1" hidden="1" collapsed="1">
      <c r="A1" s="89">
        <v>45962.0</v>
      </c>
      <c r="B1" s="91"/>
      <c r="C1" s="91"/>
      <c r="D1" s="91"/>
      <c r="E1" s="94"/>
      <c r="F1" s="94"/>
      <c r="G1" s="96"/>
      <c r="H1" s="96"/>
      <c r="I1" s="96"/>
      <c r="J1" s="96"/>
      <c r="K1" s="96"/>
      <c r="L1" s="96"/>
      <c r="M1" s="101"/>
      <c r="N1" s="102"/>
    </row>
    <row r="2" hidden="1" outlineLevel="1" collapsed="1">
      <c r="A2" s="105" t="s">
        <v>97</v>
      </c>
      <c r="B2" s="106"/>
      <c r="C2" s="106"/>
      <c r="D2" s="107"/>
      <c r="E2" s="109"/>
      <c r="F2" s="109"/>
      <c r="G2" s="110"/>
      <c r="H2" s="110"/>
      <c r="I2" s="110"/>
      <c r="J2" s="110"/>
      <c r="K2" s="110"/>
      <c r="L2" s="110"/>
      <c r="M2" s="111"/>
      <c r="N2" s="113"/>
    </row>
    <row r="3" hidden="1" outlineLevel="2">
      <c r="A3" s="115" t="s">
        <v>98</v>
      </c>
      <c r="B3" s="115" t="s">
        <v>100</v>
      </c>
      <c r="C3" s="115" t="s">
        <v>102</v>
      </c>
      <c r="D3" s="119" t="s">
        <v>103</v>
      </c>
      <c r="E3" s="120" t="s">
        <v>104</v>
      </c>
      <c r="F3" s="120" t="s">
        <v>105</v>
      </c>
      <c r="G3" s="121" t="s">
        <v>106</v>
      </c>
      <c r="H3" s="121" t="s">
        <v>107</v>
      </c>
      <c r="I3" s="121" t="s">
        <v>108</v>
      </c>
      <c r="J3" s="121" t="s">
        <v>110</v>
      </c>
      <c r="K3" s="121" t="s">
        <v>111</v>
      </c>
      <c r="L3" s="121" t="s">
        <v>112</v>
      </c>
      <c r="M3" s="115" t="s">
        <v>114</v>
      </c>
      <c r="N3" s="119" t="s">
        <v>115</v>
      </c>
    </row>
    <row r="4" hidden="1" outlineLevel="2">
      <c r="A4" s="131" t="s">
        <v>197</v>
      </c>
      <c r="B4" s="132">
        <v>45971.0</v>
      </c>
      <c r="C4" s="133" t="str">
        <f t="shared" ref="C4:C18" si="1">IF(B4="", "", TEXT(B4, "ddd"))</f>
        <v>Mon</v>
      </c>
      <c r="D4" s="136">
        <f t="shared" ref="D4:D18" si="2">IF(E4="Yes",0.05,0)
+IF(F4="Yes",0.1,0)
+IF(G4="Yes",0.1,0)
+IF(H4="Yes",0.15,0)
+IF(I4="Yes",0.05,0)
+IF(J4="Yes",0.1,0)
+IF(K4="Yes",0.15,0)
+IF(L4="Yes",0.3,0)
</f>
        <v>1</v>
      </c>
      <c r="E4" s="137" t="s">
        <v>129</v>
      </c>
      <c r="F4" s="137" t="s">
        <v>129</v>
      </c>
      <c r="G4" s="137" t="s">
        <v>129</v>
      </c>
      <c r="H4" s="137" t="s">
        <v>129</v>
      </c>
      <c r="I4" s="137" t="s">
        <v>129</v>
      </c>
      <c r="J4" s="137" t="s">
        <v>129</v>
      </c>
      <c r="K4" s="137" t="s">
        <v>129</v>
      </c>
      <c r="L4" s="137" t="s">
        <v>129</v>
      </c>
      <c r="M4" s="141">
        <f t="shared" ref="M4:M18" si="3">IF(D4="", 0, 
    IF(D4&gt;=1, 5, 
    IF(D4&gt;=0.8, 4, 
    IF(D4&gt;=0.7, 3, 
    IF(D4&gt;=0.6, 2, 
    IF(D4&lt;0.5, 1, ""))))))</f>
        <v>5</v>
      </c>
      <c r="N4" s="143"/>
    </row>
    <row r="5" hidden="1" outlineLevel="2">
      <c r="A5" s="131" t="s">
        <v>211</v>
      </c>
      <c r="B5" s="132">
        <v>45971.0</v>
      </c>
      <c r="C5" s="133" t="str">
        <f t="shared" si="1"/>
        <v>Mon</v>
      </c>
      <c r="D5" s="136">
        <f t="shared" si="2"/>
        <v>1</v>
      </c>
      <c r="E5" s="137" t="s">
        <v>129</v>
      </c>
      <c r="F5" s="137" t="s">
        <v>129</v>
      </c>
      <c r="G5" s="137" t="s">
        <v>129</v>
      </c>
      <c r="H5" s="137" t="s">
        <v>129</v>
      </c>
      <c r="I5" s="137" t="s">
        <v>129</v>
      </c>
      <c r="J5" s="137" t="s">
        <v>129</v>
      </c>
      <c r="K5" s="137" t="s">
        <v>129</v>
      </c>
      <c r="L5" s="137" t="s">
        <v>129</v>
      </c>
      <c r="M5" s="141">
        <f t="shared" si="3"/>
        <v>5</v>
      </c>
      <c r="N5" s="147" t="s">
        <v>214</v>
      </c>
    </row>
    <row r="6" hidden="1" outlineLevel="2">
      <c r="A6" s="219" t="s">
        <v>215</v>
      </c>
      <c r="B6" s="132">
        <v>45971.0</v>
      </c>
      <c r="C6" s="133" t="str">
        <f t="shared" si="1"/>
        <v>Mon</v>
      </c>
      <c r="D6" s="136">
        <f t="shared" si="2"/>
        <v>1</v>
      </c>
      <c r="E6" s="137" t="s">
        <v>129</v>
      </c>
      <c r="F6" s="137" t="s">
        <v>129</v>
      </c>
      <c r="G6" s="137" t="s">
        <v>129</v>
      </c>
      <c r="H6" s="137" t="s">
        <v>129</v>
      </c>
      <c r="I6" s="137" t="s">
        <v>129</v>
      </c>
      <c r="J6" s="137" t="s">
        <v>129</v>
      </c>
      <c r="K6" s="137" t="s">
        <v>129</v>
      </c>
      <c r="L6" s="137" t="s">
        <v>129</v>
      </c>
      <c r="M6" s="141">
        <f t="shared" si="3"/>
        <v>5</v>
      </c>
      <c r="N6" s="143"/>
    </row>
    <row r="7" hidden="1" outlineLevel="2">
      <c r="A7" s="156" t="s">
        <v>217</v>
      </c>
      <c r="B7" s="132">
        <v>45972.0</v>
      </c>
      <c r="C7" s="133" t="str">
        <f t="shared" si="1"/>
        <v>Tue</v>
      </c>
      <c r="D7" s="136">
        <f t="shared" si="2"/>
        <v>1</v>
      </c>
      <c r="E7" s="137" t="s">
        <v>129</v>
      </c>
      <c r="F7" s="137" t="s">
        <v>129</v>
      </c>
      <c r="G7" s="137" t="s">
        <v>129</v>
      </c>
      <c r="H7" s="137" t="s">
        <v>129</v>
      </c>
      <c r="I7" s="137" t="s">
        <v>129</v>
      </c>
      <c r="J7" s="137" t="s">
        <v>129</v>
      </c>
      <c r="K7" s="137" t="s">
        <v>129</v>
      </c>
      <c r="L7" s="137" t="s">
        <v>129</v>
      </c>
      <c r="M7" s="141">
        <f t="shared" si="3"/>
        <v>5</v>
      </c>
      <c r="N7" s="143"/>
    </row>
    <row r="8" hidden="1" outlineLevel="2">
      <c r="A8" s="156" t="s">
        <v>220</v>
      </c>
      <c r="B8" s="132">
        <v>45972.0</v>
      </c>
      <c r="C8" s="133" t="str">
        <f t="shared" si="1"/>
        <v>Tue</v>
      </c>
      <c r="D8" s="136">
        <f t="shared" si="2"/>
        <v>1</v>
      </c>
      <c r="E8" s="137" t="s">
        <v>129</v>
      </c>
      <c r="F8" s="137" t="s">
        <v>129</v>
      </c>
      <c r="G8" s="137" t="s">
        <v>129</v>
      </c>
      <c r="H8" s="137" t="s">
        <v>129</v>
      </c>
      <c r="I8" s="137" t="s">
        <v>129</v>
      </c>
      <c r="J8" s="137" t="s">
        <v>129</v>
      </c>
      <c r="K8" s="137" t="s">
        <v>129</v>
      </c>
      <c r="L8" s="137" t="s">
        <v>129</v>
      </c>
      <c r="M8" s="141">
        <f t="shared" si="3"/>
        <v>5</v>
      </c>
      <c r="N8" s="143"/>
    </row>
    <row r="9" hidden="1" outlineLevel="2">
      <c r="A9" s="156" t="s">
        <v>221</v>
      </c>
      <c r="B9" s="132">
        <v>45972.0</v>
      </c>
      <c r="C9" s="133" t="str">
        <f t="shared" si="1"/>
        <v>Tue</v>
      </c>
      <c r="D9" s="136">
        <f t="shared" si="2"/>
        <v>1</v>
      </c>
      <c r="E9" s="137" t="s">
        <v>129</v>
      </c>
      <c r="F9" s="137" t="s">
        <v>129</v>
      </c>
      <c r="G9" s="137" t="s">
        <v>129</v>
      </c>
      <c r="H9" s="137" t="s">
        <v>129</v>
      </c>
      <c r="I9" s="137" t="s">
        <v>129</v>
      </c>
      <c r="J9" s="137" t="s">
        <v>129</v>
      </c>
      <c r="K9" s="137" t="s">
        <v>129</v>
      </c>
      <c r="L9" s="137" t="s">
        <v>129</v>
      </c>
      <c r="M9" s="141">
        <f t="shared" si="3"/>
        <v>5</v>
      </c>
      <c r="N9" s="143"/>
    </row>
    <row r="10" hidden="1" outlineLevel="2">
      <c r="A10" s="131" t="s">
        <v>224</v>
      </c>
      <c r="B10" s="132">
        <v>45973.0</v>
      </c>
      <c r="C10" s="133" t="str">
        <f t="shared" si="1"/>
        <v>Wed</v>
      </c>
      <c r="D10" s="136">
        <f t="shared" si="2"/>
        <v>1</v>
      </c>
      <c r="E10" s="137" t="s">
        <v>129</v>
      </c>
      <c r="F10" s="137" t="s">
        <v>129</v>
      </c>
      <c r="G10" s="137" t="s">
        <v>129</v>
      </c>
      <c r="H10" s="137" t="s">
        <v>129</v>
      </c>
      <c r="I10" s="137" t="s">
        <v>129</v>
      </c>
      <c r="J10" s="137" t="s">
        <v>129</v>
      </c>
      <c r="K10" s="137" t="s">
        <v>129</v>
      </c>
      <c r="L10" s="137" t="s">
        <v>129</v>
      </c>
      <c r="M10" s="141">
        <f t="shared" si="3"/>
        <v>5</v>
      </c>
      <c r="N10" s="143"/>
    </row>
    <row r="11" hidden="1" outlineLevel="2">
      <c r="A11" s="131" t="s">
        <v>229</v>
      </c>
      <c r="B11" s="132">
        <v>45973.0</v>
      </c>
      <c r="C11" s="133" t="str">
        <f t="shared" si="1"/>
        <v>Wed</v>
      </c>
      <c r="D11" s="136">
        <f t="shared" si="2"/>
        <v>0.7</v>
      </c>
      <c r="E11" s="137" t="s">
        <v>129</v>
      </c>
      <c r="F11" s="137" t="s">
        <v>129</v>
      </c>
      <c r="G11" s="137" t="s">
        <v>129</v>
      </c>
      <c r="H11" s="137" t="s">
        <v>129</v>
      </c>
      <c r="I11" s="137" t="s">
        <v>129</v>
      </c>
      <c r="J11" s="137" t="s">
        <v>129</v>
      </c>
      <c r="K11" s="137" t="s">
        <v>129</v>
      </c>
      <c r="L11" s="137" t="s">
        <v>174</v>
      </c>
      <c r="M11" s="141">
        <f t="shared" si="3"/>
        <v>3</v>
      </c>
      <c r="N11" s="147" t="s">
        <v>235</v>
      </c>
    </row>
    <row r="12" hidden="1" outlineLevel="2">
      <c r="A12" s="269" t="s">
        <v>236</v>
      </c>
      <c r="B12" s="132">
        <v>45973.0</v>
      </c>
      <c r="C12" s="133" t="str">
        <f t="shared" si="1"/>
        <v>Wed</v>
      </c>
      <c r="D12" s="136">
        <f t="shared" si="2"/>
        <v>1</v>
      </c>
      <c r="E12" s="137" t="s">
        <v>129</v>
      </c>
      <c r="F12" s="137" t="s">
        <v>129</v>
      </c>
      <c r="G12" s="137" t="s">
        <v>129</v>
      </c>
      <c r="H12" s="137" t="s">
        <v>129</v>
      </c>
      <c r="I12" s="137" t="s">
        <v>129</v>
      </c>
      <c r="J12" s="137" t="s">
        <v>129</v>
      </c>
      <c r="K12" s="137" t="s">
        <v>129</v>
      </c>
      <c r="L12" s="137" t="s">
        <v>129</v>
      </c>
      <c r="M12" s="141">
        <f t="shared" si="3"/>
        <v>5</v>
      </c>
      <c r="N12" s="143"/>
    </row>
    <row r="13" hidden="1" outlineLevel="2">
      <c r="A13" s="131" t="s">
        <v>238</v>
      </c>
      <c r="B13" s="270">
        <v>45974.0</v>
      </c>
      <c r="C13" s="133" t="str">
        <f t="shared" si="1"/>
        <v>Thu</v>
      </c>
      <c r="D13" s="136">
        <f t="shared" si="2"/>
        <v>1</v>
      </c>
      <c r="E13" s="137" t="s">
        <v>129</v>
      </c>
      <c r="F13" s="137" t="s">
        <v>129</v>
      </c>
      <c r="G13" s="137" t="s">
        <v>129</v>
      </c>
      <c r="H13" s="137" t="s">
        <v>129</v>
      </c>
      <c r="I13" s="137" t="s">
        <v>129</v>
      </c>
      <c r="J13" s="137" t="s">
        <v>129</v>
      </c>
      <c r="K13" s="137" t="s">
        <v>129</v>
      </c>
      <c r="L13" s="137" t="s">
        <v>129</v>
      </c>
      <c r="M13" s="141">
        <f t="shared" si="3"/>
        <v>5</v>
      </c>
      <c r="N13" s="143"/>
    </row>
    <row r="14" hidden="1" outlineLevel="2">
      <c r="A14" s="131" t="s">
        <v>240</v>
      </c>
      <c r="B14" s="270">
        <v>45974.0</v>
      </c>
      <c r="C14" s="133" t="str">
        <f t="shared" si="1"/>
        <v>Thu</v>
      </c>
      <c r="D14" s="136">
        <f t="shared" si="2"/>
        <v>1</v>
      </c>
      <c r="E14" s="137" t="s">
        <v>129</v>
      </c>
      <c r="F14" s="137" t="s">
        <v>129</v>
      </c>
      <c r="G14" s="137" t="s">
        <v>129</v>
      </c>
      <c r="H14" s="137" t="s">
        <v>129</v>
      </c>
      <c r="I14" s="137" t="s">
        <v>129</v>
      </c>
      <c r="J14" s="137" t="s">
        <v>129</v>
      </c>
      <c r="K14" s="137" t="s">
        <v>129</v>
      </c>
      <c r="L14" s="137" t="s">
        <v>129</v>
      </c>
      <c r="M14" s="141">
        <f t="shared" si="3"/>
        <v>5</v>
      </c>
      <c r="N14" s="143"/>
    </row>
    <row r="15" hidden="1" outlineLevel="2">
      <c r="A15" s="269" t="s">
        <v>242</v>
      </c>
      <c r="B15" s="270">
        <v>45974.0</v>
      </c>
      <c r="C15" s="133" t="str">
        <f t="shared" si="1"/>
        <v>Thu</v>
      </c>
      <c r="D15" s="136">
        <f t="shared" si="2"/>
        <v>1</v>
      </c>
      <c r="E15" s="137" t="s">
        <v>129</v>
      </c>
      <c r="F15" s="137" t="s">
        <v>129</v>
      </c>
      <c r="G15" s="137" t="s">
        <v>129</v>
      </c>
      <c r="H15" s="137" t="s">
        <v>129</v>
      </c>
      <c r="I15" s="137" t="s">
        <v>129</v>
      </c>
      <c r="J15" s="137" t="s">
        <v>129</v>
      </c>
      <c r="K15" s="137" t="s">
        <v>129</v>
      </c>
      <c r="L15" s="137" t="s">
        <v>129</v>
      </c>
      <c r="M15" s="141">
        <f t="shared" si="3"/>
        <v>5</v>
      </c>
      <c r="N15" s="143"/>
    </row>
    <row r="16" hidden="1" outlineLevel="2">
      <c r="A16" s="131" t="s">
        <v>244</v>
      </c>
      <c r="B16" s="274">
        <v>45975.0</v>
      </c>
      <c r="C16" s="186" t="str">
        <f t="shared" si="1"/>
        <v>Fri</v>
      </c>
      <c r="D16" s="136">
        <f t="shared" si="2"/>
        <v>1</v>
      </c>
      <c r="E16" s="137" t="s">
        <v>129</v>
      </c>
      <c r="F16" s="137" t="s">
        <v>129</v>
      </c>
      <c r="G16" s="137" t="s">
        <v>129</v>
      </c>
      <c r="H16" s="137" t="s">
        <v>129</v>
      </c>
      <c r="I16" s="137" t="s">
        <v>129</v>
      </c>
      <c r="J16" s="137" t="s">
        <v>129</v>
      </c>
      <c r="K16" s="137" t="s">
        <v>129</v>
      </c>
      <c r="L16" s="137" t="s">
        <v>129</v>
      </c>
      <c r="M16" s="141">
        <f t="shared" si="3"/>
        <v>5</v>
      </c>
      <c r="N16" s="143"/>
    </row>
    <row r="17" hidden="1" outlineLevel="2">
      <c r="A17" s="131" t="s">
        <v>246</v>
      </c>
      <c r="B17" s="274">
        <v>45975.0</v>
      </c>
      <c r="C17" s="186" t="str">
        <f t="shared" si="1"/>
        <v>Fri</v>
      </c>
      <c r="D17" s="136">
        <f t="shared" si="2"/>
        <v>1</v>
      </c>
      <c r="E17" s="137" t="s">
        <v>129</v>
      </c>
      <c r="F17" s="137" t="s">
        <v>129</v>
      </c>
      <c r="G17" s="137" t="s">
        <v>129</v>
      </c>
      <c r="H17" s="137" t="s">
        <v>129</v>
      </c>
      <c r="I17" s="137" t="s">
        <v>129</v>
      </c>
      <c r="J17" s="137" t="s">
        <v>129</v>
      </c>
      <c r="K17" s="137" t="s">
        <v>129</v>
      </c>
      <c r="L17" s="137" t="s">
        <v>129</v>
      </c>
      <c r="M17" s="141">
        <f t="shared" si="3"/>
        <v>5</v>
      </c>
      <c r="N17" s="143"/>
    </row>
    <row r="18" hidden="1" outlineLevel="2">
      <c r="A18" s="131" t="s">
        <v>250</v>
      </c>
      <c r="B18" s="274">
        <v>45975.0</v>
      </c>
      <c r="C18" s="186" t="str">
        <f t="shared" si="1"/>
        <v>Fri</v>
      </c>
      <c r="D18" s="136">
        <f t="shared" si="2"/>
        <v>1</v>
      </c>
      <c r="E18" s="137" t="s">
        <v>129</v>
      </c>
      <c r="F18" s="137" t="s">
        <v>129</v>
      </c>
      <c r="G18" s="137" t="s">
        <v>129</v>
      </c>
      <c r="H18" s="137" t="s">
        <v>129</v>
      </c>
      <c r="I18" s="137" t="s">
        <v>129</v>
      </c>
      <c r="J18" s="137" t="s">
        <v>129</v>
      </c>
      <c r="K18" s="137" t="s">
        <v>129</v>
      </c>
      <c r="L18" s="137" t="s">
        <v>129</v>
      </c>
      <c r="M18" s="141">
        <f t="shared" si="3"/>
        <v>5</v>
      </c>
      <c r="N18" s="143"/>
    </row>
    <row r="19" hidden="1" outlineLevel="2">
      <c r="B19" s="189"/>
      <c r="C19" s="191" t="s">
        <v>194</v>
      </c>
      <c r="D19" s="198">
        <f>AVERAGE(D3:D18)*0.3</f>
        <v>0.294</v>
      </c>
      <c r="E19" s="200"/>
      <c r="L19" s="191" t="s">
        <v>194</v>
      </c>
      <c r="M19" s="204">
        <f>SUM(M4:M18)/75*0.1</f>
        <v>0.09733333333</v>
      </c>
    </row>
    <row r="20" hidden="1" outlineLevel="1" collapsed="1">
      <c r="A20" s="206" t="s">
        <v>205</v>
      </c>
      <c r="B20" s="207"/>
      <c r="C20" s="207"/>
      <c r="D20" s="208"/>
      <c r="E20" s="109"/>
      <c r="F20" s="109"/>
      <c r="G20" s="110"/>
      <c r="H20" s="110"/>
      <c r="I20" s="110"/>
      <c r="J20" s="110"/>
      <c r="K20" s="110"/>
      <c r="L20" s="110"/>
      <c r="M20" s="111"/>
      <c r="N20" s="113"/>
    </row>
    <row r="21" hidden="1" outlineLevel="2">
      <c r="A21" s="115" t="s">
        <v>98</v>
      </c>
      <c r="B21" s="115" t="s">
        <v>100</v>
      </c>
      <c r="C21" s="115" t="s">
        <v>102</v>
      </c>
      <c r="D21" s="119" t="s">
        <v>103</v>
      </c>
      <c r="E21" s="120" t="s">
        <v>104</v>
      </c>
      <c r="F21" s="120" t="s">
        <v>105</v>
      </c>
      <c r="G21" s="121" t="s">
        <v>106</v>
      </c>
      <c r="H21" s="121" t="s">
        <v>107</v>
      </c>
      <c r="I21" s="121" t="s">
        <v>108</v>
      </c>
      <c r="J21" s="121" t="s">
        <v>110</v>
      </c>
      <c r="K21" s="121" t="s">
        <v>111</v>
      </c>
      <c r="L21" s="121" t="s">
        <v>112</v>
      </c>
      <c r="M21" s="115" t="s">
        <v>114</v>
      </c>
      <c r="N21" s="119" t="s">
        <v>115</v>
      </c>
    </row>
    <row r="22" hidden="1" outlineLevel="2">
      <c r="A22" s="219" t="s">
        <v>264</v>
      </c>
      <c r="B22" s="132">
        <v>45978.0</v>
      </c>
      <c r="C22" s="133" t="str">
        <f t="shared" ref="C22:C36" si="4">IF(B22="", "", TEXT(B22, "ddd"))</f>
        <v>Mon</v>
      </c>
      <c r="D22" s="136">
        <f t="shared" ref="D22:D36" si="5">IF(E22="Yes",0.05,0)
+IF(F22="Yes",0.1,0)
+IF(G22="Yes",0.1,0)
+IF(H22="Yes",0.15,0)
+IF(I22="Yes",0.05,0)
+IF(J22="Yes",0.1,0)
+IF(K22="Yes",0.15,0)
+IF(L22="Yes",0.3,0)
</f>
        <v>1</v>
      </c>
      <c r="E22" s="137" t="s">
        <v>129</v>
      </c>
      <c r="F22" s="137" t="s">
        <v>129</v>
      </c>
      <c r="G22" s="137" t="s">
        <v>129</v>
      </c>
      <c r="H22" s="137" t="s">
        <v>129</v>
      </c>
      <c r="I22" s="137" t="s">
        <v>129</v>
      </c>
      <c r="J22" s="137" t="s">
        <v>129</v>
      </c>
      <c r="K22" s="137" t="s">
        <v>129</v>
      </c>
      <c r="L22" s="137" t="s">
        <v>129</v>
      </c>
      <c r="M22" s="141">
        <f t="shared" ref="M22:M36" si="6">IF(D22="", 0, 
    IF(D22&gt;=1, 5, 
    IF(D22&gt;=0.8, 4, 
    IF(D22&gt;=0.7, 3, 
    IF(D22&gt;=0.6, 2, 
    IF(D22&lt;0.5, 1, ""))))))</f>
        <v>5</v>
      </c>
      <c r="N22" s="143"/>
    </row>
    <row r="23" hidden="1" outlineLevel="2">
      <c r="A23" s="219" t="s">
        <v>265</v>
      </c>
      <c r="B23" s="132">
        <v>45978.0</v>
      </c>
      <c r="C23" s="133" t="str">
        <f t="shared" si="4"/>
        <v>Mon</v>
      </c>
      <c r="D23" s="136">
        <f t="shared" si="5"/>
        <v>1</v>
      </c>
      <c r="E23" s="137" t="s">
        <v>129</v>
      </c>
      <c r="F23" s="137" t="s">
        <v>129</v>
      </c>
      <c r="G23" s="137" t="s">
        <v>129</v>
      </c>
      <c r="H23" s="137" t="s">
        <v>129</v>
      </c>
      <c r="I23" s="137" t="s">
        <v>129</v>
      </c>
      <c r="J23" s="137" t="s">
        <v>129</v>
      </c>
      <c r="K23" s="137" t="s">
        <v>129</v>
      </c>
      <c r="L23" s="137" t="s">
        <v>129</v>
      </c>
      <c r="M23" s="141">
        <f t="shared" si="6"/>
        <v>5</v>
      </c>
      <c r="N23" s="147" t="s">
        <v>270</v>
      </c>
    </row>
    <row r="24" hidden="1" outlineLevel="2">
      <c r="A24" s="219" t="s">
        <v>271</v>
      </c>
      <c r="B24" s="132">
        <v>45978.0</v>
      </c>
      <c r="C24" s="133" t="str">
        <f t="shared" si="4"/>
        <v>Mon</v>
      </c>
      <c r="D24" s="136">
        <f t="shared" si="5"/>
        <v>1</v>
      </c>
      <c r="E24" s="137" t="s">
        <v>129</v>
      </c>
      <c r="F24" s="137" t="s">
        <v>129</v>
      </c>
      <c r="G24" s="137" t="s">
        <v>129</v>
      </c>
      <c r="H24" s="137" t="s">
        <v>129</v>
      </c>
      <c r="I24" s="137" t="s">
        <v>129</v>
      </c>
      <c r="J24" s="137" t="s">
        <v>129</v>
      </c>
      <c r="K24" s="137" t="s">
        <v>129</v>
      </c>
      <c r="L24" s="137" t="s">
        <v>129</v>
      </c>
      <c r="M24" s="141">
        <f t="shared" si="6"/>
        <v>5</v>
      </c>
      <c r="N24" s="147"/>
    </row>
    <row r="25" hidden="1" outlineLevel="2">
      <c r="A25" s="255" t="s">
        <v>276</v>
      </c>
      <c r="B25" s="132">
        <v>45979.0</v>
      </c>
      <c r="C25" s="133" t="str">
        <f t="shared" si="4"/>
        <v>Tue</v>
      </c>
      <c r="D25" s="136">
        <f t="shared" si="5"/>
        <v>1</v>
      </c>
      <c r="E25" s="137" t="s">
        <v>129</v>
      </c>
      <c r="F25" s="137" t="s">
        <v>129</v>
      </c>
      <c r="G25" s="137" t="s">
        <v>129</v>
      </c>
      <c r="H25" s="137" t="s">
        <v>129</v>
      </c>
      <c r="I25" s="137" t="s">
        <v>129</v>
      </c>
      <c r="J25" s="137" t="s">
        <v>129</v>
      </c>
      <c r="K25" s="137" t="s">
        <v>129</v>
      </c>
      <c r="L25" s="137" t="s">
        <v>129</v>
      </c>
      <c r="M25" s="141">
        <f t="shared" si="6"/>
        <v>5</v>
      </c>
      <c r="N25" s="143"/>
    </row>
    <row r="26" hidden="1" outlineLevel="2">
      <c r="A26" s="255" t="s">
        <v>277</v>
      </c>
      <c r="B26" s="132">
        <v>45979.0</v>
      </c>
      <c r="C26" s="133" t="str">
        <f t="shared" si="4"/>
        <v>Tue</v>
      </c>
      <c r="D26" s="136">
        <f t="shared" si="5"/>
        <v>1</v>
      </c>
      <c r="E26" s="137" t="s">
        <v>129</v>
      </c>
      <c r="F26" s="137" t="s">
        <v>129</v>
      </c>
      <c r="G26" s="137" t="s">
        <v>129</v>
      </c>
      <c r="H26" s="137" t="s">
        <v>129</v>
      </c>
      <c r="I26" s="137" t="s">
        <v>129</v>
      </c>
      <c r="J26" s="137" t="s">
        <v>129</v>
      </c>
      <c r="K26" s="137" t="s">
        <v>129</v>
      </c>
      <c r="L26" s="137" t="s">
        <v>129</v>
      </c>
      <c r="M26" s="141">
        <f t="shared" si="6"/>
        <v>5</v>
      </c>
      <c r="N26" s="143"/>
    </row>
    <row r="27" hidden="1" outlineLevel="2">
      <c r="A27" s="255" t="s">
        <v>280</v>
      </c>
      <c r="B27" s="132">
        <v>45979.0</v>
      </c>
      <c r="C27" s="133" t="str">
        <f t="shared" si="4"/>
        <v>Tue</v>
      </c>
      <c r="D27" s="136">
        <f t="shared" si="5"/>
        <v>1</v>
      </c>
      <c r="E27" s="137" t="s">
        <v>129</v>
      </c>
      <c r="F27" s="137" t="s">
        <v>129</v>
      </c>
      <c r="G27" s="137" t="s">
        <v>129</v>
      </c>
      <c r="H27" s="137" t="s">
        <v>129</v>
      </c>
      <c r="I27" s="137" t="s">
        <v>129</v>
      </c>
      <c r="J27" s="137" t="s">
        <v>129</v>
      </c>
      <c r="K27" s="137" t="s">
        <v>129</v>
      </c>
      <c r="L27" s="137" t="s">
        <v>129</v>
      </c>
      <c r="M27" s="141">
        <f t="shared" si="6"/>
        <v>5</v>
      </c>
      <c r="N27" s="143"/>
    </row>
    <row r="28" hidden="1" outlineLevel="2">
      <c r="A28" s="219" t="s">
        <v>283</v>
      </c>
      <c r="B28" s="132">
        <v>45980.0</v>
      </c>
      <c r="C28" s="133" t="str">
        <f t="shared" si="4"/>
        <v>Wed</v>
      </c>
      <c r="D28" s="136">
        <f t="shared" si="5"/>
        <v>1</v>
      </c>
      <c r="E28" s="137" t="s">
        <v>129</v>
      </c>
      <c r="F28" s="137" t="s">
        <v>129</v>
      </c>
      <c r="G28" s="137" t="s">
        <v>129</v>
      </c>
      <c r="H28" s="137" t="s">
        <v>129</v>
      </c>
      <c r="I28" s="137" t="s">
        <v>129</v>
      </c>
      <c r="J28" s="137" t="s">
        <v>129</v>
      </c>
      <c r="K28" s="137" t="s">
        <v>129</v>
      </c>
      <c r="L28" s="137" t="s">
        <v>129</v>
      </c>
      <c r="M28" s="141">
        <f t="shared" si="6"/>
        <v>5</v>
      </c>
      <c r="N28" s="143"/>
    </row>
    <row r="29" hidden="1" outlineLevel="2">
      <c r="A29" s="219" t="s">
        <v>285</v>
      </c>
      <c r="B29" s="132">
        <v>45980.0</v>
      </c>
      <c r="C29" s="133" t="str">
        <f t="shared" si="4"/>
        <v>Wed</v>
      </c>
      <c r="D29" s="136">
        <f t="shared" si="5"/>
        <v>1</v>
      </c>
      <c r="E29" s="137" t="s">
        <v>129</v>
      </c>
      <c r="F29" s="137" t="s">
        <v>129</v>
      </c>
      <c r="G29" s="137" t="s">
        <v>129</v>
      </c>
      <c r="H29" s="137" t="s">
        <v>129</v>
      </c>
      <c r="I29" s="137" t="s">
        <v>129</v>
      </c>
      <c r="J29" s="137" t="s">
        <v>129</v>
      </c>
      <c r="K29" s="137" t="s">
        <v>129</v>
      </c>
      <c r="L29" s="137" t="s">
        <v>129</v>
      </c>
      <c r="M29" s="141">
        <f t="shared" si="6"/>
        <v>5</v>
      </c>
      <c r="N29" s="147"/>
    </row>
    <row r="30" hidden="1" outlineLevel="2">
      <c r="A30" s="219" t="s">
        <v>286</v>
      </c>
      <c r="B30" s="132">
        <v>45980.0</v>
      </c>
      <c r="C30" s="133" t="str">
        <f t="shared" si="4"/>
        <v>Wed</v>
      </c>
      <c r="D30" s="136">
        <f t="shared" si="5"/>
        <v>1</v>
      </c>
      <c r="E30" s="137" t="s">
        <v>129</v>
      </c>
      <c r="F30" s="137" t="s">
        <v>129</v>
      </c>
      <c r="G30" s="137" t="s">
        <v>129</v>
      </c>
      <c r="H30" s="137" t="s">
        <v>129</v>
      </c>
      <c r="I30" s="137" t="s">
        <v>129</v>
      </c>
      <c r="J30" s="137" t="s">
        <v>129</v>
      </c>
      <c r="K30" s="137" t="s">
        <v>129</v>
      </c>
      <c r="L30" s="137" t="s">
        <v>129</v>
      </c>
      <c r="M30" s="141">
        <f t="shared" si="6"/>
        <v>5</v>
      </c>
      <c r="N30" s="143"/>
    </row>
    <row r="31" hidden="1" outlineLevel="2">
      <c r="A31" s="177" t="s">
        <v>287</v>
      </c>
      <c r="B31" s="132">
        <v>45981.0</v>
      </c>
      <c r="C31" s="133" t="str">
        <f t="shared" si="4"/>
        <v>Thu</v>
      </c>
      <c r="D31" s="136">
        <f t="shared" si="5"/>
        <v>1</v>
      </c>
      <c r="E31" s="137" t="s">
        <v>129</v>
      </c>
      <c r="F31" s="137" t="s">
        <v>129</v>
      </c>
      <c r="G31" s="137" t="s">
        <v>129</v>
      </c>
      <c r="H31" s="137" t="s">
        <v>129</v>
      </c>
      <c r="I31" s="137" t="s">
        <v>129</v>
      </c>
      <c r="J31" s="137" t="s">
        <v>129</v>
      </c>
      <c r="K31" s="137" t="s">
        <v>129</v>
      </c>
      <c r="L31" s="137" t="s">
        <v>129</v>
      </c>
      <c r="M31" s="141">
        <f t="shared" si="6"/>
        <v>5</v>
      </c>
      <c r="N31" s="143"/>
    </row>
    <row r="32" hidden="1" outlineLevel="2">
      <c r="A32" s="177" t="s">
        <v>289</v>
      </c>
      <c r="B32" s="132">
        <v>45981.0</v>
      </c>
      <c r="C32" s="133" t="str">
        <f t="shared" si="4"/>
        <v>Thu</v>
      </c>
      <c r="D32" s="136">
        <f t="shared" si="5"/>
        <v>1</v>
      </c>
      <c r="E32" s="137" t="s">
        <v>129</v>
      </c>
      <c r="F32" s="137" t="s">
        <v>129</v>
      </c>
      <c r="G32" s="137" t="s">
        <v>129</v>
      </c>
      <c r="H32" s="137" t="s">
        <v>129</v>
      </c>
      <c r="I32" s="137" t="s">
        <v>129</v>
      </c>
      <c r="J32" s="137" t="s">
        <v>129</v>
      </c>
      <c r="K32" s="137" t="s">
        <v>129</v>
      </c>
      <c r="L32" s="137" t="s">
        <v>129</v>
      </c>
      <c r="M32" s="141">
        <f t="shared" si="6"/>
        <v>5</v>
      </c>
      <c r="N32" s="143"/>
    </row>
    <row r="33" hidden="1" outlineLevel="2">
      <c r="A33" s="177" t="s">
        <v>290</v>
      </c>
      <c r="B33" s="132">
        <v>45981.0</v>
      </c>
      <c r="C33" s="133" t="str">
        <f t="shared" si="4"/>
        <v>Thu</v>
      </c>
      <c r="D33" s="136">
        <f t="shared" si="5"/>
        <v>1</v>
      </c>
      <c r="E33" s="137" t="s">
        <v>129</v>
      </c>
      <c r="F33" s="137" t="s">
        <v>129</v>
      </c>
      <c r="G33" s="137" t="s">
        <v>129</v>
      </c>
      <c r="H33" s="137" t="s">
        <v>129</v>
      </c>
      <c r="I33" s="137" t="s">
        <v>129</v>
      </c>
      <c r="J33" s="137" t="s">
        <v>129</v>
      </c>
      <c r="K33" s="137" t="s">
        <v>129</v>
      </c>
      <c r="L33" s="137" t="s">
        <v>129</v>
      </c>
      <c r="M33" s="141">
        <f t="shared" si="6"/>
        <v>5</v>
      </c>
      <c r="N33" s="143"/>
    </row>
    <row r="34" hidden="1" outlineLevel="2">
      <c r="A34" s="131" t="s">
        <v>292</v>
      </c>
      <c r="B34" s="132">
        <v>45982.0</v>
      </c>
      <c r="C34" s="186" t="str">
        <f t="shared" si="4"/>
        <v>Fri</v>
      </c>
      <c r="D34" s="136">
        <f t="shared" si="5"/>
        <v>1</v>
      </c>
      <c r="E34" s="137" t="s">
        <v>129</v>
      </c>
      <c r="F34" s="137" t="s">
        <v>129</v>
      </c>
      <c r="G34" s="137" t="s">
        <v>129</v>
      </c>
      <c r="H34" s="137" t="s">
        <v>129</v>
      </c>
      <c r="I34" s="137" t="s">
        <v>129</v>
      </c>
      <c r="J34" s="137" t="s">
        <v>129</v>
      </c>
      <c r="K34" s="137" t="s">
        <v>129</v>
      </c>
      <c r="L34" s="137" t="s">
        <v>129</v>
      </c>
      <c r="M34" s="141">
        <f t="shared" si="6"/>
        <v>5</v>
      </c>
      <c r="N34" s="143"/>
    </row>
    <row r="35" hidden="1" outlineLevel="2">
      <c r="A35" s="131" t="s">
        <v>293</v>
      </c>
      <c r="B35" s="132">
        <v>45982.0</v>
      </c>
      <c r="C35" s="186" t="str">
        <f t="shared" si="4"/>
        <v>Fri</v>
      </c>
      <c r="D35" s="136">
        <f t="shared" si="5"/>
        <v>1</v>
      </c>
      <c r="E35" s="137" t="s">
        <v>129</v>
      </c>
      <c r="F35" s="137" t="s">
        <v>129</v>
      </c>
      <c r="G35" s="137" t="s">
        <v>129</v>
      </c>
      <c r="H35" s="137" t="s">
        <v>129</v>
      </c>
      <c r="I35" s="137" t="s">
        <v>129</v>
      </c>
      <c r="J35" s="137" t="s">
        <v>129</v>
      </c>
      <c r="K35" s="137" t="s">
        <v>129</v>
      </c>
      <c r="L35" s="137" t="s">
        <v>129</v>
      </c>
      <c r="M35" s="141">
        <f t="shared" si="6"/>
        <v>5</v>
      </c>
      <c r="N35" s="143"/>
    </row>
    <row r="36" hidden="1" outlineLevel="2">
      <c r="A36" s="131" t="s">
        <v>296</v>
      </c>
      <c r="B36" s="132">
        <v>45982.0</v>
      </c>
      <c r="C36" s="186" t="str">
        <f t="shared" si="4"/>
        <v>Fri</v>
      </c>
      <c r="D36" s="136">
        <f t="shared" si="5"/>
        <v>1</v>
      </c>
      <c r="E36" s="137" t="s">
        <v>129</v>
      </c>
      <c r="F36" s="137" t="s">
        <v>129</v>
      </c>
      <c r="G36" s="137" t="s">
        <v>129</v>
      </c>
      <c r="H36" s="137" t="s">
        <v>129</v>
      </c>
      <c r="I36" s="137" t="s">
        <v>129</v>
      </c>
      <c r="J36" s="137" t="s">
        <v>129</v>
      </c>
      <c r="K36" s="137" t="s">
        <v>129</v>
      </c>
      <c r="L36" s="137" t="s">
        <v>129</v>
      </c>
      <c r="M36" s="141">
        <f t="shared" si="6"/>
        <v>5</v>
      </c>
      <c r="N36" s="143"/>
    </row>
    <row r="37" ht="15.0" hidden="1" customHeight="1" outlineLevel="2">
      <c r="B37" s="189"/>
      <c r="C37" s="191" t="s">
        <v>194</v>
      </c>
      <c r="D37" s="204">
        <f>AVERAGE(D22:D36)</f>
        <v>1</v>
      </c>
      <c r="E37" s="200"/>
      <c r="L37" s="191" t="s">
        <v>194</v>
      </c>
      <c r="M37" s="204">
        <f>SUM(M22:M36)/75*0.1</f>
        <v>0.1</v>
      </c>
    </row>
    <row r="38" hidden="1" outlineLevel="1">
      <c r="A38" s="206" t="s">
        <v>266</v>
      </c>
      <c r="B38" s="207"/>
      <c r="C38" s="207"/>
      <c r="D38" s="208"/>
      <c r="E38" s="109"/>
      <c r="F38" s="109"/>
      <c r="G38" s="110"/>
      <c r="H38" s="110"/>
      <c r="I38" s="110"/>
      <c r="J38" s="110"/>
      <c r="K38" s="110"/>
      <c r="L38" s="110"/>
      <c r="M38" s="111"/>
      <c r="N38" s="113"/>
    </row>
    <row r="39" hidden="1" outlineLevel="1">
      <c r="A39" s="115" t="s">
        <v>98</v>
      </c>
      <c r="B39" s="115" t="s">
        <v>100</v>
      </c>
      <c r="C39" s="115" t="s">
        <v>102</v>
      </c>
      <c r="D39" s="119" t="s">
        <v>103</v>
      </c>
      <c r="E39" s="275" t="s">
        <v>269</v>
      </c>
      <c r="F39" s="275" t="s">
        <v>272</v>
      </c>
      <c r="G39" s="276" t="s">
        <v>273</v>
      </c>
      <c r="H39" s="121" t="s">
        <v>107</v>
      </c>
      <c r="I39" s="121" t="s">
        <v>108</v>
      </c>
      <c r="J39" s="121" t="s">
        <v>110</v>
      </c>
      <c r="K39" s="121" t="s">
        <v>111</v>
      </c>
      <c r="L39" s="276" t="s">
        <v>274</v>
      </c>
      <c r="M39" s="115" t="s">
        <v>114</v>
      </c>
      <c r="N39" s="119" t="s">
        <v>115</v>
      </c>
    </row>
    <row r="40" hidden="1" outlineLevel="1">
      <c r="A40" s="303" t="s">
        <v>300</v>
      </c>
      <c r="B40" s="132">
        <v>45985.0</v>
      </c>
      <c r="C40" s="133" t="str">
        <f t="shared" ref="C40:C54" si="7">IF(B40="", "", TEXT(B40, "ddd"))</f>
        <v>Mon</v>
      </c>
      <c r="D40" s="136">
        <f>IF(E40="Yes",0.05,0)
+IF(F40="Yes",0.15,0)
+IF(G40="Yes",0.15,0)
+IF(H40="Yes",0.15,0)
+IF(I40="Yes",0.05,0)
+IF(J40="Yes",0.1,0)
+IF(K40="Yes",0.15,0)
+IF(L40="Yes",0.2,0)
</f>
        <v>1</v>
      </c>
      <c r="E40" s="137" t="s">
        <v>129</v>
      </c>
      <c r="F40" s="137" t="s">
        <v>129</v>
      </c>
      <c r="G40" s="137" t="s">
        <v>129</v>
      </c>
      <c r="H40" s="137" t="s">
        <v>129</v>
      </c>
      <c r="I40" s="137" t="s">
        <v>129</v>
      </c>
      <c r="J40" s="137" t="s">
        <v>129</v>
      </c>
      <c r="K40" s="137" t="s">
        <v>129</v>
      </c>
      <c r="L40" s="137" t="s">
        <v>129</v>
      </c>
      <c r="M40" s="141">
        <f t="shared" ref="M40:M54" si="8">IF(D40="", 0, 
    IF(D40&gt;=1, 5, 
    IF(D40&gt;=0.8, 4, 
    IF(D40&gt;=0.7, 3, 
    IF(D40&gt;=0.6, 2, 
    IF(D40&lt;0.5, 1, ""))))))</f>
        <v>5</v>
      </c>
      <c r="N40" s="143"/>
    </row>
    <row r="41" hidden="1" outlineLevel="1">
      <c r="A41" s="303" t="s">
        <v>303</v>
      </c>
      <c r="B41" s="132">
        <v>45985.0</v>
      </c>
      <c r="C41" s="133" t="str">
        <f t="shared" si="7"/>
        <v>Mon</v>
      </c>
      <c r="D41" s="136">
        <f t="shared" ref="D41:D54" si="9">IF(E41="Yes",0.05,0)
+IF(F41="Yes",0.1,0)
+IF(G41="Yes",0.1,0)
+IF(H41="Yes",0.15,0)
+IF(I41="Yes",0.05,0)
+IF(J41="Yes",0.1,0)
+IF(K41="Yes",0.15,0)
+IF(L41="Yes",0.3,0)
</f>
        <v>1</v>
      </c>
      <c r="E41" s="137" t="s">
        <v>129</v>
      </c>
      <c r="F41" s="137" t="s">
        <v>129</v>
      </c>
      <c r="G41" s="137" t="s">
        <v>129</v>
      </c>
      <c r="H41" s="137" t="s">
        <v>129</v>
      </c>
      <c r="I41" s="137" t="s">
        <v>129</v>
      </c>
      <c r="J41" s="137" t="s">
        <v>129</v>
      </c>
      <c r="K41" s="137" t="s">
        <v>129</v>
      </c>
      <c r="L41" s="137" t="s">
        <v>129</v>
      </c>
      <c r="M41" s="141">
        <f t="shared" si="8"/>
        <v>5</v>
      </c>
      <c r="N41" s="147"/>
    </row>
    <row r="42" hidden="1" outlineLevel="1">
      <c r="A42" s="303" t="s">
        <v>304</v>
      </c>
      <c r="B42" s="132">
        <v>45985.0</v>
      </c>
      <c r="C42" s="133" t="str">
        <f t="shared" si="7"/>
        <v>Mon</v>
      </c>
      <c r="D42" s="136">
        <f t="shared" si="9"/>
        <v>1</v>
      </c>
      <c r="E42" s="137" t="s">
        <v>129</v>
      </c>
      <c r="F42" s="137" t="s">
        <v>129</v>
      </c>
      <c r="G42" s="137" t="s">
        <v>129</v>
      </c>
      <c r="H42" s="137" t="s">
        <v>129</v>
      </c>
      <c r="I42" s="137" t="s">
        <v>129</v>
      </c>
      <c r="J42" s="137" t="s">
        <v>129</v>
      </c>
      <c r="K42" s="137" t="s">
        <v>129</v>
      </c>
      <c r="L42" s="137" t="s">
        <v>129</v>
      </c>
      <c r="M42" s="141">
        <f t="shared" si="8"/>
        <v>5</v>
      </c>
      <c r="N42" s="147"/>
    </row>
    <row r="43" hidden="1" outlineLevel="1">
      <c r="A43" s="219" t="s">
        <v>305</v>
      </c>
      <c r="B43" s="132">
        <v>45986.0</v>
      </c>
      <c r="C43" s="133" t="str">
        <f t="shared" si="7"/>
        <v>Tue</v>
      </c>
      <c r="D43" s="136">
        <f t="shared" si="9"/>
        <v>1</v>
      </c>
      <c r="E43" s="137" t="s">
        <v>129</v>
      </c>
      <c r="F43" s="137" t="s">
        <v>129</v>
      </c>
      <c r="G43" s="137" t="s">
        <v>129</v>
      </c>
      <c r="H43" s="137" t="s">
        <v>129</v>
      </c>
      <c r="I43" s="137" t="s">
        <v>129</v>
      </c>
      <c r="J43" s="137" t="s">
        <v>129</v>
      </c>
      <c r="K43" s="137" t="s">
        <v>129</v>
      </c>
      <c r="L43" s="137" t="s">
        <v>129</v>
      </c>
      <c r="M43" s="141">
        <f t="shared" si="8"/>
        <v>5</v>
      </c>
      <c r="N43" s="143"/>
    </row>
    <row r="44" hidden="1" outlineLevel="1">
      <c r="A44" s="219" t="s">
        <v>319</v>
      </c>
      <c r="B44" s="132">
        <v>45986.0</v>
      </c>
      <c r="C44" s="133" t="str">
        <f t="shared" si="7"/>
        <v>Tue</v>
      </c>
      <c r="D44" s="136">
        <f t="shared" si="9"/>
        <v>1</v>
      </c>
      <c r="E44" s="137" t="s">
        <v>129</v>
      </c>
      <c r="F44" s="137" t="s">
        <v>129</v>
      </c>
      <c r="G44" s="137" t="s">
        <v>129</v>
      </c>
      <c r="H44" s="137" t="s">
        <v>129</v>
      </c>
      <c r="I44" s="137" t="s">
        <v>129</v>
      </c>
      <c r="J44" s="137" t="s">
        <v>129</v>
      </c>
      <c r="K44" s="137" t="s">
        <v>129</v>
      </c>
      <c r="L44" s="137" t="s">
        <v>129</v>
      </c>
      <c r="M44" s="141">
        <f t="shared" si="8"/>
        <v>5</v>
      </c>
      <c r="N44" s="143"/>
    </row>
    <row r="45" hidden="1" outlineLevel="1">
      <c r="A45" s="219" t="s">
        <v>320</v>
      </c>
      <c r="B45" s="132">
        <v>45986.0</v>
      </c>
      <c r="C45" s="133" t="str">
        <f t="shared" si="7"/>
        <v>Tue</v>
      </c>
      <c r="D45" s="136">
        <f t="shared" si="9"/>
        <v>1</v>
      </c>
      <c r="E45" s="137" t="s">
        <v>129</v>
      </c>
      <c r="F45" s="137" t="s">
        <v>129</v>
      </c>
      <c r="G45" s="137" t="s">
        <v>129</v>
      </c>
      <c r="H45" s="137" t="s">
        <v>129</v>
      </c>
      <c r="I45" s="137" t="s">
        <v>129</v>
      </c>
      <c r="J45" s="137" t="s">
        <v>129</v>
      </c>
      <c r="K45" s="137" t="s">
        <v>129</v>
      </c>
      <c r="L45" s="137" t="s">
        <v>129</v>
      </c>
      <c r="M45" s="141">
        <f t="shared" si="8"/>
        <v>5</v>
      </c>
      <c r="N45" s="143"/>
    </row>
    <row r="46" hidden="1" outlineLevel="1">
      <c r="A46" s="255" t="s">
        <v>322</v>
      </c>
      <c r="B46" s="132">
        <v>45987.0</v>
      </c>
      <c r="C46" s="133" t="str">
        <f t="shared" si="7"/>
        <v>Wed</v>
      </c>
      <c r="D46" s="136">
        <f t="shared" si="9"/>
        <v>1</v>
      </c>
      <c r="E46" s="137" t="s">
        <v>129</v>
      </c>
      <c r="F46" s="137" t="s">
        <v>129</v>
      </c>
      <c r="G46" s="137" t="s">
        <v>129</v>
      </c>
      <c r="H46" s="137" t="s">
        <v>129</v>
      </c>
      <c r="I46" s="137" t="s">
        <v>129</v>
      </c>
      <c r="J46" s="137" t="s">
        <v>129</v>
      </c>
      <c r="K46" s="137" t="s">
        <v>129</v>
      </c>
      <c r="L46" s="137" t="s">
        <v>129</v>
      </c>
      <c r="M46" s="141">
        <f t="shared" si="8"/>
        <v>5</v>
      </c>
      <c r="N46" s="143"/>
    </row>
    <row r="47" hidden="1" outlineLevel="1">
      <c r="A47" s="255" t="s">
        <v>323</v>
      </c>
      <c r="B47" s="132">
        <v>45987.0</v>
      </c>
      <c r="C47" s="133" t="str">
        <f t="shared" si="7"/>
        <v>Wed</v>
      </c>
      <c r="D47" s="136">
        <f t="shared" si="9"/>
        <v>1</v>
      </c>
      <c r="E47" s="137" t="s">
        <v>129</v>
      </c>
      <c r="F47" s="137" t="s">
        <v>129</v>
      </c>
      <c r="G47" s="137" t="s">
        <v>129</v>
      </c>
      <c r="H47" s="137" t="s">
        <v>129</v>
      </c>
      <c r="I47" s="137" t="s">
        <v>129</v>
      </c>
      <c r="J47" s="137" t="s">
        <v>129</v>
      </c>
      <c r="K47" s="137" t="s">
        <v>129</v>
      </c>
      <c r="L47" s="137" t="s">
        <v>129</v>
      </c>
      <c r="M47" s="141">
        <f t="shared" si="8"/>
        <v>5</v>
      </c>
      <c r="N47" s="147"/>
    </row>
    <row r="48" hidden="1" outlineLevel="1">
      <c r="A48" s="255" t="s">
        <v>324</v>
      </c>
      <c r="B48" s="132">
        <v>45987.0</v>
      </c>
      <c r="C48" s="133" t="str">
        <f t="shared" si="7"/>
        <v>Wed</v>
      </c>
      <c r="D48" s="136">
        <f t="shared" si="9"/>
        <v>1</v>
      </c>
      <c r="E48" s="137" t="s">
        <v>129</v>
      </c>
      <c r="F48" s="137" t="s">
        <v>129</v>
      </c>
      <c r="G48" s="137" t="s">
        <v>129</v>
      </c>
      <c r="H48" s="137" t="s">
        <v>129</v>
      </c>
      <c r="I48" s="137" t="s">
        <v>129</v>
      </c>
      <c r="J48" s="137" t="s">
        <v>129</v>
      </c>
      <c r="K48" s="137" t="s">
        <v>129</v>
      </c>
      <c r="L48" s="137" t="s">
        <v>129</v>
      </c>
      <c r="M48" s="141">
        <f t="shared" si="8"/>
        <v>5</v>
      </c>
      <c r="N48" s="143"/>
    </row>
    <row r="49" hidden="1" outlineLevel="1">
      <c r="A49" s="177" t="s">
        <v>326</v>
      </c>
      <c r="B49" s="132">
        <v>45988.0</v>
      </c>
      <c r="C49" s="133" t="str">
        <f t="shared" si="7"/>
        <v>Thu</v>
      </c>
      <c r="D49" s="136">
        <f t="shared" si="9"/>
        <v>1</v>
      </c>
      <c r="E49" s="137" t="s">
        <v>129</v>
      </c>
      <c r="F49" s="137" t="s">
        <v>129</v>
      </c>
      <c r="G49" s="137" t="s">
        <v>129</v>
      </c>
      <c r="H49" s="137" t="s">
        <v>129</v>
      </c>
      <c r="I49" s="137" t="s">
        <v>129</v>
      </c>
      <c r="J49" s="137" t="s">
        <v>129</v>
      </c>
      <c r="K49" s="137" t="s">
        <v>129</v>
      </c>
      <c r="L49" s="137" t="s">
        <v>129</v>
      </c>
      <c r="M49" s="141">
        <f t="shared" si="8"/>
        <v>5</v>
      </c>
      <c r="N49" s="143"/>
    </row>
    <row r="50" hidden="1" outlineLevel="1">
      <c r="A50" s="177" t="s">
        <v>327</v>
      </c>
      <c r="B50" s="132">
        <v>45988.0</v>
      </c>
      <c r="C50" s="133" t="str">
        <f t="shared" si="7"/>
        <v>Thu</v>
      </c>
      <c r="D50" s="136">
        <f t="shared" si="9"/>
        <v>1</v>
      </c>
      <c r="E50" s="137" t="s">
        <v>129</v>
      </c>
      <c r="F50" s="137" t="s">
        <v>129</v>
      </c>
      <c r="G50" s="137" t="s">
        <v>129</v>
      </c>
      <c r="H50" s="137" t="s">
        <v>129</v>
      </c>
      <c r="I50" s="137" t="s">
        <v>129</v>
      </c>
      <c r="J50" s="137" t="s">
        <v>129</v>
      </c>
      <c r="K50" s="137" t="s">
        <v>129</v>
      </c>
      <c r="L50" s="137" t="s">
        <v>129</v>
      </c>
      <c r="M50" s="141">
        <f t="shared" si="8"/>
        <v>5</v>
      </c>
      <c r="N50" s="147"/>
    </row>
    <row r="51" hidden="1" outlineLevel="1">
      <c r="A51" s="177" t="s">
        <v>331</v>
      </c>
      <c r="B51" s="132">
        <v>45988.0</v>
      </c>
      <c r="C51" s="133" t="str">
        <f t="shared" si="7"/>
        <v>Thu</v>
      </c>
      <c r="D51" s="136">
        <f t="shared" si="9"/>
        <v>1</v>
      </c>
      <c r="E51" s="137" t="s">
        <v>129</v>
      </c>
      <c r="F51" s="137" t="s">
        <v>129</v>
      </c>
      <c r="G51" s="137" t="s">
        <v>129</v>
      </c>
      <c r="H51" s="137" t="s">
        <v>129</v>
      </c>
      <c r="I51" s="137" t="s">
        <v>129</v>
      </c>
      <c r="J51" s="137" t="s">
        <v>129</v>
      </c>
      <c r="K51" s="137" t="s">
        <v>129</v>
      </c>
      <c r="L51" s="137" t="s">
        <v>129</v>
      </c>
      <c r="M51" s="141">
        <f t="shared" si="8"/>
        <v>5</v>
      </c>
      <c r="N51" s="143"/>
    </row>
    <row r="52" hidden="1" outlineLevel="1">
      <c r="A52" s="219" t="s">
        <v>332</v>
      </c>
      <c r="B52" s="132">
        <v>45989.0</v>
      </c>
      <c r="C52" s="186" t="str">
        <f t="shared" si="7"/>
        <v>Fri</v>
      </c>
      <c r="D52" s="136">
        <f t="shared" si="9"/>
        <v>1</v>
      </c>
      <c r="E52" s="137" t="s">
        <v>129</v>
      </c>
      <c r="F52" s="137" t="s">
        <v>129</v>
      </c>
      <c r="G52" s="137" t="s">
        <v>129</v>
      </c>
      <c r="H52" s="137" t="s">
        <v>129</v>
      </c>
      <c r="I52" s="137" t="s">
        <v>129</v>
      </c>
      <c r="J52" s="137" t="s">
        <v>129</v>
      </c>
      <c r="K52" s="137" t="s">
        <v>129</v>
      </c>
      <c r="L52" s="137" t="s">
        <v>129</v>
      </c>
      <c r="M52" s="141">
        <f t="shared" si="8"/>
        <v>5</v>
      </c>
      <c r="N52" s="143"/>
    </row>
    <row r="53" hidden="1" outlineLevel="1">
      <c r="A53" s="219" t="s">
        <v>333</v>
      </c>
      <c r="B53" s="132">
        <v>45989.0</v>
      </c>
      <c r="C53" s="186" t="str">
        <f t="shared" si="7"/>
        <v>Fri</v>
      </c>
      <c r="D53" s="136">
        <f t="shared" si="9"/>
        <v>1</v>
      </c>
      <c r="E53" s="137" t="s">
        <v>129</v>
      </c>
      <c r="F53" s="137" t="s">
        <v>129</v>
      </c>
      <c r="G53" s="137" t="s">
        <v>129</v>
      </c>
      <c r="H53" s="137" t="s">
        <v>129</v>
      </c>
      <c r="I53" s="137" t="s">
        <v>129</v>
      </c>
      <c r="J53" s="137" t="s">
        <v>129</v>
      </c>
      <c r="K53" s="137" t="s">
        <v>129</v>
      </c>
      <c r="L53" s="137" t="s">
        <v>129</v>
      </c>
      <c r="M53" s="141">
        <f t="shared" si="8"/>
        <v>5</v>
      </c>
      <c r="N53" s="143"/>
    </row>
    <row r="54" hidden="1" outlineLevel="1">
      <c r="A54" s="219" t="s">
        <v>334</v>
      </c>
      <c r="B54" s="132">
        <v>45989.0</v>
      </c>
      <c r="C54" s="186" t="str">
        <f t="shared" si="7"/>
        <v>Fri</v>
      </c>
      <c r="D54" s="136">
        <f t="shared" si="9"/>
        <v>1</v>
      </c>
      <c r="E54" s="137" t="s">
        <v>129</v>
      </c>
      <c r="F54" s="137" t="s">
        <v>129</v>
      </c>
      <c r="G54" s="137" t="s">
        <v>129</v>
      </c>
      <c r="H54" s="137" t="s">
        <v>129</v>
      </c>
      <c r="I54" s="137" t="s">
        <v>129</v>
      </c>
      <c r="J54" s="137" t="s">
        <v>129</v>
      </c>
      <c r="K54" s="137" t="s">
        <v>129</v>
      </c>
      <c r="L54" s="137" t="s">
        <v>129</v>
      </c>
      <c r="M54" s="141">
        <f t="shared" si="8"/>
        <v>5</v>
      </c>
      <c r="N54" s="143"/>
    </row>
    <row r="55" hidden="1" outlineLevel="1">
      <c r="B55" s="189"/>
      <c r="C55" s="191" t="s">
        <v>194</v>
      </c>
      <c r="D55" s="204">
        <f>AVERAGE(D40:D54)</f>
        <v>1</v>
      </c>
      <c r="E55" s="200"/>
      <c r="L55" s="191" t="s">
        <v>194</v>
      </c>
      <c r="M55" s="204">
        <f>SUM(M40:M54)/75*0.1</f>
        <v>0.1</v>
      </c>
    </row>
    <row r="56" hidden="1" collapsed="1">
      <c r="A56" s="89">
        <v>45992.0</v>
      </c>
      <c r="B56" s="91"/>
      <c r="C56" s="91"/>
      <c r="D56" s="91"/>
      <c r="E56" s="94"/>
      <c r="F56" s="94"/>
      <c r="G56" s="96"/>
      <c r="H56" s="96"/>
      <c r="I56" s="96"/>
      <c r="J56" s="96"/>
      <c r="K56" s="96"/>
      <c r="L56" s="96"/>
      <c r="M56" s="101"/>
      <c r="N56" s="102"/>
    </row>
    <row r="57" hidden="1" outlineLevel="1" collapsed="1">
      <c r="A57" s="206" t="s">
        <v>325</v>
      </c>
      <c r="B57" s="207"/>
      <c r="C57" s="207"/>
      <c r="D57" s="208"/>
      <c r="E57" s="109"/>
      <c r="F57" s="109"/>
      <c r="G57" s="110"/>
      <c r="H57" s="110"/>
      <c r="I57" s="110"/>
      <c r="J57" s="110"/>
      <c r="K57" s="110"/>
      <c r="L57" s="110"/>
      <c r="M57" s="111"/>
      <c r="N57" s="113"/>
    </row>
    <row r="58" hidden="1" outlineLevel="2">
      <c r="A58" s="115" t="s">
        <v>98</v>
      </c>
      <c r="B58" s="115" t="s">
        <v>100</v>
      </c>
      <c r="C58" s="115" t="s">
        <v>102</v>
      </c>
      <c r="D58" s="119" t="s">
        <v>103</v>
      </c>
      <c r="E58" s="275" t="s">
        <v>269</v>
      </c>
      <c r="F58" s="275" t="s">
        <v>272</v>
      </c>
      <c r="G58" s="276" t="s">
        <v>328</v>
      </c>
      <c r="H58" s="121" t="s">
        <v>107</v>
      </c>
      <c r="I58" s="121" t="s">
        <v>108</v>
      </c>
      <c r="J58" s="276" t="s">
        <v>329</v>
      </c>
      <c r="K58" s="121" t="s">
        <v>111</v>
      </c>
      <c r="L58" s="276" t="s">
        <v>274</v>
      </c>
      <c r="M58" s="115" t="s">
        <v>114</v>
      </c>
      <c r="N58" s="119" t="s">
        <v>115</v>
      </c>
    </row>
    <row r="59" hidden="1" outlineLevel="2">
      <c r="A59" s="219" t="s">
        <v>340</v>
      </c>
      <c r="B59" s="132">
        <v>45992.0</v>
      </c>
      <c r="C59" s="133" t="str">
        <f t="shared" ref="C59:C73" si="10">IF(B59="", "", TEXT(B59, "ddd"))</f>
        <v>Mon</v>
      </c>
      <c r="D59" s="136">
        <f t="shared" ref="D59:D73" si="11">IF(E59="Yes",0.05,0)
+IF(F59="Yes",0.1,0)
+IF(G59="Yes",0.15,0)
+IF(H59="Yes",0.15,0)
+IF(I59="Yes",0.05,0)
+IF(J59="Yes",0.05,0)
+IF(K59="Yes",0.15,0)
+IF(L59="Yes",0.3,0)
</f>
        <v>1</v>
      </c>
      <c r="E59" s="137" t="s">
        <v>129</v>
      </c>
      <c r="F59" s="137" t="s">
        <v>129</v>
      </c>
      <c r="G59" s="137" t="s">
        <v>129</v>
      </c>
      <c r="H59" s="137" t="s">
        <v>129</v>
      </c>
      <c r="I59" s="137" t="s">
        <v>129</v>
      </c>
      <c r="J59" s="137" t="s">
        <v>129</v>
      </c>
      <c r="K59" s="137" t="s">
        <v>129</v>
      </c>
      <c r="L59" s="137" t="s">
        <v>129</v>
      </c>
      <c r="M59" s="141">
        <f t="shared" ref="M59:M73" si="12">IF(D59="", 0, 
    IF(D59&gt;=1, 5, 
    IF(D59&gt;=0.8, 4, 
    IF(D59&gt;=0.7, 3, 
    IF(D59&gt;=0.6, 2, 
    IF(D59&lt;0.5, 1, ""))))))</f>
        <v>5</v>
      </c>
      <c r="N59" s="143"/>
    </row>
    <row r="60" hidden="1" outlineLevel="2">
      <c r="A60" s="219" t="s">
        <v>344</v>
      </c>
      <c r="B60" s="132">
        <v>45992.0</v>
      </c>
      <c r="C60" s="133" t="str">
        <f t="shared" si="10"/>
        <v>Mon</v>
      </c>
      <c r="D60" s="136">
        <f t="shared" si="11"/>
        <v>1</v>
      </c>
      <c r="E60" s="137" t="s">
        <v>129</v>
      </c>
      <c r="F60" s="137" t="s">
        <v>129</v>
      </c>
      <c r="G60" s="137" t="s">
        <v>129</v>
      </c>
      <c r="H60" s="137" t="s">
        <v>129</v>
      </c>
      <c r="I60" s="137" t="s">
        <v>129</v>
      </c>
      <c r="J60" s="137" t="s">
        <v>129</v>
      </c>
      <c r="K60" s="137" t="s">
        <v>129</v>
      </c>
      <c r="L60" s="137" t="s">
        <v>129</v>
      </c>
      <c r="M60" s="141">
        <f t="shared" si="12"/>
        <v>5</v>
      </c>
      <c r="N60" s="147"/>
    </row>
    <row r="61" hidden="1" outlineLevel="2">
      <c r="A61" s="219" t="s">
        <v>345</v>
      </c>
      <c r="B61" s="132">
        <v>45992.0</v>
      </c>
      <c r="C61" s="133" t="str">
        <f t="shared" si="10"/>
        <v>Mon</v>
      </c>
      <c r="D61" s="136">
        <f t="shared" si="11"/>
        <v>0.95</v>
      </c>
      <c r="E61" s="137" t="s">
        <v>129</v>
      </c>
      <c r="F61" s="137" t="s">
        <v>129</v>
      </c>
      <c r="G61" s="137" t="s">
        <v>129</v>
      </c>
      <c r="H61" s="137" t="s">
        <v>129</v>
      </c>
      <c r="I61" s="137" t="s">
        <v>129</v>
      </c>
      <c r="J61" s="137" t="s">
        <v>174</v>
      </c>
      <c r="K61" s="137" t="s">
        <v>129</v>
      </c>
      <c r="L61" s="137" t="s">
        <v>129</v>
      </c>
      <c r="M61" s="141">
        <f t="shared" si="12"/>
        <v>4</v>
      </c>
      <c r="N61" s="147" t="s">
        <v>347</v>
      </c>
    </row>
    <row r="62" hidden="1" outlineLevel="2">
      <c r="A62" s="303" t="s">
        <v>348</v>
      </c>
      <c r="B62" s="132">
        <v>45993.0</v>
      </c>
      <c r="C62" s="133" t="str">
        <f t="shared" si="10"/>
        <v>Tue</v>
      </c>
      <c r="D62" s="136">
        <f t="shared" si="11"/>
        <v>1</v>
      </c>
      <c r="E62" s="137" t="s">
        <v>129</v>
      </c>
      <c r="F62" s="137" t="s">
        <v>129</v>
      </c>
      <c r="G62" s="137" t="s">
        <v>129</v>
      </c>
      <c r="H62" s="137" t="s">
        <v>129</v>
      </c>
      <c r="I62" s="137" t="s">
        <v>129</v>
      </c>
      <c r="J62" s="137" t="s">
        <v>129</v>
      </c>
      <c r="K62" s="137" t="s">
        <v>129</v>
      </c>
      <c r="L62" s="137" t="s">
        <v>129</v>
      </c>
      <c r="M62" s="141">
        <f t="shared" si="12"/>
        <v>5</v>
      </c>
      <c r="N62" s="143"/>
    </row>
    <row r="63" hidden="1" outlineLevel="2">
      <c r="A63" s="303" t="s">
        <v>350</v>
      </c>
      <c r="B63" s="132">
        <v>45993.0</v>
      </c>
      <c r="C63" s="133" t="str">
        <f t="shared" si="10"/>
        <v>Tue</v>
      </c>
      <c r="D63" s="136">
        <f t="shared" si="11"/>
        <v>1</v>
      </c>
      <c r="E63" s="137" t="s">
        <v>129</v>
      </c>
      <c r="F63" s="137" t="s">
        <v>129</v>
      </c>
      <c r="G63" s="137" t="s">
        <v>129</v>
      </c>
      <c r="H63" s="137" t="s">
        <v>129</v>
      </c>
      <c r="I63" s="137" t="s">
        <v>129</v>
      </c>
      <c r="J63" s="137" t="s">
        <v>129</v>
      </c>
      <c r="K63" s="137" t="s">
        <v>129</v>
      </c>
      <c r="L63" s="137" t="s">
        <v>129</v>
      </c>
      <c r="M63" s="141">
        <f t="shared" si="12"/>
        <v>5</v>
      </c>
      <c r="N63" s="143"/>
    </row>
    <row r="64" hidden="1" outlineLevel="2">
      <c r="A64" s="303" t="s">
        <v>351</v>
      </c>
      <c r="B64" s="132">
        <v>45993.0</v>
      </c>
      <c r="C64" s="133" t="str">
        <f t="shared" si="10"/>
        <v>Tue</v>
      </c>
      <c r="D64" s="136">
        <f t="shared" si="11"/>
        <v>1</v>
      </c>
      <c r="E64" s="137" t="s">
        <v>129</v>
      </c>
      <c r="F64" s="137" t="s">
        <v>129</v>
      </c>
      <c r="G64" s="137" t="s">
        <v>129</v>
      </c>
      <c r="H64" s="137" t="s">
        <v>129</v>
      </c>
      <c r="I64" s="137" t="s">
        <v>129</v>
      </c>
      <c r="J64" s="137" t="s">
        <v>129</v>
      </c>
      <c r="K64" s="137" t="s">
        <v>129</v>
      </c>
      <c r="L64" s="137" t="s">
        <v>129</v>
      </c>
      <c r="M64" s="141">
        <f t="shared" si="12"/>
        <v>5</v>
      </c>
      <c r="N64" s="143"/>
    </row>
    <row r="65" hidden="1" outlineLevel="2">
      <c r="A65" s="303" t="s">
        <v>353</v>
      </c>
      <c r="B65" s="132">
        <v>45995.0</v>
      </c>
      <c r="C65" s="133" t="str">
        <f t="shared" si="10"/>
        <v>Thu</v>
      </c>
      <c r="D65" s="136">
        <f t="shared" si="11"/>
        <v>1</v>
      </c>
      <c r="E65" s="137" t="s">
        <v>129</v>
      </c>
      <c r="F65" s="137" t="s">
        <v>129</v>
      </c>
      <c r="G65" s="137" t="s">
        <v>129</v>
      </c>
      <c r="H65" s="137" t="s">
        <v>129</v>
      </c>
      <c r="I65" s="137" t="s">
        <v>129</v>
      </c>
      <c r="J65" s="137" t="s">
        <v>129</v>
      </c>
      <c r="K65" s="137" t="s">
        <v>129</v>
      </c>
      <c r="L65" s="137" t="s">
        <v>129</v>
      </c>
      <c r="M65" s="141">
        <f t="shared" si="12"/>
        <v>5</v>
      </c>
      <c r="N65" s="143"/>
    </row>
    <row r="66" hidden="1" outlineLevel="2">
      <c r="A66" s="303" t="s">
        <v>354</v>
      </c>
      <c r="B66" s="132">
        <v>45995.0</v>
      </c>
      <c r="C66" s="133" t="str">
        <f t="shared" si="10"/>
        <v>Thu</v>
      </c>
      <c r="D66" s="136">
        <f t="shared" si="11"/>
        <v>1</v>
      </c>
      <c r="E66" s="137" t="s">
        <v>129</v>
      </c>
      <c r="F66" s="137" t="s">
        <v>129</v>
      </c>
      <c r="G66" s="137" t="s">
        <v>129</v>
      </c>
      <c r="H66" s="137" t="s">
        <v>129</v>
      </c>
      <c r="I66" s="137" t="s">
        <v>129</v>
      </c>
      <c r="J66" s="137" t="s">
        <v>129</v>
      </c>
      <c r="K66" s="137" t="s">
        <v>129</v>
      </c>
      <c r="L66" s="137" t="s">
        <v>129</v>
      </c>
      <c r="M66" s="141">
        <f t="shared" si="12"/>
        <v>5</v>
      </c>
      <c r="N66" s="147"/>
    </row>
    <row r="67" hidden="1" outlineLevel="2">
      <c r="A67" s="303" t="s">
        <v>357</v>
      </c>
      <c r="B67" s="132">
        <v>45995.0</v>
      </c>
      <c r="C67" s="133" t="str">
        <f t="shared" si="10"/>
        <v>Thu</v>
      </c>
      <c r="D67" s="136">
        <f t="shared" si="11"/>
        <v>1</v>
      </c>
      <c r="E67" s="137" t="s">
        <v>129</v>
      </c>
      <c r="F67" s="137" t="s">
        <v>129</v>
      </c>
      <c r="G67" s="137" t="s">
        <v>129</v>
      </c>
      <c r="H67" s="137" t="s">
        <v>129</v>
      </c>
      <c r="I67" s="137" t="s">
        <v>129</v>
      </c>
      <c r="J67" s="137" t="s">
        <v>129</v>
      </c>
      <c r="K67" s="137" t="s">
        <v>129</v>
      </c>
      <c r="L67" s="137" t="s">
        <v>129</v>
      </c>
      <c r="M67" s="141">
        <f t="shared" si="12"/>
        <v>5</v>
      </c>
      <c r="N67" s="143"/>
    </row>
    <row r="68" hidden="1" outlineLevel="2">
      <c r="A68" s="219" t="s">
        <v>359</v>
      </c>
      <c r="B68" s="132">
        <v>45996.0</v>
      </c>
      <c r="C68" s="133" t="str">
        <f t="shared" si="10"/>
        <v>Fri</v>
      </c>
      <c r="D68" s="136">
        <f t="shared" si="11"/>
        <v>1</v>
      </c>
      <c r="E68" s="137" t="s">
        <v>129</v>
      </c>
      <c r="F68" s="137" t="s">
        <v>129</v>
      </c>
      <c r="G68" s="137" t="s">
        <v>129</v>
      </c>
      <c r="H68" s="137" t="s">
        <v>129</v>
      </c>
      <c r="I68" s="137" t="s">
        <v>129</v>
      </c>
      <c r="J68" s="137" t="s">
        <v>129</v>
      </c>
      <c r="K68" s="137" t="s">
        <v>129</v>
      </c>
      <c r="L68" s="137" t="s">
        <v>129</v>
      </c>
      <c r="M68" s="141">
        <f t="shared" si="12"/>
        <v>5</v>
      </c>
      <c r="N68" s="143"/>
    </row>
    <row r="69" hidden="1" outlineLevel="2">
      <c r="A69" s="131" t="s">
        <v>360</v>
      </c>
      <c r="B69" s="132">
        <v>45996.0</v>
      </c>
      <c r="C69" s="133" t="str">
        <f t="shared" si="10"/>
        <v>Fri</v>
      </c>
      <c r="D69" s="136">
        <f t="shared" si="11"/>
        <v>1</v>
      </c>
      <c r="E69" s="137" t="s">
        <v>129</v>
      </c>
      <c r="F69" s="137" t="s">
        <v>129</v>
      </c>
      <c r="G69" s="137" t="s">
        <v>129</v>
      </c>
      <c r="H69" s="137" t="s">
        <v>129</v>
      </c>
      <c r="I69" s="137" t="s">
        <v>129</v>
      </c>
      <c r="J69" s="137" t="s">
        <v>129</v>
      </c>
      <c r="K69" s="137" t="s">
        <v>129</v>
      </c>
      <c r="L69" s="137" t="s">
        <v>129</v>
      </c>
      <c r="M69" s="141">
        <f t="shared" si="12"/>
        <v>5</v>
      </c>
      <c r="N69" s="147"/>
    </row>
    <row r="70" hidden="1" outlineLevel="2">
      <c r="A70" s="131" t="s">
        <v>362</v>
      </c>
      <c r="B70" s="132">
        <v>45996.0</v>
      </c>
      <c r="C70" s="133" t="str">
        <f t="shared" si="10"/>
        <v>Fri</v>
      </c>
      <c r="D70" s="136">
        <f t="shared" si="11"/>
        <v>1</v>
      </c>
      <c r="E70" s="137" t="s">
        <v>129</v>
      </c>
      <c r="F70" s="137" t="s">
        <v>129</v>
      </c>
      <c r="G70" s="137" t="s">
        <v>129</v>
      </c>
      <c r="H70" s="137" t="s">
        <v>129</v>
      </c>
      <c r="I70" s="137" t="s">
        <v>129</v>
      </c>
      <c r="J70" s="137" t="s">
        <v>129</v>
      </c>
      <c r="K70" s="137" t="s">
        <v>129</v>
      </c>
      <c r="L70" s="137" t="s">
        <v>129</v>
      </c>
      <c r="M70" s="141">
        <f t="shared" si="12"/>
        <v>5</v>
      </c>
      <c r="N70" s="143"/>
    </row>
    <row r="71" hidden="1" outlineLevel="2">
      <c r="A71" s="219" t="s">
        <v>364</v>
      </c>
      <c r="B71" s="132">
        <v>45998.0</v>
      </c>
      <c r="C71" s="186" t="str">
        <f t="shared" si="10"/>
        <v>Sun</v>
      </c>
      <c r="D71" s="136">
        <f t="shared" si="11"/>
        <v>0.7</v>
      </c>
      <c r="E71" s="137" t="s">
        <v>129</v>
      </c>
      <c r="F71" s="137" t="s">
        <v>129</v>
      </c>
      <c r="G71" s="137" t="s">
        <v>129</v>
      </c>
      <c r="H71" s="137" t="s">
        <v>129</v>
      </c>
      <c r="I71" s="137" t="s">
        <v>129</v>
      </c>
      <c r="J71" s="137" t="s">
        <v>129</v>
      </c>
      <c r="K71" s="137" t="s">
        <v>129</v>
      </c>
      <c r="L71" s="137" t="s">
        <v>174</v>
      </c>
      <c r="M71" s="141">
        <f t="shared" si="12"/>
        <v>3</v>
      </c>
      <c r="N71" s="147" t="s">
        <v>366</v>
      </c>
    </row>
    <row r="72" hidden="1" outlineLevel="2">
      <c r="A72" s="219" t="s">
        <v>367</v>
      </c>
      <c r="B72" s="132">
        <v>45998.0</v>
      </c>
      <c r="C72" s="186" t="str">
        <f t="shared" si="10"/>
        <v>Sun</v>
      </c>
      <c r="D72" s="136">
        <f t="shared" si="11"/>
        <v>1</v>
      </c>
      <c r="E72" s="137" t="s">
        <v>129</v>
      </c>
      <c r="F72" s="137" t="s">
        <v>129</v>
      </c>
      <c r="G72" s="137" t="s">
        <v>129</v>
      </c>
      <c r="H72" s="137" t="s">
        <v>129</v>
      </c>
      <c r="I72" s="137" t="s">
        <v>129</v>
      </c>
      <c r="J72" s="137" t="s">
        <v>129</v>
      </c>
      <c r="K72" s="137" t="s">
        <v>129</v>
      </c>
      <c r="L72" s="137" t="s">
        <v>129</v>
      </c>
      <c r="M72" s="141">
        <f t="shared" si="12"/>
        <v>5</v>
      </c>
      <c r="N72" s="143"/>
    </row>
    <row r="73" hidden="1" outlineLevel="2">
      <c r="A73" s="219" t="s">
        <v>370</v>
      </c>
      <c r="B73" s="132">
        <v>45998.0</v>
      </c>
      <c r="C73" s="186" t="str">
        <f t="shared" si="10"/>
        <v>Sun</v>
      </c>
      <c r="D73" s="136">
        <f t="shared" si="11"/>
        <v>1</v>
      </c>
      <c r="E73" s="137" t="s">
        <v>129</v>
      </c>
      <c r="F73" s="137" t="s">
        <v>129</v>
      </c>
      <c r="G73" s="137" t="s">
        <v>129</v>
      </c>
      <c r="H73" s="137" t="s">
        <v>129</v>
      </c>
      <c r="I73" s="137" t="s">
        <v>129</v>
      </c>
      <c r="J73" s="137" t="s">
        <v>129</v>
      </c>
      <c r="K73" s="137" t="s">
        <v>129</v>
      </c>
      <c r="L73" s="137" t="s">
        <v>129</v>
      </c>
      <c r="M73" s="141">
        <f t="shared" si="12"/>
        <v>5</v>
      </c>
      <c r="N73" s="143"/>
    </row>
    <row r="74" hidden="1" outlineLevel="2">
      <c r="B74" s="189"/>
      <c r="C74" s="191" t="s">
        <v>194</v>
      </c>
      <c r="D74" s="204">
        <f>AVERAGE(D59:D73)</f>
        <v>0.9766666667</v>
      </c>
      <c r="E74" s="200"/>
      <c r="L74" s="191" t="s">
        <v>194</v>
      </c>
      <c r="M74" s="204">
        <f>SUM(M59:M73)/75*0.1</f>
        <v>0.096</v>
      </c>
    </row>
    <row r="75" hidden="1" outlineLevel="1" collapsed="1">
      <c r="A75" s="206" t="s">
        <v>371</v>
      </c>
      <c r="B75" s="207"/>
      <c r="C75" s="207"/>
      <c r="D75" s="208"/>
      <c r="E75" s="109"/>
      <c r="F75" s="109"/>
      <c r="G75" s="110"/>
      <c r="H75" s="110"/>
      <c r="I75" s="110"/>
      <c r="J75" s="110"/>
      <c r="K75" s="110"/>
      <c r="L75" s="110"/>
      <c r="M75" s="111"/>
      <c r="N75" s="113"/>
    </row>
    <row r="76" hidden="1" outlineLevel="2">
      <c r="A76" s="115" t="s">
        <v>98</v>
      </c>
      <c r="B76" s="115" t="s">
        <v>100</v>
      </c>
      <c r="C76" s="115" t="s">
        <v>102</v>
      </c>
      <c r="D76" s="119" t="s">
        <v>103</v>
      </c>
      <c r="E76" s="275" t="s">
        <v>269</v>
      </c>
      <c r="F76" s="275" t="s">
        <v>272</v>
      </c>
      <c r="G76" s="276" t="s">
        <v>328</v>
      </c>
      <c r="H76" s="121" t="s">
        <v>107</v>
      </c>
      <c r="I76" s="121" t="s">
        <v>108</v>
      </c>
      <c r="J76" s="276" t="s">
        <v>329</v>
      </c>
      <c r="K76" s="121" t="s">
        <v>111</v>
      </c>
      <c r="L76" s="276" t="s">
        <v>274</v>
      </c>
      <c r="M76" s="115" t="s">
        <v>114</v>
      </c>
      <c r="N76" s="119" t="s">
        <v>115</v>
      </c>
    </row>
    <row r="77" hidden="1" outlineLevel="2">
      <c r="A77" s="255" t="s">
        <v>372</v>
      </c>
      <c r="B77" s="132">
        <v>45999.0</v>
      </c>
      <c r="C77" s="133" t="str">
        <f t="shared" ref="C77:C91" si="13">IF(B77="", "", TEXT(B77, "ddd"))</f>
        <v>Mon</v>
      </c>
      <c r="D77" s="136">
        <f t="shared" ref="D77:D91" si="14">IF(E77="Yes",0.05,0)
+IF(F77="Yes",0.1,0)
+IF(G77="Yes",0.15,0)
+IF(H77="Yes",0.15,0)
+IF(I77="Yes",0.05,0)
+IF(J77="Yes",0.05,0)
+IF(K77="Yes",0.15,0)
+IF(L77="Yes",0.3,0)
</f>
        <v>1</v>
      </c>
      <c r="E77" s="137" t="s">
        <v>129</v>
      </c>
      <c r="F77" s="137" t="s">
        <v>129</v>
      </c>
      <c r="G77" s="137" t="s">
        <v>129</v>
      </c>
      <c r="H77" s="137" t="s">
        <v>129</v>
      </c>
      <c r="I77" s="137" t="s">
        <v>129</v>
      </c>
      <c r="J77" s="137" t="s">
        <v>129</v>
      </c>
      <c r="K77" s="137" t="s">
        <v>129</v>
      </c>
      <c r="L77" s="137" t="s">
        <v>129</v>
      </c>
      <c r="M77" s="141">
        <f t="shared" ref="M77:M91" si="15">IF(D77="", 0, 
    IF(D77&gt;=1, 5, 
    IF(D77&gt;=0.8, 4, 
    IF(D77&gt;=0.7, 3, 
    IF(D77&gt;=0.6, 2, 
    IF(D77&lt;0.5, 1, ""))))))</f>
        <v>5</v>
      </c>
      <c r="N77" s="143"/>
    </row>
    <row r="78" hidden="1" outlineLevel="2">
      <c r="A78" s="255" t="s">
        <v>373</v>
      </c>
      <c r="B78" s="132">
        <v>45999.0</v>
      </c>
      <c r="C78" s="133" t="str">
        <f t="shared" si="13"/>
        <v>Mon</v>
      </c>
      <c r="D78" s="136">
        <f t="shared" si="14"/>
        <v>1</v>
      </c>
      <c r="E78" s="137" t="s">
        <v>129</v>
      </c>
      <c r="F78" s="137" t="s">
        <v>129</v>
      </c>
      <c r="G78" s="137" t="s">
        <v>129</v>
      </c>
      <c r="H78" s="137" t="s">
        <v>129</v>
      </c>
      <c r="I78" s="137" t="s">
        <v>129</v>
      </c>
      <c r="J78" s="137" t="s">
        <v>129</v>
      </c>
      <c r="K78" s="137" t="s">
        <v>129</v>
      </c>
      <c r="L78" s="137" t="s">
        <v>129</v>
      </c>
      <c r="M78" s="141">
        <f t="shared" si="15"/>
        <v>5</v>
      </c>
      <c r="N78" s="147"/>
    </row>
    <row r="79" hidden="1" outlineLevel="2">
      <c r="A79" s="255" t="s">
        <v>375</v>
      </c>
      <c r="B79" s="132">
        <v>45999.0</v>
      </c>
      <c r="C79" s="133" t="str">
        <f t="shared" si="13"/>
        <v>Mon</v>
      </c>
      <c r="D79" s="136">
        <f t="shared" si="14"/>
        <v>1</v>
      </c>
      <c r="E79" s="137" t="s">
        <v>129</v>
      </c>
      <c r="F79" s="137" t="s">
        <v>129</v>
      </c>
      <c r="G79" s="137" t="s">
        <v>129</v>
      </c>
      <c r="H79" s="137" t="s">
        <v>129</v>
      </c>
      <c r="I79" s="137" t="s">
        <v>129</v>
      </c>
      <c r="J79" s="137" t="s">
        <v>129</v>
      </c>
      <c r="K79" s="137" t="s">
        <v>129</v>
      </c>
      <c r="L79" s="137" t="s">
        <v>129</v>
      </c>
      <c r="M79" s="141">
        <f t="shared" si="15"/>
        <v>5</v>
      </c>
      <c r="N79" s="147"/>
    </row>
    <row r="80" hidden="1" outlineLevel="2">
      <c r="A80" s="219" t="s">
        <v>376</v>
      </c>
      <c r="B80" s="132">
        <v>46000.0</v>
      </c>
      <c r="C80" s="133" t="str">
        <f t="shared" si="13"/>
        <v>Tue</v>
      </c>
      <c r="D80" s="136">
        <f t="shared" si="14"/>
        <v>1</v>
      </c>
      <c r="E80" s="137" t="s">
        <v>129</v>
      </c>
      <c r="F80" s="137" t="s">
        <v>129</v>
      </c>
      <c r="G80" s="137" t="s">
        <v>129</v>
      </c>
      <c r="H80" s="137" t="s">
        <v>129</v>
      </c>
      <c r="I80" s="137" t="s">
        <v>129</v>
      </c>
      <c r="J80" s="137" t="s">
        <v>129</v>
      </c>
      <c r="K80" s="137" t="s">
        <v>129</v>
      </c>
      <c r="L80" s="137" t="s">
        <v>129</v>
      </c>
      <c r="M80" s="141">
        <f t="shared" si="15"/>
        <v>5</v>
      </c>
      <c r="N80" s="143"/>
    </row>
    <row r="81" hidden="1" outlineLevel="2">
      <c r="A81" s="219" t="s">
        <v>377</v>
      </c>
      <c r="B81" s="132">
        <v>46000.0</v>
      </c>
      <c r="C81" s="133" t="str">
        <f t="shared" si="13"/>
        <v>Tue</v>
      </c>
      <c r="D81" s="136">
        <f t="shared" si="14"/>
        <v>1</v>
      </c>
      <c r="E81" s="137" t="s">
        <v>129</v>
      </c>
      <c r="F81" s="137" t="s">
        <v>129</v>
      </c>
      <c r="G81" s="137" t="s">
        <v>129</v>
      </c>
      <c r="H81" s="137" t="s">
        <v>129</v>
      </c>
      <c r="I81" s="137" t="s">
        <v>129</v>
      </c>
      <c r="J81" s="137" t="s">
        <v>129</v>
      </c>
      <c r="K81" s="137" t="s">
        <v>129</v>
      </c>
      <c r="L81" s="137" t="s">
        <v>129</v>
      </c>
      <c r="M81" s="141">
        <f t="shared" si="15"/>
        <v>5</v>
      </c>
      <c r="N81" s="143"/>
    </row>
    <row r="82" hidden="1" outlineLevel="2">
      <c r="A82" s="219" t="s">
        <v>379</v>
      </c>
      <c r="B82" s="132">
        <v>46000.0</v>
      </c>
      <c r="C82" s="133" t="str">
        <f t="shared" si="13"/>
        <v>Tue</v>
      </c>
      <c r="D82" s="136">
        <f t="shared" si="14"/>
        <v>1</v>
      </c>
      <c r="E82" s="137" t="s">
        <v>129</v>
      </c>
      <c r="F82" s="137" t="s">
        <v>129</v>
      </c>
      <c r="G82" s="137" t="s">
        <v>129</v>
      </c>
      <c r="H82" s="137" t="s">
        <v>129</v>
      </c>
      <c r="I82" s="137" t="s">
        <v>129</v>
      </c>
      <c r="J82" s="137" t="s">
        <v>129</v>
      </c>
      <c r="K82" s="137" t="s">
        <v>129</v>
      </c>
      <c r="L82" s="137" t="s">
        <v>129</v>
      </c>
      <c r="M82" s="141">
        <f t="shared" si="15"/>
        <v>5</v>
      </c>
      <c r="N82" s="143"/>
    </row>
    <row r="83" hidden="1" outlineLevel="2">
      <c r="A83" s="219" t="s">
        <v>381</v>
      </c>
      <c r="B83" s="132">
        <v>46001.0</v>
      </c>
      <c r="C83" s="133" t="str">
        <f t="shared" si="13"/>
        <v>Wed</v>
      </c>
      <c r="D83" s="136">
        <f t="shared" si="14"/>
        <v>1</v>
      </c>
      <c r="E83" s="137" t="s">
        <v>129</v>
      </c>
      <c r="F83" s="137" t="s">
        <v>129</v>
      </c>
      <c r="G83" s="137" t="s">
        <v>129</v>
      </c>
      <c r="H83" s="137" t="s">
        <v>129</v>
      </c>
      <c r="I83" s="137" t="s">
        <v>129</v>
      </c>
      <c r="J83" s="137" t="s">
        <v>129</v>
      </c>
      <c r="K83" s="137" t="s">
        <v>129</v>
      </c>
      <c r="L83" s="137" t="s">
        <v>129</v>
      </c>
      <c r="M83" s="141">
        <f t="shared" si="15"/>
        <v>5</v>
      </c>
      <c r="N83" s="143"/>
    </row>
    <row r="84" hidden="1" outlineLevel="2">
      <c r="A84" s="219" t="s">
        <v>383</v>
      </c>
      <c r="B84" s="132">
        <v>46001.0</v>
      </c>
      <c r="C84" s="133" t="str">
        <f t="shared" si="13"/>
        <v>Wed</v>
      </c>
      <c r="D84" s="136">
        <f t="shared" si="14"/>
        <v>1</v>
      </c>
      <c r="E84" s="137" t="s">
        <v>129</v>
      </c>
      <c r="F84" s="137" t="s">
        <v>129</v>
      </c>
      <c r="G84" s="137" t="s">
        <v>129</v>
      </c>
      <c r="H84" s="137" t="s">
        <v>129</v>
      </c>
      <c r="I84" s="137" t="s">
        <v>129</v>
      </c>
      <c r="J84" s="137" t="s">
        <v>129</v>
      </c>
      <c r="K84" s="137" t="s">
        <v>129</v>
      </c>
      <c r="L84" s="137" t="s">
        <v>129</v>
      </c>
      <c r="M84" s="141">
        <f t="shared" si="15"/>
        <v>5</v>
      </c>
      <c r="N84" s="147"/>
    </row>
    <row r="85" hidden="1" outlineLevel="2">
      <c r="A85" s="219" t="s">
        <v>385</v>
      </c>
      <c r="B85" s="132">
        <v>46001.0</v>
      </c>
      <c r="C85" s="133" t="str">
        <f t="shared" si="13"/>
        <v>Wed</v>
      </c>
      <c r="D85" s="136">
        <f t="shared" si="14"/>
        <v>1</v>
      </c>
      <c r="E85" s="137" t="s">
        <v>129</v>
      </c>
      <c r="F85" s="137" t="s">
        <v>129</v>
      </c>
      <c r="G85" s="137" t="s">
        <v>129</v>
      </c>
      <c r="H85" s="137" t="s">
        <v>129</v>
      </c>
      <c r="I85" s="137" t="s">
        <v>129</v>
      </c>
      <c r="J85" s="137" t="s">
        <v>129</v>
      </c>
      <c r="K85" s="137" t="s">
        <v>129</v>
      </c>
      <c r="L85" s="137" t="s">
        <v>129</v>
      </c>
      <c r="M85" s="141">
        <f t="shared" si="15"/>
        <v>5</v>
      </c>
      <c r="N85" s="143"/>
    </row>
    <row r="86" hidden="1" outlineLevel="2">
      <c r="A86" s="177" t="s">
        <v>386</v>
      </c>
      <c r="B86" s="132">
        <v>46002.0</v>
      </c>
      <c r="C86" s="133" t="str">
        <f t="shared" si="13"/>
        <v>Thu</v>
      </c>
      <c r="D86" s="136">
        <f t="shared" si="14"/>
        <v>1</v>
      </c>
      <c r="E86" s="137" t="s">
        <v>129</v>
      </c>
      <c r="F86" s="137" t="s">
        <v>129</v>
      </c>
      <c r="G86" s="137" t="s">
        <v>129</v>
      </c>
      <c r="H86" s="137" t="s">
        <v>129</v>
      </c>
      <c r="I86" s="137" t="s">
        <v>129</v>
      </c>
      <c r="J86" s="137" t="s">
        <v>129</v>
      </c>
      <c r="K86" s="137" t="s">
        <v>129</v>
      </c>
      <c r="L86" s="137" t="s">
        <v>129</v>
      </c>
      <c r="M86" s="141">
        <f t="shared" si="15"/>
        <v>5</v>
      </c>
      <c r="N86" s="143"/>
    </row>
    <row r="87" hidden="1" outlineLevel="2">
      <c r="A87" s="177" t="s">
        <v>388</v>
      </c>
      <c r="B87" s="132">
        <v>46002.0</v>
      </c>
      <c r="C87" s="133" t="str">
        <f t="shared" si="13"/>
        <v>Thu</v>
      </c>
      <c r="D87" s="136">
        <f t="shared" si="14"/>
        <v>1</v>
      </c>
      <c r="E87" s="137" t="s">
        <v>129</v>
      </c>
      <c r="F87" s="137" t="s">
        <v>129</v>
      </c>
      <c r="G87" s="137" t="s">
        <v>129</v>
      </c>
      <c r="H87" s="137" t="s">
        <v>129</v>
      </c>
      <c r="I87" s="137" t="s">
        <v>129</v>
      </c>
      <c r="J87" s="137" t="s">
        <v>129</v>
      </c>
      <c r="K87" s="137" t="s">
        <v>129</v>
      </c>
      <c r="L87" s="137" t="s">
        <v>129</v>
      </c>
      <c r="M87" s="141">
        <f t="shared" si="15"/>
        <v>5</v>
      </c>
      <c r="N87" s="147"/>
    </row>
    <row r="88" hidden="1" outlineLevel="2">
      <c r="A88" s="177" t="s">
        <v>389</v>
      </c>
      <c r="B88" s="132">
        <v>46002.0</v>
      </c>
      <c r="C88" s="133" t="str">
        <f t="shared" si="13"/>
        <v>Thu</v>
      </c>
      <c r="D88" s="136">
        <f t="shared" si="14"/>
        <v>1</v>
      </c>
      <c r="E88" s="137" t="s">
        <v>129</v>
      </c>
      <c r="F88" s="137" t="s">
        <v>129</v>
      </c>
      <c r="G88" s="137" t="s">
        <v>129</v>
      </c>
      <c r="H88" s="137" t="s">
        <v>129</v>
      </c>
      <c r="I88" s="137" t="s">
        <v>129</v>
      </c>
      <c r="J88" s="137" t="s">
        <v>129</v>
      </c>
      <c r="K88" s="137" t="s">
        <v>129</v>
      </c>
      <c r="L88" s="137" t="s">
        <v>129</v>
      </c>
      <c r="M88" s="141">
        <f t="shared" si="15"/>
        <v>5</v>
      </c>
      <c r="N88" s="143"/>
    </row>
    <row r="89" hidden="1" outlineLevel="2">
      <c r="A89" s="219" t="s">
        <v>392</v>
      </c>
      <c r="B89" s="132">
        <v>46003.0</v>
      </c>
      <c r="C89" s="186" t="str">
        <f t="shared" si="13"/>
        <v>Fri</v>
      </c>
      <c r="D89" s="136">
        <f t="shared" si="14"/>
        <v>1</v>
      </c>
      <c r="E89" s="137" t="s">
        <v>129</v>
      </c>
      <c r="F89" s="137" t="s">
        <v>129</v>
      </c>
      <c r="G89" s="137" t="s">
        <v>129</v>
      </c>
      <c r="H89" s="137" t="s">
        <v>129</v>
      </c>
      <c r="I89" s="137" t="s">
        <v>129</v>
      </c>
      <c r="J89" s="137" t="s">
        <v>129</v>
      </c>
      <c r="K89" s="137" t="s">
        <v>129</v>
      </c>
      <c r="L89" s="137" t="s">
        <v>129</v>
      </c>
      <c r="M89" s="141">
        <f t="shared" si="15"/>
        <v>5</v>
      </c>
      <c r="N89" s="143"/>
    </row>
    <row r="90" hidden="1" outlineLevel="2">
      <c r="A90" s="219" t="s">
        <v>398</v>
      </c>
      <c r="B90" s="132">
        <v>46003.0</v>
      </c>
      <c r="C90" s="186" t="str">
        <f t="shared" si="13"/>
        <v>Fri</v>
      </c>
      <c r="D90" s="136">
        <f t="shared" si="14"/>
        <v>1</v>
      </c>
      <c r="E90" s="137" t="s">
        <v>129</v>
      </c>
      <c r="F90" s="137" t="s">
        <v>129</v>
      </c>
      <c r="G90" s="137" t="s">
        <v>129</v>
      </c>
      <c r="H90" s="137" t="s">
        <v>129</v>
      </c>
      <c r="I90" s="137" t="s">
        <v>129</v>
      </c>
      <c r="J90" s="137" t="s">
        <v>129</v>
      </c>
      <c r="K90" s="137" t="s">
        <v>129</v>
      </c>
      <c r="L90" s="137" t="s">
        <v>129</v>
      </c>
      <c r="M90" s="141">
        <f t="shared" si="15"/>
        <v>5</v>
      </c>
      <c r="N90" s="143"/>
    </row>
    <row r="91" hidden="1" outlineLevel="2">
      <c r="A91" s="219" t="s">
        <v>399</v>
      </c>
      <c r="B91" s="132">
        <v>46003.0</v>
      </c>
      <c r="C91" s="186" t="str">
        <f t="shared" si="13"/>
        <v>Fri</v>
      </c>
      <c r="D91" s="136">
        <f t="shared" si="14"/>
        <v>1</v>
      </c>
      <c r="E91" s="137" t="s">
        <v>129</v>
      </c>
      <c r="F91" s="137" t="s">
        <v>129</v>
      </c>
      <c r="G91" s="137" t="s">
        <v>129</v>
      </c>
      <c r="H91" s="137" t="s">
        <v>129</v>
      </c>
      <c r="I91" s="137" t="s">
        <v>129</v>
      </c>
      <c r="J91" s="137" t="s">
        <v>129</v>
      </c>
      <c r="K91" s="137" t="s">
        <v>129</v>
      </c>
      <c r="L91" s="137" t="s">
        <v>129</v>
      </c>
      <c r="M91" s="141">
        <f t="shared" si="15"/>
        <v>5</v>
      </c>
      <c r="N91" s="143"/>
    </row>
    <row r="92" hidden="1" outlineLevel="2">
      <c r="B92" s="189"/>
      <c r="C92" s="328" t="s">
        <v>194</v>
      </c>
      <c r="D92" s="329">
        <f>AVERAGE(D77:D91)</f>
        <v>1</v>
      </c>
      <c r="E92" s="200"/>
      <c r="L92" s="191" t="s">
        <v>194</v>
      </c>
      <c r="M92" s="204">
        <f>SUM(M77:M91)/75*0.1</f>
        <v>0.1</v>
      </c>
    </row>
    <row r="93" hidden="1" outlineLevel="1" collapsed="1">
      <c r="A93" s="206" t="s">
        <v>403</v>
      </c>
      <c r="B93" s="207"/>
      <c r="C93" s="207"/>
      <c r="D93" s="208"/>
      <c r="E93" s="109"/>
      <c r="F93" s="109"/>
      <c r="G93" s="110"/>
      <c r="H93" s="110"/>
      <c r="I93" s="110"/>
      <c r="J93" s="110"/>
      <c r="K93" s="110"/>
      <c r="L93" s="110"/>
      <c r="M93" s="111"/>
      <c r="N93" s="113"/>
    </row>
    <row r="94" hidden="1" outlineLevel="2">
      <c r="A94" s="115" t="s">
        <v>98</v>
      </c>
      <c r="B94" s="115" t="s">
        <v>100</v>
      </c>
      <c r="C94" s="115" t="s">
        <v>102</v>
      </c>
      <c r="D94" s="119" t="s">
        <v>103</v>
      </c>
      <c r="E94" s="275" t="s">
        <v>269</v>
      </c>
      <c r="F94" s="275" t="s">
        <v>272</v>
      </c>
      <c r="G94" s="276" t="s">
        <v>328</v>
      </c>
      <c r="H94" s="121" t="s">
        <v>107</v>
      </c>
      <c r="I94" s="121" t="s">
        <v>108</v>
      </c>
      <c r="J94" s="276" t="s">
        <v>329</v>
      </c>
      <c r="K94" s="121" t="s">
        <v>111</v>
      </c>
      <c r="L94" s="276" t="s">
        <v>274</v>
      </c>
      <c r="M94" s="115" t="s">
        <v>114</v>
      </c>
      <c r="N94" s="119" t="s">
        <v>115</v>
      </c>
    </row>
    <row r="95" hidden="1" outlineLevel="2">
      <c r="A95" s="219" t="s">
        <v>405</v>
      </c>
      <c r="B95" s="132">
        <v>46006.0</v>
      </c>
      <c r="C95" s="133" t="str">
        <f t="shared" ref="C95:C109" si="16">IF(B95="", "", TEXT(B95, "ddd"))</f>
        <v>Mon</v>
      </c>
      <c r="D95" s="136">
        <f t="shared" ref="D95:D109" si="17">IF(E95="Yes",0.05,0)
+IF(F95="Yes",0.1,0)
+IF(G95="Yes",0.15,0)
+IF(H95="Yes",0.15,0)
+IF(I95="Yes",0.05,0)
+IF(J95="Yes",0.05,0)
+IF(K95="Yes",0.15,0)
+IF(L95="Yes",0.3,0)
</f>
        <v>1</v>
      </c>
      <c r="E95" s="137" t="s">
        <v>129</v>
      </c>
      <c r="F95" s="137" t="s">
        <v>129</v>
      </c>
      <c r="G95" s="137" t="s">
        <v>129</v>
      </c>
      <c r="H95" s="137" t="s">
        <v>129</v>
      </c>
      <c r="I95" s="137" t="s">
        <v>129</v>
      </c>
      <c r="J95" s="137" t="s">
        <v>129</v>
      </c>
      <c r="K95" s="137" t="s">
        <v>129</v>
      </c>
      <c r="L95" s="137" t="s">
        <v>129</v>
      </c>
      <c r="M95" s="141"/>
      <c r="N95" s="143"/>
    </row>
    <row r="96" hidden="1" outlineLevel="2">
      <c r="A96" s="219" t="s">
        <v>407</v>
      </c>
      <c r="B96" s="132">
        <v>46006.0</v>
      </c>
      <c r="C96" s="133" t="str">
        <f t="shared" si="16"/>
        <v>Mon</v>
      </c>
      <c r="D96" s="136">
        <f t="shared" si="17"/>
        <v>1</v>
      </c>
      <c r="E96" s="137" t="s">
        <v>129</v>
      </c>
      <c r="F96" s="137" t="s">
        <v>129</v>
      </c>
      <c r="G96" s="137" t="s">
        <v>129</v>
      </c>
      <c r="H96" s="137" t="s">
        <v>129</v>
      </c>
      <c r="I96" s="137" t="s">
        <v>129</v>
      </c>
      <c r="J96" s="137" t="s">
        <v>129</v>
      </c>
      <c r="K96" s="137" t="s">
        <v>129</v>
      </c>
      <c r="L96" s="137" t="s">
        <v>129</v>
      </c>
      <c r="M96" s="141"/>
      <c r="N96" s="147"/>
    </row>
    <row r="97" hidden="1" outlineLevel="2">
      <c r="A97" s="219" t="s">
        <v>409</v>
      </c>
      <c r="B97" s="132">
        <v>46006.0</v>
      </c>
      <c r="C97" s="133" t="str">
        <f t="shared" si="16"/>
        <v>Mon</v>
      </c>
      <c r="D97" s="136">
        <f t="shared" si="17"/>
        <v>1</v>
      </c>
      <c r="E97" s="137" t="s">
        <v>129</v>
      </c>
      <c r="F97" s="137" t="s">
        <v>129</v>
      </c>
      <c r="G97" s="137" t="s">
        <v>129</v>
      </c>
      <c r="H97" s="137" t="s">
        <v>129</v>
      </c>
      <c r="I97" s="137" t="s">
        <v>129</v>
      </c>
      <c r="J97" s="137" t="s">
        <v>129</v>
      </c>
      <c r="K97" s="137" t="s">
        <v>129</v>
      </c>
      <c r="L97" s="137" t="s">
        <v>129</v>
      </c>
      <c r="M97" s="141"/>
      <c r="N97" s="147"/>
    </row>
    <row r="98" hidden="1" outlineLevel="2">
      <c r="A98" s="219" t="s">
        <v>410</v>
      </c>
      <c r="B98" s="132">
        <v>46007.0</v>
      </c>
      <c r="C98" s="133" t="str">
        <f t="shared" si="16"/>
        <v>Tue</v>
      </c>
      <c r="D98" s="136">
        <f t="shared" si="17"/>
        <v>1</v>
      </c>
      <c r="E98" s="137" t="s">
        <v>129</v>
      </c>
      <c r="F98" s="137" t="s">
        <v>129</v>
      </c>
      <c r="G98" s="137" t="s">
        <v>129</v>
      </c>
      <c r="H98" s="137" t="s">
        <v>129</v>
      </c>
      <c r="I98" s="137" t="s">
        <v>129</v>
      </c>
      <c r="J98" s="137" t="s">
        <v>129</v>
      </c>
      <c r="K98" s="137" t="s">
        <v>129</v>
      </c>
      <c r="L98" s="137" t="s">
        <v>129</v>
      </c>
      <c r="M98" s="141"/>
      <c r="N98" s="143"/>
    </row>
    <row r="99" hidden="1" outlineLevel="2">
      <c r="A99" s="219" t="s">
        <v>411</v>
      </c>
      <c r="B99" s="132">
        <v>46007.0</v>
      </c>
      <c r="C99" s="133" t="str">
        <f t="shared" si="16"/>
        <v>Tue</v>
      </c>
      <c r="D99" s="136">
        <f t="shared" si="17"/>
        <v>1</v>
      </c>
      <c r="E99" s="137" t="s">
        <v>129</v>
      </c>
      <c r="F99" s="137" t="s">
        <v>129</v>
      </c>
      <c r="G99" s="137" t="s">
        <v>129</v>
      </c>
      <c r="H99" s="137" t="s">
        <v>129</v>
      </c>
      <c r="I99" s="137" t="s">
        <v>129</v>
      </c>
      <c r="J99" s="137" t="s">
        <v>129</v>
      </c>
      <c r="K99" s="137" t="s">
        <v>129</v>
      </c>
      <c r="L99" s="137" t="s">
        <v>129</v>
      </c>
      <c r="M99" s="141"/>
      <c r="N99" s="143"/>
    </row>
    <row r="100" hidden="1" outlineLevel="2">
      <c r="A100" s="219" t="s">
        <v>412</v>
      </c>
      <c r="B100" s="132">
        <v>46007.0</v>
      </c>
      <c r="C100" s="133" t="str">
        <f t="shared" si="16"/>
        <v>Tue</v>
      </c>
      <c r="D100" s="136">
        <f t="shared" si="17"/>
        <v>1</v>
      </c>
      <c r="E100" s="137" t="s">
        <v>129</v>
      </c>
      <c r="F100" s="137" t="s">
        <v>129</v>
      </c>
      <c r="G100" s="137" t="s">
        <v>129</v>
      </c>
      <c r="H100" s="137" t="s">
        <v>129</v>
      </c>
      <c r="I100" s="137" t="s">
        <v>129</v>
      </c>
      <c r="J100" s="137" t="s">
        <v>129</v>
      </c>
      <c r="K100" s="137" t="s">
        <v>129</v>
      </c>
      <c r="L100" s="137" t="s">
        <v>129</v>
      </c>
      <c r="M100" s="141"/>
      <c r="N100" s="143"/>
    </row>
    <row r="101" hidden="1" outlineLevel="2">
      <c r="A101" s="219" t="s">
        <v>414</v>
      </c>
      <c r="B101" s="132">
        <v>46008.0</v>
      </c>
      <c r="C101" s="133" t="str">
        <f t="shared" si="16"/>
        <v>Wed</v>
      </c>
      <c r="D101" s="136">
        <f t="shared" si="17"/>
        <v>1</v>
      </c>
      <c r="E101" s="137" t="s">
        <v>129</v>
      </c>
      <c r="F101" s="137" t="s">
        <v>129</v>
      </c>
      <c r="G101" s="137" t="s">
        <v>129</v>
      </c>
      <c r="H101" s="137" t="s">
        <v>129</v>
      </c>
      <c r="I101" s="137" t="s">
        <v>129</v>
      </c>
      <c r="J101" s="137" t="s">
        <v>129</v>
      </c>
      <c r="K101" s="137" t="s">
        <v>129</v>
      </c>
      <c r="L101" s="137" t="s">
        <v>129</v>
      </c>
      <c r="M101" s="141"/>
      <c r="N101" s="143"/>
    </row>
    <row r="102" hidden="1" outlineLevel="2">
      <c r="A102" s="219" t="s">
        <v>415</v>
      </c>
      <c r="B102" s="132">
        <v>46008.0</v>
      </c>
      <c r="C102" s="133" t="str">
        <f t="shared" si="16"/>
        <v>Wed</v>
      </c>
      <c r="D102" s="136">
        <f t="shared" si="17"/>
        <v>1</v>
      </c>
      <c r="E102" s="137" t="s">
        <v>129</v>
      </c>
      <c r="F102" s="137" t="s">
        <v>129</v>
      </c>
      <c r="G102" s="137" t="s">
        <v>129</v>
      </c>
      <c r="H102" s="137" t="s">
        <v>129</v>
      </c>
      <c r="I102" s="137" t="s">
        <v>129</v>
      </c>
      <c r="J102" s="137" t="s">
        <v>129</v>
      </c>
      <c r="K102" s="137" t="s">
        <v>129</v>
      </c>
      <c r="L102" s="137" t="s">
        <v>129</v>
      </c>
      <c r="M102" s="141"/>
      <c r="N102" s="147"/>
    </row>
    <row r="103" hidden="1" outlineLevel="2">
      <c r="A103" s="219" t="s">
        <v>417</v>
      </c>
      <c r="B103" s="132">
        <v>46008.0</v>
      </c>
      <c r="C103" s="133" t="str">
        <f t="shared" si="16"/>
        <v>Wed</v>
      </c>
      <c r="D103" s="136">
        <f t="shared" si="17"/>
        <v>1</v>
      </c>
      <c r="E103" s="137" t="s">
        <v>129</v>
      </c>
      <c r="F103" s="137" t="s">
        <v>129</v>
      </c>
      <c r="G103" s="137" t="s">
        <v>129</v>
      </c>
      <c r="H103" s="137" t="s">
        <v>129</v>
      </c>
      <c r="I103" s="137" t="s">
        <v>129</v>
      </c>
      <c r="J103" s="137" t="s">
        <v>129</v>
      </c>
      <c r="K103" s="137" t="s">
        <v>129</v>
      </c>
      <c r="L103" s="137" t="s">
        <v>129</v>
      </c>
      <c r="M103" s="141"/>
      <c r="N103" s="143"/>
    </row>
    <row r="104" hidden="1" outlineLevel="2">
      <c r="A104" s="131" t="s">
        <v>419</v>
      </c>
      <c r="B104" s="132">
        <v>46009.0</v>
      </c>
      <c r="C104" s="133" t="str">
        <f t="shared" si="16"/>
        <v>Thu</v>
      </c>
      <c r="D104" s="136">
        <f t="shared" si="17"/>
        <v>1</v>
      </c>
      <c r="E104" s="137" t="s">
        <v>129</v>
      </c>
      <c r="F104" s="137" t="s">
        <v>129</v>
      </c>
      <c r="G104" s="137" t="s">
        <v>129</v>
      </c>
      <c r="H104" s="137" t="s">
        <v>129</v>
      </c>
      <c r="I104" s="137" t="s">
        <v>129</v>
      </c>
      <c r="J104" s="137" t="s">
        <v>129</v>
      </c>
      <c r="K104" s="137" t="s">
        <v>129</v>
      </c>
      <c r="L104" s="137" t="s">
        <v>129</v>
      </c>
      <c r="M104" s="141"/>
      <c r="N104" s="143"/>
    </row>
    <row r="105" hidden="1" outlineLevel="2">
      <c r="A105" s="131" t="s">
        <v>420</v>
      </c>
      <c r="B105" s="132">
        <v>46009.0</v>
      </c>
      <c r="C105" s="133" t="str">
        <f t="shared" si="16"/>
        <v>Thu</v>
      </c>
      <c r="D105" s="136">
        <f t="shared" si="17"/>
        <v>1</v>
      </c>
      <c r="E105" s="137" t="s">
        <v>129</v>
      </c>
      <c r="F105" s="137" t="s">
        <v>129</v>
      </c>
      <c r="G105" s="137" t="s">
        <v>129</v>
      </c>
      <c r="H105" s="137" t="s">
        <v>129</v>
      </c>
      <c r="I105" s="137" t="s">
        <v>129</v>
      </c>
      <c r="J105" s="137" t="s">
        <v>129</v>
      </c>
      <c r="K105" s="137" t="s">
        <v>129</v>
      </c>
      <c r="L105" s="137" t="s">
        <v>129</v>
      </c>
      <c r="M105" s="141"/>
      <c r="N105" s="147"/>
    </row>
    <row r="106" hidden="1" outlineLevel="2">
      <c r="A106" s="131" t="s">
        <v>422</v>
      </c>
      <c r="B106" s="132">
        <v>46009.0</v>
      </c>
      <c r="C106" s="133" t="str">
        <f t="shared" si="16"/>
        <v>Thu</v>
      </c>
      <c r="D106" s="136">
        <f t="shared" si="17"/>
        <v>1</v>
      </c>
      <c r="E106" s="137" t="s">
        <v>129</v>
      </c>
      <c r="F106" s="137" t="s">
        <v>129</v>
      </c>
      <c r="G106" s="137" t="s">
        <v>129</v>
      </c>
      <c r="H106" s="137" t="s">
        <v>129</v>
      </c>
      <c r="I106" s="137" t="s">
        <v>129</v>
      </c>
      <c r="J106" s="137" t="s">
        <v>129</v>
      </c>
      <c r="K106" s="137" t="s">
        <v>129</v>
      </c>
      <c r="L106" s="137" t="s">
        <v>129</v>
      </c>
      <c r="M106" s="141"/>
      <c r="N106" s="143"/>
    </row>
    <row r="107" hidden="1" outlineLevel="2">
      <c r="A107" s="255" t="s">
        <v>424</v>
      </c>
      <c r="B107" s="132">
        <v>46010.0</v>
      </c>
      <c r="C107" s="186" t="str">
        <f t="shared" si="16"/>
        <v>Fri</v>
      </c>
      <c r="D107" s="136">
        <f t="shared" si="17"/>
        <v>1</v>
      </c>
      <c r="E107" s="137" t="s">
        <v>129</v>
      </c>
      <c r="F107" s="137" t="s">
        <v>129</v>
      </c>
      <c r="G107" s="137" t="s">
        <v>129</v>
      </c>
      <c r="H107" s="137" t="s">
        <v>129</v>
      </c>
      <c r="I107" s="137" t="s">
        <v>129</v>
      </c>
      <c r="J107" s="137" t="s">
        <v>129</v>
      </c>
      <c r="K107" s="137" t="s">
        <v>129</v>
      </c>
      <c r="L107" s="137" t="s">
        <v>129</v>
      </c>
      <c r="M107" s="141"/>
      <c r="N107" s="143"/>
    </row>
    <row r="108" hidden="1" outlineLevel="2">
      <c r="A108" s="255" t="s">
        <v>425</v>
      </c>
      <c r="B108" s="132">
        <v>46010.0</v>
      </c>
      <c r="C108" s="186" t="str">
        <f t="shared" si="16"/>
        <v>Fri</v>
      </c>
      <c r="D108" s="136">
        <f t="shared" si="17"/>
        <v>1</v>
      </c>
      <c r="E108" s="137" t="s">
        <v>129</v>
      </c>
      <c r="F108" s="137" t="s">
        <v>129</v>
      </c>
      <c r="G108" s="137" t="s">
        <v>129</v>
      </c>
      <c r="H108" s="137" t="s">
        <v>129</v>
      </c>
      <c r="I108" s="137" t="s">
        <v>129</v>
      </c>
      <c r="J108" s="137" t="s">
        <v>129</v>
      </c>
      <c r="K108" s="137" t="s">
        <v>129</v>
      </c>
      <c r="L108" s="137" t="s">
        <v>129</v>
      </c>
      <c r="M108" s="141"/>
      <c r="N108" s="143"/>
    </row>
    <row r="109" ht="15.0" hidden="1" customHeight="1" outlineLevel="2">
      <c r="A109" s="255" t="s">
        <v>426</v>
      </c>
      <c r="B109" s="132">
        <v>46010.0</v>
      </c>
      <c r="C109" s="186" t="str">
        <f t="shared" si="16"/>
        <v>Fri</v>
      </c>
      <c r="D109" s="136">
        <f t="shared" si="17"/>
        <v>1</v>
      </c>
      <c r="E109" s="137" t="s">
        <v>129</v>
      </c>
      <c r="F109" s="137" t="s">
        <v>129</v>
      </c>
      <c r="G109" s="137" t="s">
        <v>129</v>
      </c>
      <c r="H109" s="137" t="s">
        <v>129</v>
      </c>
      <c r="I109" s="137" t="s">
        <v>129</v>
      </c>
      <c r="J109" s="137" t="s">
        <v>129</v>
      </c>
      <c r="K109" s="137" t="s">
        <v>129</v>
      </c>
      <c r="L109" s="137" t="s">
        <v>129</v>
      </c>
      <c r="M109" s="141"/>
      <c r="N109" s="147"/>
    </row>
    <row r="110" hidden="1" outlineLevel="2">
      <c r="B110" s="189"/>
      <c r="C110" s="191" t="s">
        <v>194</v>
      </c>
      <c r="D110" s="204">
        <f>AVERAGE(D95:D109)</f>
        <v>1</v>
      </c>
      <c r="E110" s="200"/>
      <c r="L110" s="191" t="s">
        <v>194</v>
      </c>
      <c r="M110" s="204">
        <f>SUM(M95:M109)/75*0.1</f>
        <v>0</v>
      </c>
    </row>
    <row r="111" hidden="1" outlineLevel="1" collapsed="1">
      <c r="A111" s="206" t="s">
        <v>429</v>
      </c>
      <c r="B111" s="207"/>
      <c r="C111" s="207"/>
      <c r="D111" s="208"/>
      <c r="E111" s="109"/>
      <c r="F111" s="109"/>
      <c r="G111" s="110"/>
      <c r="H111" s="110"/>
      <c r="I111" s="110"/>
      <c r="J111" s="110"/>
      <c r="K111" s="110"/>
      <c r="L111" s="110"/>
      <c r="M111" s="111"/>
      <c r="N111" s="113"/>
    </row>
    <row r="112" hidden="1" outlineLevel="2">
      <c r="A112" s="115" t="s">
        <v>98</v>
      </c>
      <c r="B112" s="115" t="s">
        <v>100</v>
      </c>
      <c r="C112" s="115" t="s">
        <v>102</v>
      </c>
      <c r="D112" s="119" t="s">
        <v>103</v>
      </c>
      <c r="E112" s="275" t="s">
        <v>269</v>
      </c>
      <c r="F112" s="275" t="s">
        <v>272</v>
      </c>
      <c r="G112" s="276" t="s">
        <v>328</v>
      </c>
      <c r="H112" s="121" t="s">
        <v>107</v>
      </c>
      <c r="I112" s="121" t="s">
        <v>108</v>
      </c>
      <c r="J112" s="276" t="s">
        <v>329</v>
      </c>
      <c r="K112" s="121" t="s">
        <v>111</v>
      </c>
      <c r="L112" s="276" t="s">
        <v>274</v>
      </c>
      <c r="M112" s="115" t="s">
        <v>114</v>
      </c>
      <c r="N112" s="119" t="s">
        <v>115</v>
      </c>
    </row>
    <row r="113" hidden="1" outlineLevel="2">
      <c r="A113" s="219" t="s">
        <v>430</v>
      </c>
      <c r="B113" s="132">
        <v>46013.0</v>
      </c>
      <c r="C113" s="133" t="str">
        <f t="shared" ref="C113:C127" si="18">IF(B113="", "", TEXT(B113, "ddd"))</f>
        <v>Mon</v>
      </c>
      <c r="D113" s="136">
        <f t="shared" ref="D113:D127" si="19">IF(E113="Yes",0.05,0)
+IF(F113="Yes",0.1,0)
+IF(G113="Yes",0.15,0)
+IF(H113="Yes",0.15,0)
+IF(I113="Yes",0.05,0)
+IF(J113="Yes",0.05,0)
+IF(K113="Yes",0.15,0)
+IF(L113="Yes",0.3,0)
</f>
        <v>1</v>
      </c>
      <c r="E113" s="137" t="s">
        <v>129</v>
      </c>
      <c r="F113" s="137" t="s">
        <v>129</v>
      </c>
      <c r="G113" s="137" t="s">
        <v>129</v>
      </c>
      <c r="H113" s="137" t="s">
        <v>129</v>
      </c>
      <c r="I113" s="137" t="s">
        <v>129</v>
      </c>
      <c r="J113" s="137" t="s">
        <v>129</v>
      </c>
      <c r="K113" s="137" t="s">
        <v>129</v>
      </c>
      <c r="L113" s="137" t="s">
        <v>129</v>
      </c>
      <c r="M113" s="141"/>
      <c r="N113" s="143"/>
    </row>
    <row r="114" hidden="1" outlineLevel="2">
      <c r="A114" s="219" t="s">
        <v>435</v>
      </c>
      <c r="B114" s="132">
        <v>46013.0</v>
      </c>
      <c r="C114" s="133" t="str">
        <f t="shared" si="18"/>
        <v>Mon</v>
      </c>
      <c r="D114" s="136">
        <f t="shared" si="19"/>
        <v>1</v>
      </c>
      <c r="E114" s="137" t="s">
        <v>129</v>
      </c>
      <c r="F114" s="137" t="s">
        <v>129</v>
      </c>
      <c r="G114" s="137" t="s">
        <v>129</v>
      </c>
      <c r="H114" s="137" t="s">
        <v>129</v>
      </c>
      <c r="I114" s="137" t="s">
        <v>129</v>
      </c>
      <c r="J114" s="137" t="s">
        <v>129</v>
      </c>
      <c r="K114" s="137" t="s">
        <v>129</v>
      </c>
      <c r="L114" s="137" t="s">
        <v>129</v>
      </c>
      <c r="M114" s="141"/>
      <c r="N114" s="147"/>
    </row>
    <row r="115" hidden="1" outlineLevel="2">
      <c r="A115" s="219" t="s">
        <v>437</v>
      </c>
      <c r="B115" s="132">
        <v>46013.0</v>
      </c>
      <c r="C115" s="133" t="str">
        <f t="shared" si="18"/>
        <v>Mon</v>
      </c>
      <c r="D115" s="136">
        <f t="shared" si="19"/>
        <v>1</v>
      </c>
      <c r="E115" s="137" t="s">
        <v>129</v>
      </c>
      <c r="F115" s="137" t="s">
        <v>129</v>
      </c>
      <c r="G115" s="137" t="s">
        <v>129</v>
      </c>
      <c r="H115" s="137" t="s">
        <v>129</v>
      </c>
      <c r="I115" s="137" t="s">
        <v>129</v>
      </c>
      <c r="J115" s="137" t="s">
        <v>129</v>
      </c>
      <c r="K115" s="137" t="s">
        <v>129</v>
      </c>
      <c r="L115" s="137" t="s">
        <v>129</v>
      </c>
      <c r="M115" s="141"/>
      <c r="N115" s="147"/>
    </row>
    <row r="116" hidden="1" outlineLevel="2">
      <c r="A116" s="219" t="s">
        <v>439</v>
      </c>
      <c r="B116" s="132">
        <v>46014.0</v>
      </c>
      <c r="C116" s="133" t="str">
        <f t="shared" si="18"/>
        <v>Tue</v>
      </c>
      <c r="D116" s="136">
        <f t="shared" si="19"/>
        <v>1</v>
      </c>
      <c r="E116" s="137" t="s">
        <v>129</v>
      </c>
      <c r="F116" s="137" t="s">
        <v>129</v>
      </c>
      <c r="G116" s="137" t="s">
        <v>129</v>
      </c>
      <c r="H116" s="137" t="s">
        <v>129</v>
      </c>
      <c r="I116" s="137" t="s">
        <v>129</v>
      </c>
      <c r="J116" s="137" t="s">
        <v>129</v>
      </c>
      <c r="K116" s="137" t="s">
        <v>129</v>
      </c>
      <c r="L116" s="137" t="s">
        <v>129</v>
      </c>
      <c r="M116" s="141"/>
      <c r="N116" s="143"/>
    </row>
    <row r="117" hidden="1" outlineLevel="2">
      <c r="A117" s="219" t="s">
        <v>441</v>
      </c>
      <c r="B117" s="132">
        <v>46014.0</v>
      </c>
      <c r="C117" s="133" t="str">
        <f t="shared" si="18"/>
        <v>Tue</v>
      </c>
      <c r="D117" s="136">
        <f t="shared" si="19"/>
        <v>1</v>
      </c>
      <c r="E117" s="137" t="s">
        <v>129</v>
      </c>
      <c r="F117" s="137" t="s">
        <v>129</v>
      </c>
      <c r="G117" s="137" t="s">
        <v>129</v>
      </c>
      <c r="H117" s="137" t="s">
        <v>129</v>
      </c>
      <c r="I117" s="137" t="s">
        <v>129</v>
      </c>
      <c r="J117" s="137" t="s">
        <v>129</v>
      </c>
      <c r="K117" s="137" t="s">
        <v>129</v>
      </c>
      <c r="L117" s="137" t="s">
        <v>129</v>
      </c>
      <c r="M117" s="141"/>
      <c r="N117" s="143"/>
    </row>
    <row r="118" hidden="1" outlineLevel="2">
      <c r="A118" s="219" t="s">
        <v>442</v>
      </c>
      <c r="B118" s="132">
        <v>46014.0</v>
      </c>
      <c r="C118" s="133" t="str">
        <f t="shared" si="18"/>
        <v>Tue</v>
      </c>
      <c r="D118" s="136">
        <f t="shared" si="19"/>
        <v>1</v>
      </c>
      <c r="E118" s="137" t="s">
        <v>129</v>
      </c>
      <c r="F118" s="137" t="s">
        <v>129</v>
      </c>
      <c r="G118" s="137" t="s">
        <v>129</v>
      </c>
      <c r="H118" s="137" t="s">
        <v>129</v>
      </c>
      <c r="I118" s="137" t="s">
        <v>129</v>
      </c>
      <c r="J118" s="137" t="s">
        <v>129</v>
      </c>
      <c r="K118" s="137" t="s">
        <v>129</v>
      </c>
      <c r="L118" s="137" t="s">
        <v>129</v>
      </c>
      <c r="M118" s="141"/>
      <c r="N118" s="143"/>
    </row>
    <row r="119" hidden="1" outlineLevel="2">
      <c r="A119" s="341" t="s">
        <v>443</v>
      </c>
      <c r="B119" s="132">
        <v>46015.0</v>
      </c>
      <c r="C119" s="133" t="str">
        <f t="shared" si="18"/>
        <v>Wed</v>
      </c>
      <c r="D119" s="136">
        <f t="shared" si="19"/>
        <v>1</v>
      </c>
      <c r="E119" s="137" t="s">
        <v>129</v>
      </c>
      <c r="F119" s="137" t="s">
        <v>129</v>
      </c>
      <c r="G119" s="137" t="s">
        <v>129</v>
      </c>
      <c r="H119" s="137" t="s">
        <v>129</v>
      </c>
      <c r="I119" s="137" t="s">
        <v>129</v>
      </c>
      <c r="J119" s="137" t="s">
        <v>129</v>
      </c>
      <c r="K119" s="137" t="s">
        <v>129</v>
      </c>
      <c r="L119" s="137" t="s">
        <v>129</v>
      </c>
      <c r="M119" s="141"/>
      <c r="N119" s="143"/>
    </row>
    <row r="120" hidden="1" outlineLevel="2">
      <c r="A120" s="341" t="s">
        <v>443</v>
      </c>
      <c r="B120" s="132">
        <v>46015.0</v>
      </c>
      <c r="C120" s="133" t="str">
        <f t="shared" si="18"/>
        <v>Wed</v>
      </c>
      <c r="D120" s="136">
        <f t="shared" si="19"/>
        <v>1</v>
      </c>
      <c r="E120" s="137" t="s">
        <v>129</v>
      </c>
      <c r="F120" s="137" t="s">
        <v>129</v>
      </c>
      <c r="G120" s="137" t="s">
        <v>129</v>
      </c>
      <c r="H120" s="137" t="s">
        <v>129</v>
      </c>
      <c r="I120" s="137" t="s">
        <v>129</v>
      </c>
      <c r="J120" s="137" t="s">
        <v>129</v>
      </c>
      <c r="K120" s="137" t="s">
        <v>129</v>
      </c>
      <c r="L120" s="137" t="s">
        <v>129</v>
      </c>
      <c r="M120" s="141"/>
      <c r="N120" s="147"/>
    </row>
    <row r="121" hidden="1" outlineLevel="2">
      <c r="A121" s="341" t="s">
        <v>443</v>
      </c>
      <c r="B121" s="132">
        <v>46015.0</v>
      </c>
      <c r="C121" s="133" t="str">
        <f t="shared" si="18"/>
        <v>Wed</v>
      </c>
      <c r="D121" s="136">
        <f t="shared" si="19"/>
        <v>1</v>
      </c>
      <c r="E121" s="137" t="s">
        <v>129</v>
      </c>
      <c r="F121" s="137" t="s">
        <v>129</v>
      </c>
      <c r="G121" s="137" t="s">
        <v>129</v>
      </c>
      <c r="H121" s="137" t="s">
        <v>129</v>
      </c>
      <c r="I121" s="137" t="s">
        <v>129</v>
      </c>
      <c r="J121" s="137" t="s">
        <v>129</v>
      </c>
      <c r="K121" s="137" t="s">
        <v>129</v>
      </c>
      <c r="L121" s="137" t="s">
        <v>129</v>
      </c>
      <c r="M121" s="141"/>
      <c r="N121" s="143"/>
    </row>
    <row r="122" hidden="1" outlineLevel="2">
      <c r="A122" s="177" t="s">
        <v>445</v>
      </c>
      <c r="B122" s="132">
        <v>46016.0</v>
      </c>
      <c r="C122" s="133" t="str">
        <f t="shared" si="18"/>
        <v>Thu</v>
      </c>
      <c r="D122" s="136">
        <f t="shared" si="19"/>
        <v>1</v>
      </c>
      <c r="E122" s="137" t="s">
        <v>129</v>
      </c>
      <c r="F122" s="137" t="s">
        <v>129</v>
      </c>
      <c r="G122" s="137" t="s">
        <v>129</v>
      </c>
      <c r="H122" s="137" t="s">
        <v>129</v>
      </c>
      <c r="I122" s="137" t="s">
        <v>129</v>
      </c>
      <c r="J122" s="137" t="s">
        <v>129</v>
      </c>
      <c r="K122" s="137" t="s">
        <v>129</v>
      </c>
      <c r="L122" s="137" t="s">
        <v>129</v>
      </c>
      <c r="M122" s="141"/>
      <c r="N122" s="143"/>
    </row>
    <row r="123" hidden="1" outlineLevel="2">
      <c r="A123" s="177" t="s">
        <v>447</v>
      </c>
      <c r="B123" s="132">
        <v>46016.0</v>
      </c>
      <c r="C123" s="133" t="str">
        <f t="shared" si="18"/>
        <v>Thu</v>
      </c>
      <c r="D123" s="136">
        <f t="shared" si="19"/>
        <v>1</v>
      </c>
      <c r="E123" s="137" t="s">
        <v>129</v>
      </c>
      <c r="F123" s="137" t="s">
        <v>129</v>
      </c>
      <c r="G123" s="137" t="s">
        <v>129</v>
      </c>
      <c r="H123" s="137" t="s">
        <v>129</v>
      </c>
      <c r="I123" s="137" t="s">
        <v>129</v>
      </c>
      <c r="J123" s="137" t="s">
        <v>129</v>
      </c>
      <c r="K123" s="137" t="s">
        <v>129</v>
      </c>
      <c r="L123" s="137" t="s">
        <v>129</v>
      </c>
      <c r="M123" s="141"/>
      <c r="N123" s="147"/>
    </row>
    <row r="124" hidden="1" outlineLevel="2">
      <c r="A124" s="177" t="s">
        <v>450</v>
      </c>
      <c r="B124" s="132">
        <v>46016.0</v>
      </c>
      <c r="C124" s="133" t="str">
        <f t="shared" si="18"/>
        <v>Thu</v>
      </c>
      <c r="D124" s="136">
        <f t="shared" si="19"/>
        <v>1</v>
      </c>
      <c r="E124" s="137" t="s">
        <v>129</v>
      </c>
      <c r="F124" s="137" t="s">
        <v>129</v>
      </c>
      <c r="G124" s="137" t="s">
        <v>129</v>
      </c>
      <c r="H124" s="137" t="s">
        <v>129</v>
      </c>
      <c r="I124" s="137" t="s">
        <v>129</v>
      </c>
      <c r="J124" s="137" t="s">
        <v>129</v>
      </c>
      <c r="K124" s="137" t="s">
        <v>129</v>
      </c>
      <c r="L124" s="137" t="s">
        <v>129</v>
      </c>
      <c r="M124" s="141"/>
      <c r="N124" s="143"/>
    </row>
    <row r="125" hidden="1" outlineLevel="2">
      <c r="A125" s="219" t="s">
        <v>452</v>
      </c>
      <c r="B125" s="132">
        <v>46017.0</v>
      </c>
      <c r="C125" s="186" t="str">
        <f t="shared" si="18"/>
        <v>Fri</v>
      </c>
      <c r="D125" s="136">
        <f t="shared" si="19"/>
        <v>1</v>
      </c>
      <c r="E125" s="137" t="s">
        <v>129</v>
      </c>
      <c r="F125" s="137" t="s">
        <v>129</v>
      </c>
      <c r="G125" s="137" t="s">
        <v>129</v>
      </c>
      <c r="H125" s="137" t="s">
        <v>129</v>
      </c>
      <c r="I125" s="137" t="s">
        <v>129</v>
      </c>
      <c r="J125" s="137" t="s">
        <v>129</v>
      </c>
      <c r="K125" s="137" t="s">
        <v>129</v>
      </c>
      <c r="L125" s="137" t="s">
        <v>129</v>
      </c>
      <c r="M125" s="141"/>
      <c r="N125" s="143"/>
    </row>
    <row r="126" hidden="1" outlineLevel="2">
      <c r="A126" s="219" t="s">
        <v>454</v>
      </c>
      <c r="B126" s="132">
        <v>46017.0</v>
      </c>
      <c r="C126" s="186" t="str">
        <f t="shared" si="18"/>
        <v>Fri</v>
      </c>
      <c r="D126" s="136">
        <f t="shared" si="19"/>
        <v>1</v>
      </c>
      <c r="E126" s="137" t="s">
        <v>129</v>
      </c>
      <c r="F126" s="137" t="s">
        <v>129</v>
      </c>
      <c r="G126" s="137" t="s">
        <v>129</v>
      </c>
      <c r="H126" s="137" t="s">
        <v>129</v>
      </c>
      <c r="I126" s="137" t="s">
        <v>129</v>
      </c>
      <c r="J126" s="137" t="s">
        <v>129</v>
      </c>
      <c r="K126" s="137" t="s">
        <v>129</v>
      </c>
      <c r="L126" s="137" t="s">
        <v>129</v>
      </c>
      <c r="M126" s="141"/>
      <c r="N126" s="143"/>
    </row>
    <row r="127" ht="15.0" hidden="1" customHeight="1" outlineLevel="2">
      <c r="A127" s="219" t="s">
        <v>455</v>
      </c>
      <c r="B127" s="132">
        <v>46017.0</v>
      </c>
      <c r="C127" s="186" t="str">
        <f t="shared" si="18"/>
        <v>Fri</v>
      </c>
      <c r="D127" s="136">
        <f t="shared" si="19"/>
        <v>1</v>
      </c>
      <c r="E127" s="137" t="s">
        <v>129</v>
      </c>
      <c r="F127" s="137" t="s">
        <v>129</v>
      </c>
      <c r="G127" s="137" t="s">
        <v>129</v>
      </c>
      <c r="H127" s="137" t="s">
        <v>129</v>
      </c>
      <c r="I127" s="137" t="s">
        <v>129</v>
      </c>
      <c r="J127" s="137" t="s">
        <v>129</v>
      </c>
      <c r="K127" s="137" t="s">
        <v>129</v>
      </c>
      <c r="L127" s="137" t="s">
        <v>129</v>
      </c>
      <c r="M127" s="141"/>
      <c r="N127" s="147"/>
    </row>
    <row r="128" hidden="1" outlineLevel="2">
      <c r="B128" s="189"/>
      <c r="C128" s="191" t="s">
        <v>194</v>
      </c>
      <c r="D128" s="204">
        <f>AVERAGE(D113:D127)</f>
        <v>1</v>
      </c>
      <c r="E128" s="200"/>
      <c r="L128" s="191" t="s">
        <v>194</v>
      </c>
      <c r="M128" s="204">
        <f>SUM(M113:M127)/75*0.1</f>
        <v>0</v>
      </c>
    </row>
    <row r="129" hidden="1" outlineLevel="1">
      <c r="A129" s="206" t="s">
        <v>457</v>
      </c>
      <c r="B129" s="207"/>
      <c r="C129" s="207"/>
      <c r="D129" s="208"/>
      <c r="E129" s="109"/>
      <c r="F129" s="109"/>
      <c r="G129" s="110"/>
      <c r="H129" s="110"/>
      <c r="I129" s="110"/>
      <c r="J129" s="110"/>
      <c r="K129" s="110"/>
      <c r="L129" s="110"/>
      <c r="M129" s="111"/>
      <c r="N129" s="113"/>
    </row>
    <row r="130" hidden="1" outlineLevel="1">
      <c r="A130" s="115" t="s">
        <v>98</v>
      </c>
      <c r="B130" s="115" t="s">
        <v>100</v>
      </c>
      <c r="C130" s="115" t="s">
        <v>102</v>
      </c>
      <c r="D130" s="119" t="s">
        <v>103</v>
      </c>
      <c r="E130" s="275" t="s">
        <v>269</v>
      </c>
      <c r="F130" s="275" t="s">
        <v>272</v>
      </c>
      <c r="G130" s="276" t="s">
        <v>328</v>
      </c>
      <c r="H130" s="121" t="s">
        <v>107</v>
      </c>
      <c r="I130" s="121" t="s">
        <v>108</v>
      </c>
      <c r="J130" s="276" t="s">
        <v>329</v>
      </c>
      <c r="K130" s="121" t="s">
        <v>111</v>
      </c>
      <c r="L130" s="276" t="s">
        <v>274</v>
      </c>
      <c r="M130" s="115" t="s">
        <v>114</v>
      </c>
      <c r="N130" s="119" t="s">
        <v>115</v>
      </c>
    </row>
    <row r="131" hidden="1" outlineLevel="1">
      <c r="A131" s="343" t="s">
        <v>458</v>
      </c>
      <c r="B131" s="344">
        <v>46020.0</v>
      </c>
      <c r="C131" s="133" t="str">
        <f t="shared" ref="C131:C145" si="20">IF(B131="", "", TEXT(B131, "ddd"))</f>
        <v>Mon</v>
      </c>
      <c r="D131" s="136">
        <f t="shared" ref="D131:D145" si="21">IF(E131="Yes",0.05,0)
+IF(F131="Yes",0.1,0)
+IF(G131="Yes",0.15,0)
+IF(H131="Yes",0.15,0)
+IF(I131="Yes",0.05,0)
+IF(J131="Yes",0.05,0)
+IF(K131="Yes",0.15,0)
+IF(L131="Yes",0.3,0)
</f>
        <v>1</v>
      </c>
      <c r="E131" s="137" t="s">
        <v>129</v>
      </c>
      <c r="F131" s="137" t="s">
        <v>129</v>
      </c>
      <c r="G131" s="137" t="s">
        <v>129</v>
      </c>
      <c r="H131" s="137" t="s">
        <v>129</v>
      </c>
      <c r="I131" s="137" t="s">
        <v>129</v>
      </c>
      <c r="J131" s="137" t="s">
        <v>129</v>
      </c>
      <c r="K131" s="137" t="s">
        <v>129</v>
      </c>
      <c r="L131" s="137" t="s">
        <v>129</v>
      </c>
      <c r="M131" s="141"/>
      <c r="N131" s="143"/>
    </row>
    <row r="132" hidden="1" outlineLevel="1">
      <c r="A132" s="343" t="s">
        <v>460</v>
      </c>
      <c r="B132" s="344">
        <v>46020.0</v>
      </c>
      <c r="C132" s="133" t="str">
        <f t="shared" si="20"/>
        <v>Mon</v>
      </c>
      <c r="D132" s="136">
        <f t="shared" si="21"/>
        <v>1</v>
      </c>
      <c r="E132" s="137" t="s">
        <v>129</v>
      </c>
      <c r="F132" s="137" t="s">
        <v>129</v>
      </c>
      <c r="G132" s="137" t="s">
        <v>129</v>
      </c>
      <c r="H132" s="137" t="s">
        <v>129</v>
      </c>
      <c r="I132" s="137" t="s">
        <v>129</v>
      </c>
      <c r="J132" s="137" t="s">
        <v>129</v>
      </c>
      <c r="K132" s="137" t="s">
        <v>129</v>
      </c>
      <c r="L132" s="137" t="s">
        <v>129</v>
      </c>
      <c r="M132" s="141"/>
      <c r="N132" s="147"/>
    </row>
    <row r="133" hidden="1" outlineLevel="1">
      <c r="A133" s="343" t="s">
        <v>468</v>
      </c>
      <c r="B133" s="344">
        <v>46020.0</v>
      </c>
      <c r="C133" s="133" t="str">
        <f t="shared" si="20"/>
        <v>Mon</v>
      </c>
      <c r="D133" s="136">
        <f t="shared" si="21"/>
        <v>1</v>
      </c>
      <c r="E133" s="137" t="s">
        <v>129</v>
      </c>
      <c r="F133" s="137" t="s">
        <v>129</v>
      </c>
      <c r="G133" s="137" t="s">
        <v>129</v>
      </c>
      <c r="H133" s="137" t="s">
        <v>129</v>
      </c>
      <c r="I133" s="137" t="s">
        <v>129</v>
      </c>
      <c r="J133" s="137" t="s">
        <v>129</v>
      </c>
      <c r="K133" s="137" t="s">
        <v>129</v>
      </c>
      <c r="L133" s="137" t="s">
        <v>129</v>
      </c>
      <c r="M133" s="141"/>
      <c r="N133" s="147"/>
    </row>
    <row r="134" hidden="1" outlineLevel="1">
      <c r="A134" s="341" t="s">
        <v>443</v>
      </c>
      <c r="B134" s="344">
        <v>46022.0</v>
      </c>
      <c r="C134" s="133" t="str">
        <f t="shared" si="20"/>
        <v>Wed</v>
      </c>
      <c r="D134" s="136">
        <f t="shared" si="21"/>
        <v>1</v>
      </c>
      <c r="E134" s="137" t="s">
        <v>129</v>
      </c>
      <c r="F134" s="137" t="s">
        <v>129</v>
      </c>
      <c r="G134" s="137" t="s">
        <v>129</v>
      </c>
      <c r="H134" s="137" t="s">
        <v>129</v>
      </c>
      <c r="I134" s="137" t="s">
        <v>129</v>
      </c>
      <c r="J134" s="137" t="s">
        <v>129</v>
      </c>
      <c r="K134" s="137" t="s">
        <v>129</v>
      </c>
      <c r="L134" s="137" t="s">
        <v>129</v>
      </c>
      <c r="M134" s="141"/>
      <c r="N134" s="143"/>
    </row>
    <row r="135" hidden="1" outlineLevel="1">
      <c r="A135" s="341" t="s">
        <v>443</v>
      </c>
      <c r="B135" s="344">
        <v>46022.0</v>
      </c>
      <c r="C135" s="133" t="str">
        <f t="shared" si="20"/>
        <v>Wed</v>
      </c>
      <c r="D135" s="136">
        <f t="shared" si="21"/>
        <v>1</v>
      </c>
      <c r="E135" s="137" t="s">
        <v>129</v>
      </c>
      <c r="F135" s="137" t="s">
        <v>129</v>
      </c>
      <c r="G135" s="137" t="s">
        <v>129</v>
      </c>
      <c r="H135" s="137" t="s">
        <v>129</v>
      </c>
      <c r="I135" s="137" t="s">
        <v>129</v>
      </c>
      <c r="J135" s="137" t="s">
        <v>129</v>
      </c>
      <c r="K135" s="137" t="s">
        <v>129</v>
      </c>
      <c r="L135" s="137" t="s">
        <v>129</v>
      </c>
      <c r="M135" s="141"/>
      <c r="N135" s="143"/>
    </row>
    <row r="136" hidden="1" outlineLevel="1">
      <c r="A136" s="341" t="s">
        <v>443</v>
      </c>
      <c r="B136" s="344">
        <v>46022.0</v>
      </c>
      <c r="C136" s="133" t="str">
        <f t="shared" si="20"/>
        <v>Wed</v>
      </c>
      <c r="D136" s="136">
        <f t="shared" si="21"/>
        <v>1</v>
      </c>
      <c r="E136" s="137" t="s">
        <v>129</v>
      </c>
      <c r="F136" s="137" t="s">
        <v>129</v>
      </c>
      <c r="G136" s="137" t="s">
        <v>129</v>
      </c>
      <c r="H136" s="137" t="s">
        <v>129</v>
      </c>
      <c r="I136" s="137" t="s">
        <v>129</v>
      </c>
      <c r="J136" s="137" t="s">
        <v>129</v>
      </c>
      <c r="K136" s="137" t="s">
        <v>129</v>
      </c>
      <c r="L136" s="137" t="s">
        <v>129</v>
      </c>
      <c r="M136" s="141"/>
      <c r="N136" s="143"/>
    </row>
    <row r="137" hidden="1" outlineLevel="1">
      <c r="A137" s="255" t="s">
        <v>474</v>
      </c>
      <c r="B137" s="344">
        <v>46023.0</v>
      </c>
      <c r="C137" s="133" t="str">
        <f t="shared" si="20"/>
        <v>Thu</v>
      </c>
      <c r="D137" s="136">
        <f t="shared" si="21"/>
        <v>1</v>
      </c>
      <c r="E137" s="137" t="s">
        <v>129</v>
      </c>
      <c r="F137" s="137" t="s">
        <v>129</v>
      </c>
      <c r="G137" s="137" t="s">
        <v>129</v>
      </c>
      <c r="H137" s="137" t="s">
        <v>129</v>
      </c>
      <c r="I137" s="137" t="s">
        <v>129</v>
      </c>
      <c r="J137" s="137" t="s">
        <v>129</v>
      </c>
      <c r="K137" s="137" t="s">
        <v>129</v>
      </c>
      <c r="L137" s="137" t="s">
        <v>129</v>
      </c>
      <c r="M137" s="141"/>
      <c r="N137" s="143"/>
    </row>
    <row r="138" hidden="1" outlineLevel="1">
      <c r="A138" s="255" t="s">
        <v>475</v>
      </c>
      <c r="B138" s="344">
        <v>46023.0</v>
      </c>
      <c r="C138" s="133" t="str">
        <f t="shared" si="20"/>
        <v>Thu</v>
      </c>
      <c r="D138" s="136">
        <f t="shared" si="21"/>
        <v>1</v>
      </c>
      <c r="E138" s="137" t="s">
        <v>129</v>
      </c>
      <c r="F138" s="137" t="s">
        <v>129</v>
      </c>
      <c r="G138" s="137" t="s">
        <v>129</v>
      </c>
      <c r="H138" s="137" t="s">
        <v>129</v>
      </c>
      <c r="I138" s="137" t="s">
        <v>129</v>
      </c>
      <c r="J138" s="137" t="s">
        <v>129</v>
      </c>
      <c r="K138" s="137" t="s">
        <v>129</v>
      </c>
      <c r="L138" s="137" t="s">
        <v>129</v>
      </c>
      <c r="M138" s="141"/>
      <c r="N138" s="147"/>
    </row>
    <row r="139" hidden="1" outlineLevel="1">
      <c r="A139" s="255" t="s">
        <v>477</v>
      </c>
      <c r="B139" s="344">
        <v>46023.0</v>
      </c>
      <c r="C139" s="133" t="str">
        <f t="shared" si="20"/>
        <v>Thu</v>
      </c>
      <c r="D139" s="136">
        <f t="shared" si="21"/>
        <v>1</v>
      </c>
      <c r="E139" s="137" t="s">
        <v>129</v>
      </c>
      <c r="F139" s="137" t="s">
        <v>129</v>
      </c>
      <c r="G139" s="137" t="s">
        <v>129</v>
      </c>
      <c r="H139" s="137" t="s">
        <v>129</v>
      </c>
      <c r="I139" s="137" t="s">
        <v>129</v>
      </c>
      <c r="J139" s="137" t="s">
        <v>129</v>
      </c>
      <c r="K139" s="137" t="s">
        <v>129</v>
      </c>
      <c r="L139" s="137" t="s">
        <v>129</v>
      </c>
      <c r="M139" s="141"/>
      <c r="N139" s="143"/>
    </row>
    <row r="140" hidden="1" outlineLevel="1">
      <c r="A140" s="255" t="s">
        <v>479</v>
      </c>
      <c r="B140" s="344">
        <v>46024.0</v>
      </c>
      <c r="C140" s="133" t="str">
        <f t="shared" si="20"/>
        <v>Fri</v>
      </c>
      <c r="D140" s="136">
        <f t="shared" si="21"/>
        <v>1</v>
      </c>
      <c r="E140" s="137" t="s">
        <v>129</v>
      </c>
      <c r="F140" s="137" t="s">
        <v>129</v>
      </c>
      <c r="G140" s="137" t="s">
        <v>129</v>
      </c>
      <c r="H140" s="137" t="s">
        <v>129</v>
      </c>
      <c r="I140" s="137" t="s">
        <v>129</v>
      </c>
      <c r="J140" s="137" t="s">
        <v>129</v>
      </c>
      <c r="K140" s="137" t="s">
        <v>129</v>
      </c>
      <c r="L140" s="137" t="s">
        <v>129</v>
      </c>
      <c r="M140" s="141"/>
      <c r="N140" s="143"/>
    </row>
    <row r="141" hidden="1" outlineLevel="1">
      <c r="A141" s="255" t="s">
        <v>481</v>
      </c>
      <c r="B141" s="344">
        <v>46024.0</v>
      </c>
      <c r="C141" s="133" t="str">
        <f t="shared" si="20"/>
        <v>Fri</v>
      </c>
      <c r="D141" s="136">
        <f t="shared" si="21"/>
        <v>1</v>
      </c>
      <c r="E141" s="137" t="s">
        <v>129</v>
      </c>
      <c r="F141" s="137" t="s">
        <v>129</v>
      </c>
      <c r="G141" s="137" t="s">
        <v>129</v>
      </c>
      <c r="H141" s="137" t="s">
        <v>129</v>
      </c>
      <c r="I141" s="137" t="s">
        <v>129</v>
      </c>
      <c r="J141" s="137" t="s">
        <v>129</v>
      </c>
      <c r="K141" s="137" t="s">
        <v>129</v>
      </c>
      <c r="L141" s="137" t="s">
        <v>129</v>
      </c>
      <c r="M141" s="141"/>
      <c r="N141" s="147"/>
    </row>
    <row r="142" hidden="1" outlineLevel="1">
      <c r="A142" s="255" t="s">
        <v>483</v>
      </c>
      <c r="B142" s="344">
        <v>46024.0</v>
      </c>
      <c r="C142" s="133" t="str">
        <f t="shared" si="20"/>
        <v>Fri</v>
      </c>
      <c r="D142" s="136">
        <f t="shared" si="21"/>
        <v>1</v>
      </c>
      <c r="E142" s="137" t="s">
        <v>129</v>
      </c>
      <c r="F142" s="137" t="s">
        <v>129</v>
      </c>
      <c r="G142" s="137" t="s">
        <v>129</v>
      </c>
      <c r="H142" s="137" t="s">
        <v>129</v>
      </c>
      <c r="I142" s="137" t="s">
        <v>129</v>
      </c>
      <c r="J142" s="137" t="s">
        <v>129</v>
      </c>
      <c r="K142" s="137" t="s">
        <v>129</v>
      </c>
      <c r="L142" s="137" t="s">
        <v>129</v>
      </c>
      <c r="M142" s="141"/>
      <c r="N142" s="143"/>
    </row>
    <row r="143" hidden="1" outlineLevel="1">
      <c r="A143" s="343" t="s">
        <v>484</v>
      </c>
      <c r="B143" s="344">
        <v>46026.0</v>
      </c>
      <c r="C143" s="186" t="str">
        <f t="shared" si="20"/>
        <v>Sun</v>
      </c>
      <c r="D143" s="136">
        <f t="shared" si="21"/>
        <v>1</v>
      </c>
      <c r="E143" s="137" t="s">
        <v>129</v>
      </c>
      <c r="F143" s="137" t="s">
        <v>129</v>
      </c>
      <c r="G143" s="137" t="s">
        <v>129</v>
      </c>
      <c r="H143" s="137" t="s">
        <v>129</v>
      </c>
      <c r="I143" s="137" t="s">
        <v>129</v>
      </c>
      <c r="J143" s="137" t="s">
        <v>129</v>
      </c>
      <c r="K143" s="137" t="s">
        <v>129</v>
      </c>
      <c r="L143" s="137" t="s">
        <v>129</v>
      </c>
      <c r="M143" s="141"/>
      <c r="N143" s="143"/>
    </row>
    <row r="144" hidden="1" outlineLevel="1">
      <c r="A144" s="343" t="s">
        <v>485</v>
      </c>
      <c r="B144" s="344">
        <v>46026.0</v>
      </c>
      <c r="C144" s="186" t="str">
        <f t="shared" si="20"/>
        <v>Sun</v>
      </c>
      <c r="D144" s="136">
        <f t="shared" si="21"/>
        <v>1</v>
      </c>
      <c r="E144" s="137" t="s">
        <v>129</v>
      </c>
      <c r="F144" s="137" t="s">
        <v>129</v>
      </c>
      <c r="G144" s="137" t="s">
        <v>129</v>
      </c>
      <c r="H144" s="137" t="s">
        <v>129</v>
      </c>
      <c r="I144" s="137" t="s">
        <v>129</v>
      </c>
      <c r="J144" s="137" t="s">
        <v>129</v>
      </c>
      <c r="K144" s="137" t="s">
        <v>129</v>
      </c>
      <c r="L144" s="137" t="s">
        <v>129</v>
      </c>
      <c r="M144" s="141"/>
      <c r="N144" s="143"/>
    </row>
    <row r="145" ht="15.0" hidden="1" customHeight="1" outlineLevel="1">
      <c r="A145" s="343" t="s">
        <v>486</v>
      </c>
      <c r="B145" s="344">
        <v>46026.0</v>
      </c>
      <c r="C145" s="186" t="str">
        <f t="shared" si="20"/>
        <v>Sun</v>
      </c>
      <c r="D145" s="136">
        <f t="shared" si="21"/>
        <v>1</v>
      </c>
      <c r="E145" s="137" t="s">
        <v>129</v>
      </c>
      <c r="F145" s="137" t="s">
        <v>129</v>
      </c>
      <c r="G145" s="137" t="s">
        <v>129</v>
      </c>
      <c r="H145" s="137" t="s">
        <v>129</v>
      </c>
      <c r="I145" s="137" t="s">
        <v>129</v>
      </c>
      <c r="J145" s="137" t="s">
        <v>129</v>
      </c>
      <c r="K145" s="137" t="s">
        <v>129</v>
      </c>
      <c r="L145" s="137" t="s">
        <v>129</v>
      </c>
      <c r="M145" s="141"/>
      <c r="N145" s="147"/>
    </row>
    <row r="146" hidden="1" outlineLevel="1">
      <c r="B146" s="189"/>
      <c r="C146" s="191" t="s">
        <v>194</v>
      </c>
      <c r="D146" s="204">
        <f>AVERAGE(D131:D145)</f>
        <v>1</v>
      </c>
      <c r="E146" s="200"/>
      <c r="L146" s="191" t="s">
        <v>194</v>
      </c>
      <c r="M146" s="204">
        <f>SUM(M131:M145)/75*0.1</f>
        <v>0</v>
      </c>
    </row>
    <row r="147" hidden="1" collapsed="1">
      <c r="A147" s="206" t="s">
        <v>488</v>
      </c>
      <c r="B147" s="207"/>
      <c r="C147" s="207"/>
      <c r="D147" s="208"/>
      <c r="E147" s="109"/>
      <c r="F147" s="109"/>
      <c r="G147" s="110"/>
      <c r="H147" s="110"/>
      <c r="I147" s="110"/>
      <c r="J147" s="110"/>
      <c r="K147" s="110"/>
      <c r="L147" s="110"/>
      <c r="M147" s="111"/>
      <c r="N147" s="113"/>
    </row>
    <row r="148" hidden="1" outlineLevel="1">
      <c r="A148" s="115" t="s">
        <v>98</v>
      </c>
      <c r="B148" s="115" t="s">
        <v>100</v>
      </c>
      <c r="C148" s="115" t="s">
        <v>102</v>
      </c>
      <c r="D148" s="119" t="s">
        <v>103</v>
      </c>
      <c r="E148" s="275" t="s">
        <v>269</v>
      </c>
      <c r="F148" s="275" t="s">
        <v>272</v>
      </c>
      <c r="G148" s="276" t="s">
        <v>328</v>
      </c>
      <c r="H148" s="121" t="s">
        <v>107</v>
      </c>
      <c r="I148" s="121" t="s">
        <v>108</v>
      </c>
      <c r="J148" s="276" t="s">
        <v>329</v>
      </c>
      <c r="K148" s="121" t="s">
        <v>111</v>
      </c>
      <c r="L148" s="276" t="s">
        <v>274</v>
      </c>
      <c r="M148" s="115" t="s">
        <v>114</v>
      </c>
      <c r="N148" s="119" t="s">
        <v>115</v>
      </c>
    </row>
    <row r="149" hidden="1" outlineLevel="1">
      <c r="A149" s="303" t="s">
        <v>491</v>
      </c>
      <c r="B149" s="344">
        <v>46027.0</v>
      </c>
      <c r="C149" s="133" t="str">
        <f t="shared" ref="C149:C163" si="22">IF(B149="", "", TEXT(B149, "ddd"))</f>
        <v>Mon</v>
      </c>
      <c r="D149" s="136">
        <f t="shared" ref="D149:D163" si="23">IF(E149="Yes",0.05,0)
+IF(F149="Yes",0.1,0)
+IF(G149="Yes",0.15,0)
+IF(H149="Yes",0.15,0)
+IF(I149="Yes",0.05,0)
+IF(J149="Yes",0.05,0)
+IF(K149="Yes",0.15,0)
+IF(L149="Yes",0.3,0)
</f>
        <v>1</v>
      </c>
      <c r="E149" s="137" t="s">
        <v>129</v>
      </c>
      <c r="F149" s="137" t="s">
        <v>129</v>
      </c>
      <c r="G149" s="137" t="s">
        <v>129</v>
      </c>
      <c r="H149" s="137" t="s">
        <v>129</v>
      </c>
      <c r="I149" s="137" t="s">
        <v>129</v>
      </c>
      <c r="J149" s="137" t="s">
        <v>129</v>
      </c>
      <c r="K149" s="137" t="s">
        <v>129</v>
      </c>
      <c r="L149" s="137" t="s">
        <v>129</v>
      </c>
      <c r="M149" s="141"/>
      <c r="N149" s="143"/>
    </row>
    <row r="150" hidden="1" outlineLevel="1">
      <c r="A150" s="255" t="s">
        <v>493</v>
      </c>
      <c r="B150" s="344">
        <v>46027.0</v>
      </c>
      <c r="C150" s="133" t="str">
        <f t="shared" si="22"/>
        <v>Mon</v>
      </c>
      <c r="D150" s="136">
        <f t="shared" si="23"/>
        <v>1</v>
      </c>
      <c r="E150" s="137" t="s">
        <v>129</v>
      </c>
      <c r="F150" s="137" t="s">
        <v>129</v>
      </c>
      <c r="G150" s="137" t="s">
        <v>129</v>
      </c>
      <c r="H150" s="137" t="s">
        <v>129</v>
      </c>
      <c r="I150" s="137" t="s">
        <v>129</v>
      </c>
      <c r="J150" s="137" t="s">
        <v>129</v>
      </c>
      <c r="K150" s="137" t="s">
        <v>129</v>
      </c>
      <c r="L150" s="137" t="s">
        <v>129</v>
      </c>
      <c r="M150" s="141"/>
      <c r="N150" s="147"/>
    </row>
    <row r="151" hidden="1" outlineLevel="1">
      <c r="A151" s="255" t="s">
        <v>494</v>
      </c>
      <c r="B151" s="344">
        <v>46027.0</v>
      </c>
      <c r="C151" s="133" t="str">
        <f t="shared" si="22"/>
        <v>Mon</v>
      </c>
      <c r="D151" s="136">
        <f t="shared" si="23"/>
        <v>1</v>
      </c>
      <c r="E151" s="137" t="s">
        <v>129</v>
      </c>
      <c r="F151" s="137" t="s">
        <v>129</v>
      </c>
      <c r="G151" s="137" t="s">
        <v>129</v>
      </c>
      <c r="H151" s="137" t="s">
        <v>129</v>
      </c>
      <c r="I151" s="137" t="s">
        <v>129</v>
      </c>
      <c r="J151" s="137" t="s">
        <v>129</v>
      </c>
      <c r="K151" s="137" t="s">
        <v>129</v>
      </c>
      <c r="L151" s="137" t="s">
        <v>129</v>
      </c>
      <c r="M151" s="141"/>
      <c r="N151" s="147"/>
    </row>
    <row r="152" hidden="1" outlineLevel="1">
      <c r="A152" s="255" t="s">
        <v>495</v>
      </c>
      <c r="B152" s="344">
        <v>46028.0</v>
      </c>
      <c r="C152" s="133" t="str">
        <f t="shared" si="22"/>
        <v>Tue</v>
      </c>
      <c r="D152" s="136">
        <f t="shared" si="23"/>
        <v>1</v>
      </c>
      <c r="E152" s="137" t="s">
        <v>129</v>
      </c>
      <c r="F152" s="137" t="s">
        <v>129</v>
      </c>
      <c r="G152" s="137" t="s">
        <v>129</v>
      </c>
      <c r="H152" s="137" t="s">
        <v>129</v>
      </c>
      <c r="I152" s="137" t="s">
        <v>129</v>
      </c>
      <c r="J152" s="137" t="s">
        <v>129</v>
      </c>
      <c r="K152" s="137" t="s">
        <v>129</v>
      </c>
      <c r="L152" s="137" t="s">
        <v>129</v>
      </c>
      <c r="M152" s="141"/>
      <c r="N152" s="143"/>
    </row>
    <row r="153" hidden="1" outlineLevel="1">
      <c r="A153" s="255" t="s">
        <v>497</v>
      </c>
      <c r="B153" s="344">
        <v>46028.0</v>
      </c>
      <c r="C153" s="133" t="str">
        <f t="shared" si="22"/>
        <v>Tue</v>
      </c>
      <c r="D153" s="136">
        <f t="shared" si="23"/>
        <v>1</v>
      </c>
      <c r="E153" s="137" t="s">
        <v>129</v>
      </c>
      <c r="F153" s="137" t="s">
        <v>129</v>
      </c>
      <c r="G153" s="137" t="s">
        <v>129</v>
      </c>
      <c r="H153" s="137" t="s">
        <v>129</v>
      </c>
      <c r="I153" s="137" t="s">
        <v>129</v>
      </c>
      <c r="J153" s="137" t="s">
        <v>129</v>
      </c>
      <c r="K153" s="137" t="s">
        <v>129</v>
      </c>
      <c r="L153" s="137" t="s">
        <v>129</v>
      </c>
      <c r="M153" s="141"/>
      <c r="N153" s="143"/>
    </row>
    <row r="154" hidden="1" outlineLevel="1">
      <c r="A154" s="255" t="s">
        <v>499</v>
      </c>
      <c r="B154" s="344">
        <v>46028.0</v>
      </c>
      <c r="C154" s="133" t="str">
        <f t="shared" si="22"/>
        <v>Tue</v>
      </c>
      <c r="D154" s="136">
        <f t="shared" si="23"/>
        <v>1</v>
      </c>
      <c r="E154" s="137" t="s">
        <v>129</v>
      </c>
      <c r="F154" s="137" t="s">
        <v>129</v>
      </c>
      <c r="G154" s="137" t="s">
        <v>129</v>
      </c>
      <c r="H154" s="137" t="s">
        <v>129</v>
      </c>
      <c r="I154" s="137" t="s">
        <v>129</v>
      </c>
      <c r="J154" s="137" t="s">
        <v>129</v>
      </c>
      <c r="K154" s="137" t="s">
        <v>129</v>
      </c>
      <c r="L154" s="137" t="s">
        <v>129</v>
      </c>
      <c r="M154" s="141"/>
      <c r="N154" s="143"/>
    </row>
    <row r="155" hidden="1" outlineLevel="1">
      <c r="A155" s="255" t="s">
        <v>500</v>
      </c>
      <c r="B155" s="344">
        <v>46029.0</v>
      </c>
      <c r="C155" s="133" t="str">
        <f t="shared" si="22"/>
        <v>Wed</v>
      </c>
      <c r="D155" s="136">
        <f t="shared" si="23"/>
        <v>1</v>
      </c>
      <c r="E155" s="137" t="s">
        <v>129</v>
      </c>
      <c r="F155" s="137" t="s">
        <v>129</v>
      </c>
      <c r="G155" s="137" t="s">
        <v>129</v>
      </c>
      <c r="H155" s="137" t="s">
        <v>129</v>
      </c>
      <c r="I155" s="137" t="s">
        <v>129</v>
      </c>
      <c r="J155" s="137" t="s">
        <v>129</v>
      </c>
      <c r="K155" s="137" t="s">
        <v>129</v>
      </c>
      <c r="L155" s="137" t="s">
        <v>129</v>
      </c>
      <c r="M155" s="141"/>
      <c r="N155" s="143"/>
    </row>
    <row r="156" hidden="1" outlineLevel="1">
      <c r="A156" s="255" t="s">
        <v>502</v>
      </c>
      <c r="B156" s="344">
        <v>46029.0</v>
      </c>
      <c r="C156" s="133" t="str">
        <f t="shared" si="22"/>
        <v>Wed</v>
      </c>
      <c r="D156" s="136">
        <f t="shared" si="23"/>
        <v>0.8</v>
      </c>
      <c r="E156" s="137" t="s">
        <v>174</v>
      </c>
      <c r="F156" s="137" t="s">
        <v>129</v>
      </c>
      <c r="G156" s="137" t="s">
        <v>129</v>
      </c>
      <c r="H156" s="137" t="s">
        <v>174</v>
      </c>
      <c r="I156" s="137" t="s">
        <v>129</v>
      </c>
      <c r="J156" s="137" t="s">
        <v>129</v>
      </c>
      <c r="K156" s="137" t="s">
        <v>129</v>
      </c>
      <c r="L156" s="137" t="s">
        <v>129</v>
      </c>
      <c r="M156" s="141"/>
      <c r="N156" s="147" t="s">
        <v>505</v>
      </c>
    </row>
    <row r="157" hidden="1" outlineLevel="1">
      <c r="A157" s="255" t="s">
        <v>506</v>
      </c>
      <c r="B157" s="344">
        <v>46029.0</v>
      </c>
      <c r="C157" s="133" t="str">
        <f t="shared" si="22"/>
        <v>Wed</v>
      </c>
      <c r="D157" s="136">
        <f t="shared" si="23"/>
        <v>1</v>
      </c>
      <c r="E157" s="137" t="s">
        <v>129</v>
      </c>
      <c r="F157" s="137" t="s">
        <v>129</v>
      </c>
      <c r="G157" s="137" t="s">
        <v>129</v>
      </c>
      <c r="H157" s="137" t="s">
        <v>129</v>
      </c>
      <c r="I157" s="137" t="s">
        <v>129</v>
      </c>
      <c r="J157" s="137" t="s">
        <v>129</v>
      </c>
      <c r="K157" s="137" t="s">
        <v>129</v>
      </c>
      <c r="L157" s="137" t="s">
        <v>129</v>
      </c>
      <c r="M157" s="141"/>
      <c r="N157" s="143"/>
    </row>
    <row r="158" hidden="1" outlineLevel="1">
      <c r="A158" s="255" t="s">
        <v>508</v>
      </c>
      <c r="B158" s="344">
        <v>46030.0</v>
      </c>
      <c r="C158" s="133" t="str">
        <f t="shared" si="22"/>
        <v>Thu</v>
      </c>
      <c r="D158" s="136">
        <f t="shared" si="23"/>
        <v>1</v>
      </c>
      <c r="E158" s="137" t="s">
        <v>129</v>
      </c>
      <c r="F158" s="137" t="s">
        <v>129</v>
      </c>
      <c r="G158" s="137" t="s">
        <v>129</v>
      </c>
      <c r="H158" s="137" t="s">
        <v>129</v>
      </c>
      <c r="I158" s="137" t="s">
        <v>129</v>
      </c>
      <c r="J158" s="137" t="s">
        <v>129</v>
      </c>
      <c r="K158" s="137" t="s">
        <v>129</v>
      </c>
      <c r="L158" s="137" t="s">
        <v>129</v>
      </c>
      <c r="M158" s="141"/>
      <c r="N158" s="143"/>
    </row>
    <row r="159" hidden="1" outlineLevel="1">
      <c r="A159" s="255" t="s">
        <v>509</v>
      </c>
      <c r="B159" s="344">
        <v>46030.0</v>
      </c>
      <c r="C159" s="133" t="str">
        <f t="shared" si="22"/>
        <v>Thu</v>
      </c>
      <c r="D159" s="136">
        <f t="shared" si="23"/>
        <v>1</v>
      </c>
      <c r="E159" s="137" t="s">
        <v>129</v>
      </c>
      <c r="F159" s="137" t="s">
        <v>129</v>
      </c>
      <c r="G159" s="137" t="s">
        <v>129</v>
      </c>
      <c r="H159" s="137" t="s">
        <v>129</v>
      </c>
      <c r="I159" s="137" t="s">
        <v>129</v>
      </c>
      <c r="J159" s="137" t="s">
        <v>129</v>
      </c>
      <c r="K159" s="137" t="s">
        <v>129</v>
      </c>
      <c r="L159" s="137" t="s">
        <v>129</v>
      </c>
      <c r="M159" s="141"/>
      <c r="N159" s="147"/>
    </row>
    <row r="160" hidden="1" outlineLevel="1">
      <c r="A160" s="255" t="s">
        <v>511</v>
      </c>
      <c r="B160" s="344">
        <v>46030.0</v>
      </c>
      <c r="C160" s="133" t="str">
        <f t="shared" si="22"/>
        <v>Thu</v>
      </c>
      <c r="D160" s="136">
        <f t="shared" si="23"/>
        <v>1</v>
      </c>
      <c r="E160" s="137" t="s">
        <v>129</v>
      </c>
      <c r="F160" s="137" t="s">
        <v>129</v>
      </c>
      <c r="G160" s="137" t="s">
        <v>129</v>
      </c>
      <c r="H160" s="137" t="s">
        <v>129</v>
      </c>
      <c r="I160" s="137" t="s">
        <v>129</v>
      </c>
      <c r="J160" s="137" t="s">
        <v>129</v>
      </c>
      <c r="K160" s="137" t="s">
        <v>129</v>
      </c>
      <c r="L160" s="137" t="s">
        <v>129</v>
      </c>
      <c r="M160" s="141"/>
      <c r="N160" s="143"/>
    </row>
    <row r="161" hidden="1" outlineLevel="1">
      <c r="A161" s="255" t="s">
        <v>512</v>
      </c>
      <c r="B161" s="344">
        <v>46031.0</v>
      </c>
      <c r="C161" s="186" t="str">
        <f t="shared" si="22"/>
        <v>Fri</v>
      </c>
      <c r="D161" s="136">
        <f t="shared" si="23"/>
        <v>1</v>
      </c>
      <c r="E161" s="137" t="s">
        <v>129</v>
      </c>
      <c r="F161" s="137" t="s">
        <v>129</v>
      </c>
      <c r="G161" s="137" t="s">
        <v>129</v>
      </c>
      <c r="H161" s="137" t="s">
        <v>129</v>
      </c>
      <c r="I161" s="137" t="s">
        <v>129</v>
      </c>
      <c r="J161" s="137" t="s">
        <v>129</v>
      </c>
      <c r="K161" s="137" t="s">
        <v>129</v>
      </c>
      <c r="L161" s="137" t="s">
        <v>129</v>
      </c>
      <c r="M161" s="141"/>
      <c r="N161" s="143"/>
    </row>
    <row r="162" hidden="1" outlineLevel="1">
      <c r="A162" s="255" t="s">
        <v>513</v>
      </c>
      <c r="B162" s="344">
        <v>46031.0</v>
      </c>
      <c r="C162" s="186" t="str">
        <f t="shared" si="22"/>
        <v>Fri</v>
      </c>
      <c r="D162" s="136">
        <f t="shared" si="23"/>
        <v>1</v>
      </c>
      <c r="E162" s="137" t="s">
        <v>129</v>
      </c>
      <c r="F162" s="137" t="s">
        <v>129</v>
      </c>
      <c r="G162" s="137" t="s">
        <v>129</v>
      </c>
      <c r="H162" s="137" t="s">
        <v>129</v>
      </c>
      <c r="I162" s="137" t="s">
        <v>129</v>
      </c>
      <c r="J162" s="137" t="s">
        <v>129</v>
      </c>
      <c r="K162" s="137" t="s">
        <v>129</v>
      </c>
      <c r="L162" s="137" t="s">
        <v>129</v>
      </c>
      <c r="M162" s="141"/>
      <c r="N162" s="143"/>
    </row>
    <row r="163" ht="15.0" hidden="1" customHeight="1" outlineLevel="1">
      <c r="A163" s="255" t="s">
        <v>515</v>
      </c>
      <c r="B163" s="344">
        <v>46031.0</v>
      </c>
      <c r="C163" s="186" t="str">
        <f t="shared" si="22"/>
        <v>Fri</v>
      </c>
      <c r="D163" s="136">
        <f t="shared" si="23"/>
        <v>1</v>
      </c>
      <c r="E163" s="137" t="s">
        <v>129</v>
      </c>
      <c r="F163" s="137" t="s">
        <v>129</v>
      </c>
      <c r="G163" s="137" t="s">
        <v>129</v>
      </c>
      <c r="H163" s="137" t="s">
        <v>129</v>
      </c>
      <c r="I163" s="137" t="s">
        <v>129</v>
      </c>
      <c r="J163" s="137" t="s">
        <v>129</v>
      </c>
      <c r="K163" s="137" t="s">
        <v>129</v>
      </c>
      <c r="L163" s="137" t="s">
        <v>129</v>
      </c>
      <c r="M163" s="141"/>
      <c r="N163" s="147"/>
    </row>
    <row r="164" hidden="1" outlineLevel="1">
      <c r="B164" s="189"/>
      <c r="C164" s="191" t="s">
        <v>194</v>
      </c>
      <c r="D164" s="204">
        <f>AVERAGE(D149:D163)</f>
        <v>0.9866666667</v>
      </c>
      <c r="E164" s="200"/>
      <c r="L164" s="191" t="s">
        <v>194</v>
      </c>
      <c r="M164" s="204">
        <f>SUM(M149:M163)/75*0.1</f>
        <v>0</v>
      </c>
    </row>
    <row r="165" hidden="1" collapsed="1">
      <c r="A165" s="206" t="s">
        <v>516</v>
      </c>
      <c r="B165" s="207"/>
      <c r="C165" s="207"/>
      <c r="D165" s="208"/>
      <c r="E165" s="109"/>
      <c r="F165" s="109"/>
      <c r="G165" s="110"/>
      <c r="H165" s="110"/>
      <c r="I165" s="110"/>
      <c r="J165" s="110"/>
      <c r="K165" s="110"/>
      <c r="L165" s="110"/>
      <c r="M165" s="111"/>
      <c r="N165" s="113"/>
    </row>
    <row r="166" hidden="1" outlineLevel="1">
      <c r="A166" s="115" t="s">
        <v>98</v>
      </c>
      <c r="B166" s="115" t="s">
        <v>100</v>
      </c>
      <c r="C166" s="115" t="s">
        <v>102</v>
      </c>
      <c r="D166" s="119" t="s">
        <v>103</v>
      </c>
      <c r="E166" s="275" t="s">
        <v>269</v>
      </c>
      <c r="F166" s="275" t="s">
        <v>272</v>
      </c>
      <c r="G166" s="276" t="s">
        <v>328</v>
      </c>
      <c r="H166" s="121" t="s">
        <v>107</v>
      </c>
      <c r="I166" s="121" t="s">
        <v>108</v>
      </c>
      <c r="J166" s="276" t="s">
        <v>329</v>
      </c>
      <c r="K166" s="121" t="s">
        <v>111</v>
      </c>
      <c r="L166" s="276" t="s">
        <v>274</v>
      </c>
      <c r="M166" s="115" t="s">
        <v>114</v>
      </c>
      <c r="N166" s="119" t="s">
        <v>115</v>
      </c>
    </row>
    <row r="167" hidden="1" outlineLevel="1">
      <c r="A167" s="219" t="s">
        <v>518</v>
      </c>
      <c r="B167" s="344">
        <v>46034.0</v>
      </c>
      <c r="C167" s="133" t="str">
        <f t="shared" ref="C167:C181" si="24">IF(B167="", "", TEXT(B167, "ddd"))</f>
        <v>Mon</v>
      </c>
      <c r="D167" s="136">
        <f t="shared" ref="D167:D181" si="25">IF(E167="Yes",0.05,0)
+IF(F167="Yes",0.1,0)
+IF(G167="Yes",0.15,0)
+IF(H167="Yes",0.15,0)
+IF(I167="Yes",0.05,0)
+IF(J167="Yes",0.05,0)
+IF(K167="Yes",0.15,0)
+IF(L167="Yes",0.3,0)
</f>
        <v>1</v>
      </c>
      <c r="E167" s="137" t="s">
        <v>129</v>
      </c>
      <c r="F167" s="137" t="s">
        <v>129</v>
      </c>
      <c r="G167" s="137" t="s">
        <v>129</v>
      </c>
      <c r="H167" s="137" t="s">
        <v>129</v>
      </c>
      <c r="I167" s="137" t="s">
        <v>129</v>
      </c>
      <c r="J167" s="137" t="s">
        <v>129</v>
      </c>
      <c r="K167" s="137" t="s">
        <v>129</v>
      </c>
      <c r="L167" s="137" t="s">
        <v>129</v>
      </c>
      <c r="M167" s="141"/>
      <c r="N167" s="143"/>
    </row>
    <row r="168" hidden="1" outlineLevel="1">
      <c r="A168" s="219" t="s">
        <v>520</v>
      </c>
      <c r="B168" s="344">
        <v>46034.0</v>
      </c>
      <c r="C168" s="133" t="str">
        <f t="shared" si="24"/>
        <v>Mon</v>
      </c>
      <c r="D168" s="136">
        <f t="shared" si="25"/>
        <v>1</v>
      </c>
      <c r="E168" s="137" t="s">
        <v>129</v>
      </c>
      <c r="F168" s="137" t="s">
        <v>129</v>
      </c>
      <c r="G168" s="137" t="s">
        <v>129</v>
      </c>
      <c r="H168" s="137" t="s">
        <v>129</v>
      </c>
      <c r="I168" s="137" t="s">
        <v>129</v>
      </c>
      <c r="J168" s="137" t="s">
        <v>129</v>
      </c>
      <c r="K168" s="137" t="s">
        <v>129</v>
      </c>
      <c r="L168" s="137" t="s">
        <v>129</v>
      </c>
      <c r="M168" s="141"/>
      <c r="N168" s="147"/>
    </row>
    <row r="169" hidden="1" outlineLevel="1">
      <c r="A169" s="219" t="s">
        <v>521</v>
      </c>
      <c r="B169" s="344">
        <v>46034.0</v>
      </c>
      <c r="C169" s="133" t="str">
        <f t="shared" si="24"/>
        <v>Mon</v>
      </c>
      <c r="D169" s="136">
        <f t="shared" si="25"/>
        <v>1</v>
      </c>
      <c r="E169" s="137" t="s">
        <v>129</v>
      </c>
      <c r="F169" s="137" t="s">
        <v>129</v>
      </c>
      <c r="G169" s="137" t="s">
        <v>129</v>
      </c>
      <c r="H169" s="137" t="s">
        <v>129</v>
      </c>
      <c r="I169" s="137" t="s">
        <v>129</v>
      </c>
      <c r="J169" s="137" t="s">
        <v>129</v>
      </c>
      <c r="K169" s="137" t="s">
        <v>129</v>
      </c>
      <c r="L169" s="137" t="s">
        <v>129</v>
      </c>
      <c r="M169" s="141"/>
      <c r="N169" s="147"/>
    </row>
    <row r="170" hidden="1" outlineLevel="1">
      <c r="A170" s="255" t="s">
        <v>523</v>
      </c>
      <c r="B170" s="344">
        <v>46035.0</v>
      </c>
      <c r="C170" s="133" t="str">
        <f t="shared" si="24"/>
        <v>Tue</v>
      </c>
      <c r="D170" s="136">
        <f t="shared" si="25"/>
        <v>1</v>
      </c>
      <c r="E170" s="137" t="s">
        <v>129</v>
      </c>
      <c r="F170" s="137" t="s">
        <v>129</v>
      </c>
      <c r="G170" s="137" t="s">
        <v>129</v>
      </c>
      <c r="H170" s="137" t="s">
        <v>129</v>
      </c>
      <c r="I170" s="137" t="s">
        <v>129</v>
      </c>
      <c r="J170" s="137" t="s">
        <v>129</v>
      </c>
      <c r="K170" s="137" t="s">
        <v>129</v>
      </c>
      <c r="L170" s="137" t="s">
        <v>129</v>
      </c>
      <c r="M170" s="141"/>
      <c r="N170" s="143"/>
    </row>
    <row r="171" hidden="1" outlineLevel="1">
      <c r="A171" s="255" t="s">
        <v>525</v>
      </c>
      <c r="B171" s="344">
        <v>46035.0</v>
      </c>
      <c r="C171" s="133" t="str">
        <f t="shared" si="24"/>
        <v>Tue</v>
      </c>
      <c r="D171" s="136">
        <f t="shared" si="25"/>
        <v>1</v>
      </c>
      <c r="E171" s="137" t="s">
        <v>129</v>
      </c>
      <c r="F171" s="137" t="s">
        <v>129</v>
      </c>
      <c r="G171" s="137" t="s">
        <v>129</v>
      </c>
      <c r="H171" s="137" t="s">
        <v>129</v>
      </c>
      <c r="I171" s="137" t="s">
        <v>129</v>
      </c>
      <c r="J171" s="137" t="s">
        <v>129</v>
      </c>
      <c r="K171" s="137" t="s">
        <v>129</v>
      </c>
      <c r="L171" s="137" t="s">
        <v>129</v>
      </c>
      <c r="M171" s="141"/>
      <c r="N171" s="143"/>
    </row>
    <row r="172" hidden="1" outlineLevel="1">
      <c r="A172" s="255" t="s">
        <v>527</v>
      </c>
      <c r="B172" s="344">
        <v>46035.0</v>
      </c>
      <c r="C172" s="133" t="str">
        <f t="shared" si="24"/>
        <v>Tue</v>
      </c>
      <c r="D172" s="136">
        <f t="shared" si="25"/>
        <v>0.95</v>
      </c>
      <c r="E172" s="137" t="s">
        <v>174</v>
      </c>
      <c r="F172" s="137" t="s">
        <v>129</v>
      </c>
      <c r="G172" s="137" t="s">
        <v>129</v>
      </c>
      <c r="H172" s="137" t="s">
        <v>129</v>
      </c>
      <c r="I172" s="137" t="s">
        <v>129</v>
      </c>
      <c r="J172" s="137" t="s">
        <v>129</v>
      </c>
      <c r="K172" s="137" t="s">
        <v>129</v>
      </c>
      <c r="L172" s="137" t="s">
        <v>129</v>
      </c>
      <c r="M172" s="141"/>
      <c r="N172" s="147" t="s">
        <v>528</v>
      </c>
    </row>
    <row r="173" hidden="1" outlineLevel="1">
      <c r="A173" s="255" t="s">
        <v>529</v>
      </c>
      <c r="B173" s="344">
        <v>46036.0</v>
      </c>
      <c r="C173" s="133" t="str">
        <f t="shared" si="24"/>
        <v>Wed</v>
      </c>
      <c r="D173" s="136">
        <f t="shared" si="25"/>
        <v>1</v>
      </c>
      <c r="E173" s="137" t="s">
        <v>129</v>
      </c>
      <c r="F173" s="137" t="s">
        <v>129</v>
      </c>
      <c r="G173" s="137" t="s">
        <v>129</v>
      </c>
      <c r="H173" s="137" t="s">
        <v>129</v>
      </c>
      <c r="I173" s="137" t="s">
        <v>129</v>
      </c>
      <c r="J173" s="137" t="s">
        <v>129</v>
      </c>
      <c r="K173" s="137" t="s">
        <v>129</v>
      </c>
      <c r="L173" s="137" t="s">
        <v>129</v>
      </c>
      <c r="M173" s="141"/>
      <c r="N173" s="143"/>
    </row>
    <row r="174" hidden="1" outlineLevel="1">
      <c r="A174" s="255" t="s">
        <v>532</v>
      </c>
      <c r="B174" s="344">
        <v>46036.0</v>
      </c>
      <c r="C174" s="133" t="str">
        <f t="shared" si="24"/>
        <v>Wed</v>
      </c>
      <c r="D174" s="136">
        <f t="shared" si="25"/>
        <v>1</v>
      </c>
      <c r="E174" s="137" t="s">
        <v>129</v>
      </c>
      <c r="F174" s="137" t="s">
        <v>129</v>
      </c>
      <c r="G174" s="137" t="s">
        <v>129</v>
      </c>
      <c r="H174" s="137" t="s">
        <v>129</v>
      </c>
      <c r="I174" s="137" t="s">
        <v>129</v>
      </c>
      <c r="J174" s="137" t="s">
        <v>129</v>
      </c>
      <c r="K174" s="137" t="s">
        <v>129</v>
      </c>
      <c r="L174" s="137" t="s">
        <v>129</v>
      </c>
      <c r="M174" s="141"/>
      <c r="N174" s="147"/>
    </row>
    <row r="175" hidden="1" outlineLevel="1">
      <c r="A175" s="255" t="s">
        <v>540</v>
      </c>
      <c r="B175" s="344">
        <v>46036.0</v>
      </c>
      <c r="C175" s="133" t="str">
        <f t="shared" si="24"/>
        <v>Wed</v>
      </c>
      <c r="D175" s="136">
        <f t="shared" si="25"/>
        <v>1</v>
      </c>
      <c r="E175" s="137" t="s">
        <v>129</v>
      </c>
      <c r="F175" s="137" t="s">
        <v>129</v>
      </c>
      <c r="G175" s="137" t="s">
        <v>129</v>
      </c>
      <c r="H175" s="137" t="s">
        <v>129</v>
      </c>
      <c r="I175" s="137" t="s">
        <v>129</v>
      </c>
      <c r="J175" s="137" t="s">
        <v>129</v>
      </c>
      <c r="K175" s="137" t="s">
        <v>129</v>
      </c>
      <c r="L175" s="137" t="s">
        <v>129</v>
      </c>
      <c r="M175" s="141"/>
      <c r="N175" s="143"/>
    </row>
    <row r="176" hidden="1" outlineLevel="1">
      <c r="A176" s="255" t="s">
        <v>541</v>
      </c>
      <c r="B176" s="344">
        <v>46037.0</v>
      </c>
      <c r="C176" s="133" t="str">
        <f t="shared" si="24"/>
        <v>Thu</v>
      </c>
      <c r="D176" s="136">
        <f t="shared" si="25"/>
        <v>1</v>
      </c>
      <c r="E176" s="137" t="s">
        <v>129</v>
      </c>
      <c r="F176" s="137" t="s">
        <v>129</v>
      </c>
      <c r="G176" s="137" t="s">
        <v>129</v>
      </c>
      <c r="H176" s="137" t="s">
        <v>129</v>
      </c>
      <c r="I176" s="137" t="s">
        <v>129</v>
      </c>
      <c r="J176" s="137" t="s">
        <v>129</v>
      </c>
      <c r="K176" s="137" t="s">
        <v>129</v>
      </c>
      <c r="L176" s="137" t="s">
        <v>129</v>
      </c>
      <c r="M176" s="141"/>
      <c r="N176" s="143"/>
    </row>
    <row r="177" hidden="1" outlineLevel="1">
      <c r="A177" s="255" t="s">
        <v>542</v>
      </c>
      <c r="B177" s="344">
        <v>46037.0</v>
      </c>
      <c r="C177" s="133" t="str">
        <f t="shared" si="24"/>
        <v>Thu</v>
      </c>
      <c r="D177" s="136">
        <f t="shared" si="25"/>
        <v>1</v>
      </c>
      <c r="E177" s="137" t="s">
        <v>129</v>
      </c>
      <c r="F177" s="137" t="s">
        <v>129</v>
      </c>
      <c r="G177" s="137" t="s">
        <v>129</v>
      </c>
      <c r="H177" s="137" t="s">
        <v>129</v>
      </c>
      <c r="I177" s="137" t="s">
        <v>129</v>
      </c>
      <c r="J177" s="137" t="s">
        <v>129</v>
      </c>
      <c r="K177" s="137" t="s">
        <v>129</v>
      </c>
      <c r="L177" s="137" t="s">
        <v>129</v>
      </c>
      <c r="M177" s="141"/>
      <c r="N177" s="147"/>
    </row>
    <row r="178" hidden="1" outlineLevel="1">
      <c r="A178" s="255" t="s">
        <v>544</v>
      </c>
      <c r="B178" s="344">
        <v>46037.0</v>
      </c>
      <c r="C178" s="133" t="str">
        <f t="shared" si="24"/>
        <v>Thu</v>
      </c>
      <c r="D178" s="136">
        <f t="shared" si="25"/>
        <v>1</v>
      </c>
      <c r="E178" s="137" t="s">
        <v>129</v>
      </c>
      <c r="F178" s="137" t="s">
        <v>129</v>
      </c>
      <c r="G178" s="137" t="s">
        <v>129</v>
      </c>
      <c r="H178" s="137" t="s">
        <v>129</v>
      </c>
      <c r="I178" s="137" t="s">
        <v>129</v>
      </c>
      <c r="J178" s="137" t="s">
        <v>129</v>
      </c>
      <c r="K178" s="137" t="s">
        <v>129</v>
      </c>
      <c r="L178" s="137" t="s">
        <v>129</v>
      </c>
      <c r="M178" s="141"/>
      <c r="N178" s="143"/>
    </row>
    <row r="179" hidden="1" outlineLevel="1">
      <c r="A179" s="219" t="s">
        <v>546</v>
      </c>
      <c r="B179" s="344">
        <v>46038.0</v>
      </c>
      <c r="C179" s="186" t="str">
        <f t="shared" si="24"/>
        <v>Fri</v>
      </c>
      <c r="D179" s="136">
        <f t="shared" si="25"/>
        <v>1</v>
      </c>
      <c r="E179" s="137" t="s">
        <v>129</v>
      </c>
      <c r="F179" s="137" t="s">
        <v>129</v>
      </c>
      <c r="G179" s="137" t="s">
        <v>129</v>
      </c>
      <c r="H179" s="137" t="s">
        <v>129</v>
      </c>
      <c r="I179" s="137" t="s">
        <v>129</v>
      </c>
      <c r="J179" s="137" t="s">
        <v>129</v>
      </c>
      <c r="K179" s="137" t="s">
        <v>129</v>
      </c>
      <c r="L179" s="137" t="s">
        <v>129</v>
      </c>
      <c r="M179" s="141"/>
      <c r="N179" s="143"/>
    </row>
    <row r="180" hidden="1" outlineLevel="1">
      <c r="A180" s="219" t="s">
        <v>547</v>
      </c>
      <c r="B180" s="344">
        <v>46038.0</v>
      </c>
      <c r="C180" s="186" t="str">
        <f t="shared" si="24"/>
        <v>Fri</v>
      </c>
      <c r="D180" s="136">
        <f t="shared" si="25"/>
        <v>1</v>
      </c>
      <c r="E180" s="137" t="s">
        <v>129</v>
      </c>
      <c r="F180" s="137" t="s">
        <v>129</v>
      </c>
      <c r="G180" s="137" t="s">
        <v>129</v>
      </c>
      <c r="H180" s="137" t="s">
        <v>129</v>
      </c>
      <c r="I180" s="137" t="s">
        <v>129</v>
      </c>
      <c r="J180" s="137" t="s">
        <v>129</v>
      </c>
      <c r="K180" s="137" t="s">
        <v>129</v>
      </c>
      <c r="L180" s="137" t="s">
        <v>129</v>
      </c>
      <c r="M180" s="141"/>
      <c r="N180" s="143"/>
    </row>
    <row r="181" ht="15.0" hidden="1" customHeight="1" outlineLevel="1">
      <c r="A181" s="219" t="s">
        <v>548</v>
      </c>
      <c r="B181" s="344">
        <v>46038.0</v>
      </c>
      <c r="C181" s="186" t="str">
        <f t="shared" si="24"/>
        <v>Fri</v>
      </c>
      <c r="D181" s="136">
        <f t="shared" si="25"/>
        <v>1</v>
      </c>
      <c r="E181" s="137" t="s">
        <v>129</v>
      </c>
      <c r="F181" s="137" t="s">
        <v>129</v>
      </c>
      <c r="G181" s="137" t="s">
        <v>129</v>
      </c>
      <c r="H181" s="137" t="s">
        <v>129</v>
      </c>
      <c r="I181" s="137" t="s">
        <v>129</v>
      </c>
      <c r="J181" s="137" t="s">
        <v>129</v>
      </c>
      <c r="K181" s="137" t="s">
        <v>129</v>
      </c>
      <c r="L181" s="137" t="s">
        <v>129</v>
      </c>
      <c r="M181" s="141"/>
      <c r="N181" s="147"/>
    </row>
    <row r="182" hidden="1" outlineLevel="1">
      <c r="B182" s="189"/>
      <c r="C182" s="191" t="s">
        <v>194</v>
      </c>
      <c r="D182" s="204">
        <f>AVERAGE(D167:D181)</f>
        <v>0.9966666667</v>
      </c>
      <c r="E182" s="200"/>
      <c r="L182" s="191" t="s">
        <v>194</v>
      </c>
      <c r="M182" s="204">
        <f>SUM(M167:M181)/75*0.1</f>
        <v>0</v>
      </c>
    </row>
    <row r="183" hidden="1" collapsed="1">
      <c r="A183" s="206" t="s">
        <v>549</v>
      </c>
      <c r="B183" s="207"/>
      <c r="C183" s="207"/>
      <c r="D183" s="208"/>
      <c r="E183" s="109"/>
      <c r="F183" s="109"/>
      <c r="G183" s="110"/>
      <c r="H183" s="110"/>
      <c r="I183" s="110"/>
      <c r="J183" s="110"/>
      <c r="K183" s="110"/>
      <c r="L183" s="110"/>
      <c r="M183" s="111"/>
      <c r="N183" s="113"/>
    </row>
    <row r="184" hidden="1" outlineLevel="1">
      <c r="A184" s="115" t="s">
        <v>98</v>
      </c>
      <c r="B184" s="115" t="s">
        <v>100</v>
      </c>
      <c r="C184" s="115" t="s">
        <v>102</v>
      </c>
      <c r="D184" s="119" t="s">
        <v>103</v>
      </c>
      <c r="E184" s="275" t="s">
        <v>269</v>
      </c>
      <c r="F184" s="275" t="s">
        <v>272</v>
      </c>
      <c r="G184" s="276" t="s">
        <v>328</v>
      </c>
      <c r="H184" s="121" t="s">
        <v>107</v>
      </c>
      <c r="I184" s="121" t="s">
        <v>108</v>
      </c>
      <c r="J184" s="276" t="s">
        <v>329</v>
      </c>
      <c r="K184" s="121" t="s">
        <v>111</v>
      </c>
      <c r="L184" s="276" t="s">
        <v>274</v>
      </c>
      <c r="M184" s="115" t="s">
        <v>114</v>
      </c>
      <c r="N184" s="119" t="s">
        <v>115</v>
      </c>
    </row>
    <row r="185" hidden="1" outlineLevel="1">
      <c r="A185" s="303" t="s">
        <v>551</v>
      </c>
      <c r="B185" s="344">
        <v>46041.0</v>
      </c>
      <c r="C185" s="133" t="str">
        <f t="shared" ref="C185:C199" si="26">IF(B185="", "", TEXT(B185, "ddd"))</f>
        <v>Mon</v>
      </c>
      <c r="D185" s="136">
        <f t="shared" ref="D185:D199" si="27">IF(E185="Yes",0.05,0)
+IF(F185="Yes",0.1,0)
+IF(G185="Yes",0.15,0)
+IF(H185="Yes",0.15,0)
+IF(I185="Yes",0.05,0)
+IF(J185="Yes",0.05,0)
+IF(K185="Yes",0.15,0)
+IF(L185="Yes",0.3,0)
</f>
        <v>1</v>
      </c>
      <c r="E185" s="137" t="s">
        <v>129</v>
      </c>
      <c r="F185" s="137" t="s">
        <v>129</v>
      </c>
      <c r="G185" s="137" t="s">
        <v>129</v>
      </c>
      <c r="H185" s="137" t="s">
        <v>129</v>
      </c>
      <c r="I185" s="137" t="s">
        <v>129</v>
      </c>
      <c r="J185" s="137" t="s">
        <v>129</v>
      </c>
      <c r="K185" s="137" t="s">
        <v>129</v>
      </c>
      <c r="L185" s="137" t="s">
        <v>129</v>
      </c>
      <c r="M185" s="141"/>
      <c r="N185" s="143"/>
    </row>
    <row r="186" hidden="1" outlineLevel="1">
      <c r="A186" s="303" t="s">
        <v>553</v>
      </c>
      <c r="B186" s="344">
        <v>46041.0</v>
      </c>
      <c r="C186" s="133" t="str">
        <f t="shared" si="26"/>
        <v>Mon</v>
      </c>
      <c r="D186" s="136">
        <f t="shared" si="27"/>
        <v>1</v>
      </c>
      <c r="E186" s="137" t="s">
        <v>129</v>
      </c>
      <c r="F186" s="137" t="s">
        <v>129</v>
      </c>
      <c r="G186" s="137" t="s">
        <v>129</v>
      </c>
      <c r="H186" s="137" t="s">
        <v>129</v>
      </c>
      <c r="I186" s="137" t="s">
        <v>129</v>
      </c>
      <c r="J186" s="137" t="s">
        <v>129</v>
      </c>
      <c r="K186" s="137" t="s">
        <v>129</v>
      </c>
      <c r="L186" s="137" t="s">
        <v>129</v>
      </c>
      <c r="M186" s="141"/>
      <c r="N186" s="147"/>
    </row>
    <row r="187" hidden="1" outlineLevel="1">
      <c r="A187" s="303" t="s">
        <v>554</v>
      </c>
      <c r="B187" s="344">
        <v>46041.0</v>
      </c>
      <c r="C187" s="133" t="str">
        <f t="shared" si="26"/>
        <v>Mon</v>
      </c>
      <c r="D187" s="136">
        <f t="shared" si="27"/>
        <v>1</v>
      </c>
      <c r="E187" s="137" t="s">
        <v>129</v>
      </c>
      <c r="F187" s="137" t="s">
        <v>129</v>
      </c>
      <c r="G187" s="137" t="s">
        <v>129</v>
      </c>
      <c r="H187" s="137" t="s">
        <v>129</v>
      </c>
      <c r="I187" s="137" t="s">
        <v>129</v>
      </c>
      <c r="J187" s="137" t="s">
        <v>129</v>
      </c>
      <c r="K187" s="137" t="s">
        <v>129</v>
      </c>
      <c r="L187" s="137" t="s">
        <v>129</v>
      </c>
      <c r="M187" s="141"/>
      <c r="N187" s="147"/>
    </row>
    <row r="188" hidden="1" outlineLevel="1">
      <c r="A188" s="219" t="s">
        <v>556</v>
      </c>
      <c r="B188" s="344">
        <v>46042.0</v>
      </c>
      <c r="C188" s="133" t="str">
        <f t="shared" si="26"/>
        <v>Tue</v>
      </c>
      <c r="D188" s="136">
        <f t="shared" si="27"/>
        <v>1</v>
      </c>
      <c r="E188" s="137" t="s">
        <v>129</v>
      </c>
      <c r="F188" s="137" t="s">
        <v>129</v>
      </c>
      <c r="G188" s="137" t="s">
        <v>129</v>
      </c>
      <c r="H188" s="137" t="s">
        <v>129</v>
      </c>
      <c r="I188" s="137" t="s">
        <v>129</v>
      </c>
      <c r="J188" s="137" t="s">
        <v>129</v>
      </c>
      <c r="K188" s="137" t="s">
        <v>129</v>
      </c>
      <c r="L188" s="137" t="s">
        <v>129</v>
      </c>
      <c r="M188" s="141"/>
      <c r="N188" s="143"/>
    </row>
    <row r="189" hidden="1" outlineLevel="1">
      <c r="A189" s="219" t="s">
        <v>557</v>
      </c>
      <c r="B189" s="344">
        <v>46042.0</v>
      </c>
      <c r="C189" s="133" t="str">
        <f t="shared" si="26"/>
        <v>Tue</v>
      </c>
      <c r="D189" s="136">
        <f t="shared" si="27"/>
        <v>1</v>
      </c>
      <c r="E189" s="137" t="s">
        <v>129</v>
      </c>
      <c r="F189" s="137" t="s">
        <v>129</v>
      </c>
      <c r="G189" s="137" t="s">
        <v>129</v>
      </c>
      <c r="H189" s="137" t="s">
        <v>129</v>
      </c>
      <c r="I189" s="137" t="s">
        <v>129</v>
      </c>
      <c r="J189" s="137" t="s">
        <v>129</v>
      </c>
      <c r="K189" s="137" t="s">
        <v>129</v>
      </c>
      <c r="L189" s="137" t="s">
        <v>129</v>
      </c>
      <c r="M189" s="141"/>
      <c r="N189" s="143"/>
    </row>
    <row r="190" hidden="1" outlineLevel="1">
      <c r="A190" s="219" t="s">
        <v>559</v>
      </c>
      <c r="B190" s="344">
        <v>46042.0</v>
      </c>
      <c r="C190" s="133" t="str">
        <f t="shared" si="26"/>
        <v>Tue</v>
      </c>
      <c r="D190" s="136">
        <f t="shared" si="27"/>
        <v>1</v>
      </c>
      <c r="E190" s="137" t="s">
        <v>129</v>
      </c>
      <c r="F190" s="137" t="s">
        <v>129</v>
      </c>
      <c r="G190" s="137" t="s">
        <v>129</v>
      </c>
      <c r="H190" s="137" t="s">
        <v>129</v>
      </c>
      <c r="I190" s="137" t="s">
        <v>129</v>
      </c>
      <c r="J190" s="137" t="s">
        <v>129</v>
      </c>
      <c r="K190" s="137" t="s">
        <v>129</v>
      </c>
      <c r="L190" s="137" t="s">
        <v>129</v>
      </c>
      <c r="M190" s="141"/>
      <c r="N190" s="143"/>
    </row>
    <row r="191" hidden="1" outlineLevel="1">
      <c r="A191" s="303" t="s">
        <v>560</v>
      </c>
      <c r="B191" s="344">
        <v>46043.0</v>
      </c>
      <c r="C191" s="133" t="str">
        <f t="shared" si="26"/>
        <v>Wed</v>
      </c>
      <c r="D191" s="136">
        <f t="shared" si="27"/>
        <v>1</v>
      </c>
      <c r="E191" s="137" t="s">
        <v>129</v>
      </c>
      <c r="F191" s="137" t="s">
        <v>129</v>
      </c>
      <c r="G191" s="137" t="s">
        <v>129</v>
      </c>
      <c r="H191" s="137" t="s">
        <v>129</v>
      </c>
      <c r="I191" s="137" t="s">
        <v>129</v>
      </c>
      <c r="J191" s="137" t="s">
        <v>129</v>
      </c>
      <c r="K191" s="137" t="s">
        <v>129</v>
      </c>
      <c r="L191" s="137" t="s">
        <v>129</v>
      </c>
      <c r="M191" s="141"/>
      <c r="N191" s="143"/>
    </row>
    <row r="192" hidden="1" outlineLevel="1">
      <c r="A192" s="303" t="s">
        <v>562</v>
      </c>
      <c r="B192" s="344">
        <v>46043.0</v>
      </c>
      <c r="C192" s="133" t="str">
        <f t="shared" si="26"/>
        <v>Wed</v>
      </c>
      <c r="D192" s="136">
        <f t="shared" si="27"/>
        <v>1</v>
      </c>
      <c r="E192" s="137" t="s">
        <v>129</v>
      </c>
      <c r="F192" s="137" t="s">
        <v>129</v>
      </c>
      <c r="G192" s="137" t="s">
        <v>129</v>
      </c>
      <c r="H192" s="137" t="s">
        <v>129</v>
      </c>
      <c r="I192" s="137" t="s">
        <v>129</v>
      </c>
      <c r="J192" s="137" t="s">
        <v>129</v>
      </c>
      <c r="K192" s="137" t="s">
        <v>129</v>
      </c>
      <c r="L192" s="137" t="s">
        <v>129</v>
      </c>
      <c r="M192" s="141"/>
      <c r="N192" s="147"/>
    </row>
    <row r="193" hidden="1" outlineLevel="1">
      <c r="A193" s="303" t="s">
        <v>566</v>
      </c>
      <c r="B193" s="344">
        <v>46043.0</v>
      </c>
      <c r="C193" s="133" t="str">
        <f t="shared" si="26"/>
        <v>Wed</v>
      </c>
      <c r="D193" s="136">
        <f t="shared" si="27"/>
        <v>1</v>
      </c>
      <c r="E193" s="137" t="s">
        <v>129</v>
      </c>
      <c r="F193" s="137" t="s">
        <v>129</v>
      </c>
      <c r="G193" s="137" t="s">
        <v>129</v>
      </c>
      <c r="H193" s="137" t="s">
        <v>129</v>
      </c>
      <c r="I193" s="137" t="s">
        <v>129</v>
      </c>
      <c r="J193" s="137" t="s">
        <v>129</v>
      </c>
      <c r="K193" s="137" t="s">
        <v>129</v>
      </c>
      <c r="L193" s="137" t="s">
        <v>129</v>
      </c>
      <c r="M193" s="141"/>
      <c r="N193" s="143"/>
    </row>
    <row r="194" hidden="1" outlineLevel="1">
      <c r="A194" s="303" t="s">
        <v>568</v>
      </c>
      <c r="B194" s="344">
        <v>46044.0</v>
      </c>
      <c r="C194" s="133" t="str">
        <f t="shared" si="26"/>
        <v>Thu</v>
      </c>
      <c r="D194" s="136">
        <f t="shared" si="27"/>
        <v>1</v>
      </c>
      <c r="E194" s="137" t="s">
        <v>129</v>
      </c>
      <c r="F194" s="137" t="s">
        <v>129</v>
      </c>
      <c r="G194" s="137" t="s">
        <v>129</v>
      </c>
      <c r="H194" s="137" t="s">
        <v>129</v>
      </c>
      <c r="I194" s="137" t="s">
        <v>129</v>
      </c>
      <c r="J194" s="137" t="s">
        <v>129</v>
      </c>
      <c r="K194" s="137" t="s">
        <v>129</v>
      </c>
      <c r="L194" s="137" t="s">
        <v>129</v>
      </c>
      <c r="M194" s="141"/>
      <c r="N194" s="143"/>
    </row>
    <row r="195" hidden="1" outlineLevel="1">
      <c r="A195" s="303" t="s">
        <v>570</v>
      </c>
      <c r="B195" s="344">
        <v>46044.0</v>
      </c>
      <c r="C195" s="133" t="str">
        <f t="shared" si="26"/>
        <v>Thu</v>
      </c>
      <c r="D195" s="136">
        <f t="shared" si="27"/>
        <v>1</v>
      </c>
      <c r="E195" s="137" t="s">
        <v>129</v>
      </c>
      <c r="F195" s="137" t="s">
        <v>129</v>
      </c>
      <c r="G195" s="137" t="s">
        <v>129</v>
      </c>
      <c r="H195" s="137" t="s">
        <v>129</v>
      </c>
      <c r="I195" s="137" t="s">
        <v>129</v>
      </c>
      <c r="J195" s="137" t="s">
        <v>129</v>
      </c>
      <c r="K195" s="137" t="s">
        <v>129</v>
      </c>
      <c r="L195" s="137" t="s">
        <v>129</v>
      </c>
      <c r="M195" s="141"/>
      <c r="N195" s="147"/>
    </row>
    <row r="196" hidden="1" outlineLevel="1">
      <c r="A196" s="303" t="s">
        <v>572</v>
      </c>
      <c r="B196" s="344">
        <v>46044.0</v>
      </c>
      <c r="C196" s="133" t="str">
        <f t="shared" si="26"/>
        <v>Thu</v>
      </c>
      <c r="D196" s="136">
        <f t="shared" si="27"/>
        <v>1</v>
      </c>
      <c r="E196" s="137" t="s">
        <v>129</v>
      </c>
      <c r="F196" s="137" t="s">
        <v>129</v>
      </c>
      <c r="G196" s="137" t="s">
        <v>129</v>
      </c>
      <c r="H196" s="137" t="s">
        <v>129</v>
      </c>
      <c r="I196" s="137" t="s">
        <v>129</v>
      </c>
      <c r="J196" s="137" t="s">
        <v>129</v>
      </c>
      <c r="K196" s="137" t="s">
        <v>129</v>
      </c>
      <c r="L196" s="137" t="s">
        <v>129</v>
      </c>
      <c r="M196" s="141"/>
      <c r="N196" s="143"/>
    </row>
    <row r="197" hidden="1" outlineLevel="1">
      <c r="A197" s="219" t="s">
        <v>573</v>
      </c>
      <c r="B197" s="344">
        <v>46046.0</v>
      </c>
      <c r="C197" s="186" t="str">
        <f t="shared" si="26"/>
        <v>Sat</v>
      </c>
      <c r="D197" s="136">
        <f t="shared" si="27"/>
        <v>1</v>
      </c>
      <c r="E197" s="137" t="s">
        <v>129</v>
      </c>
      <c r="F197" s="137" t="s">
        <v>129</v>
      </c>
      <c r="G197" s="137" t="s">
        <v>129</v>
      </c>
      <c r="H197" s="137" t="s">
        <v>129</v>
      </c>
      <c r="I197" s="137" t="s">
        <v>129</v>
      </c>
      <c r="J197" s="137" t="s">
        <v>129</v>
      </c>
      <c r="K197" s="137" t="s">
        <v>129</v>
      </c>
      <c r="L197" s="137" t="s">
        <v>129</v>
      </c>
      <c r="M197" s="141"/>
      <c r="N197" s="143"/>
    </row>
    <row r="198" hidden="1" outlineLevel="1">
      <c r="A198" s="219" t="s">
        <v>574</v>
      </c>
      <c r="B198" s="344">
        <v>46046.0</v>
      </c>
      <c r="C198" s="186" t="str">
        <f t="shared" si="26"/>
        <v>Sat</v>
      </c>
      <c r="D198" s="136">
        <f t="shared" si="27"/>
        <v>1</v>
      </c>
      <c r="E198" s="137" t="s">
        <v>129</v>
      </c>
      <c r="F198" s="137" t="s">
        <v>129</v>
      </c>
      <c r="G198" s="137" t="s">
        <v>129</v>
      </c>
      <c r="H198" s="137" t="s">
        <v>129</v>
      </c>
      <c r="I198" s="137" t="s">
        <v>129</v>
      </c>
      <c r="J198" s="137" t="s">
        <v>129</v>
      </c>
      <c r="K198" s="137" t="s">
        <v>129</v>
      </c>
      <c r="L198" s="137" t="s">
        <v>129</v>
      </c>
      <c r="M198" s="141"/>
      <c r="N198" s="143"/>
    </row>
    <row r="199" ht="15.0" hidden="1" customHeight="1" outlineLevel="1">
      <c r="A199" s="219" t="s">
        <v>575</v>
      </c>
      <c r="B199" s="344">
        <v>46046.0</v>
      </c>
      <c r="C199" s="186" t="str">
        <f t="shared" si="26"/>
        <v>Sat</v>
      </c>
      <c r="D199" s="136">
        <f t="shared" si="27"/>
        <v>1</v>
      </c>
      <c r="E199" s="137" t="s">
        <v>129</v>
      </c>
      <c r="F199" s="137" t="s">
        <v>129</v>
      </c>
      <c r="G199" s="137" t="s">
        <v>129</v>
      </c>
      <c r="H199" s="137" t="s">
        <v>129</v>
      </c>
      <c r="I199" s="137" t="s">
        <v>129</v>
      </c>
      <c r="J199" s="137" t="s">
        <v>129</v>
      </c>
      <c r="K199" s="137" t="s">
        <v>129</v>
      </c>
      <c r="L199" s="137" t="s">
        <v>129</v>
      </c>
      <c r="M199" s="141"/>
      <c r="N199" s="147"/>
    </row>
    <row r="200" hidden="1" outlineLevel="1">
      <c r="B200" s="189"/>
      <c r="C200" s="191" t="s">
        <v>194</v>
      </c>
      <c r="D200" s="204">
        <f>AVERAGE(D185:D199)</f>
        <v>1</v>
      </c>
      <c r="E200" s="200"/>
      <c r="L200" s="191" t="s">
        <v>194</v>
      </c>
      <c r="M200" s="204">
        <f>SUM(M185:M199)/75*0.1</f>
        <v>0</v>
      </c>
    </row>
    <row r="201" hidden="1" collapsed="1">
      <c r="A201" s="206" t="s">
        <v>578</v>
      </c>
      <c r="B201" s="207"/>
      <c r="C201" s="207"/>
      <c r="D201" s="208"/>
      <c r="E201" s="109"/>
      <c r="F201" s="109"/>
      <c r="G201" s="110"/>
      <c r="H201" s="110"/>
      <c r="I201" s="110"/>
      <c r="J201" s="110"/>
      <c r="K201" s="110"/>
      <c r="L201" s="110"/>
      <c r="M201" s="111"/>
      <c r="N201" s="113"/>
    </row>
    <row r="202" hidden="1" outlineLevel="1">
      <c r="A202" s="115" t="s">
        <v>98</v>
      </c>
      <c r="B202" s="115" t="s">
        <v>100</v>
      </c>
      <c r="C202" s="115" t="s">
        <v>102</v>
      </c>
      <c r="D202" s="119" t="s">
        <v>103</v>
      </c>
      <c r="E202" s="275" t="s">
        <v>269</v>
      </c>
      <c r="F202" s="275" t="s">
        <v>272</v>
      </c>
      <c r="G202" s="276" t="s">
        <v>328</v>
      </c>
      <c r="H202" s="121" t="s">
        <v>107</v>
      </c>
      <c r="I202" s="121" t="s">
        <v>108</v>
      </c>
      <c r="J202" s="276" t="s">
        <v>329</v>
      </c>
      <c r="K202" s="121" t="s">
        <v>111</v>
      </c>
      <c r="L202" s="276" t="s">
        <v>274</v>
      </c>
      <c r="M202" s="115" t="s">
        <v>114</v>
      </c>
      <c r="N202" s="119" t="s">
        <v>115</v>
      </c>
    </row>
    <row r="203" hidden="1" outlineLevel="1">
      <c r="A203" s="303" t="s">
        <v>580</v>
      </c>
      <c r="B203" s="344">
        <v>46048.0</v>
      </c>
      <c r="C203" s="133" t="str">
        <f t="shared" ref="C203:C217" si="28">IF(B203="", "", TEXT(B203, "ddd"))</f>
        <v>Mon</v>
      </c>
      <c r="D203" s="136">
        <f t="shared" ref="D203:D217" si="29">IF(E203="Yes",0.05,0)
+IF(F203="Yes",0.1,0)
+IF(G203="Yes",0.15,0)
+IF(H203="Yes",0.15,0)
+IF(I203="Yes",0.05,0)
+IF(J203="Yes",0.05,0)
+IF(K203="Yes",0.15,0)
+IF(L203="Yes",0.3,0)
</f>
        <v>1</v>
      </c>
      <c r="E203" s="137" t="s">
        <v>129</v>
      </c>
      <c r="F203" s="137" t="s">
        <v>129</v>
      </c>
      <c r="G203" s="137" t="s">
        <v>129</v>
      </c>
      <c r="H203" s="137" t="s">
        <v>129</v>
      </c>
      <c r="I203" s="137" t="s">
        <v>129</v>
      </c>
      <c r="J203" s="137" t="s">
        <v>129</v>
      </c>
      <c r="K203" s="137" t="s">
        <v>129</v>
      </c>
      <c r="L203" s="137" t="s">
        <v>129</v>
      </c>
      <c r="M203" s="141"/>
      <c r="N203" s="143"/>
    </row>
    <row r="204" hidden="1" outlineLevel="1">
      <c r="A204" s="303" t="s">
        <v>583</v>
      </c>
      <c r="B204" s="344">
        <v>46048.0</v>
      </c>
      <c r="C204" s="133" t="str">
        <f t="shared" si="28"/>
        <v>Mon</v>
      </c>
      <c r="D204" s="136">
        <f t="shared" si="29"/>
        <v>1</v>
      </c>
      <c r="E204" s="137" t="s">
        <v>129</v>
      </c>
      <c r="F204" s="137" t="s">
        <v>129</v>
      </c>
      <c r="G204" s="137" t="s">
        <v>129</v>
      </c>
      <c r="H204" s="137" t="s">
        <v>129</v>
      </c>
      <c r="I204" s="137" t="s">
        <v>129</v>
      </c>
      <c r="J204" s="137" t="s">
        <v>129</v>
      </c>
      <c r="K204" s="137" t="s">
        <v>129</v>
      </c>
      <c r="L204" s="137" t="s">
        <v>129</v>
      </c>
      <c r="M204" s="141"/>
      <c r="N204" s="147"/>
    </row>
    <row r="205" hidden="1" outlineLevel="1">
      <c r="A205" s="303" t="s">
        <v>586</v>
      </c>
      <c r="B205" s="344">
        <v>46048.0</v>
      </c>
      <c r="C205" s="133" t="str">
        <f t="shared" si="28"/>
        <v>Mon</v>
      </c>
      <c r="D205" s="136">
        <f t="shared" si="29"/>
        <v>1</v>
      </c>
      <c r="E205" s="137" t="s">
        <v>129</v>
      </c>
      <c r="F205" s="137" t="s">
        <v>129</v>
      </c>
      <c r="G205" s="137" t="s">
        <v>129</v>
      </c>
      <c r="H205" s="137" t="s">
        <v>129</v>
      </c>
      <c r="I205" s="137" t="s">
        <v>129</v>
      </c>
      <c r="J205" s="137" t="s">
        <v>129</v>
      </c>
      <c r="K205" s="137" t="s">
        <v>129</v>
      </c>
      <c r="L205" s="137" t="s">
        <v>129</v>
      </c>
      <c r="M205" s="141"/>
      <c r="N205" s="147"/>
    </row>
    <row r="206" hidden="1" outlineLevel="1">
      <c r="A206" s="255" t="s">
        <v>587</v>
      </c>
      <c r="B206" s="344">
        <v>46050.0</v>
      </c>
      <c r="C206" s="133" t="str">
        <f t="shared" si="28"/>
        <v>Wed</v>
      </c>
      <c r="D206" s="136">
        <f t="shared" si="29"/>
        <v>1</v>
      </c>
      <c r="E206" s="137" t="s">
        <v>129</v>
      </c>
      <c r="F206" s="137" t="s">
        <v>129</v>
      </c>
      <c r="G206" s="137" t="s">
        <v>129</v>
      </c>
      <c r="H206" s="137" t="s">
        <v>129</v>
      </c>
      <c r="I206" s="137" t="s">
        <v>129</v>
      </c>
      <c r="J206" s="137" t="s">
        <v>129</v>
      </c>
      <c r="K206" s="137" t="s">
        <v>129</v>
      </c>
      <c r="L206" s="137" t="s">
        <v>129</v>
      </c>
      <c r="M206" s="141"/>
      <c r="N206" s="147"/>
    </row>
    <row r="207" hidden="1" outlineLevel="1">
      <c r="A207" s="255" t="s">
        <v>588</v>
      </c>
      <c r="B207" s="344">
        <v>46050.0</v>
      </c>
      <c r="C207" s="133" t="str">
        <f t="shared" si="28"/>
        <v>Wed</v>
      </c>
      <c r="D207" s="136">
        <f t="shared" si="29"/>
        <v>1</v>
      </c>
      <c r="E207" s="137" t="s">
        <v>129</v>
      </c>
      <c r="F207" s="137" t="s">
        <v>129</v>
      </c>
      <c r="G207" s="137" t="s">
        <v>129</v>
      </c>
      <c r="H207" s="137" t="s">
        <v>129</v>
      </c>
      <c r="I207" s="137" t="s">
        <v>129</v>
      </c>
      <c r="J207" s="137" t="s">
        <v>129</v>
      </c>
      <c r="K207" s="137" t="s">
        <v>129</v>
      </c>
      <c r="L207" s="137" t="s">
        <v>129</v>
      </c>
      <c r="M207" s="141"/>
      <c r="N207" s="147"/>
    </row>
    <row r="208" hidden="1" outlineLevel="1">
      <c r="A208" s="255" t="s">
        <v>589</v>
      </c>
      <c r="B208" s="344">
        <v>46050.0</v>
      </c>
      <c r="C208" s="133" t="str">
        <f t="shared" si="28"/>
        <v>Wed</v>
      </c>
      <c r="D208" s="136">
        <f t="shared" si="29"/>
        <v>1</v>
      </c>
      <c r="E208" s="137" t="s">
        <v>129</v>
      </c>
      <c r="F208" s="137" t="s">
        <v>129</v>
      </c>
      <c r="G208" s="137" t="s">
        <v>129</v>
      </c>
      <c r="H208" s="137" t="s">
        <v>129</v>
      </c>
      <c r="I208" s="137" t="s">
        <v>129</v>
      </c>
      <c r="J208" s="137" t="s">
        <v>129</v>
      </c>
      <c r="K208" s="137" t="s">
        <v>129</v>
      </c>
      <c r="L208" s="137" t="s">
        <v>129</v>
      </c>
      <c r="M208" s="141"/>
      <c r="N208" s="147"/>
    </row>
    <row r="209" hidden="1" outlineLevel="1">
      <c r="A209" s="255" t="s">
        <v>595</v>
      </c>
      <c r="B209" s="344">
        <v>46051.0</v>
      </c>
      <c r="C209" s="133" t="str">
        <f t="shared" si="28"/>
        <v>Thu</v>
      </c>
      <c r="D209" s="136">
        <f t="shared" si="29"/>
        <v>1</v>
      </c>
      <c r="E209" s="137" t="s">
        <v>129</v>
      </c>
      <c r="F209" s="137" t="s">
        <v>129</v>
      </c>
      <c r="G209" s="137" t="s">
        <v>129</v>
      </c>
      <c r="H209" s="137" t="s">
        <v>129</v>
      </c>
      <c r="I209" s="137" t="s">
        <v>129</v>
      </c>
      <c r="J209" s="137" t="s">
        <v>129</v>
      </c>
      <c r="K209" s="137" t="s">
        <v>129</v>
      </c>
      <c r="L209" s="137" t="s">
        <v>129</v>
      </c>
      <c r="M209" s="141"/>
      <c r="N209" s="147"/>
    </row>
    <row r="210" hidden="1" outlineLevel="1">
      <c r="A210" s="255" t="s">
        <v>597</v>
      </c>
      <c r="B210" s="344">
        <v>46051.0</v>
      </c>
      <c r="C210" s="133" t="str">
        <f t="shared" si="28"/>
        <v>Thu</v>
      </c>
      <c r="D210" s="136">
        <f t="shared" si="29"/>
        <v>1</v>
      </c>
      <c r="E210" s="137" t="s">
        <v>129</v>
      </c>
      <c r="F210" s="137" t="s">
        <v>129</v>
      </c>
      <c r="G210" s="137" t="s">
        <v>129</v>
      </c>
      <c r="H210" s="137" t="s">
        <v>129</v>
      </c>
      <c r="I210" s="137" t="s">
        <v>129</v>
      </c>
      <c r="J210" s="137" t="s">
        <v>129</v>
      </c>
      <c r="K210" s="137" t="s">
        <v>129</v>
      </c>
      <c r="L210" s="137" t="s">
        <v>129</v>
      </c>
      <c r="M210" s="141"/>
      <c r="N210" s="147"/>
    </row>
    <row r="211" hidden="1" outlineLevel="1">
      <c r="A211" s="255" t="s">
        <v>600</v>
      </c>
      <c r="B211" s="344">
        <v>46051.0</v>
      </c>
      <c r="C211" s="133" t="str">
        <f t="shared" si="28"/>
        <v>Thu</v>
      </c>
      <c r="D211" s="136">
        <f t="shared" si="29"/>
        <v>1</v>
      </c>
      <c r="E211" s="137" t="s">
        <v>129</v>
      </c>
      <c r="F211" s="137" t="s">
        <v>129</v>
      </c>
      <c r="G211" s="137" t="s">
        <v>129</v>
      </c>
      <c r="H211" s="137" t="s">
        <v>129</v>
      </c>
      <c r="I211" s="137" t="s">
        <v>129</v>
      </c>
      <c r="J211" s="137" t="s">
        <v>129</v>
      </c>
      <c r="K211" s="137" t="s">
        <v>129</v>
      </c>
      <c r="L211" s="137" t="s">
        <v>129</v>
      </c>
      <c r="M211" s="141"/>
      <c r="N211" s="147"/>
    </row>
    <row r="212" hidden="1" outlineLevel="1">
      <c r="A212" s="255" t="s">
        <v>603</v>
      </c>
      <c r="B212" s="344">
        <v>46052.0</v>
      </c>
      <c r="C212" s="133" t="str">
        <f t="shared" si="28"/>
        <v>Fri</v>
      </c>
      <c r="D212" s="136">
        <f t="shared" si="29"/>
        <v>1</v>
      </c>
      <c r="E212" s="137" t="s">
        <v>129</v>
      </c>
      <c r="F212" s="137" t="s">
        <v>129</v>
      </c>
      <c r="G212" s="137" t="s">
        <v>129</v>
      </c>
      <c r="H212" s="137" t="s">
        <v>129</v>
      </c>
      <c r="I212" s="137" t="s">
        <v>129</v>
      </c>
      <c r="J212" s="137" t="s">
        <v>129</v>
      </c>
      <c r="K212" s="137" t="s">
        <v>129</v>
      </c>
      <c r="L212" s="137" t="s">
        <v>129</v>
      </c>
      <c r="M212" s="141"/>
      <c r="N212" s="147"/>
    </row>
    <row r="213" hidden="1" outlineLevel="1">
      <c r="A213" s="255" t="s">
        <v>604</v>
      </c>
      <c r="B213" s="344">
        <v>46052.0</v>
      </c>
      <c r="C213" s="133" t="str">
        <f t="shared" si="28"/>
        <v>Fri</v>
      </c>
      <c r="D213" s="136">
        <f t="shared" si="29"/>
        <v>1</v>
      </c>
      <c r="E213" s="137" t="s">
        <v>129</v>
      </c>
      <c r="F213" s="137" t="s">
        <v>129</v>
      </c>
      <c r="G213" s="137" t="s">
        <v>129</v>
      </c>
      <c r="H213" s="137" t="s">
        <v>129</v>
      </c>
      <c r="I213" s="137" t="s">
        <v>129</v>
      </c>
      <c r="J213" s="137" t="s">
        <v>129</v>
      </c>
      <c r="K213" s="137" t="s">
        <v>129</v>
      </c>
      <c r="L213" s="137" t="s">
        <v>129</v>
      </c>
      <c r="M213" s="141"/>
      <c r="N213" s="147"/>
    </row>
    <row r="214" hidden="1" outlineLevel="1">
      <c r="A214" s="255" t="s">
        <v>605</v>
      </c>
      <c r="B214" s="344">
        <v>46052.0</v>
      </c>
      <c r="C214" s="133" t="str">
        <f t="shared" si="28"/>
        <v>Fri</v>
      </c>
      <c r="D214" s="136">
        <f t="shared" si="29"/>
        <v>0.85</v>
      </c>
      <c r="E214" s="137" t="s">
        <v>129</v>
      </c>
      <c r="F214" s="137" t="s">
        <v>129</v>
      </c>
      <c r="G214" s="137" t="s">
        <v>129</v>
      </c>
      <c r="H214" s="137" t="s">
        <v>174</v>
      </c>
      <c r="I214" s="137" t="s">
        <v>129</v>
      </c>
      <c r="J214" s="137" t="s">
        <v>129</v>
      </c>
      <c r="K214" s="137" t="s">
        <v>129</v>
      </c>
      <c r="L214" s="137" t="s">
        <v>129</v>
      </c>
      <c r="M214" s="141"/>
      <c r="N214" s="147" t="s">
        <v>606</v>
      </c>
    </row>
    <row r="215" hidden="1" outlineLevel="1">
      <c r="A215" s="367" t="s">
        <v>607</v>
      </c>
      <c r="B215" s="344">
        <v>46053.0</v>
      </c>
      <c r="C215" s="186" t="str">
        <f t="shared" si="28"/>
        <v>Sat</v>
      </c>
      <c r="D215" s="136">
        <f t="shared" si="29"/>
        <v>1</v>
      </c>
      <c r="E215" s="137" t="s">
        <v>129</v>
      </c>
      <c r="F215" s="137" t="s">
        <v>129</v>
      </c>
      <c r="G215" s="137" t="s">
        <v>129</v>
      </c>
      <c r="H215" s="137" t="s">
        <v>129</v>
      </c>
      <c r="I215" s="137" t="s">
        <v>129</v>
      </c>
      <c r="J215" s="137" t="s">
        <v>129</v>
      </c>
      <c r="K215" s="137" t="s">
        <v>129</v>
      </c>
      <c r="L215" s="137" t="s">
        <v>129</v>
      </c>
      <c r="M215" s="141"/>
      <c r="N215" s="143"/>
    </row>
    <row r="216" hidden="1" outlineLevel="1">
      <c r="A216" s="367" t="s">
        <v>609</v>
      </c>
      <c r="B216" s="344">
        <v>46053.0</v>
      </c>
      <c r="C216" s="186" t="str">
        <f t="shared" si="28"/>
        <v>Sat</v>
      </c>
      <c r="D216" s="136">
        <f t="shared" si="29"/>
        <v>1</v>
      </c>
      <c r="E216" s="137" t="s">
        <v>129</v>
      </c>
      <c r="F216" s="137" t="s">
        <v>129</v>
      </c>
      <c r="G216" s="137" t="s">
        <v>129</v>
      </c>
      <c r="H216" s="137" t="s">
        <v>129</v>
      </c>
      <c r="I216" s="137" t="s">
        <v>129</v>
      </c>
      <c r="J216" s="137" t="s">
        <v>129</v>
      </c>
      <c r="K216" s="137" t="s">
        <v>129</v>
      </c>
      <c r="L216" s="137" t="s">
        <v>129</v>
      </c>
      <c r="M216" s="141"/>
      <c r="N216" s="143"/>
    </row>
    <row r="217" ht="15.0" hidden="1" customHeight="1" outlineLevel="1">
      <c r="A217" s="367" t="s">
        <v>611</v>
      </c>
      <c r="B217" s="344">
        <v>46053.0</v>
      </c>
      <c r="C217" s="186" t="str">
        <f t="shared" si="28"/>
        <v>Sat</v>
      </c>
      <c r="D217" s="136">
        <f t="shared" si="29"/>
        <v>1</v>
      </c>
      <c r="E217" s="137" t="s">
        <v>129</v>
      </c>
      <c r="F217" s="137" t="s">
        <v>129</v>
      </c>
      <c r="G217" s="137" t="s">
        <v>129</v>
      </c>
      <c r="H217" s="137" t="s">
        <v>129</v>
      </c>
      <c r="I217" s="137" t="s">
        <v>129</v>
      </c>
      <c r="J217" s="137" t="s">
        <v>129</v>
      </c>
      <c r="K217" s="137" t="s">
        <v>129</v>
      </c>
      <c r="L217" s="137" t="s">
        <v>129</v>
      </c>
      <c r="M217" s="141"/>
      <c r="N217" s="147"/>
    </row>
    <row r="218" hidden="1" outlineLevel="1">
      <c r="B218" s="189"/>
      <c r="C218" s="191" t="s">
        <v>194</v>
      </c>
      <c r="D218" s="204">
        <f>AVERAGE(D203:D217)</f>
        <v>0.99</v>
      </c>
      <c r="E218" s="200"/>
      <c r="L218" s="191" t="s">
        <v>194</v>
      </c>
      <c r="M218" s="204">
        <f>SUM(M203:M217)/75*0.1</f>
        <v>0</v>
      </c>
    </row>
    <row r="219" hidden="1" collapsed="1">
      <c r="A219" s="206" t="s">
        <v>613</v>
      </c>
      <c r="B219" s="207"/>
      <c r="C219" s="207"/>
      <c r="D219" s="208"/>
      <c r="E219" s="109"/>
      <c r="F219" s="109"/>
      <c r="G219" s="110"/>
      <c r="H219" s="110"/>
      <c r="I219" s="110"/>
      <c r="J219" s="110"/>
      <c r="K219" s="110"/>
      <c r="L219" s="110"/>
      <c r="M219" s="111"/>
      <c r="N219" s="113"/>
    </row>
    <row r="220" hidden="1" outlineLevel="1">
      <c r="A220" s="115" t="s">
        <v>98</v>
      </c>
      <c r="B220" s="115" t="s">
        <v>100</v>
      </c>
      <c r="C220" s="115" t="s">
        <v>102</v>
      </c>
      <c r="D220" s="119" t="s">
        <v>103</v>
      </c>
      <c r="E220" s="275" t="s">
        <v>269</v>
      </c>
      <c r="F220" s="275" t="s">
        <v>272</v>
      </c>
      <c r="G220" s="276" t="s">
        <v>328</v>
      </c>
      <c r="H220" s="121" t="s">
        <v>107</v>
      </c>
      <c r="I220" s="121" t="s">
        <v>108</v>
      </c>
      <c r="J220" s="276" t="s">
        <v>329</v>
      </c>
      <c r="K220" s="121" t="s">
        <v>111</v>
      </c>
      <c r="L220" s="276" t="s">
        <v>274</v>
      </c>
      <c r="M220" s="115" t="s">
        <v>114</v>
      </c>
      <c r="N220" s="119" t="s">
        <v>115</v>
      </c>
    </row>
    <row r="221" hidden="1" outlineLevel="1">
      <c r="A221" s="303" t="s">
        <v>614</v>
      </c>
      <c r="B221" s="344">
        <v>46055.0</v>
      </c>
      <c r="C221" s="133" t="str">
        <f t="shared" ref="C221:C235" si="30">IF(B221="", "", TEXT(B221, "ddd"))</f>
        <v>Mon</v>
      </c>
      <c r="D221" s="136">
        <f t="shared" ref="D221:D235" si="31">IF(E221="Yes",0.05,0)
+IF(F221="Yes",0.1,0)
+IF(G221="Yes",0.15,0)
+IF(H221="Yes",0.15,0)
+IF(I221="Yes",0.05,0)
+IF(J221="Yes",0.05,0)
+IF(K221="Yes",0.15,0)
+IF(L221="Yes",0.3,0)
</f>
        <v>1</v>
      </c>
      <c r="E221" s="137" t="s">
        <v>129</v>
      </c>
      <c r="F221" s="137" t="s">
        <v>129</v>
      </c>
      <c r="G221" s="137" t="s">
        <v>129</v>
      </c>
      <c r="H221" s="137" t="s">
        <v>129</v>
      </c>
      <c r="I221" s="137" t="s">
        <v>129</v>
      </c>
      <c r="J221" s="137" t="s">
        <v>129</v>
      </c>
      <c r="K221" s="137" t="s">
        <v>129</v>
      </c>
      <c r="L221" s="137" t="s">
        <v>129</v>
      </c>
      <c r="M221" s="141"/>
      <c r="N221" s="143"/>
    </row>
    <row r="222" hidden="1" outlineLevel="1">
      <c r="A222" s="303" t="s">
        <v>617</v>
      </c>
      <c r="B222" s="344">
        <v>46055.0</v>
      </c>
      <c r="C222" s="133" t="str">
        <f t="shared" si="30"/>
        <v>Mon</v>
      </c>
      <c r="D222" s="136">
        <f t="shared" si="31"/>
        <v>1</v>
      </c>
      <c r="E222" s="137" t="s">
        <v>129</v>
      </c>
      <c r="F222" s="137" t="s">
        <v>129</v>
      </c>
      <c r="G222" s="137" t="s">
        <v>129</v>
      </c>
      <c r="H222" s="137" t="s">
        <v>129</v>
      </c>
      <c r="I222" s="137" t="s">
        <v>129</v>
      </c>
      <c r="J222" s="137" t="s">
        <v>129</v>
      </c>
      <c r="K222" s="137" t="s">
        <v>129</v>
      </c>
      <c r="L222" s="137" t="s">
        <v>129</v>
      </c>
      <c r="M222" s="141"/>
      <c r="N222" s="147"/>
    </row>
    <row r="223" hidden="1" outlineLevel="1">
      <c r="A223" s="255" t="s">
        <v>619</v>
      </c>
      <c r="B223" s="344">
        <v>46055.0</v>
      </c>
      <c r="C223" s="133" t="str">
        <f t="shared" si="30"/>
        <v>Mon</v>
      </c>
      <c r="D223" s="136">
        <f t="shared" si="31"/>
        <v>1</v>
      </c>
      <c r="E223" s="137" t="s">
        <v>129</v>
      </c>
      <c r="F223" s="137" t="s">
        <v>129</v>
      </c>
      <c r="G223" s="137" t="s">
        <v>129</v>
      </c>
      <c r="H223" s="137" t="s">
        <v>129</v>
      </c>
      <c r="I223" s="137" t="s">
        <v>129</v>
      </c>
      <c r="J223" s="137" t="s">
        <v>129</v>
      </c>
      <c r="K223" s="137" t="s">
        <v>129</v>
      </c>
      <c r="L223" s="137" t="s">
        <v>129</v>
      </c>
      <c r="M223" s="141"/>
      <c r="N223" s="147"/>
    </row>
    <row r="224" hidden="1" outlineLevel="1">
      <c r="A224" s="219" t="s">
        <v>621</v>
      </c>
      <c r="B224" s="344">
        <v>46056.0</v>
      </c>
      <c r="C224" s="133" t="str">
        <f t="shared" si="30"/>
        <v>Tue</v>
      </c>
      <c r="D224" s="136">
        <f t="shared" si="31"/>
        <v>1</v>
      </c>
      <c r="E224" s="137" t="s">
        <v>129</v>
      </c>
      <c r="F224" s="137" t="s">
        <v>129</v>
      </c>
      <c r="G224" s="137" t="s">
        <v>129</v>
      </c>
      <c r="H224" s="137" t="s">
        <v>129</v>
      </c>
      <c r="I224" s="137" t="s">
        <v>129</v>
      </c>
      <c r="J224" s="137" t="s">
        <v>129</v>
      </c>
      <c r="K224" s="137" t="s">
        <v>129</v>
      </c>
      <c r="L224" s="137" t="s">
        <v>129</v>
      </c>
      <c r="M224" s="141"/>
      <c r="N224" s="143"/>
    </row>
    <row r="225" hidden="1" outlineLevel="1">
      <c r="A225" s="219" t="s">
        <v>623</v>
      </c>
      <c r="B225" s="344">
        <v>46056.0</v>
      </c>
      <c r="C225" s="133" t="str">
        <f t="shared" si="30"/>
        <v>Tue</v>
      </c>
      <c r="D225" s="136">
        <f t="shared" si="31"/>
        <v>1</v>
      </c>
      <c r="E225" s="137" t="s">
        <v>129</v>
      </c>
      <c r="F225" s="137" t="s">
        <v>129</v>
      </c>
      <c r="G225" s="137" t="s">
        <v>129</v>
      </c>
      <c r="H225" s="137" t="s">
        <v>129</v>
      </c>
      <c r="I225" s="137" t="s">
        <v>129</v>
      </c>
      <c r="J225" s="137" t="s">
        <v>129</v>
      </c>
      <c r="K225" s="137" t="s">
        <v>129</v>
      </c>
      <c r="L225" s="137" t="s">
        <v>129</v>
      </c>
      <c r="M225" s="141"/>
      <c r="N225" s="143"/>
    </row>
    <row r="226" hidden="1" outlineLevel="1">
      <c r="A226" s="219" t="s">
        <v>624</v>
      </c>
      <c r="B226" s="344">
        <v>46056.0</v>
      </c>
      <c r="C226" s="133" t="str">
        <f t="shared" si="30"/>
        <v>Tue</v>
      </c>
      <c r="D226" s="136">
        <f t="shared" si="31"/>
        <v>1</v>
      </c>
      <c r="E226" s="137" t="s">
        <v>129</v>
      </c>
      <c r="F226" s="137" t="s">
        <v>129</v>
      </c>
      <c r="G226" s="137" t="s">
        <v>129</v>
      </c>
      <c r="H226" s="137" t="s">
        <v>129</v>
      </c>
      <c r="I226" s="137" t="s">
        <v>129</v>
      </c>
      <c r="J226" s="137" t="s">
        <v>129</v>
      </c>
      <c r="K226" s="137" t="s">
        <v>129</v>
      </c>
      <c r="L226" s="137" t="s">
        <v>129</v>
      </c>
      <c r="M226" s="141"/>
      <c r="N226" s="143"/>
    </row>
    <row r="227" hidden="1" outlineLevel="1">
      <c r="A227" s="255" t="s">
        <v>625</v>
      </c>
      <c r="B227" s="344">
        <v>46057.0</v>
      </c>
      <c r="C227" s="133" t="str">
        <f t="shared" si="30"/>
        <v>Wed</v>
      </c>
      <c r="D227" s="136">
        <f t="shared" si="31"/>
        <v>1</v>
      </c>
      <c r="E227" s="137" t="s">
        <v>129</v>
      </c>
      <c r="F227" s="137" t="s">
        <v>129</v>
      </c>
      <c r="G227" s="137" t="s">
        <v>129</v>
      </c>
      <c r="H227" s="137" t="s">
        <v>129</v>
      </c>
      <c r="I227" s="137" t="s">
        <v>129</v>
      </c>
      <c r="J227" s="137" t="s">
        <v>129</v>
      </c>
      <c r="K227" s="137" t="s">
        <v>129</v>
      </c>
      <c r="L227" s="137" t="s">
        <v>129</v>
      </c>
      <c r="M227" s="141"/>
      <c r="N227" s="143"/>
    </row>
    <row r="228" hidden="1" outlineLevel="1">
      <c r="A228" s="255" t="s">
        <v>627</v>
      </c>
      <c r="B228" s="344">
        <v>46057.0</v>
      </c>
      <c r="C228" s="133" t="str">
        <f t="shared" si="30"/>
        <v>Wed</v>
      </c>
      <c r="D228" s="136">
        <f t="shared" si="31"/>
        <v>1</v>
      </c>
      <c r="E228" s="137" t="s">
        <v>129</v>
      </c>
      <c r="F228" s="137" t="s">
        <v>129</v>
      </c>
      <c r="G228" s="137" t="s">
        <v>129</v>
      </c>
      <c r="H228" s="137" t="s">
        <v>129</v>
      </c>
      <c r="I228" s="137" t="s">
        <v>129</v>
      </c>
      <c r="J228" s="137" t="s">
        <v>129</v>
      </c>
      <c r="K228" s="137" t="s">
        <v>129</v>
      </c>
      <c r="L228" s="137" t="s">
        <v>129</v>
      </c>
      <c r="M228" s="141"/>
      <c r="N228" s="147"/>
    </row>
    <row r="229" hidden="1" outlineLevel="1">
      <c r="A229" s="255" t="s">
        <v>628</v>
      </c>
      <c r="B229" s="344">
        <v>46057.0</v>
      </c>
      <c r="C229" s="133" t="str">
        <f t="shared" si="30"/>
        <v>Wed</v>
      </c>
      <c r="D229" s="136">
        <f t="shared" si="31"/>
        <v>1</v>
      </c>
      <c r="E229" s="137" t="s">
        <v>129</v>
      </c>
      <c r="F229" s="137" t="s">
        <v>129</v>
      </c>
      <c r="G229" s="137" t="s">
        <v>129</v>
      </c>
      <c r="H229" s="137" t="s">
        <v>129</v>
      </c>
      <c r="I229" s="137" t="s">
        <v>129</v>
      </c>
      <c r="J229" s="137" t="s">
        <v>129</v>
      </c>
      <c r="K229" s="137" t="s">
        <v>129</v>
      </c>
      <c r="L229" s="137" t="s">
        <v>129</v>
      </c>
      <c r="M229" s="141"/>
      <c r="N229" s="143"/>
    </row>
    <row r="230" hidden="1" outlineLevel="1">
      <c r="A230" s="255" t="s">
        <v>630</v>
      </c>
      <c r="B230" s="344">
        <v>46058.0</v>
      </c>
      <c r="C230" s="133" t="str">
        <f t="shared" si="30"/>
        <v>Thu</v>
      </c>
      <c r="D230" s="136">
        <f t="shared" si="31"/>
        <v>1</v>
      </c>
      <c r="E230" s="137" t="s">
        <v>129</v>
      </c>
      <c r="F230" s="137" t="s">
        <v>129</v>
      </c>
      <c r="G230" s="137" t="s">
        <v>129</v>
      </c>
      <c r="H230" s="137" t="s">
        <v>129</v>
      </c>
      <c r="I230" s="137" t="s">
        <v>129</v>
      </c>
      <c r="J230" s="137" t="s">
        <v>129</v>
      </c>
      <c r="K230" s="137" t="s">
        <v>129</v>
      </c>
      <c r="L230" s="137" t="s">
        <v>129</v>
      </c>
      <c r="M230" s="141"/>
      <c r="N230" s="147"/>
    </row>
    <row r="231" hidden="1" outlineLevel="1">
      <c r="A231" s="255" t="s">
        <v>631</v>
      </c>
      <c r="B231" s="344">
        <v>46058.0</v>
      </c>
      <c r="C231" s="133" t="str">
        <f t="shared" si="30"/>
        <v>Thu</v>
      </c>
      <c r="D231" s="136">
        <f t="shared" si="31"/>
        <v>1</v>
      </c>
      <c r="E231" s="137" t="s">
        <v>129</v>
      </c>
      <c r="F231" s="137" t="s">
        <v>129</v>
      </c>
      <c r="G231" s="137" t="s">
        <v>129</v>
      </c>
      <c r="H231" s="137" t="s">
        <v>129</v>
      </c>
      <c r="I231" s="137" t="s">
        <v>129</v>
      </c>
      <c r="J231" s="137" t="s">
        <v>129</v>
      </c>
      <c r="K231" s="137" t="s">
        <v>129</v>
      </c>
      <c r="L231" s="137" t="s">
        <v>129</v>
      </c>
      <c r="M231" s="141"/>
      <c r="N231" s="147"/>
    </row>
    <row r="232" hidden="1" outlineLevel="1">
      <c r="A232" s="255" t="s">
        <v>633</v>
      </c>
      <c r="B232" s="344">
        <v>46058.0</v>
      </c>
      <c r="C232" s="133" t="str">
        <f t="shared" si="30"/>
        <v>Thu</v>
      </c>
      <c r="D232" s="136">
        <f t="shared" si="31"/>
        <v>1</v>
      </c>
      <c r="E232" s="137" t="s">
        <v>129</v>
      </c>
      <c r="F232" s="137" t="s">
        <v>129</v>
      </c>
      <c r="G232" s="137" t="s">
        <v>129</v>
      </c>
      <c r="H232" s="137" t="s">
        <v>129</v>
      </c>
      <c r="I232" s="137" t="s">
        <v>129</v>
      </c>
      <c r="J232" s="137" t="s">
        <v>129</v>
      </c>
      <c r="K232" s="137" t="s">
        <v>129</v>
      </c>
      <c r="L232" s="137" t="s">
        <v>129</v>
      </c>
      <c r="M232" s="141"/>
      <c r="N232" s="147"/>
    </row>
    <row r="233" hidden="1" outlineLevel="1">
      <c r="A233" s="255" t="s">
        <v>634</v>
      </c>
      <c r="B233" s="344">
        <v>46059.0</v>
      </c>
      <c r="C233" s="133" t="str">
        <f t="shared" si="30"/>
        <v>Fri</v>
      </c>
      <c r="D233" s="136">
        <f t="shared" si="31"/>
        <v>1</v>
      </c>
      <c r="E233" s="137" t="s">
        <v>129</v>
      </c>
      <c r="F233" s="137" t="s">
        <v>129</v>
      </c>
      <c r="G233" s="137" t="s">
        <v>129</v>
      </c>
      <c r="H233" s="137" t="s">
        <v>129</v>
      </c>
      <c r="I233" s="137" t="s">
        <v>129</v>
      </c>
      <c r="J233" s="137" t="s">
        <v>129</v>
      </c>
      <c r="K233" s="137" t="s">
        <v>129</v>
      </c>
      <c r="L233" s="137" t="s">
        <v>129</v>
      </c>
      <c r="M233" s="141"/>
      <c r="N233" s="143"/>
    </row>
    <row r="234" hidden="1" outlineLevel="1">
      <c r="A234" s="255" t="s">
        <v>635</v>
      </c>
      <c r="B234" s="344">
        <v>46059.0</v>
      </c>
      <c r="C234" s="133" t="str">
        <f t="shared" si="30"/>
        <v>Fri</v>
      </c>
      <c r="D234" s="136">
        <f t="shared" si="31"/>
        <v>1</v>
      </c>
      <c r="E234" s="137" t="s">
        <v>129</v>
      </c>
      <c r="F234" s="137" t="s">
        <v>129</v>
      </c>
      <c r="G234" s="137" t="s">
        <v>129</v>
      </c>
      <c r="H234" s="137" t="s">
        <v>129</v>
      </c>
      <c r="I234" s="137" t="s">
        <v>129</v>
      </c>
      <c r="J234" s="137" t="s">
        <v>129</v>
      </c>
      <c r="K234" s="137" t="s">
        <v>129</v>
      </c>
      <c r="L234" s="137" t="s">
        <v>129</v>
      </c>
      <c r="M234" s="141"/>
      <c r="N234" s="143"/>
    </row>
    <row r="235" ht="15.0" hidden="1" customHeight="1" outlineLevel="1">
      <c r="A235" s="255" t="s">
        <v>636</v>
      </c>
      <c r="B235" s="344">
        <v>46059.0</v>
      </c>
      <c r="C235" s="133" t="str">
        <f t="shared" si="30"/>
        <v>Fri</v>
      </c>
      <c r="D235" s="136">
        <f t="shared" si="31"/>
        <v>1</v>
      </c>
      <c r="E235" s="137" t="s">
        <v>129</v>
      </c>
      <c r="F235" s="137" t="s">
        <v>129</v>
      </c>
      <c r="G235" s="137" t="s">
        <v>129</v>
      </c>
      <c r="H235" s="137" t="s">
        <v>129</v>
      </c>
      <c r="I235" s="137" t="s">
        <v>129</v>
      </c>
      <c r="J235" s="137" t="s">
        <v>129</v>
      </c>
      <c r="K235" s="137" t="s">
        <v>129</v>
      </c>
      <c r="L235" s="137" t="s">
        <v>129</v>
      </c>
      <c r="M235" s="141"/>
      <c r="N235" s="147"/>
    </row>
    <row r="236" hidden="1" outlineLevel="1">
      <c r="B236" s="189"/>
      <c r="C236" s="191" t="s">
        <v>194</v>
      </c>
      <c r="D236" s="204">
        <f>AVERAGE(D221:D235)</f>
        <v>1</v>
      </c>
      <c r="E236" s="200"/>
      <c r="L236" s="191" t="s">
        <v>194</v>
      </c>
      <c r="M236" s="204">
        <f>SUM(M221:M235)/75*0.1</f>
        <v>0</v>
      </c>
    </row>
    <row r="237" hidden="1" collapsed="1">
      <c r="A237" s="206" t="s">
        <v>638</v>
      </c>
      <c r="B237" s="207"/>
      <c r="C237" s="207"/>
      <c r="D237" s="208"/>
      <c r="E237" s="109"/>
      <c r="F237" s="109"/>
      <c r="G237" s="110"/>
      <c r="H237" s="110"/>
      <c r="I237" s="110"/>
      <c r="J237" s="110"/>
      <c r="K237" s="110"/>
      <c r="L237" s="110"/>
      <c r="M237" s="111"/>
      <c r="N237" s="113"/>
    </row>
    <row r="238" hidden="1" outlineLevel="1">
      <c r="A238" s="373" t="s">
        <v>98</v>
      </c>
      <c r="B238" s="115" t="s">
        <v>100</v>
      </c>
      <c r="C238" s="115" t="s">
        <v>102</v>
      </c>
      <c r="D238" s="119" t="s">
        <v>103</v>
      </c>
      <c r="E238" s="275" t="s">
        <v>269</v>
      </c>
      <c r="F238" s="275" t="s">
        <v>272</v>
      </c>
      <c r="G238" s="276" t="s">
        <v>328</v>
      </c>
      <c r="H238" s="121" t="s">
        <v>107</v>
      </c>
      <c r="I238" s="121" t="s">
        <v>108</v>
      </c>
      <c r="J238" s="276" t="s">
        <v>329</v>
      </c>
      <c r="K238" s="121" t="s">
        <v>111</v>
      </c>
      <c r="L238" s="276" t="s">
        <v>274</v>
      </c>
      <c r="M238" s="115" t="s">
        <v>114</v>
      </c>
      <c r="N238" s="119" t="s">
        <v>115</v>
      </c>
    </row>
    <row r="239" hidden="1" outlineLevel="1">
      <c r="A239" s="303" t="s">
        <v>640</v>
      </c>
      <c r="B239" s="344">
        <v>46062.0</v>
      </c>
      <c r="C239" s="133" t="str">
        <f t="shared" ref="C239:C253" si="32">IF(B239="", "", TEXT(B239, "ddd"))</f>
        <v>Mon</v>
      </c>
      <c r="D239" s="136">
        <f t="shared" ref="D239:D253" si="33">IF(E239="Yes",0.05,0)
+IF(F239="Yes",0.1,0)
+IF(G239="Yes",0.15,0)
+IF(H239="Yes",0.15,0)
+IF(I239="Yes",0.05,0)
+IF(J239="Yes",0.05,0)
+IF(K239="Yes",0.15,0)
+IF(L239="Yes",0.3,0)
</f>
        <v>1</v>
      </c>
      <c r="E239" s="137" t="s">
        <v>129</v>
      </c>
      <c r="F239" s="137" t="s">
        <v>129</v>
      </c>
      <c r="G239" s="137" t="s">
        <v>129</v>
      </c>
      <c r="H239" s="137" t="s">
        <v>129</v>
      </c>
      <c r="I239" s="137" t="s">
        <v>129</v>
      </c>
      <c r="J239" s="137" t="s">
        <v>129</v>
      </c>
      <c r="K239" s="137" t="s">
        <v>129</v>
      </c>
      <c r="L239" s="137" t="s">
        <v>129</v>
      </c>
      <c r="M239" s="141"/>
      <c r="N239" s="143"/>
    </row>
    <row r="240" hidden="1" outlineLevel="1">
      <c r="A240" s="255" t="s">
        <v>641</v>
      </c>
      <c r="B240" s="344">
        <v>46062.0</v>
      </c>
      <c r="C240" s="133" t="str">
        <f t="shared" si="32"/>
        <v>Mon</v>
      </c>
      <c r="D240" s="136">
        <f t="shared" si="33"/>
        <v>1</v>
      </c>
      <c r="E240" s="137" t="s">
        <v>129</v>
      </c>
      <c r="F240" s="137" t="s">
        <v>129</v>
      </c>
      <c r="G240" s="137" t="s">
        <v>129</v>
      </c>
      <c r="H240" s="137" t="s">
        <v>129</v>
      </c>
      <c r="I240" s="137" t="s">
        <v>129</v>
      </c>
      <c r="J240" s="137" t="s">
        <v>129</v>
      </c>
      <c r="K240" s="137" t="s">
        <v>129</v>
      </c>
      <c r="L240" s="137" t="s">
        <v>129</v>
      </c>
      <c r="M240" s="141"/>
      <c r="N240" s="147"/>
    </row>
    <row r="241" hidden="1" outlineLevel="1">
      <c r="A241" s="255" t="s">
        <v>642</v>
      </c>
      <c r="B241" s="344">
        <v>46062.0</v>
      </c>
      <c r="C241" s="133" t="str">
        <f t="shared" si="32"/>
        <v>Mon</v>
      </c>
      <c r="D241" s="136">
        <f t="shared" si="33"/>
        <v>1</v>
      </c>
      <c r="E241" s="137" t="s">
        <v>129</v>
      </c>
      <c r="F241" s="137" t="s">
        <v>129</v>
      </c>
      <c r="G241" s="137" t="s">
        <v>129</v>
      </c>
      <c r="H241" s="137" t="s">
        <v>129</v>
      </c>
      <c r="I241" s="137" t="s">
        <v>129</v>
      </c>
      <c r="J241" s="137" t="s">
        <v>129</v>
      </c>
      <c r="K241" s="137" t="s">
        <v>129</v>
      </c>
      <c r="L241" s="137" t="s">
        <v>129</v>
      </c>
      <c r="M241" s="141"/>
      <c r="N241" s="147"/>
    </row>
    <row r="242" hidden="1" outlineLevel="1">
      <c r="A242" s="255" t="s">
        <v>643</v>
      </c>
      <c r="B242" s="344">
        <v>46063.0</v>
      </c>
      <c r="C242" s="133" t="str">
        <f t="shared" si="32"/>
        <v>Tue</v>
      </c>
      <c r="D242" s="136">
        <f t="shared" si="33"/>
        <v>1</v>
      </c>
      <c r="E242" s="137" t="s">
        <v>129</v>
      </c>
      <c r="F242" s="137" t="s">
        <v>129</v>
      </c>
      <c r="G242" s="137" t="s">
        <v>129</v>
      </c>
      <c r="H242" s="137" t="s">
        <v>129</v>
      </c>
      <c r="I242" s="137" t="s">
        <v>129</v>
      </c>
      <c r="J242" s="137" t="s">
        <v>129</v>
      </c>
      <c r="K242" s="137" t="s">
        <v>129</v>
      </c>
      <c r="L242" s="137" t="s">
        <v>129</v>
      </c>
      <c r="M242" s="141"/>
      <c r="N242" s="143"/>
    </row>
    <row r="243" hidden="1" outlineLevel="1">
      <c r="A243" s="255" t="s">
        <v>644</v>
      </c>
      <c r="B243" s="344">
        <v>46063.0</v>
      </c>
      <c r="C243" s="133" t="str">
        <f t="shared" si="32"/>
        <v>Tue</v>
      </c>
      <c r="D243" s="136">
        <f t="shared" si="33"/>
        <v>1</v>
      </c>
      <c r="E243" s="137" t="s">
        <v>129</v>
      </c>
      <c r="F243" s="137" t="s">
        <v>129</v>
      </c>
      <c r="G243" s="137" t="s">
        <v>129</v>
      </c>
      <c r="H243" s="137" t="s">
        <v>129</v>
      </c>
      <c r="I243" s="137" t="s">
        <v>129</v>
      </c>
      <c r="J243" s="137" t="s">
        <v>129</v>
      </c>
      <c r="K243" s="137" t="s">
        <v>129</v>
      </c>
      <c r="L243" s="137" t="s">
        <v>129</v>
      </c>
      <c r="M243" s="141"/>
      <c r="N243" s="143"/>
    </row>
    <row r="244" hidden="1" outlineLevel="1">
      <c r="A244" s="255" t="s">
        <v>646</v>
      </c>
      <c r="B244" s="344">
        <v>46063.0</v>
      </c>
      <c r="C244" s="133" t="str">
        <f t="shared" si="32"/>
        <v>Tue</v>
      </c>
      <c r="D244" s="136">
        <f t="shared" si="33"/>
        <v>1</v>
      </c>
      <c r="E244" s="137" t="s">
        <v>129</v>
      </c>
      <c r="F244" s="137" t="s">
        <v>129</v>
      </c>
      <c r="G244" s="137" t="s">
        <v>129</v>
      </c>
      <c r="H244" s="137" t="s">
        <v>129</v>
      </c>
      <c r="I244" s="137" t="s">
        <v>129</v>
      </c>
      <c r="J244" s="137" t="s">
        <v>129</v>
      </c>
      <c r="K244" s="137" t="s">
        <v>129</v>
      </c>
      <c r="L244" s="137" t="s">
        <v>129</v>
      </c>
      <c r="M244" s="141"/>
      <c r="N244" s="143"/>
    </row>
    <row r="245" hidden="1" outlineLevel="1">
      <c r="A245" s="255" t="s">
        <v>647</v>
      </c>
      <c r="B245" s="344">
        <v>46064.0</v>
      </c>
      <c r="C245" s="133" t="str">
        <f t="shared" si="32"/>
        <v>Wed</v>
      </c>
      <c r="D245" s="136">
        <f t="shared" si="33"/>
        <v>1</v>
      </c>
      <c r="E245" s="137" t="s">
        <v>129</v>
      </c>
      <c r="F245" s="137" t="s">
        <v>129</v>
      </c>
      <c r="G245" s="137" t="s">
        <v>129</v>
      </c>
      <c r="H245" s="137" t="s">
        <v>129</v>
      </c>
      <c r="I245" s="137" t="s">
        <v>129</v>
      </c>
      <c r="J245" s="137" t="s">
        <v>129</v>
      </c>
      <c r="K245" s="137" t="s">
        <v>129</v>
      </c>
      <c r="L245" s="137" t="s">
        <v>129</v>
      </c>
      <c r="M245" s="141"/>
      <c r="N245" s="143"/>
    </row>
    <row r="246" hidden="1" outlineLevel="1">
      <c r="A246" s="255" t="s">
        <v>649</v>
      </c>
      <c r="B246" s="344">
        <v>46064.0</v>
      </c>
      <c r="C246" s="133" t="str">
        <f t="shared" si="32"/>
        <v>Wed</v>
      </c>
      <c r="D246" s="136">
        <f t="shared" si="33"/>
        <v>1</v>
      </c>
      <c r="E246" s="137" t="s">
        <v>129</v>
      </c>
      <c r="F246" s="137" t="s">
        <v>129</v>
      </c>
      <c r="G246" s="137" t="s">
        <v>129</v>
      </c>
      <c r="H246" s="137" t="s">
        <v>129</v>
      </c>
      <c r="I246" s="137" t="s">
        <v>129</v>
      </c>
      <c r="J246" s="137" t="s">
        <v>129</v>
      </c>
      <c r="K246" s="137" t="s">
        <v>129</v>
      </c>
      <c r="L246" s="137" t="s">
        <v>129</v>
      </c>
      <c r="M246" s="141"/>
      <c r="N246" s="147"/>
    </row>
    <row r="247" hidden="1" outlineLevel="1">
      <c r="A247" s="255" t="s">
        <v>654</v>
      </c>
      <c r="B247" s="344">
        <v>46064.0</v>
      </c>
      <c r="C247" s="133" t="str">
        <f t="shared" si="32"/>
        <v>Wed</v>
      </c>
      <c r="D247" s="136">
        <f t="shared" si="33"/>
        <v>1</v>
      </c>
      <c r="E247" s="137" t="s">
        <v>129</v>
      </c>
      <c r="F247" s="137" t="s">
        <v>129</v>
      </c>
      <c r="G247" s="137" t="s">
        <v>129</v>
      </c>
      <c r="H247" s="137" t="s">
        <v>129</v>
      </c>
      <c r="I247" s="137" t="s">
        <v>129</v>
      </c>
      <c r="J247" s="137" t="s">
        <v>129</v>
      </c>
      <c r="K247" s="137" t="s">
        <v>129</v>
      </c>
      <c r="L247" s="137" t="s">
        <v>129</v>
      </c>
      <c r="M247" s="141"/>
      <c r="N247" s="143"/>
    </row>
    <row r="248" hidden="1" outlineLevel="1">
      <c r="A248" s="255" t="s">
        <v>661</v>
      </c>
      <c r="B248" s="344">
        <v>46065.0</v>
      </c>
      <c r="C248" s="133" t="str">
        <f t="shared" si="32"/>
        <v>Thu</v>
      </c>
      <c r="D248" s="136">
        <f t="shared" si="33"/>
        <v>1</v>
      </c>
      <c r="E248" s="137" t="s">
        <v>129</v>
      </c>
      <c r="F248" s="137" t="s">
        <v>129</v>
      </c>
      <c r="G248" s="137" t="s">
        <v>129</v>
      </c>
      <c r="H248" s="137" t="s">
        <v>129</v>
      </c>
      <c r="I248" s="137" t="s">
        <v>129</v>
      </c>
      <c r="J248" s="137" t="s">
        <v>129</v>
      </c>
      <c r="K248" s="137" t="s">
        <v>129</v>
      </c>
      <c r="L248" s="137" t="s">
        <v>129</v>
      </c>
      <c r="M248" s="141"/>
      <c r="N248" s="147"/>
    </row>
    <row r="249" hidden="1" outlineLevel="1">
      <c r="A249" s="255" t="s">
        <v>663</v>
      </c>
      <c r="B249" s="344">
        <v>46065.0</v>
      </c>
      <c r="C249" s="133" t="str">
        <f t="shared" si="32"/>
        <v>Thu</v>
      </c>
      <c r="D249" s="136">
        <f t="shared" si="33"/>
        <v>1</v>
      </c>
      <c r="E249" s="137" t="s">
        <v>129</v>
      </c>
      <c r="F249" s="137" t="s">
        <v>129</v>
      </c>
      <c r="G249" s="137" t="s">
        <v>129</v>
      </c>
      <c r="H249" s="137" t="s">
        <v>129</v>
      </c>
      <c r="I249" s="137" t="s">
        <v>129</v>
      </c>
      <c r="J249" s="137" t="s">
        <v>129</v>
      </c>
      <c r="K249" s="137" t="s">
        <v>129</v>
      </c>
      <c r="L249" s="137" t="s">
        <v>129</v>
      </c>
      <c r="M249" s="141"/>
      <c r="N249" s="147"/>
    </row>
    <row r="250" hidden="1" outlineLevel="1">
      <c r="A250" s="255" t="s">
        <v>665</v>
      </c>
      <c r="B250" s="344">
        <v>46065.0</v>
      </c>
      <c r="C250" s="133" t="str">
        <f t="shared" si="32"/>
        <v>Thu</v>
      </c>
      <c r="D250" s="136">
        <f t="shared" si="33"/>
        <v>1</v>
      </c>
      <c r="E250" s="137" t="s">
        <v>129</v>
      </c>
      <c r="F250" s="137" t="s">
        <v>129</v>
      </c>
      <c r="G250" s="137" t="s">
        <v>129</v>
      </c>
      <c r="H250" s="137" t="s">
        <v>129</v>
      </c>
      <c r="I250" s="137" t="s">
        <v>129</v>
      </c>
      <c r="J250" s="137" t="s">
        <v>129</v>
      </c>
      <c r="K250" s="137" t="s">
        <v>129</v>
      </c>
      <c r="L250" s="137" t="s">
        <v>129</v>
      </c>
      <c r="M250" s="141"/>
      <c r="N250" s="147"/>
    </row>
    <row r="251" hidden="1" outlineLevel="1">
      <c r="A251" s="255" t="s">
        <v>666</v>
      </c>
      <c r="B251" s="344">
        <v>46066.0</v>
      </c>
      <c r="C251" s="133" t="str">
        <f t="shared" si="32"/>
        <v>Fri</v>
      </c>
      <c r="D251" s="136">
        <f t="shared" si="33"/>
        <v>1</v>
      </c>
      <c r="E251" s="137" t="s">
        <v>129</v>
      </c>
      <c r="F251" s="137" t="s">
        <v>129</v>
      </c>
      <c r="G251" s="137" t="s">
        <v>129</v>
      </c>
      <c r="H251" s="137" t="s">
        <v>129</v>
      </c>
      <c r="I251" s="137" t="s">
        <v>129</v>
      </c>
      <c r="J251" s="137" t="s">
        <v>129</v>
      </c>
      <c r="K251" s="137" t="s">
        <v>129</v>
      </c>
      <c r="L251" s="137" t="s">
        <v>129</v>
      </c>
      <c r="M251" s="141"/>
      <c r="N251" s="143"/>
    </row>
    <row r="252" hidden="1" outlineLevel="1">
      <c r="A252" s="255" t="s">
        <v>667</v>
      </c>
      <c r="B252" s="344">
        <v>46066.0</v>
      </c>
      <c r="C252" s="133" t="str">
        <f t="shared" si="32"/>
        <v>Fri</v>
      </c>
      <c r="D252" s="136">
        <f t="shared" si="33"/>
        <v>1</v>
      </c>
      <c r="E252" s="137" t="s">
        <v>129</v>
      </c>
      <c r="F252" s="137" t="s">
        <v>129</v>
      </c>
      <c r="G252" s="137" t="s">
        <v>129</v>
      </c>
      <c r="H252" s="137" t="s">
        <v>129</v>
      </c>
      <c r="I252" s="137" t="s">
        <v>129</v>
      </c>
      <c r="J252" s="137" t="s">
        <v>129</v>
      </c>
      <c r="K252" s="137" t="s">
        <v>129</v>
      </c>
      <c r="L252" s="137" t="s">
        <v>129</v>
      </c>
      <c r="M252" s="141"/>
      <c r="N252" s="143"/>
    </row>
    <row r="253" ht="15.0" hidden="1" customHeight="1" outlineLevel="1">
      <c r="A253" s="255" t="s">
        <v>668</v>
      </c>
      <c r="B253" s="344">
        <v>46066.0</v>
      </c>
      <c r="C253" s="133" t="str">
        <f t="shared" si="32"/>
        <v>Fri</v>
      </c>
      <c r="D253" s="136">
        <f t="shared" si="33"/>
        <v>1</v>
      </c>
      <c r="E253" s="137" t="s">
        <v>129</v>
      </c>
      <c r="F253" s="137" t="s">
        <v>129</v>
      </c>
      <c r="G253" s="137" t="s">
        <v>129</v>
      </c>
      <c r="H253" s="137" t="s">
        <v>129</v>
      </c>
      <c r="I253" s="137" t="s">
        <v>129</v>
      </c>
      <c r="J253" s="137" t="s">
        <v>129</v>
      </c>
      <c r="K253" s="137" t="s">
        <v>129</v>
      </c>
      <c r="L253" s="137" t="s">
        <v>129</v>
      </c>
      <c r="M253" s="141"/>
      <c r="N253" s="147"/>
    </row>
    <row r="254" hidden="1" outlineLevel="1">
      <c r="B254" s="189"/>
      <c r="C254" s="191" t="s">
        <v>194</v>
      </c>
      <c r="D254" s="204">
        <f>AVERAGE(D239:D253)</f>
        <v>1</v>
      </c>
      <c r="E254" s="200"/>
      <c r="L254" s="191" t="s">
        <v>194</v>
      </c>
      <c r="M254" s="204">
        <f>SUM(M239:M253)/75*0.1</f>
        <v>0</v>
      </c>
    </row>
    <row r="255" hidden="1" collapsed="1">
      <c r="A255" s="206" t="s">
        <v>670</v>
      </c>
      <c r="B255" s="207"/>
      <c r="C255" s="207"/>
      <c r="D255" s="208"/>
      <c r="E255" s="109"/>
      <c r="F255" s="109"/>
      <c r="G255" s="110"/>
      <c r="H255" s="110"/>
      <c r="I255" s="110"/>
      <c r="J255" s="110"/>
      <c r="K255" s="110"/>
      <c r="L255" s="110"/>
      <c r="M255" s="111"/>
      <c r="N255" s="113"/>
    </row>
    <row r="256" hidden="1" outlineLevel="1">
      <c r="A256" s="373" t="s">
        <v>98</v>
      </c>
      <c r="B256" s="115" t="s">
        <v>100</v>
      </c>
      <c r="C256" s="115" t="s">
        <v>102</v>
      </c>
      <c r="D256" s="119" t="s">
        <v>103</v>
      </c>
      <c r="E256" s="275" t="s">
        <v>269</v>
      </c>
      <c r="F256" s="275" t="s">
        <v>272</v>
      </c>
      <c r="G256" s="276" t="s">
        <v>328</v>
      </c>
      <c r="H256" s="121" t="s">
        <v>107</v>
      </c>
      <c r="I256" s="121" t="s">
        <v>108</v>
      </c>
      <c r="J256" s="276" t="s">
        <v>329</v>
      </c>
      <c r="K256" s="121" t="s">
        <v>111</v>
      </c>
      <c r="L256" s="276" t="s">
        <v>274</v>
      </c>
      <c r="M256" s="115" t="s">
        <v>114</v>
      </c>
      <c r="N256" s="119" t="s">
        <v>115</v>
      </c>
    </row>
    <row r="257" hidden="1" outlineLevel="1">
      <c r="A257" s="376" t="s">
        <v>672</v>
      </c>
      <c r="B257" s="344">
        <v>46069.0</v>
      </c>
      <c r="C257" s="133" t="str">
        <f t="shared" ref="C257:C271" si="34">IF(B257="", "", TEXT(B257, "ddd"))</f>
        <v>Mon</v>
      </c>
      <c r="D257" s="136">
        <f t="shared" ref="D257:D271" si="35">IF(E257="Yes",0.05,0)
+IF(F257="Yes",0.1,0)
+IF(G257="Yes",0.15,0)
+IF(H257="Yes",0.15,0)
+IF(I257="Yes",0.05,0)
+IF(J257="Yes",0.05,0)
+IF(K257="Yes",0.15,0)
+IF(L257="Yes",0.3,0)
</f>
        <v>1</v>
      </c>
      <c r="E257" s="137" t="s">
        <v>129</v>
      </c>
      <c r="F257" s="137" t="s">
        <v>129</v>
      </c>
      <c r="G257" s="137" t="s">
        <v>129</v>
      </c>
      <c r="H257" s="137" t="s">
        <v>129</v>
      </c>
      <c r="I257" s="137" t="s">
        <v>129</v>
      </c>
      <c r="J257" s="137" t="s">
        <v>129</v>
      </c>
      <c r="K257" s="137" t="s">
        <v>129</v>
      </c>
      <c r="L257" s="137" t="s">
        <v>129</v>
      </c>
      <c r="M257" s="141"/>
      <c r="N257" s="143"/>
    </row>
    <row r="258" hidden="1" outlineLevel="1">
      <c r="A258" s="303" t="s">
        <v>675</v>
      </c>
      <c r="B258" s="344">
        <v>46069.0</v>
      </c>
      <c r="C258" s="133" t="str">
        <f t="shared" si="34"/>
        <v>Mon</v>
      </c>
      <c r="D258" s="136">
        <f t="shared" si="35"/>
        <v>1</v>
      </c>
      <c r="E258" s="137" t="s">
        <v>129</v>
      </c>
      <c r="F258" s="137" t="s">
        <v>129</v>
      </c>
      <c r="G258" s="137" t="s">
        <v>129</v>
      </c>
      <c r="H258" s="137" t="s">
        <v>129</v>
      </c>
      <c r="I258" s="137" t="s">
        <v>129</v>
      </c>
      <c r="J258" s="137" t="s">
        <v>129</v>
      </c>
      <c r="K258" s="137" t="s">
        <v>129</v>
      </c>
      <c r="L258" s="137" t="s">
        <v>129</v>
      </c>
      <c r="M258" s="141"/>
      <c r="N258" s="147"/>
    </row>
    <row r="259" hidden="1" outlineLevel="1">
      <c r="A259" s="255" t="s">
        <v>677</v>
      </c>
      <c r="B259" s="344">
        <v>46069.0</v>
      </c>
      <c r="C259" s="133" t="str">
        <f t="shared" si="34"/>
        <v>Mon</v>
      </c>
      <c r="D259" s="136">
        <f t="shared" si="35"/>
        <v>1</v>
      </c>
      <c r="E259" s="137" t="s">
        <v>129</v>
      </c>
      <c r="F259" s="137" t="s">
        <v>129</v>
      </c>
      <c r="G259" s="137" t="s">
        <v>129</v>
      </c>
      <c r="H259" s="137" t="s">
        <v>129</v>
      </c>
      <c r="I259" s="137" t="s">
        <v>129</v>
      </c>
      <c r="J259" s="137" t="s">
        <v>129</v>
      </c>
      <c r="K259" s="137" t="s">
        <v>129</v>
      </c>
      <c r="L259" s="137" t="s">
        <v>129</v>
      </c>
      <c r="M259" s="141"/>
      <c r="N259" s="147"/>
    </row>
    <row r="260" hidden="1" outlineLevel="1">
      <c r="A260" s="255" t="s">
        <v>678</v>
      </c>
      <c r="B260" s="344">
        <v>46070.0</v>
      </c>
      <c r="C260" s="133" t="str">
        <f t="shared" si="34"/>
        <v>Tue</v>
      </c>
      <c r="D260" s="136">
        <f t="shared" si="35"/>
        <v>1</v>
      </c>
      <c r="E260" s="137" t="s">
        <v>129</v>
      </c>
      <c r="F260" s="137" t="s">
        <v>129</v>
      </c>
      <c r="G260" s="137" t="s">
        <v>129</v>
      </c>
      <c r="H260" s="137" t="s">
        <v>129</v>
      </c>
      <c r="I260" s="137" t="s">
        <v>129</v>
      </c>
      <c r="J260" s="137" t="s">
        <v>129</v>
      </c>
      <c r="K260" s="137" t="s">
        <v>129</v>
      </c>
      <c r="L260" s="137" t="s">
        <v>129</v>
      </c>
      <c r="M260" s="141"/>
      <c r="N260" s="143"/>
    </row>
    <row r="261" hidden="1" outlineLevel="1">
      <c r="A261" s="255" t="s">
        <v>680</v>
      </c>
      <c r="B261" s="344">
        <v>46070.0</v>
      </c>
      <c r="C261" s="133" t="str">
        <f t="shared" si="34"/>
        <v>Tue</v>
      </c>
      <c r="D261" s="136">
        <f t="shared" si="35"/>
        <v>1</v>
      </c>
      <c r="E261" s="137" t="s">
        <v>129</v>
      </c>
      <c r="F261" s="137" t="s">
        <v>129</v>
      </c>
      <c r="G261" s="137" t="s">
        <v>129</v>
      </c>
      <c r="H261" s="137" t="s">
        <v>129</v>
      </c>
      <c r="I261" s="137" t="s">
        <v>129</v>
      </c>
      <c r="J261" s="137" t="s">
        <v>129</v>
      </c>
      <c r="K261" s="137" t="s">
        <v>129</v>
      </c>
      <c r="L261" s="137" t="s">
        <v>129</v>
      </c>
      <c r="M261" s="141"/>
      <c r="N261" s="143"/>
    </row>
    <row r="262" hidden="1" outlineLevel="1">
      <c r="A262" s="255" t="s">
        <v>681</v>
      </c>
      <c r="B262" s="344">
        <v>46070.0</v>
      </c>
      <c r="C262" s="133" t="str">
        <f t="shared" si="34"/>
        <v>Tue</v>
      </c>
      <c r="D262" s="136">
        <f t="shared" si="35"/>
        <v>1</v>
      </c>
      <c r="E262" s="137" t="s">
        <v>129</v>
      </c>
      <c r="F262" s="137" t="s">
        <v>129</v>
      </c>
      <c r="G262" s="137" t="s">
        <v>129</v>
      </c>
      <c r="H262" s="137" t="s">
        <v>129</v>
      </c>
      <c r="I262" s="137" t="s">
        <v>129</v>
      </c>
      <c r="J262" s="137" t="s">
        <v>129</v>
      </c>
      <c r="K262" s="137" t="s">
        <v>129</v>
      </c>
      <c r="L262" s="137" t="s">
        <v>129</v>
      </c>
      <c r="M262" s="141"/>
      <c r="N262" s="143"/>
    </row>
    <row r="263" hidden="1" outlineLevel="1">
      <c r="A263" s="255" t="s">
        <v>683</v>
      </c>
      <c r="B263" s="344">
        <v>46071.0</v>
      </c>
      <c r="C263" s="133" t="str">
        <f t="shared" si="34"/>
        <v>Wed</v>
      </c>
      <c r="D263" s="136">
        <f t="shared" si="35"/>
        <v>1</v>
      </c>
      <c r="E263" s="137" t="s">
        <v>129</v>
      </c>
      <c r="F263" s="137" t="s">
        <v>129</v>
      </c>
      <c r="G263" s="137" t="s">
        <v>129</v>
      </c>
      <c r="H263" s="137" t="s">
        <v>129</v>
      </c>
      <c r="I263" s="137" t="s">
        <v>129</v>
      </c>
      <c r="J263" s="137" t="s">
        <v>129</v>
      </c>
      <c r="K263" s="137" t="s">
        <v>129</v>
      </c>
      <c r="L263" s="137" t="s">
        <v>129</v>
      </c>
      <c r="M263" s="141"/>
      <c r="N263" s="143"/>
    </row>
    <row r="264" hidden="1" outlineLevel="1">
      <c r="A264" s="255" t="s">
        <v>685</v>
      </c>
      <c r="B264" s="344">
        <v>46071.0</v>
      </c>
      <c r="C264" s="133" t="str">
        <f t="shared" si="34"/>
        <v>Wed</v>
      </c>
      <c r="D264" s="136">
        <f t="shared" si="35"/>
        <v>1</v>
      </c>
      <c r="E264" s="137" t="s">
        <v>129</v>
      </c>
      <c r="F264" s="137" t="s">
        <v>129</v>
      </c>
      <c r="G264" s="137" t="s">
        <v>129</v>
      </c>
      <c r="H264" s="137" t="s">
        <v>129</v>
      </c>
      <c r="I264" s="137" t="s">
        <v>129</v>
      </c>
      <c r="J264" s="137" t="s">
        <v>129</v>
      </c>
      <c r="K264" s="137" t="s">
        <v>129</v>
      </c>
      <c r="L264" s="137" t="s">
        <v>129</v>
      </c>
      <c r="M264" s="141"/>
      <c r="N264" s="147"/>
    </row>
    <row r="265" hidden="1" outlineLevel="1">
      <c r="A265" s="255" t="s">
        <v>687</v>
      </c>
      <c r="B265" s="344">
        <v>46071.0</v>
      </c>
      <c r="C265" s="133" t="str">
        <f t="shared" si="34"/>
        <v>Wed</v>
      </c>
      <c r="D265" s="136">
        <f t="shared" si="35"/>
        <v>1</v>
      </c>
      <c r="E265" s="137" t="s">
        <v>129</v>
      </c>
      <c r="F265" s="137" t="s">
        <v>129</v>
      </c>
      <c r="G265" s="137" t="s">
        <v>129</v>
      </c>
      <c r="H265" s="137" t="s">
        <v>129</v>
      </c>
      <c r="I265" s="137" t="s">
        <v>129</v>
      </c>
      <c r="J265" s="137" t="s">
        <v>129</v>
      </c>
      <c r="K265" s="137" t="s">
        <v>129</v>
      </c>
      <c r="L265" s="137" t="s">
        <v>129</v>
      </c>
      <c r="M265" s="141"/>
      <c r="N265" s="143"/>
    </row>
    <row r="266" hidden="1" outlineLevel="1">
      <c r="A266" s="255" t="s">
        <v>688</v>
      </c>
      <c r="B266" s="344">
        <v>46072.0</v>
      </c>
      <c r="C266" s="133" t="str">
        <f t="shared" si="34"/>
        <v>Thu</v>
      </c>
      <c r="D266" s="136">
        <f t="shared" si="35"/>
        <v>1</v>
      </c>
      <c r="E266" s="137" t="s">
        <v>129</v>
      </c>
      <c r="F266" s="137" t="s">
        <v>129</v>
      </c>
      <c r="G266" s="137" t="s">
        <v>129</v>
      </c>
      <c r="H266" s="137" t="s">
        <v>129</v>
      </c>
      <c r="I266" s="137" t="s">
        <v>129</v>
      </c>
      <c r="J266" s="137" t="s">
        <v>129</v>
      </c>
      <c r="K266" s="137" t="s">
        <v>129</v>
      </c>
      <c r="L266" s="137" t="s">
        <v>129</v>
      </c>
      <c r="M266" s="141"/>
      <c r="N266" s="147"/>
    </row>
    <row r="267" hidden="1" outlineLevel="1">
      <c r="A267" s="255" t="s">
        <v>690</v>
      </c>
      <c r="B267" s="344">
        <v>46072.0</v>
      </c>
      <c r="C267" s="133" t="str">
        <f t="shared" si="34"/>
        <v>Thu</v>
      </c>
      <c r="D267" s="136">
        <f t="shared" si="35"/>
        <v>1</v>
      </c>
      <c r="E267" s="137" t="s">
        <v>129</v>
      </c>
      <c r="F267" s="137" t="s">
        <v>129</v>
      </c>
      <c r="G267" s="137" t="s">
        <v>129</v>
      </c>
      <c r="H267" s="137" t="s">
        <v>129</v>
      </c>
      <c r="I267" s="137" t="s">
        <v>129</v>
      </c>
      <c r="J267" s="137" t="s">
        <v>129</v>
      </c>
      <c r="K267" s="137" t="s">
        <v>129</v>
      </c>
      <c r="L267" s="137" t="s">
        <v>129</v>
      </c>
      <c r="M267" s="141"/>
      <c r="N267" s="147"/>
    </row>
    <row r="268" hidden="1" outlineLevel="1">
      <c r="A268" s="255" t="s">
        <v>691</v>
      </c>
      <c r="B268" s="344">
        <v>46072.0</v>
      </c>
      <c r="C268" s="133" t="str">
        <f t="shared" si="34"/>
        <v>Thu</v>
      </c>
      <c r="D268" s="136">
        <f t="shared" si="35"/>
        <v>1</v>
      </c>
      <c r="E268" s="137" t="s">
        <v>129</v>
      </c>
      <c r="F268" s="137" t="s">
        <v>129</v>
      </c>
      <c r="G268" s="137" t="s">
        <v>129</v>
      </c>
      <c r="H268" s="137" t="s">
        <v>129</v>
      </c>
      <c r="I268" s="137" t="s">
        <v>129</v>
      </c>
      <c r="J268" s="137" t="s">
        <v>129</v>
      </c>
      <c r="K268" s="137" t="s">
        <v>129</v>
      </c>
      <c r="L268" s="137" t="s">
        <v>129</v>
      </c>
      <c r="M268" s="141"/>
      <c r="N268" s="147"/>
    </row>
    <row r="269" hidden="1" outlineLevel="1">
      <c r="A269" s="255" t="s">
        <v>693</v>
      </c>
      <c r="B269" s="344">
        <v>46073.0</v>
      </c>
      <c r="C269" s="133" t="str">
        <f t="shared" si="34"/>
        <v>Fri</v>
      </c>
      <c r="D269" s="136">
        <f t="shared" si="35"/>
        <v>1</v>
      </c>
      <c r="E269" s="137" t="s">
        <v>129</v>
      </c>
      <c r="F269" s="137" t="s">
        <v>129</v>
      </c>
      <c r="G269" s="137" t="s">
        <v>129</v>
      </c>
      <c r="H269" s="137" t="s">
        <v>129</v>
      </c>
      <c r="I269" s="137" t="s">
        <v>129</v>
      </c>
      <c r="J269" s="137" t="s">
        <v>129</v>
      </c>
      <c r="K269" s="137" t="s">
        <v>129</v>
      </c>
      <c r="L269" s="137" t="s">
        <v>129</v>
      </c>
      <c r="M269" s="141"/>
      <c r="N269" s="143"/>
    </row>
    <row r="270" hidden="1" outlineLevel="1">
      <c r="A270" s="255" t="s">
        <v>695</v>
      </c>
      <c r="B270" s="344">
        <v>46073.0</v>
      </c>
      <c r="C270" s="133" t="str">
        <f t="shared" si="34"/>
        <v>Fri</v>
      </c>
      <c r="D270" s="136">
        <f t="shared" si="35"/>
        <v>1</v>
      </c>
      <c r="E270" s="137" t="s">
        <v>129</v>
      </c>
      <c r="F270" s="137" t="s">
        <v>129</v>
      </c>
      <c r="G270" s="137" t="s">
        <v>129</v>
      </c>
      <c r="H270" s="137" t="s">
        <v>129</v>
      </c>
      <c r="I270" s="137" t="s">
        <v>129</v>
      </c>
      <c r="J270" s="137" t="s">
        <v>129</v>
      </c>
      <c r="K270" s="137" t="s">
        <v>129</v>
      </c>
      <c r="L270" s="137" t="s">
        <v>129</v>
      </c>
      <c r="M270" s="141"/>
      <c r="N270" s="143"/>
    </row>
    <row r="271" ht="15.0" hidden="1" customHeight="1" outlineLevel="1">
      <c r="A271" s="255" t="s">
        <v>701</v>
      </c>
      <c r="B271" s="344">
        <v>46073.0</v>
      </c>
      <c r="C271" s="133" t="str">
        <f t="shared" si="34"/>
        <v>Fri</v>
      </c>
      <c r="D271" s="136">
        <f t="shared" si="35"/>
        <v>1</v>
      </c>
      <c r="E271" s="137" t="s">
        <v>129</v>
      </c>
      <c r="F271" s="137" t="s">
        <v>129</v>
      </c>
      <c r="G271" s="137" t="s">
        <v>129</v>
      </c>
      <c r="H271" s="137" t="s">
        <v>129</v>
      </c>
      <c r="I271" s="137" t="s">
        <v>129</v>
      </c>
      <c r="J271" s="137" t="s">
        <v>129</v>
      </c>
      <c r="K271" s="137" t="s">
        <v>129</v>
      </c>
      <c r="L271" s="137" t="s">
        <v>129</v>
      </c>
      <c r="M271" s="141"/>
      <c r="N271" s="147"/>
    </row>
    <row r="272" hidden="1" outlineLevel="1">
      <c r="B272" s="189"/>
      <c r="C272" s="191" t="s">
        <v>194</v>
      </c>
      <c r="D272" s="204">
        <f>AVERAGE(D257:D271)</f>
        <v>1</v>
      </c>
      <c r="E272" s="200"/>
      <c r="L272" s="191" t="s">
        <v>194</v>
      </c>
      <c r="M272" s="204">
        <f>SUM(M257:M271)/75*0.1</f>
        <v>0</v>
      </c>
    </row>
    <row r="273" hidden="1" collapsed="1">
      <c r="A273" s="206" t="s">
        <v>705</v>
      </c>
      <c r="B273" s="207"/>
      <c r="C273" s="207"/>
      <c r="D273" s="208"/>
      <c r="E273" s="109"/>
      <c r="F273" s="109"/>
      <c r="G273" s="110"/>
      <c r="H273" s="110"/>
      <c r="I273" s="110"/>
      <c r="J273" s="110"/>
      <c r="K273" s="110"/>
      <c r="L273" s="110"/>
      <c r="M273" s="111"/>
      <c r="N273" s="113"/>
    </row>
    <row r="274" hidden="1" outlineLevel="1">
      <c r="A274" s="373" t="s">
        <v>98</v>
      </c>
      <c r="B274" s="115" t="s">
        <v>100</v>
      </c>
      <c r="C274" s="115" t="s">
        <v>102</v>
      </c>
      <c r="D274" s="119" t="s">
        <v>103</v>
      </c>
      <c r="E274" s="275" t="s">
        <v>269</v>
      </c>
      <c r="F274" s="275" t="s">
        <v>272</v>
      </c>
      <c r="G274" s="276" t="s">
        <v>328</v>
      </c>
      <c r="H274" s="121" t="s">
        <v>107</v>
      </c>
      <c r="I274" s="121" t="s">
        <v>108</v>
      </c>
      <c r="J274" s="276" t="s">
        <v>329</v>
      </c>
      <c r="K274" s="121" t="s">
        <v>111</v>
      </c>
      <c r="L274" s="276" t="s">
        <v>274</v>
      </c>
      <c r="M274" s="115" t="s">
        <v>114</v>
      </c>
      <c r="N274" s="119" t="s">
        <v>115</v>
      </c>
    </row>
    <row r="275" hidden="1" outlineLevel="1">
      <c r="A275" s="303" t="s">
        <v>707</v>
      </c>
      <c r="B275" s="344">
        <v>46076.0</v>
      </c>
      <c r="C275" s="133" t="str">
        <f t="shared" ref="C275:C289" si="36">IF(B275="", "", TEXT(B275, "ddd"))</f>
        <v>Mon</v>
      </c>
      <c r="D275" s="136">
        <f t="shared" ref="D275:D289" si="37">IF(E275="Yes",0.05,0)
+IF(F275="Yes",0.1,0)
+IF(G275="Yes",0.15,0)
+IF(H275="Yes",0.15,0)
+IF(I275="Yes",0.05,0)
+IF(J275="Yes",0.05,0)
+IF(K275="Yes",0.15,0)
+IF(L275="Yes",0.3,0)
</f>
        <v>1</v>
      </c>
      <c r="E275" s="137" t="s">
        <v>129</v>
      </c>
      <c r="F275" s="137" t="s">
        <v>129</v>
      </c>
      <c r="G275" s="137" t="s">
        <v>129</v>
      </c>
      <c r="H275" s="137" t="s">
        <v>129</v>
      </c>
      <c r="I275" s="137" t="s">
        <v>129</v>
      </c>
      <c r="J275" s="137" t="s">
        <v>129</v>
      </c>
      <c r="K275" s="137" t="s">
        <v>129</v>
      </c>
      <c r="L275" s="137" t="s">
        <v>129</v>
      </c>
      <c r="M275" s="141"/>
      <c r="N275" s="143"/>
    </row>
    <row r="276" hidden="1" outlineLevel="1">
      <c r="A276" s="303" t="s">
        <v>709</v>
      </c>
      <c r="B276" s="344">
        <v>46076.0</v>
      </c>
      <c r="C276" s="133" t="str">
        <f t="shared" si="36"/>
        <v>Mon</v>
      </c>
      <c r="D276" s="136">
        <f t="shared" si="37"/>
        <v>1</v>
      </c>
      <c r="E276" s="137" t="s">
        <v>129</v>
      </c>
      <c r="F276" s="137" t="s">
        <v>129</v>
      </c>
      <c r="G276" s="137" t="s">
        <v>129</v>
      </c>
      <c r="H276" s="137" t="s">
        <v>129</v>
      </c>
      <c r="I276" s="137" t="s">
        <v>129</v>
      </c>
      <c r="J276" s="137" t="s">
        <v>129</v>
      </c>
      <c r="K276" s="137" t="s">
        <v>129</v>
      </c>
      <c r="L276" s="137" t="s">
        <v>129</v>
      </c>
      <c r="M276" s="141"/>
      <c r="N276" s="147"/>
    </row>
    <row r="277" hidden="1" outlineLevel="1">
      <c r="A277" s="303" t="s">
        <v>711</v>
      </c>
      <c r="B277" s="344">
        <v>46076.0</v>
      </c>
      <c r="C277" s="133" t="str">
        <f t="shared" si="36"/>
        <v>Mon</v>
      </c>
      <c r="D277" s="136">
        <f t="shared" si="37"/>
        <v>1</v>
      </c>
      <c r="E277" s="137" t="s">
        <v>129</v>
      </c>
      <c r="F277" s="137" t="s">
        <v>129</v>
      </c>
      <c r="G277" s="137" t="s">
        <v>129</v>
      </c>
      <c r="H277" s="137" t="s">
        <v>129</v>
      </c>
      <c r="I277" s="137" t="s">
        <v>129</v>
      </c>
      <c r="J277" s="137" t="s">
        <v>129</v>
      </c>
      <c r="K277" s="137" t="s">
        <v>129</v>
      </c>
      <c r="L277" s="137" t="s">
        <v>129</v>
      </c>
      <c r="M277" s="141"/>
      <c r="N277" s="147"/>
    </row>
    <row r="278" hidden="1" outlineLevel="1">
      <c r="A278" s="303" t="s">
        <v>713</v>
      </c>
      <c r="B278" s="344">
        <v>46077.0</v>
      </c>
      <c r="C278" s="133" t="str">
        <f t="shared" si="36"/>
        <v>Tue</v>
      </c>
      <c r="D278" s="136">
        <f t="shared" si="37"/>
        <v>1</v>
      </c>
      <c r="E278" s="137" t="s">
        <v>129</v>
      </c>
      <c r="F278" s="137" t="s">
        <v>129</v>
      </c>
      <c r="G278" s="137" t="s">
        <v>129</v>
      </c>
      <c r="H278" s="137" t="s">
        <v>129</v>
      </c>
      <c r="I278" s="137" t="s">
        <v>129</v>
      </c>
      <c r="J278" s="137" t="s">
        <v>129</v>
      </c>
      <c r="K278" s="137" t="s">
        <v>129</v>
      </c>
      <c r="L278" s="137" t="s">
        <v>129</v>
      </c>
      <c r="M278" s="141"/>
      <c r="N278" s="143"/>
    </row>
    <row r="279" hidden="1" outlineLevel="1">
      <c r="A279" s="303" t="s">
        <v>714</v>
      </c>
      <c r="B279" s="344">
        <v>46077.0</v>
      </c>
      <c r="C279" s="133" t="str">
        <f t="shared" si="36"/>
        <v>Tue</v>
      </c>
      <c r="D279" s="136">
        <f t="shared" si="37"/>
        <v>1</v>
      </c>
      <c r="E279" s="137" t="s">
        <v>129</v>
      </c>
      <c r="F279" s="137" t="s">
        <v>129</v>
      </c>
      <c r="G279" s="137" t="s">
        <v>129</v>
      </c>
      <c r="H279" s="137" t="s">
        <v>129</v>
      </c>
      <c r="I279" s="137" t="s">
        <v>129</v>
      </c>
      <c r="J279" s="137" t="s">
        <v>129</v>
      </c>
      <c r="K279" s="137" t="s">
        <v>129</v>
      </c>
      <c r="L279" s="137" t="s">
        <v>129</v>
      </c>
      <c r="M279" s="141"/>
      <c r="N279" s="143"/>
    </row>
    <row r="280" hidden="1" outlineLevel="1">
      <c r="A280" s="303" t="s">
        <v>715</v>
      </c>
      <c r="B280" s="344">
        <v>46077.0</v>
      </c>
      <c r="C280" s="133" t="str">
        <f t="shared" si="36"/>
        <v>Tue</v>
      </c>
      <c r="D280" s="136">
        <f t="shared" si="37"/>
        <v>1</v>
      </c>
      <c r="E280" s="137" t="s">
        <v>129</v>
      </c>
      <c r="F280" s="137" t="s">
        <v>129</v>
      </c>
      <c r="G280" s="137" t="s">
        <v>129</v>
      </c>
      <c r="H280" s="137" t="s">
        <v>129</v>
      </c>
      <c r="I280" s="137" t="s">
        <v>129</v>
      </c>
      <c r="J280" s="137" t="s">
        <v>129</v>
      </c>
      <c r="K280" s="137" t="s">
        <v>129</v>
      </c>
      <c r="L280" s="137" t="s">
        <v>129</v>
      </c>
      <c r="M280" s="141"/>
      <c r="N280" s="143"/>
    </row>
    <row r="281" hidden="1" outlineLevel="1">
      <c r="A281" s="255" t="s">
        <v>716</v>
      </c>
      <c r="B281" s="344">
        <v>46078.0</v>
      </c>
      <c r="C281" s="133" t="str">
        <f t="shared" si="36"/>
        <v>Wed</v>
      </c>
      <c r="D281" s="136">
        <f t="shared" si="37"/>
        <v>1</v>
      </c>
      <c r="E281" s="137" t="s">
        <v>129</v>
      </c>
      <c r="F281" s="137" t="s">
        <v>129</v>
      </c>
      <c r="G281" s="137" t="s">
        <v>129</v>
      </c>
      <c r="H281" s="137" t="s">
        <v>129</v>
      </c>
      <c r="I281" s="137" t="s">
        <v>129</v>
      </c>
      <c r="J281" s="137" t="s">
        <v>129</v>
      </c>
      <c r="K281" s="137" t="s">
        <v>129</v>
      </c>
      <c r="L281" s="137" t="s">
        <v>129</v>
      </c>
      <c r="M281" s="141"/>
      <c r="N281" s="143"/>
    </row>
    <row r="282" hidden="1" outlineLevel="1">
      <c r="A282" s="255" t="s">
        <v>718</v>
      </c>
      <c r="B282" s="344">
        <v>46078.0</v>
      </c>
      <c r="C282" s="133" t="str">
        <f t="shared" si="36"/>
        <v>Wed</v>
      </c>
      <c r="D282" s="136">
        <f t="shared" si="37"/>
        <v>1</v>
      </c>
      <c r="E282" s="137" t="s">
        <v>129</v>
      </c>
      <c r="F282" s="137" t="s">
        <v>129</v>
      </c>
      <c r="G282" s="137" t="s">
        <v>129</v>
      </c>
      <c r="H282" s="137" t="s">
        <v>129</v>
      </c>
      <c r="I282" s="137" t="s">
        <v>129</v>
      </c>
      <c r="J282" s="137" t="s">
        <v>129</v>
      </c>
      <c r="K282" s="137" t="s">
        <v>129</v>
      </c>
      <c r="L282" s="137" t="s">
        <v>129</v>
      </c>
      <c r="M282" s="141"/>
      <c r="N282" s="147"/>
    </row>
    <row r="283" hidden="1" outlineLevel="1">
      <c r="A283" s="255" t="s">
        <v>720</v>
      </c>
      <c r="B283" s="344">
        <v>46078.0</v>
      </c>
      <c r="C283" s="133" t="str">
        <f t="shared" si="36"/>
        <v>Wed</v>
      </c>
      <c r="D283" s="136">
        <f t="shared" si="37"/>
        <v>1</v>
      </c>
      <c r="E283" s="137" t="s">
        <v>129</v>
      </c>
      <c r="F283" s="137" t="s">
        <v>129</v>
      </c>
      <c r="G283" s="137" t="s">
        <v>129</v>
      </c>
      <c r="H283" s="137" t="s">
        <v>129</v>
      </c>
      <c r="I283" s="137" t="s">
        <v>129</v>
      </c>
      <c r="J283" s="137" t="s">
        <v>129</v>
      </c>
      <c r="K283" s="137" t="s">
        <v>129</v>
      </c>
      <c r="L283" s="137" t="s">
        <v>129</v>
      </c>
      <c r="M283" s="141"/>
      <c r="N283" s="143"/>
    </row>
    <row r="284" hidden="1" outlineLevel="1">
      <c r="A284" s="303" t="s">
        <v>721</v>
      </c>
      <c r="B284" s="344">
        <v>46080.0</v>
      </c>
      <c r="C284" s="133" t="str">
        <f t="shared" si="36"/>
        <v>Fri</v>
      </c>
      <c r="D284" s="136">
        <f t="shared" si="37"/>
        <v>1</v>
      </c>
      <c r="E284" s="137" t="s">
        <v>129</v>
      </c>
      <c r="F284" s="137" t="s">
        <v>129</v>
      </c>
      <c r="G284" s="137" t="s">
        <v>129</v>
      </c>
      <c r="H284" s="137" t="s">
        <v>129</v>
      </c>
      <c r="I284" s="137" t="s">
        <v>129</v>
      </c>
      <c r="J284" s="137" t="s">
        <v>129</v>
      </c>
      <c r="K284" s="137" t="s">
        <v>129</v>
      </c>
      <c r="L284" s="137" t="s">
        <v>129</v>
      </c>
      <c r="M284" s="141"/>
      <c r="N284" s="147"/>
    </row>
    <row r="285" hidden="1" outlineLevel="1">
      <c r="A285" s="303" t="s">
        <v>722</v>
      </c>
      <c r="B285" s="344">
        <v>46080.0</v>
      </c>
      <c r="C285" s="133" t="str">
        <f t="shared" si="36"/>
        <v>Fri</v>
      </c>
      <c r="D285" s="136">
        <f t="shared" si="37"/>
        <v>1</v>
      </c>
      <c r="E285" s="137" t="s">
        <v>129</v>
      </c>
      <c r="F285" s="137" t="s">
        <v>129</v>
      </c>
      <c r="G285" s="137" t="s">
        <v>129</v>
      </c>
      <c r="H285" s="137" t="s">
        <v>129</v>
      </c>
      <c r="I285" s="137" t="s">
        <v>129</v>
      </c>
      <c r="J285" s="137" t="s">
        <v>129</v>
      </c>
      <c r="K285" s="137" t="s">
        <v>129</v>
      </c>
      <c r="L285" s="137" t="s">
        <v>129</v>
      </c>
      <c r="M285" s="141"/>
      <c r="N285" s="147"/>
    </row>
    <row r="286" hidden="1" outlineLevel="1">
      <c r="A286" s="303" t="s">
        <v>724</v>
      </c>
      <c r="B286" s="344">
        <v>46080.0</v>
      </c>
      <c r="C286" s="133" t="str">
        <f t="shared" si="36"/>
        <v>Fri</v>
      </c>
      <c r="D286" s="136">
        <f t="shared" si="37"/>
        <v>1</v>
      </c>
      <c r="E286" s="137" t="s">
        <v>129</v>
      </c>
      <c r="F286" s="137" t="s">
        <v>129</v>
      </c>
      <c r="G286" s="137" t="s">
        <v>129</v>
      </c>
      <c r="H286" s="137" t="s">
        <v>129</v>
      </c>
      <c r="I286" s="137" t="s">
        <v>129</v>
      </c>
      <c r="J286" s="137" t="s">
        <v>129</v>
      </c>
      <c r="K286" s="137" t="s">
        <v>129</v>
      </c>
      <c r="L286" s="137" t="s">
        <v>129</v>
      </c>
      <c r="M286" s="141"/>
      <c r="N286" s="147"/>
    </row>
    <row r="287" hidden="1" outlineLevel="1">
      <c r="A287" s="303" t="s">
        <v>725</v>
      </c>
      <c r="B287" s="344">
        <v>46082.0</v>
      </c>
      <c r="C287" s="133" t="str">
        <f t="shared" si="36"/>
        <v>Sun</v>
      </c>
      <c r="D287" s="136">
        <f t="shared" si="37"/>
        <v>1</v>
      </c>
      <c r="E287" s="137" t="s">
        <v>129</v>
      </c>
      <c r="F287" s="137" t="s">
        <v>129</v>
      </c>
      <c r="G287" s="137" t="s">
        <v>129</v>
      </c>
      <c r="H287" s="137" t="s">
        <v>129</v>
      </c>
      <c r="I287" s="137" t="s">
        <v>129</v>
      </c>
      <c r="J287" s="137" t="s">
        <v>129</v>
      </c>
      <c r="K287" s="137" t="s">
        <v>129</v>
      </c>
      <c r="L287" s="137" t="s">
        <v>129</v>
      </c>
      <c r="M287" s="141"/>
      <c r="N287" s="143"/>
    </row>
    <row r="288" hidden="1" outlineLevel="1">
      <c r="A288" s="303" t="s">
        <v>727</v>
      </c>
      <c r="B288" s="344">
        <v>46082.0</v>
      </c>
      <c r="C288" s="133" t="str">
        <f t="shared" si="36"/>
        <v>Sun</v>
      </c>
      <c r="D288" s="136">
        <f t="shared" si="37"/>
        <v>1</v>
      </c>
      <c r="E288" s="137" t="s">
        <v>129</v>
      </c>
      <c r="F288" s="137" t="s">
        <v>129</v>
      </c>
      <c r="G288" s="137" t="s">
        <v>129</v>
      </c>
      <c r="H288" s="137" t="s">
        <v>129</v>
      </c>
      <c r="I288" s="137" t="s">
        <v>129</v>
      </c>
      <c r="J288" s="137" t="s">
        <v>129</v>
      </c>
      <c r="K288" s="137" t="s">
        <v>129</v>
      </c>
      <c r="L288" s="137" t="s">
        <v>129</v>
      </c>
      <c r="M288" s="141"/>
      <c r="N288" s="143"/>
    </row>
    <row r="289" ht="15.0" hidden="1" customHeight="1" outlineLevel="1">
      <c r="A289" s="303" t="s">
        <v>730</v>
      </c>
      <c r="B289" s="344">
        <v>46082.0</v>
      </c>
      <c r="C289" s="133" t="str">
        <f t="shared" si="36"/>
        <v>Sun</v>
      </c>
      <c r="D289" s="136">
        <f t="shared" si="37"/>
        <v>1</v>
      </c>
      <c r="E289" s="137" t="s">
        <v>129</v>
      </c>
      <c r="F289" s="137" t="s">
        <v>129</v>
      </c>
      <c r="G289" s="137" t="s">
        <v>129</v>
      </c>
      <c r="H289" s="137" t="s">
        <v>129</v>
      </c>
      <c r="I289" s="137" t="s">
        <v>129</v>
      </c>
      <c r="J289" s="137" t="s">
        <v>129</v>
      </c>
      <c r="K289" s="137" t="s">
        <v>129</v>
      </c>
      <c r="L289" s="137" t="s">
        <v>129</v>
      </c>
      <c r="M289" s="141"/>
      <c r="N289" s="147"/>
    </row>
    <row r="290" hidden="1" outlineLevel="1">
      <c r="B290" s="189"/>
      <c r="C290" s="191" t="s">
        <v>194</v>
      </c>
      <c r="D290" s="204">
        <f>AVERAGE(D275:D289)</f>
        <v>1</v>
      </c>
      <c r="E290" s="200"/>
      <c r="L290" s="191" t="s">
        <v>194</v>
      </c>
      <c r="M290" s="204">
        <f>SUM(M275:M289)/75*0.1</f>
        <v>0</v>
      </c>
    </row>
    <row r="291" hidden="1" collapsed="1">
      <c r="A291" s="206" t="s">
        <v>731</v>
      </c>
      <c r="B291" s="207"/>
      <c r="C291" s="207"/>
      <c r="D291" s="208"/>
      <c r="E291" s="109"/>
      <c r="F291" s="109"/>
      <c r="G291" s="110"/>
      <c r="H291" s="110"/>
      <c r="I291" s="110"/>
      <c r="J291" s="110"/>
      <c r="K291" s="110"/>
      <c r="L291" s="110"/>
      <c r="M291" s="111"/>
      <c r="N291" s="113"/>
    </row>
    <row r="292" hidden="1" outlineLevel="1">
      <c r="A292" s="373" t="s">
        <v>98</v>
      </c>
      <c r="B292" s="115" t="s">
        <v>100</v>
      </c>
      <c r="C292" s="115" t="s">
        <v>102</v>
      </c>
      <c r="D292" s="119" t="s">
        <v>103</v>
      </c>
      <c r="E292" s="275" t="s">
        <v>269</v>
      </c>
      <c r="F292" s="275" t="s">
        <v>272</v>
      </c>
      <c r="G292" s="276" t="s">
        <v>328</v>
      </c>
      <c r="H292" s="121" t="s">
        <v>107</v>
      </c>
      <c r="I292" s="121" t="s">
        <v>108</v>
      </c>
      <c r="J292" s="276" t="s">
        <v>329</v>
      </c>
      <c r="K292" s="121" t="s">
        <v>111</v>
      </c>
      <c r="L292" s="276" t="s">
        <v>274</v>
      </c>
      <c r="M292" s="115" t="s">
        <v>114</v>
      </c>
      <c r="N292" s="119" t="s">
        <v>115</v>
      </c>
    </row>
    <row r="293" hidden="1" outlineLevel="1">
      <c r="A293" s="303" t="s">
        <v>733</v>
      </c>
      <c r="B293" s="344">
        <v>46083.0</v>
      </c>
      <c r="C293" s="133" t="str">
        <f t="shared" ref="C293:C307" si="38">IF(B293="", "", TEXT(B293, "ddd"))</f>
        <v>Mon</v>
      </c>
      <c r="D293" s="136">
        <f t="shared" ref="D293:D307" si="39">IF(E293="Yes",0.05,0)
+IF(F293="Yes",0.1,0)
+IF(G293="Yes",0.15,0)
+IF(H293="Yes",0.15,0)
+IF(I293="Yes",0.05,0)
+IF(J293="Yes",0.05,0)
+IF(K293="Yes",0.15,0)
+IF(L293="Yes",0.3,0)
</f>
        <v>1</v>
      </c>
      <c r="E293" s="137" t="s">
        <v>129</v>
      </c>
      <c r="F293" s="137" t="s">
        <v>129</v>
      </c>
      <c r="G293" s="137" t="s">
        <v>129</v>
      </c>
      <c r="H293" s="137" t="s">
        <v>129</v>
      </c>
      <c r="I293" s="137" t="s">
        <v>129</v>
      </c>
      <c r="J293" s="137" t="s">
        <v>129</v>
      </c>
      <c r="K293" s="137" t="s">
        <v>129</v>
      </c>
      <c r="L293" s="137" t="s">
        <v>129</v>
      </c>
      <c r="M293" s="141"/>
      <c r="N293" s="143"/>
    </row>
    <row r="294" hidden="1" outlineLevel="1">
      <c r="A294" s="303" t="s">
        <v>735</v>
      </c>
      <c r="B294" s="344">
        <v>46083.0</v>
      </c>
      <c r="C294" s="133" t="str">
        <f t="shared" si="38"/>
        <v>Mon</v>
      </c>
      <c r="D294" s="136">
        <f t="shared" si="39"/>
        <v>1</v>
      </c>
      <c r="E294" s="137" t="s">
        <v>129</v>
      </c>
      <c r="F294" s="137" t="s">
        <v>129</v>
      </c>
      <c r="G294" s="137" t="s">
        <v>129</v>
      </c>
      <c r="H294" s="137" t="s">
        <v>129</v>
      </c>
      <c r="I294" s="137" t="s">
        <v>129</v>
      </c>
      <c r="J294" s="137" t="s">
        <v>129</v>
      </c>
      <c r="K294" s="137" t="s">
        <v>129</v>
      </c>
      <c r="L294" s="137" t="s">
        <v>129</v>
      </c>
      <c r="M294" s="141"/>
      <c r="N294" s="147"/>
    </row>
    <row r="295" hidden="1" outlineLevel="1">
      <c r="A295" s="303" t="s">
        <v>737</v>
      </c>
      <c r="B295" s="344">
        <v>46083.0</v>
      </c>
      <c r="C295" s="133" t="str">
        <f t="shared" si="38"/>
        <v>Mon</v>
      </c>
      <c r="D295" s="136">
        <f t="shared" si="39"/>
        <v>1</v>
      </c>
      <c r="E295" s="137" t="s">
        <v>129</v>
      </c>
      <c r="F295" s="137" t="s">
        <v>129</v>
      </c>
      <c r="G295" s="137" t="s">
        <v>129</v>
      </c>
      <c r="H295" s="137" t="s">
        <v>129</v>
      </c>
      <c r="I295" s="137" t="s">
        <v>129</v>
      </c>
      <c r="J295" s="137" t="s">
        <v>129</v>
      </c>
      <c r="K295" s="137" t="s">
        <v>129</v>
      </c>
      <c r="L295" s="137" t="s">
        <v>129</v>
      </c>
      <c r="M295" s="141"/>
      <c r="N295" s="147"/>
    </row>
    <row r="296" hidden="1" outlineLevel="1">
      <c r="A296" s="303" t="s">
        <v>739</v>
      </c>
      <c r="B296" s="344">
        <v>46084.0</v>
      </c>
      <c r="C296" s="133" t="str">
        <f t="shared" si="38"/>
        <v>Tue</v>
      </c>
      <c r="D296" s="136">
        <f t="shared" si="39"/>
        <v>1</v>
      </c>
      <c r="E296" s="137" t="s">
        <v>129</v>
      </c>
      <c r="F296" s="137" t="s">
        <v>129</v>
      </c>
      <c r="G296" s="137" t="s">
        <v>129</v>
      </c>
      <c r="H296" s="137" t="s">
        <v>129</v>
      </c>
      <c r="I296" s="137" t="s">
        <v>129</v>
      </c>
      <c r="J296" s="137" t="s">
        <v>129</v>
      </c>
      <c r="K296" s="137" t="s">
        <v>129</v>
      </c>
      <c r="L296" s="137" t="s">
        <v>129</v>
      </c>
      <c r="M296" s="141"/>
      <c r="N296" s="143"/>
    </row>
    <row r="297" hidden="1" outlineLevel="1">
      <c r="A297" s="255" t="s">
        <v>741</v>
      </c>
      <c r="B297" s="344">
        <v>46084.0</v>
      </c>
      <c r="C297" s="133" t="str">
        <f t="shared" si="38"/>
        <v>Tue</v>
      </c>
      <c r="D297" s="136">
        <f t="shared" si="39"/>
        <v>1</v>
      </c>
      <c r="E297" s="137" t="s">
        <v>129</v>
      </c>
      <c r="F297" s="137" t="s">
        <v>129</v>
      </c>
      <c r="G297" s="137" t="s">
        <v>129</v>
      </c>
      <c r="H297" s="137" t="s">
        <v>129</v>
      </c>
      <c r="I297" s="137" t="s">
        <v>129</v>
      </c>
      <c r="J297" s="137" t="s">
        <v>129</v>
      </c>
      <c r="K297" s="137" t="s">
        <v>129</v>
      </c>
      <c r="L297" s="137" t="s">
        <v>129</v>
      </c>
      <c r="M297" s="141"/>
      <c r="N297" s="143"/>
    </row>
    <row r="298" hidden="1" outlineLevel="1">
      <c r="A298" s="255" t="s">
        <v>743</v>
      </c>
      <c r="B298" s="344">
        <v>46084.0</v>
      </c>
      <c r="C298" s="133" t="str">
        <f t="shared" si="38"/>
        <v>Tue</v>
      </c>
      <c r="D298" s="136">
        <f t="shared" si="39"/>
        <v>1</v>
      </c>
      <c r="E298" s="137" t="s">
        <v>129</v>
      </c>
      <c r="F298" s="137" t="s">
        <v>129</v>
      </c>
      <c r="G298" s="137" t="s">
        <v>129</v>
      </c>
      <c r="H298" s="137" t="s">
        <v>129</v>
      </c>
      <c r="I298" s="137" t="s">
        <v>129</v>
      </c>
      <c r="J298" s="137" t="s">
        <v>129</v>
      </c>
      <c r="K298" s="137" t="s">
        <v>129</v>
      </c>
      <c r="L298" s="137" t="s">
        <v>129</v>
      </c>
      <c r="M298" s="141"/>
      <c r="N298" s="143"/>
    </row>
    <row r="299" hidden="1" outlineLevel="1">
      <c r="A299" s="255" t="s">
        <v>745</v>
      </c>
      <c r="B299" s="344">
        <v>46085.0</v>
      </c>
      <c r="C299" s="133" t="str">
        <f t="shared" si="38"/>
        <v>Wed</v>
      </c>
      <c r="D299" s="136">
        <f t="shared" si="39"/>
        <v>1</v>
      </c>
      <c r="E299" s="137" t="s">
        <v>129</v>
      </c>
      <c r="F299" s="137" t="s">
        <v>129</v>
      </c>
      <c r="G299" s="137" t="s">
        <v>129</v>
      </c>
      <c r="H299" s="137" t="s">
        <v>129</v>
      </c>
      <c r="I299" s="137" t="s">
        <v>129</v>
      </c>
      <c r="J299" s="137" t="s">
        <v>129</v>
      </c>
      <c r="K299" s="137" t="s">
        <v>129</v>
      </c>
      <c r="L299" s="137" t="s">
        <v>129</v>
      </c>
      <c r="M299" s="141"/>
      <c r="N299" s="143"/>
    </row>
    <row r="300" hidden="1" outlineLevel="1">
      <c r="A300" s="255" t="s">
        <v>747</v>
      </c>
      <c r="B300" s="344">
        <v>46085.0</v>
      </c>
      <c r="C300" s="133" t="str">
        <f t="shared" si="38"/>
        <v>Wed</v>
      </c>
      <c r="D300" s="136">
        <f t="shared" si="39"/>
        <v>1</v>
      </c>
      <c r="E300" s="137" t="s">
        <v>129</v>
      </c>
      <c r="F300" s="137" t="s">
        <v>129</v>
      </c>
      <c r="G300" s="137" t="s">
        <v>129</v>
      </c>
      <c r="H300" s="137" t="s">
        <v>129</v>
      </c>
      <c r="I300" s="137" t="s">
        <v>129</v>
      </c>
      <c r="J300" s="137" t="s">
        <v>129</v>
      </c>
      <c r="K300" s="137" t="s">
        <v>129</v>
      </c>
      <c r="L300" s="137" t="s">
        <v>129</v>
      </c>
      <c r="M300" s="141"/>
      <c r="N300" s="147"/>
    </row>
    <row r="301" hidden="1" outlineLevel="1">
      <c r="A301" s="255" t="s">
        <v>748</v>
      </c>
      <c r="B301" s="344">
        <v>46085.0</v>
      </c>
      <c r="C301" s="133" t="str">
        <f t="shared" si="38"/>
        <v>Wed</v>
      </c>
      <c r="D301" s="136">
        <f t="shared" si="39"/>
        <v>1</v>
      </c>
      <c r="E301" s="137" t="s">
        <v>129</v>
      </c>
      <c r="F301" s="137" t="s">
        <v>129</v>
      </c>
      <c r="G301" s="137" t="s">
        <v>129</v>
      </c>
      <c r="H301" s="137" t="s">
        <v>129</v>
      </c>
      <c r="I301" s="137" t="s">
        <v>129</v>
      </c>
      <c r="J301" s="137" t="s">
        <v>129</v>
      </c>
      <c r="K301" s="137" t="s">
        <v>129</v>
      </c>
      <c r="L301" s="137" t="s">
        <v>129</v>
      </c>
      <c r="M301" s="141"/>
      <c r="N301" s="143"/>
    </row>
    <row r="302" hidden="1" outlineLevel="1">
      <c r="A302" s="255" t="s">
        <v>749</v>
      </c>
      <c r="B302" s="344">
        <v>46086.0</v>
      </c>
      <c r="C302" s="133" t="str">
        <f t="shared" si="38"/>
        <v>Thu</v>
      </c>
      <c r="D302" s="136">
        <f t="shared" si="39"/>
        <v>1</v>
      </c>
      <c r="E302" s="137" t="s">
        <v>129</v>
      </c>
      <c r="F302" s="137" t="s">
        <v>129</v>
      </c>
      <c r="G302" s="137" t="s">
        <v>129</v>
      </c>
      <c r="H302" s="137" t="s">
        <v>129</v>
      </c>
      <c r="I302" s="137" t="s">
        <v>129</v>
      </c>
      <c r="J302" s="137" t="s">
        <v>129</v>
      </c>
      <c r="K302" s="137" t="s">
        <v>129</v>
      </c>
      <c r="L302" s="137" t="s">
        <v>129</v>
      </c>
      <c r="M302" s="141"/>
      <c r="N302" s="147"/>
    </row>
    <row r="303" hidden="1" outlineLevel="1">
      <c r="A303" s="255" t="s">
        <v>750</v>
      </c>
      <c r="B303" s="344">
        <v>46086.0</v>
      </c>
      <c r="C303" s="133" t="str">
        <f t="shared" si="38"/>
        <v>Thu</v>
      </c>
      <c r="D303" s="136">
        <f t="shared" si="39"/>
        <v>1</v>
      </c>
      <c r="E303" s="137" t="s">
        <v>129</v>
      </c>
      <c r="F303" s="137" t="s">
        <v>129</v>
      </c>
      <c r="G303" s="137" t="s">
        <v>129</v>
      </c>
      <c r="H303" s="137" t="s">
        <v>129</v>
      </c>
      <c r="I303" s="137" t="s">
        <v>129</v>
      </c>
      <c r="J303" s="137" t="s">
        <v>129</v>
      </c>
      <c r="K303" s="137" t="s">
        <v>129</v>
      </c>
      <c r="L303" s="137" t="s">
        <v>129</v>
      </c>
      <c r="M303" s="141"/>
      <c r="N303" s="147"/>
    </row>
    <row r="304" hidden="1" outlineLevel="1">
      <c r="A304" s="255" t="s">
        <v>752</v>
      </c>
      <c r="B304" s="344">
        <v>46086.0</v>
      </c>
      <c r="C304" s="133" t="str">
        <f t="shared" si="38"/>
        <v>Thu</v>
      </c>
      <c r="D304" s="136">
        <f t="shared" si="39"/>
        <v>1</v>
      </c>
      <c r="E304" s="137" t="s">
        <v>129</v>
      </c>
      <c r="F304" s="137" t="s">
        <v>129</v>
      </c>
      <c r="G304" s="137" t="s">
        <v>129</v>
      </c>
      <c r="H304" s="137" t="s">
        <v>129</v>
      </c>
      <c r="I304" s="137" t="s">
        <v>129</v>
      </c>
      <c r="J304" s="137" t="s">
        <v>129</v>
      </c>
      <c r="K304" s="137" t="s">
        <v>129</v>
      </c>
      <c r="L304" s="137" t="s">
        <v>129</v>
      </c>
      <c r="M304" s="141"/>
      <c r="N304" s="147"/>
    </row>
    <row r="305" hidden="1" outlineLevel="1">
      <c r="A305" s="255" t="s">
        <v>753</v>
      </c>
      <c r="B305" s="344">
        <v>46087.0</v>
      </c>
      <c r="C305" s="133" t="str">
        <f t="shared" si="38"/>
        <v>Fri</v>
      </c>
      <c r="D305" s="136">
        <f t="shared" si="39"/>
        <v>1</v>
      </c>
      <c r="E305" s="137" t="s">
        <v>129</v>
      </c>
      <c r="F305" s="137" t="s">
        <v>129</v>
      </c>
      <c r="G305" s="137" t="s">
        <v>129</v>
      </c>
      <c r="H305" s="137" t="s">
        <v>129</v>
      </c>
      <c r="I305" s="137" t="s">
        <v>129</v>
      </c>
      <c r="J305" s="137" t="s">
        <v>129</v>
      </c>
      <c r="K305" s="137" t="s">
        <v>129</v>
      </c>
      <c r="L305" s="137" t="s">
        <v>129</v>
      </c>
      <c r="M305" s="141"/>
      <c r="N305" s="143"/>
    </row>
    <row r="306" hidden="1" outlineLevel="1">
      <c r="A306" s="255" t="s">
        <v>755</v>
      </c>
      <c r="B306" s="344">
        <v>46087.0</v>
      </c>
      <c r="C306" s="133" t="str">
        <f t="shared" si="38"/>
        <v>Fri</v>
      </c>
      <c r="D306" s="136">
        <f t="shared" si="39"/>
        <v>1</v>
      </c>
      <c r="E306" s="137" t="s">
        <v>129</v>
      </c>
      <c r="F306" s="137" t="s">
        <v>129</v>
      </c>
      <c r="G306" s="137" t="s">
        <v>129</v>
      </c>
      <c r="H306" s="137" t="s">
        <v>129</v>
      </c>
      <c r="I306" s="137" t="s">
        <v>129</v>
      </c>
      <c r="J306" s="137" t="s">
        <v>129</v>
      </c>
      <c r="K306" s="137" t="s">
        <v>129</v>
      </c>
      <c r="L306" s="137" t="s">
        <v>129</v>
      </c>
      <c r="M306" s="141"/>
      <c r="N306" s="143"/>
    </row>
    <row r="307" ht="15.0" hidden="1" customHeight="1" outlineLevel="1">
      <c r="A307" s="255" t="s">
        <v>764</v>
      </c>
      <c r="B307" s="344">
        <v>46087.0</v>
      </c>
      <c r="C307" s="133" t="str">
        <f t="shared" si="38"/>
        <v>Fri</v>
      </c>
      <c r="D307" s="136">
        <f t="shared" si="39"/>
        <v>1</v>
      </c>
      <c r="E307" s="137" t="s">
        <v>129</v>
      </c>
      <c r="F307" s="137" t="s">
        <v>129</v>
      </c>
      <c r="G307" s="137" t="s">
        <v>129</v>
      </c>
      <c r="H307" s="137" t="s">
        <v>129</v>
      </c>
      <c r="I307" s="137" t="s">
        <v>129</v>
      </c>
      <c r="J307" s="137" t="s">
        <v>129</v>
      </c>
      <c r="K307" s="137" t="s">
        <v>129</v>
      </c>
      <c r="L307" s="137" t="s">
        <v>129</v>
      </c>
      <c r="M307" s="141"/>
      <c r="N307" s="147"/>
    </row>
    <row r="308" hidden="1" outlineLevel="1">
      <c r="B308" s="189"/>
      <c r="C308" s="191" t="s">
        <v>194</v>
      </c>
      <c r="D308" s="204">
        <f>AVERAGE(D293:D307)</f>
        <v>1</v>
      </c>
      <c r="E308" s="200"/>
      <c r="L308" s="191" t="s">
        <v>194</v>
      </c>
      <c r="M308" s="204">
        <f>SUM(M293:M307)/75*0.1</f>
        <v>0</v>
      </c>
    </row>
    <row r="309" hidden="1" collapsed="1">
      <c r="A309" s="206" t="s">
        <v>766</v>
      </c>
      <c r="B309" s="207"/>
      <c r="C309" s="207"/>
      <c r="D309" s="208"/>
      <c r="E309" s="109"/>
      <c r="F309" s="109"/>
      <c r="G309" s="110"/>
      <c r="H309" s="110"/>
      <c r="I309" s="110"/>
      <c r="J309" s="110"/>
      <c r="K309" s="110"/>
      <c r="L309" s="110"/>
      <c r="M309" s="111"/>
      <c r="N309" s="113"/>
    </row>
    <row r="310" hidden="1" outlineLevel="1">
      <c r="A310" s="373" t="s">
        <v>98</v>
      </c>
      <c r="B310" s="115" t="s">
        <v>100</v>
      </c>
      <c r="C310" s="115" t="s">
        <v>102</v>
      </c>
      <c r="D310" s="119" t="s">
        <v>103</v>
      </c>
      <c r="E310" s="275" t="s">
        <v>269</v>
      </c>
      <c r="F310" s="275" t="s">
        <v>272</v>
      </c>
      <c r="G310" s="276" t="s">
        <v>328</v>
      </c>
      <c r="H310" s="121" t="s">
        <v>107</v>
      </c>
      <c r="I310" s="121" t="s">
        <v>108</v>
      </c>
      <c r="J310" s="276" t="s">
        <v>329</v>
      </c>
      <c r="K310" s="121" t="s">
        <v>111</v>
      </c>
      <c r="L310" s="276" t="s">
        <v>274</v>
      </c>
      <c r="M310" s="115" t="s">
        <v>114</v>
      </c>
      <c r="N310" s="119" t="s">
        <v>115</v>
      </c>
    </row>
    <row r="311" hidden="1" outlineLevel="1">
      <c r="A311" s="269" t="s">
        <v>768</v>
      </c>
      <c r="B311" s="344">
        <v>46090.0</v>
      </c>
      <c r="C311" s="133" t="str">
        <f t="shared" ref="C311:C325" si="40">IF(B311="", "", TEXT(B311, "ddd"))</f>
        <v>Mon</v>
      </c>
      <c r="D311" s="136">
        <f t="shared" ref="D311:D325" si="41">IF(E311="Yes",0.05,0)
+IF(F311="Yes",0.1,0)
+IF(G311="Yes",0.15,0)
+IF(H311="Yes",0.15,0)
+IF(I311="Yes",0.05,0)
+IF(J311="Yes",0.05,0)
+IF(K311="Yes",0.15,0)
+IF(L311="Yes",0.3,0)
</f>
        <v>1</v>
      </c>
      <c r="E311" s="137" t="s">
        <v>129</v>
      </c>
      <c r="F311" s="137" t="s">
        <v>129</v>
      </c>
      <c r="G311" s="137" t="s">
        <v>129</v>
      </c>
      <c r="H311" s="137" t="s">
        <v>129</v>
      </c>
      <c r="I311" s="137" t="s">
        <v>129</v>
      </c>
      <c r="J311" s="137" t="s">
        <v>129</v>
      </c>
      <c r="K311" s="137" t="s">
        <v>129</v>
      </c>
      <c r="L311" s="137" t="s">
        <v>129</v>
      </c>
      <c r="M311" s="141"/>
      <c r="N311" s="143"/>
    </row>
    <row r="312" hidden="1" outlineLevel="1">
      <c r="A312" s="255" t="s">
        <v>769</v>
      </c>
      <c r="B312" s="344">
        <v>46090.0</v>
      </c>
      <c r="C312" s="133" t="str">
        <f t="shared" si="40"/>
        <v>Mon</v>
      </c>
      <c r="D312" s="136">
        <f t="shared" si="41"/>
        <v>1</v>
      </c>
      <c r="E312" s="137" t="s">
        <v>129</v>
      </c>
      <c r="F312" s="137" t="s">
        <v>129</v>
      </c>
      <c r="G312" s="137" t="s">
        <v>129</v>
      </c>
      <c r="H312" s="137" t="s">
        <v>129</v>
      </c>
      <c r="I312" s="137" t="s">
        <v>129</v>
      </c>
      <c r="J312" s="137" t="s">
        <v>129</v>
      </c>
      <c r="K312" s="137" t="s">
        <v>129</v>
      </c>
      <c r="L312" s="137" t="s">
        <v>129</v>
      </c>
      <c r="M312" s="141"/>
      <c r="N312" s="147"/>
    </row>
    <row r="313" hidden="1" outlineLevel="1">
      <c r="A313" s="255" t="s">
        <v>771</v>
      </c>
      <c r="B313" s="344">
        <v>46090.0</v>
      </c>
      <c r="C313" s="133" t="str">
        <f t="shared" si="40"/>
        <v>Mon</v>
      </c>
      <c r="D313" s="136">
        <f t="shared" si="41"/>
        <v>1</v>
      </c>
      <c r="E313" s="137" t="s">
        <v>129</v>
      </c>
      <c r="F313" s="137" t="s">
        <v>129</v>
      </c>
      <c r="G313" s="137" t="s">
        <v>129</v>
      </c>
      <c r="H313" s="137" t="s">
        <v>129</v>
      </c>
      <c r="I313" s="137" t="s">
        <v>129</v>
      </c>
      <c r="J313" s="137" t="s">
        <v>129</v>
      </c>
      <c r="K313" s="137" t="s">
        <v>129</v>
      </c>
      <c r="L313" s="137" t="s">
        <v>129</v>
      </c>
      <c r="M313" s="141"/>
      <c r="N313" s="147"/>
    </row>
    <row r="314" hidden="1" outlineLevel="1">
      <c r="A314" s="255" t="s">
        <v>772</v>
      </c>
      <c r="B314" s="344">
        <v>46091.0</v>
      </c>
      <c r="C314" s="133" t="str">
        <f t="shared" si="40"/>
        <v>Tue</v>
      </c>
      <c r="D314" s="136">
        <f t="shared" si="41"/>
        <v>1</v>
      </c>
      <c r="E314" s="137" t="s">
        <v>129</v>
      </c>
      <c r="F314" s="137" t="s">
        <v>129</v>
      </c>
      <c r="G314" s="137" t="s">
        <v>129</v>
      </c>
      <c r="H314" s="137" t="s">
        <v>129</v>
      </c>
      <c r="I314" s="137" t="s">
        <v>129</v>
      </c>
      <c r="J314" s="137" t="s">
        <v>129</v>
      </c>
      <c r="K314" s="137" t="s">
        <v>129</v>
      </c>
      <c r="L314" s="137" t="s">
        <v>129</v>
      </c>
      <c r="M314" s="141"/>
      <c r="N314" s="143"/>
    </row>
    <row r="315" hidden="1" outlineLevel="1">
      <c r="A315" s="255" t="s">
        <v>774</v>
      </c>
      <c r="B315" s="344">
        <v>46091.0</v>
      </c>
      <c r="C315" s="133" t="str">
        <f t="shared" si="40"/>
        <v>Tue</v>
      </c>
      <c r="D315" s="136">
        <f t="shared" si="41"/>
        <v>1</v>
      </c>
      <c r="E315" s="374" t="s">
        <v>129</v>
      </c>
      <c r="F315" s="375" t="s">
        <v>129</v>
      </c>
      <c r="G315" s="375" t="s">
        <v>129</v>
      </c>
      <c r="H315" s="375" t="s">
        <v>129</v>
      </c>
      <c r="I315" s="375" t="s">
        <v>129</v>
      </c>
      <c r="J315" s="375" t="s">
        <v>129</v>
      </c>
      <c r="K315" s="375" t="s">
        <v>129</v>
      </c>
      <c r="L315" s="375" t="s">
        <v>129</v>
      </c>
      <c r="M315" s="141"/>
      <c r="N315" s="143"/>
    </row>
    <row r="316" hidden="1" outlineLevel="1">
      <c r="A316" s="255" t="s">
        <v>776</v>
      </c>
      <c r="B316" s="344">
        <v>46091.0</v>
      </c>
      <c r="C316" s="133" t="str">
        <f t="shared" si="40"/>
        <v>Tue</v>
      </c>
      <c r="D316" s="136">
        <f t="shared" si="41"/>
        <v>1</v>
      </c>
      <c r="E316" s="137" t="s">
        <v>129</v>
      </c>
      <c r="F316" s="137" t="s">
        <v>129</v>
      </c>
      <c r="G316" s="137" t="s">
        <v>129</v>
      </c>
      <c r="H316" s="137" t="s">
        <v>129</v>
      </c>
      <c r="I316" s="137" t="s">
        <v>129</v>
      </c>
      <c r="J316" s="137" t="s">
        <v>129</v>
      </c>
      <c r="K316" s="137" t="s">
        <v>129</v>
      </c>
      <c r="L316" s="137" t="s">
        <v>129</v>
      </c>
      <c r="M316" s="141"/>
      <c r="N316" s="143"/>
    </row>
    <row r="317" hidden="1" outlineLevel="1">
      <c r="A317" s="255" t="s">
        <v>777</v>
      </c>
      <c r="B317" s="344">
        <v>46092.0</v>
      </c>
      <c r="C317" s="133" t="str">
        <f t="shared" si="40"/>
        <v>Wed</v>
      </c>
      <c r="D317" s="136">
        <f t="shared" si="41"/>
        <v>1</v>
      </c>
      <c r="E317" s="137" t="s">
        <v>129</v>
      </c>
      <c r="F317" s="137" t="s">
        <v>129</v>
      </c>
      <c r="G317" s="137" t="s">
        <v>129</v>
      </c>
      <c r="H317" s="137" t="s">
        <v>129</v>
      </c>
      <c r="I317" s="137" t="s">
        <v>129</v>
      </c>
      <c r="J317" s="137" t="s">
        <v>129</v>
      </c>
      <c r="K317" s="137" t="s">
        <v>129</v>
      </c>
      <c r="L317" s="137" t="s">
        <v>129</v>
      </c>
      <c r="M317" s="141"/>
      <c r="N317" s="143"/>
    </row>
    <row r="318" hidden="1" outlineLevel="1">
      <c r="A318" s="255" t="s">
        <v>779</v>
      </c>
      <c r="B318" s="344">
        <v>46092.0</v>
      </c>
      <c r="C318" s="133" t="str">
        <f t="shared" si="40"/>
        <v>Wed</v>
      </c>
      <c r="D318" s="136">
        <f t="shared" si="41"/>
        <v>1</v>
      </c>
      <c r="E318" s="137" t="s">
        <v>129</v>
      </c>
      <c r="F318" s="137" t="s">
        <v>129</v>
      </c>
      <c r="G318" s="137" t="s">
        <v>129</v>
      </c>
      <c r="H318" s="137" t="s">
        <v>129</v>
      </c>
      <c r="I318" s="137" t="s">
        <v>129</v>
      </c>
      <c r="J318" s="137" t="s">
        <v>129</v>
      </c>
      <c r="K318" s="137" t="s">
        <v>129</v>
      </c>
      <c r="L318" s="137" t="s">
        <v>129</v>
      </c>
      <c r="M318" s="141"/>
      <c r="N318" s="147"/>
    </row>
    <row r="319" hidden="1" outlineLevel="1">
      <c r="A319" s="255" t="s">
        <v>780</v>
      </c>
      <c r="B319" s="344">
        <v>46092.0</v>
      </c>
      <c r="C319" s="133" t="str">
        <f t="shared" si="40"/>
        <v>Wed</v>
      </c>
      <c r="D319" s="136">
        <f t="shared" si="41"/>
        <v>1</v>
      </c>
      <c r="E319" s="137" t="s">
        <v>129</v>
      </c>
      <c r="F319" s="137" t="s">
        <v>129</v>
      </c>
      <c r="G319" s="137" t="s">
        <v>129</v>
      </c>
      <c r="H319" s="137" t="s">
        <v>129</v>
      </c>
      <c r="I319" s="137" t="s">
        <v>129</v>
      </c>
      <c r="J319" s="137" t="s">
        <v>129</v>
      </c>
      <c r="K319" s="137" t="s">
        <v>129</v>
      </c>
      <c r="L319" s="137" t="s">
        <v>129</v>
      </c>
      <c r="M319" s="141"/>
      <c r="N319" s="143"/>
    </row>
    <row r="320" hidden="1" outlineLevel="1">
      <c r="A320" s="255" t="s">
        <v>782</v>
      </c>
      <c r="B320" s="344">
        <v>46093.0</v>
      </c>
      <c r="C320" s="133" t="str">
        <f t="shared" si="40"/>
        <v>Thu</v>
      </c>
      <c r="D320" s="136">
        <f t="shared" si="41"/>
        <v>1</v>
      </c>
      <c r="E320" s="137" t="s">
        <v>129</v>
      </c>
      <c r="F320" s="137" t="s">
        <v>129</v>
      </c>
      <c r="G320" s="137" t="s">
        <v>129</v>
      </c>
      <c r="H320" s="137" t="s">
        <v>129</v>
      </c>
      <c r="I320" s="137" t="s">
        <v>129</v>
      </c>
      <c r="J320" s="137" t="s">
        <v>129</v>
      </c>
      <c r="K320" s="137" t="s">
        <v>129</v>
      </c>
      <c r="L320" s="137" t="s">
        <v>129</v>
      </c>
      <c r="M320" s="141"/>
      <c r="N320" s="147"/>
    </row>
    <row r="321" hidden="1" outlineLevel="1">
      <c r="A321" s="255" t="s">
        <v>784</v>
      </c>
      <c r="B321" s="344">
        <v>46093.0</v>
      </c>
      <c r="C321" s="133" t="str">
        <f t="shared" si="40"/>
        <v>Thu</v>
      </c>
      <c r="D321" s="136">
        <f t="shared" si="41"/>
        <v>1</v>
      </c>
      <c r="E321" s="137" t="s">
        <v>129</v>
      </c>
      <c r="F321" s="137" t="s">
        <v>129</v>
      </c>
      <c r="G321" s="137" t="s">
        <v>129</v>
      </c>
      <c r="H321" s="137" t="s">
        <v>129</v>
      </c>
      <c r="I321" s="137" t="s">
        <v>129</v>
      </c>
      <c r="J321" s="137" t="s">
        <v>129</v>
      </c>
      <c r="K321" s="137" t="s">
        <v>129</v>
      </c>
      <c r="L321" s="137" t="s">
        <v>129</v>
      </c>
      <c r="M321" s="141"/>
      <c r="N321" s="147"/>
    </row>
    <row r="322" hidden="1" outlineLevel="1">
      <c r="A322" s="255" t="s">
        <v>785</v>
      </c>
      <c r="B322" s="344">
        <v>46093.0</v>
      </c>
      <c r="C322" s="133" t="str">
        <f t="shared" si="40"/>
        <v>Thu</v>
      </c>
      <c r="D322" s="136">
        <f t="shared" si="41"/>
        <v>1</v>
      </c>
      <c r="E322" s="137" t="s">
        <v>129</v>
      </c>
      <c r="F322" s="137" t="s">
        <v>129</v>
      </c>
      <c r="G322" s="137" t="s">
        <v>129</v>
      </c>
      <c r="H322" s="137" t="s">
        <v>129</v>
      </c>
      <c r="I322" s="137" t="s">
        <v>129</v>
      </c>
      <c r="J322" s="137" t="s">
        <v>129</v>
      </c>
      <c r="K322" s="137" t="s">
        <v>129</v>
      </c>
      <c r="L322" s="137" t="s">
        <v>129</v>
      </c>
      <c r="M322" s="141"/>
      <c r="N322" s="147"/>
    </row>
    <row r="323" hidden="1" outlineLevel="1">
      <c r="A323" s="219" t="s">
        <v>786</v>
      </c>
      <c r="B323" s="344">
        <v>46094.0</v>
      </c>
      <c r="C323" s="133" t="str">
        <f t="shared" si="40"/>
        <v>Fri</v>
      </c>
      <c r="D323" s="136">
        <f t="shared" si="41"/>
        <v>1</v>
      </c>
      <c r="E323" s="137" t="s">
        <v>129</v>
      </c>
      <c r="F323" s="137" t="s">
        <v>129</v>
      </c>
      <c r="G323" s="137" t="s">
        <v>129</v>
      </c>
      <c r="H323" s="137" t="s">
        <v>129</v>
      </c>
      <c r="I323" s="137" t="s">
        <v>129</v>
      </c>
      <c r="J323" s="137" t="s">
        <v>129</v>
      </c>
      <c r="K323" s="137" t="s">
        <v>129</v>
      </c>
      <c r="L323" s="137" t="s">
        <v>129</v>
      </c>
      <c r="M323" s="137" t="s">
        <v>129</v>
      </c>
      <c r="N323" s="147"/>
    </row>
    <row r="324" hidden="1" outlineLevel="1">
      <c r="A324" s="219" t="s">
        <v>788</v>
      </c>
      <c r="B324" s="344">
        <v>46094.0</v>
      </c>
      <c r="C324" s="133" t="str">
        <f t="shared" si="40"/>
        <v>Fri</v>
      </c>
      <c r="D324" s="136">
        <f t="shared" si="41"/>
        <v>1</v>
      </c>
      <c r="E324" s="137" t="s">
        <v>129</v>
      </c>
      <c r="F324" s="137" t="s">
        <v>129</v>
      </c>
      <c r="G324" s="137" t="s">
        <v>129</v>
      </c>
      <c r="H324" s="137" t="s">
        <v>129</v>
      </c>
      <c r="I324" s="137" t="s">
        <v>129</v>
      </c>
      <c r="J324" s="137" t="s">
        <v>129</v>
      </c>
      <c r="K324" s="137" t="s">
        <v>129</v>
      </c>
      <c r="L324" s="137" t="s">
        <v>129</v>
      </c>
      <c r="M324" s="137" t="s">
        <v>129</v>
      </c>
      <c r="N324" s="147"/>
    </row>
    <row r="325" ht="15.0" hidden="1" customHeight="1" outlineLevel="1">
      <c r="A325" s="219" t="s">
        <v>791</v>
      </c>
      <c r="B325" s="344">
        <v>46094.0</v>
      </c>
      <c r="C325" s="133" t="str">
        <f t="shared" si="40"/>
        <v>Fri</v>
      </c>
      <c r="D325" s="136">
        <f t="shared" si="41"/>
        <v>1</v>
      </c>
      <c r="E325" s="137" t="s">
        <v>129</v>
      </c>
      <c r="F325" s="137" t="s">
        <v>129</v>
      </c>
      <c r="G325" s="137" t="s">
        <v>129</v>
      </c>
      <c r="H325" s="137" t="s">
        <v>129</v>
      </c>
      <c r="I325" s="137" t="s">
        <v>129</v>
      </c>
      <c r="J325" s="137" t="s">
        <v>129</v>
      </c>
      <c r="K325" s="137" t="s">
        <v>129</v>
      </c>
      <c r="L325" s="137" t="s">
        <v>129</v>
      </c>
      <c r="M325" s="137" t="s">
        <v>129</v>
      </c>
      <c r="N325" s="147"/>
    </row>
    <row r="326" hidden="1" outlineLevel="1">
      <c r="B326" s="189"/>
      <c r="C326" s="191" t="s">
        <v>194</v>
      </c>
      <c r="D326" s="204">
        <f>AVERAGE(D311:D325)</f>
        <v>1</v>
      </c>
      <c r="E326" s="200"/>
      <c r="L326" s="191" t="s">
        <v>194</v>
      </c>
      <c r="M326" s="204">
        <f>SUM(M311:M325)/75*0.1</f>
        <v>0</v>
      </c>
    </row>
    <row r="327" hidden="1" collapsed="1">
      <c r="A327" s="206" t="s">
        <v>792</v>
      </c>
      <c r="B327" s="207"/>
      <c r="C327" s="207"/>
      <c r="D327" s="208"/>
      <c r="E327" s="109"/>
      <c r="F327" s="109"/>
      <c r="G327" s="110"/>
      <c r="H327" s="110"/>
      <c r="I327" s="110"/>
      <c r="J327" s="110"/>
      <c r="K327" s="110"/>
      <c r="L327" s="110"/>
      <c r="M327" s="111"/>
      <c r="N327" s="113"/>
    </row>
    <row r="328" hidden="1" outlineLevel="1">
      <c r="A328" s="373" t="s">
        <v>98</v>
      </c>
      <c r="B328" s="115" t="s">
        <v>100</v>
      </c>
      <c r="C328" s="115" t="s">
        <v>102</v>
      </c>
      <c r="D328" s="119" t="s">
        <v>103</v>
      </c>
      <c r="E328" s="275" t="s">
        <v>269</v>
      </c>
      <c r="F328" s="275" t="s">
        <v>272</v>
      </c>
      <c r="G328" s="276" t="s">
        <v>328</v>
      </c>
      <c r="H328" s="121" t="s">
        <v>107</v>
      </c>
      <c r="I328" s="121" t="s">
        <v>108</v>
      </c>
      <c r="J328" s="276" t="s">
        <v>329</v>
      </c>
      <c r="K328" s="121" t="s">
        <v>111</v>
      </c>
      <c r="L328" s="276" t="s">
        <v>274</v>
      </c>
      <c r="M328" s="115" t="s">
        <v>114</v>
      </c>
      <c r="N328" s="119" t="s">
        <v>115</v>
      </c>
    </row>
    <row r="329" hidden="1" outlineLevel="1">
      <c r="A329" s="269" t="s">
        <v>794</v>
      </c>
      <c r="B329" s="344">
        <v>46097.0</v>
      </c>
      <c r="C329" s="133" t="str">
        <f t="shared" ref="C329:C343" si="42">IF(B329="", "", TEXT(B329, "ddd"))</f>
        <v>Mon</v>
      </c>
      <c r="D329" s="136">
        <f t="shared" ref="D329:D343" si="43">IF(E329="Yes",0.05,0)
+IF(F329="Yes",0.1,0)
+IF(G329="Yes",0.15,0)
+IF(H329="Yes",0.15,0)
+IF(I329="Yes",0.05,0)
+IF(J329="Yes",0.05,0)
+IF(K329="Yes",0.15,0)
+IF(L329="Yes",0.3,0)
</f>
        <v>1</v>
      </c>
      <c r="E329" s="137" t="s">
        <v>129</v>
      </c>
      <c r="F329" s="137" t="s">
        <v>129</v>
      </c>
      <c r="G329" s="137" t="s">
        <v>129</v>
      </c>
      <c r="H329" s="137" t="s">
        <v>129</v>
      </c>
      <c r="I329" s="137" t="s">
        <v>129</v>
      </c>
      <c r="J329" s="137" t="s">
        <v>129</v>
      </c>
      <c r="K329" s="137" t="s">
        <v>129</v>
      </c>
      <c r="L329" s="137" t="s">
        <v>129</v>
      </c>
      <c r="M329" s="141"/>
      <c r="N329" s="143"/>
    </row>
    <row r="330" hidden="1" outlineLevel="1">
      <c r="A330" s="303" t="s">
        <v>796</v>
      </c>
      <c r="B330" s="344">
        <v>46097.0</v>
      </c>
      <c r="C330" s="133" t="str">
        <f t="shared" si="42"/>
        <v>Mon</v>
      </c>
      <c r="D330" s="136">
        <f t="shared" si="43"/>
        <v>1</v>
      </c>
      <c r="E330" s="137" t="s">
        <v>129</v>
      </c>
      <c r="F330" s="137" t="s">
        <v>129</v>
      </c>
      <c r="G330" s="137" t="s">
        <v>129</v>
      </c>
      <c r="H330" s="137" t="s">
        <v>129</v>
      </c>
      <c r="I330" s="137" t="s">
        <v>129</v>
      </c>
      <c r="J330" s="137" t="s">
        <v>129</v>
      </c>
      <c r="K330" s="137" t="s">
        <v>129</v>
      </c>
      <c r="L330" s="137" t="s">
        <v>129</v>
      </c>
      <c r="M330" s="141"/>
      <c r="N330" s="147"/>
    </row>
    <row r="331" hidden="1" outlineLevel="1">
      <c r="A331" s="303" t="s">
        <v>798</v>
      </c>
      <c r="B331" s="344">
        <v>46097.0</v>
      </c>
      <c r="C331" s="133" t="str">
        <f t="shared" si="42"/>
        <v>Mon</v>
      </c>
      <c r="D331" s="136">
        <f t="shared" si="43"/>
        <v>1</v>
      </c>
      <c r="E331" s="137" t="s">
        <v>129</v>
      </c>
      <c r="F331" s="137" t="s">
        <v>129</v>
      </c>
      <c r="G331" s="137" t="s">
        <v>129</v>
      </c>
      <c r="H331" s="137" t="s">
        <v>129</v>
      </c>
      <c r="I331" s="137" t="s">
        <v>129</v>
      </c>
      <c r="J331" s="137" t="s">
        <v>129</v>
      </c>
      <c r="K331" s="137" t="s">
        <v>129</v>
      </c>
      <c r="L331" s="137" t="s">
        <v>129</v>
      </c>
      <c r="M331" s="141"/>
      <c r="N331" s="147"/>
    </row>
    <row r="332" hidden="1" outlineLevel="1">
      <c r="A332" s="376" t="s">
        <v>800</v>
      </c>
      <c r="B332" s="344">
        <v>46098.0</v>
      </c>
      <c r="C332" s="133" t="str">
        <f t="shared" si="42"/>
        <v>Tue</v>
      </c>
      <c r="D332" s="136">
        <f t="shared" si="43"/>
        <v>1</v>
      </c>
      <c r="E332" s="137" t="s">
        <v>129</v>
      </c>
      <c r="F332" s="137" t="s">
        <v>129</v>
      </c>
      <c r="G332" s="137" t="s">
        <v>129</v>
      </c>
      <c r="H332" s="137" t="s">
        <v>129</v>
      </c>
      <c r="I332" s="137" t="s">
        <v>129</v>
      </c>
      <c r="J332" s="137" t="s">
        <v>129</v>
      </c>
      <c r="K332" s="137" t="s">
        <v>129</v>
      </c>
      <c r="L332" s="137" t="s">
        <v>129</v>
      </c>
      <c r="M332" s="141"/>
      <c r="N332" s="143"/>
    </row>
    <row r="333" hidden="1" outlineLevel="1">
      <c r="A333" s="219" t="s">
        <v>801</v>
      </c>
      <c r="B333" s="344">
        <v>46098.0</v>
      </c>
      <c r="C333" s="133" t="str">
        <f t="shared" si="42"/>
        <v>Tue</v>
      </c>
      <c r="D333" s="136">
        <f t="shared" si="43"/>
        <v>1</v>
      </c>
      <c r="E333" s="137" t="s">
        <v>129</v>
      </c>
      <c r="F333" s="137" t="s">
        <v>129</v>
      </c>
      <c r="G333" s="137" t="s">
        <v>129</v>
      </c>
      <c r="H333" s="137" t="s">
        <v>129</v>
      </c>
      <c r="I333" s="137" t="s">
        <v>129</v>
      </c>
      <c r="J333" s="137" t="s">
        <v>129</v>
      </c>
      <c r="K333" s="137" t="s">
        <v>129</v>
      </c>
      <c r="L333" s="137" t="s">
        <v>129</v>
      </c>
      <c r="M333" s="141"/>
      <c r="N333" s="143"/>
    </row>
    <row r="334" hidden="1" outlineLevel="1">
      <c r="A334" s="219" t="s">
        <v>802</v>
      </c>
      <c r="B334" s="344">
        <v>46098.0</v>
      </c>
      <c r="C334" s="133" t="str">
        <f t="shared" si="42"/>
        <v>Tue</v>
      </c>
      <c r="D334" s="136">
        <f t="shared" si="43"/>
        <v>1</v>
      </c>
      <c r="E334" s="137" t="s">
        <v>129</v>
      </c>
      <c r="F334" s="137" t="s">
        <v>129</v>
      </c>
      <c r="G334" s="137" t="s">
        <v>129</v>
      </c>
      <c r="H334" s="137" t="s">
        <v>129</v>
      </c>
      <c r="I334" s="137" t="s">
        <v>129</v>
      </c>
      <c r="J334" s="137" t="s">
        <v>129</v>
      </c>
      <c r="K334" s="137" t="s">
        <v>129</v>
      </c>
      <c r="L334" s="137" t="s">
        <v>129</v>
      </c>
      <c r="M334" s="141"/>
      <c r="N334" s="143"/>
    </row>
    <row r="335" hidden="1" outlineLevel="1">
      <c r="A335" s="255" t="s">
        <v>804</v>
      </c>
      <c r="B335" s="344">
        <v>46099.0</v>
      </c>
      <c r="C335" s="133" t="str">
        <f t="shared" si="42"/>
        <v>Wed</v>
      </c>
      <c r="D335" s="136">
        <f t="shared" si="43"/>
        <v>1</v>
      </c>
      <c r="E335" s="137" t="s">
        <v>129</v>
      </c>
      <c r="F335" s="137" t="s">
        <v>129</v>
      </c>
      <c r="G335" s="137" t="s">
        <v>129</v>
      </c>
      <c r="H335" s="137" t="s">
        <v>129</v>
      </c>
      <c r="I335" s="137" t="s">
        <v>129</v>
      </c>
      <c r="J335" s="137" t="s">
        <v>129</v>
      </c>
      <c r="K335" s="137" t="s">
        <v>129</v>
      </c>
      <c r="L335" s="137" t="s">
        <v>129</v>
      </c>
      <c r="M335" s="141"/>
      <c r="N335" s="143"/>
    </row>
    <row r="336" hidden="1" outlineLevel="1">
      <c r="A336" s="255" t="s">
        <v>805</v>
      </c>
      <c r="B336" s="344">
        <v>46099.0</v>
      </c>
      <c r="C336" s="133" t="str">
        <f t="shared" si="42"/>
        <v>Wed</v>
      </c>
      <c r="D336" s="136">
        <f t="shared" si="43"/>
        <v>1</v>
      </c>
      <c r="E336" s="137" t="s">
        <v>129</v>
      </c>
      <c r="F336" s="137" t="s">
        <v>129</v>
      </c>
      <c r="G336" s="137" t="s">
        <v>129</v>
      </c>
      <c r="H336" s="137" t="s">
        <v>129</v>
      </c>
      <c r="I336" s="137" t="s">
        <v>129</v>
      </c>
      <c r="J336" s="137" t="s">
        <v>129</v>
      </c>
      <c r="K336" s="137" t="s">
        <v>129</v>
      </c>
      <c r="L336" s="137" t="s">
        <v>129</v>
      </c>
      <c r="M336" s="141"/>
      <c r="N336" s="147"/>
    </row>
    <row r="337" hidden="1" outlineLevel="1">
      <c r="A337" s="255" t="s">
        <v>809</v>
      </c>
      <c r="B337" s="344">
        <v>46099.0</v>
      </c>
      <c r="C337" s="133" t="str">
        <f t="shared" si="42"/>
        <v>Wed</v>
      </c>
      <c r="D337" s="136">
        <f t="shared" si="43"/>
        <v>1</v>
      </c>
      <c r="E337" s="137" t="s">
        <v>129</v>
      </c>
      <c r="F337" s="137" t="s">
        <v>129</v>
      </c>
      <c r="G337" s="137" t="s">
        <v>129</v>
      </c>
      <c r="H337" s="137" t="s">
        <v>129</v>
      </c>
      <c r="I337" s="137" t="s">
        <v>129</v>
      </c>
      <c r="J337" s="137" t="s">
        <v>129</v>
      </c>
      <c r="K337" s="137" t="s">
        <v>129</v>
      </c>
      <c r="L337" s="137" t="s">
        <v>129</v>
      </c>
      <c r="M337" s="141"/>
      <c r="N337" s="143"/>
    </row>
    <row r="338" hidden="1" outlineLevel="1">
      <c r="A338" s="255" t="s">
        <v>811</v>
      </c>
      <c r="B338" s="344">
        <v>46100.0</v>
      </c>
      <c r="C338" s="133" t="str">
        <f t="shared" si="42"/>
        <v>Thu</v>
      </c>
      <c r="D338" s="136">
        <f t="shared" si="43"/>
        <v>1</v>
      </c>
      <c r="E338" s="137" t="s">
        <v>129</v>
      </c>
      <c r="F338" s="137" t="s">
        <v>129</v>
      </c>
      <c r="G338" s="137" t="s">
        <v>129</v>
      </c>
      <c r="H338" s="137" t="s">
        <v>129</v>
      </c>
      <c r="I338" s="137" t="s">
        <v>129</v>
      </c>
      <c r="J338" s="137" t="s">
        <v>129</v>
      </c>
      <c r="K338" s="137" t="s">
        <v>129</v>
      </c>
      <c r="L338" s="137" t="s">
        <v>129</v>
      </c>
      <c r="M338" s="141"/>
      <c r="N338" s="147"/>
    </row>
    <row r="339" hidden="1" outlineLevel="1">
      <c r="A339" s="255" t="s">
        <v>813</v>
      </c>
      <c r="B339" s="344">
        <v>46100.0</v>
      </c>
      <c r="C339" s="133" t="str">
        <f t="shared" si="42"/>
        <v>Thu</v>
      </c>
      <c r="D339" s="136">
        <f t="shared" si="43"/>
        <v>1</v>
      </c>
      <c r="E339" s="137" t="s">
        <v>129</v>
      </c>
      <c r="F339" s="137" t="s">
        <v>129</v>
      </c>
      <c r="G339" s="137" t="s">
        <v>129</v>
      </c>
      <c r="H339" s="137" t="s">
        <v>129</v>
      </c>
      <c r="I339" s="137" t="s">
        <v>129</v>
      </c>
      <c r="J339" s="137" t="s">
        <v>129</v>
      </c>
      <c r="K339" s="137" t="s">
        <v>129</v>
      </c>
      <c r="L339" s="137" t="s">
        <v>129</v>
      </c>
      <c r="M339" s="141"/>
      <c r="N339" s="147"/>
    </row>
    <row r="340" hidden="1" outlineLevel="1">
      <c r="A340" s="255" t="s">
        <v>815</v>
      </c>
      <c r="B340" s="344">
        <v>46100.0</v>
      </c>
      <c r="C340" s="133" t="str">
        <f t="shared" si="42"/>
        <v>Thu</v>
      </c>
      <c r="D340" s="136">
        <f t="shared" si="43"/>
        <v>1</v>
      </c>
      <c r="E340" s="137" t="s">
        <v>129</v>
      </c>
      <c r="F340" s="137" t="s">
        <v>129</v>
      </c>
      <c r="G340" s="137" t="s">
        <v>129</v>
      </c>
      <c r="H340" s="137" t="s">
        <v>129</v>
      </c>
      <c r="I340" s="137" t="s">
        <v>129</v>
      </c>
      <c r="J340" s="137" t="s">
        <v>129</v>
      </c>
      <c r="K340" s="137" t="s">
        <v>129</v>
      </c>
      <c r="L340" s="137" t="s">
        <v>129</v>
      </c>
      <c r="M340" s="141"/>
      <c r="N340" s="147"/>
    </row>
    <row r="341" hidden="1" outlineLevel="1">
      <c r="A341" s="255" t="s">
        <v>818</v>
      </c>
      <c r="B341" s="344">
        <v>46101.0</v>
      </c>
      <c r="C341" s="133" t="str">
        <f t="shared" si="42"/>
        <v>Fri</v>
      </c>
      <c r="D341" s="136">
        <f t="shared" si="43"/>
        <v>1</v>
      </c>
      <c r="E341" s="137" t="s">
        <v>129</v>
      </c>
      <c r="F341" s="137" t="s">
        <v>129</v>
      </c>
      <c r="G341" s="137" t="s">
        <v>129</v>
      </c>
      <c r="H341" s="137" t="s">
        <v>129</v>
      </c>
      <c r="I341" s="137" t="s">
        <v>129</v>
      </c>
      <c r="J341" s="137" t="s">
        <v>129</v>
      </c>
      <c r="K341" s="137" t="s">
        <v>129</v>
      </c>
      <c r="L341" s="137" t="s">
        <v>129</v>
      </c>
      <c r="M341" s="141"/>
      <c r="N341" s="143"/>
    </row>
    <row r="342" hidden="1" outlineLevel="1">
      <c r="A342" s="255" t="s">
        <v>820</v>
      </c>
      <c r="B342" s="344">
        <v>46101.0</v>
      </c>
      <c r="C342" s="133" t="str">
        <f t="shared" si="42"/>
        <v>Fri</v>
      </c>
      <c r="D342" s="136">
        <f t="shared" si="43"/>
        <v>1</v>
      </c>
      <c r="E342" s="137" t="s">
        <v>129</v>
      </c>
      <c r="F342" s="137" t="s">
        <v>129</v>
      </c>
      <c r="G342" s="137" t="s">
        <v>129</v>
      </c>
      <c r="H342" s="137" t="s">
        <v>129</v>
      </c>
      <c r="I342" s="137" t="s">
        <v>129</v>
      </c>
      <c r="J342" s="137" t="s">
        <v>129</v>
      </c>
      <c r="K342" s="137" t="s">
        <v>129</v>
      </c>
      <c r="L342" s="137" t="s">
        <v>129</v>
      </c>
      <c r="M342" s="141"/>
      <c r="N342" s="143"/>
    </row>
    <row r="343" ht="15.0" hidden="1" customHeight="1" outlineLevel="1">
      <c r="A343" s="255" t="s">
        <v>822</v>
      </c>
      <c r="B343" s="344">
        <v>46101.0</v>
      </c>
      <c r="C343" s="133" t="str">
        <f t="shared" si="42"/>
        <v>Fri</v>
      </c>
      <c r="D343" s="136">
        <f t="shared" si="43"/>
        <v>1</v>
      </c>
      <c r="E343" s="137" t="s">
        <v>129</v>
      </c>
      <c r="F343" s="137" t="s">
        <v>129</v>
      </c>
      <c r="G343" s="137" t="s">
        <v>129</v>
      </c>
      <c r="H343" s="137" t="s">
        <v>129</v>
      </c>
      <c r="I343" s="137" t="s">
        <v>129</v>
      </c>
      <c r="J343" s="137" t="s">
        <v>129</v>
      </c>
      <c r="K343" s="137" t="s">
        <v>129</v>
      </c>
      <c r="L343" s="137" t="s">
        <v>129</v>
      </c>
      <c r="M343" s="141"/>
      <c r="N343" s="147"/>
    </row>
    <row r="344" hidden="1" outlineLevel="1">
      <c r="B344" s="189"/>
      <c r="C344" s="191" t="s">
        <v>194</v>
      </c>
      <c r="D344" s="204">
        <f>AVERAGE(D329:D343)</f>
        <v>1</v>
      </c>
      <c r="E344" s="200"/>
      <c r="L344" s="191" t="s">
        <v>194</v>
      </c>
      <c r="M344" s="204">
        <f>SUM(M329:M343)/75*0.1</f>
        <v>0</v>
      </c>
    </row>
    <row r="345" hidden="1" collapsed="1">
      <c r="A345" s="206" t="s">
        <v>831</v>
      </c>
      <c r="B345" s="207"/>
      <c r="C345" s="207"/>
      <c r="D345" s="208"/>
      <c r="E345" s="109"/>
      <c r="F345" s="109"/>
      <c r="G345" s="110"/>
      <c r="H345" s="110"/>
      <c r="I345" s="110"/>
      <c r="J345" s="110"/>
      <c r="K345" s="110"/>
      <c r="L345" s="110"/>
      <c r="M345" s="111"/>
      <c r="N345" s="113"/>
    </row>
    <row r="346" hidden="1" outlineLevel="1">
      <c r="A346" s="373" t="s">
        <v>98</v>
      </c>
      <c r="B346" s="115" t="s">
        <v>100</v>
      </c>
      <c r="C346" s="115" t="s">
        <v>102</v>
      </c>
      <c r="D346" s="119" t="s">
        <v>103</v>
      </c>
      <c r="E346" s="275" t="s">
        <v>269</v>
      </c>
      <c r="F346" s="275" t="s">
        <v>272</v>
      </c>
      <c r="G346" s="276" t="s">
        <v>328</v>
      </c>
      <c r="H346" s="121" t="s">
        <v>107</v>
      </c>
      <c r="I346" s="121" t="s">
        <v>108</v>
      </c>
      <c r="J346" s="276" t="s">
        <v>329</v>
      </c>
      <c r="K346" s="121" t="s">
        <v>111</v>
      </c>
      <c r="L346" s="276" t="s">
        <v>274</v>
      </c>
      <c r="M346" s="115" t="s">
        <v>114</v>
      </c>
      <c r="N346" s="119" t="s">
        <v>115</v>
      </c>
    </row>
    <row r="347" hidden="1" outlineLevel="1">
      <c r="A347" s="269" t="s">
        <v>832</v>
      </c>
      <c r="B347" s="344">
        <v>46104.0</v>
      </c>
      <c r="C347" s="133" t="str">
        <f t="shared" ref="C347:C361" si="44">IF(B347="", "", TEXT(B347, "ddd"))</f>
        <v>Mon</v>
      </c>
      <c r="D347" s="136">
        <f t="shared" ref="D347:D361" si="45">IF(E347="Yes",0.05,0)
+IF(F347="Yes",0.1,0)
+IF(G347="Yes",0.15,0)
+IF(H347="Yes",0.15,0)
+IF(I347="Yes",0.05,0)
+IF(J347="Yes",0.05,0)
+IF(K347="Yes",0.15,0)
+IF(L347="Yes",0.3,0)
</f>
        <v>1</v>
      </c>
      <c r="E347" s="137" t="s">
        <v>129</v>
      </c>
      <c r="F347" s="137" t="s">
        <v>129</v>
      </c>
      <c r="G347" s="137" t="s">
        <v>129</v>
      </c>
      <c r="H347" s="137" t="s">
        <v>129</v>
      </c>
      <c r="I347" s="137" t="s">
        <v>129</v>
      </c>
      <c r="J347" s="137" t="s">
        <v>129</v>
      </c>
      <c r="K347" s="137" t="s">
        <v>129</v>
      </c>
      <c r="L347" s="137" t="s">
        <v>129</v>
      </c>
      <c r="M347" s="141"/>
      <c r="N347" s="143"/>
    </row>
    <row r="348" hidden="1" outlineLevel="1">
      <c r="A348" s="255" t="s">
        <v>835</v>
      </c>
      <c r="B348" s="344">
        <v>46104.0</v>
      </c>
      <c r="C348" s="133" t="str">
        <f t="shared" si="44"/>
        <v>Mon</v>
      </c>
      <c r="D348" s="136">
        <f t="shared" si="45"/>
        <v>1</v>
      </c>
      <c r="E348" s="137" t="s">
        <v>129</v>
      </c>
      <c r="F348" s="137" t="s">
        <v>129</v>
      </c>
      <c r="G348" s="137" t="s">
        <v>129</v>
      </c>
      <c r="H348" s="137" t="s">
        <v>129</v>
      </c>
      <c r="I348" s="137" t="s">
        <v>129</v>
      </c>
      <c r="J348" s="137" t="s">
        <v>129</v>
      </c>
      <c r="K348" s="137" t="s">
        <v>129</v>
      </c>
      <c r="L348" s="137" t="s">
        <v>129</v>
      </c>
      <c r="M348" s="141"/>
      <c r="N348" s="147"/>
    </row>
    <row r="349" hidden="1" outlineLevel="1">
      <c r="A349" s="255" t="s">
        <v>837</v>
      </c>
      <c r="B349" s="344">
        <v>46104.0</v>
      </c>
      <c r="C349" s="133" t="str">
        <f t="shared" si="44"/>
        <v>Mon</v>
      </c>
      <c r="D349" s="136">
        <f t="shared" si="45"/>
        <v>1</v>
      </c>
      <c r="E349" s="137" t="s">
        <v>129</v>
      </c>
      <c r="F349" s="137" t="s">
        <v>129</v>
      </c>
      <c r="G349" s="137" t="s">
        <v>129</v>
      </c>
      <c r="H349" s="137" t="s">
        <v>129</v>
      </c>
      <c r="I349" s="137" t="s">
        <v>129</v>
      </c>
      <c r="J349" s="137" t="s">
        <v>129</v>
      </c>
      <c r="K349" s="137" t="s">
        <v>129</v>
      </c>
      <c r="L349" s="137" t="s">
        <v>129</v>
      </c>
      <c r="M349" s="141"/>
      <c r="N349" s="147"/>
    </row>
    <row r="350" hidden="1" outlineLevel="1">
      <c r="A350" s="219" t="s">
        <v>838</v>
      </c>
      <c r="B350" s="344">
        <v>46105.0</v>
      </c>
      <c r="C350" s="133" t="str">
        <f t="shared" si="44"/>
        <v>Tue</v>
      </c>
      <c r="D350" s="136">
        <f t="shared" si="45"/>
        <v>1</v>
      </c>
      <c r="E350" s="137" t="s">
        <v>129</v>
      </c>
      <c r="F350" s="137" t="s">
        <v>129</v>
      </c>
      <c r="G350" s="137" t="s">
        <v>129</v>
      </c>
      <c r="H350" s="137" t="s">
        <v>129</v>
      </c>
      <c r="I350" s="137" t="s">
        <v>129</v>
      </c>
      <c r="J350" s="137" t="s">
        <v>129</v>
      </c>
      <c r="K350" s="137" t="s">
        <v>129</v>
      </c>
      <c r="L350" s="137" t="s">
        <v>129</v>
      </c>
      <c r="M350" s="141"/>
      <c r="N350" s="143"/>
    </row>
    <row r="351" hidden="1" outlineLevel="1">
      <c r="A351" s="219" t="s">
        <v>839</v>
      </c>
      <c r="B351" s="344">
        <v>46105.0</v>
      </c>
      <c r="C351" s="133" t="str">
        <f t="shared" si="44"/>
        <v>Tue</v>
      </c>
      <c r="D351" s="136">
        <f t="shared" si="45"/>
        <v>1</v>
      </c>
      <c r="E351" s="137" t="s">
        <v>129</v>
      </c>
      <c r="F351" s="137" t="s">
        <v>129</v>
      </c>
      <c r="G351" s="137" t="s">
        <v>129</v>
      </c>
      <c r="H351" s="137" t="s">
        <v>129</v>
      </c>
      <c r="I351" s="137" t="s">
        <v>129</v>
      </c>
      <c r="J351" s="137" t="s">
        <v>129</v>
      </c>
      <c r="K351" s="137" t="s">
        <v>129</v>
      </c>
      <c r="L351" s="137" t="s">
        <v>129</v>
      </c>
      <c r="M351" s="141"/>
      <c r="N351" s="143"/>
    </row>
    <row r="352" hidden="1" outlineLevel="1">
      <c r="A352" s="219" t="s">
        <v>840</v>
      </c>
      <c r="B352" s="344">
        <v>46105.0</v>
      </c>
      <c r="C352" s="133" t="str">
        <f t="shared" si="44"/>
        <v>Tue</v>
      </c>
      <c r="D352" s="136">
        <f t="shared" si="45"/>
        <v>1</v>
      </c>
      <c r="E352" s="137" t="s">
        <v>129</v>
      </c>
      <c r="F352" s="137" t="s">
        <v>129</v>
      </c>
      <c r="G352" s="137" t="s">
        <v>129</v>
      </c>
      <c r="H352" s="137" t="s">
        <v>129</v>
      </c>
      <c r="I352" s="137" t="s">
        <v>129</v>
      </c>
      <c r="J352" s="137" t="s">
        <v>129</v>
      </c>
      <c r="K352" s="137" t="s">
        <v>129</v>
      </c>
      <c r="L352" s="137" t="s">
        <v>129</v>
      </c>
      <c r="M352" s="141"/>
      <c r="N352" s="143"/>
    </row>
    <row r="353" hidden="1" outlineLevel="1">
      <c r="A353" s="255" t="s">
        <v>842</v>
      </c>
      <c r="B353" s="344">
        <v>46106.0</v>
      </c>
      <c r="C353" s="133" t="str">
        <f t="shared" si="44"/>
        <v>Wed</v>
      </c>
      <c r="D353" s="136">
        <f t="shared" si="45"/>
        <v>1</v>
      </c>
      <c r="E353" s="137" t="s">
        <v>129</v>
      </c>
      <c r="F353" s="137" t="s">
        <v>129</v>
      </c>
      <c r="G353" s="137" t="s">
        <v>129</v>
      </c>
      <c r="H353" s="137" t="s">
        <v>129</v>
      </c>
      <c r="I353" s="137" t="s">
        <v>129</v>
      </c>
      <c r="J353" s="137" t="s">
        <v>129</v>
      </c>
      <c r="K353" s="137" t="s">
        <v>129</v>
      </c>
      <c r="L353" s="137" t="s">
        <v>129</v>
      </c>
      <c r="M353" s="141"/>
      <c r="N353" s="143"/>
    </row>
    <row r="354" hidden="1" outlineLevel="1">
      <c r="A354" s="255" t="s">
        <v>843</v>
      </c>
      <c r="B354" s="344">
        <v>46106.0</v>
      </c>
      <c r="C354" s="133" t="str">
        <f t="shared" si="44"/>
        <v>Wed</v>
      </c>
      <c r="D354" s="136">
        <f t="shared" si="45"/>
        <v>1</v>
      </c>
      <c r="E354" s="137" t="s">
        <v>129</v>
      </c>
      <c r="F354" s="137" t="s">
        <v>129</v>
      </c>
      <c r="G354" s="137" t="s">
        <v>129</v>
      </c>
      <c r="H354" s="137" t="s">
        <v>129</v>
      </c>
      <c r="I354" s="137" t="s">
        <v>129</v>
      </c>
      <c r="J354" s="137" t="s">
        <v>129</v>
      </c>
      <c r="K354" s="137" t="s">
        <v>129</v>
      </c>
      <c r="L354" s="137" t="s">
        <v>129</v>
      </c>
      <c r="M354" s="141"/>
      <c r="N354" s="147"/>
    </row>
    <row r="355" hidden="1" outlineLevel="1">
      <c r="A355" s="255" t="s">
        <v>844</v>
      </c>
      <c r="B355" s="344">
        <v>46106.0</v>
      </c>
      <c r="C355" s="133" t="str">
        <f t="shared" si="44"/>
        <v>Wed</v>
      </c>
      <c r="D355" s="136">
        <f t="shared" si="45"/>
        <v>1</v>
      </c>
      <c r="E355" s="137" t="s">
        <v>129</v>
      </c>
      <c r="F355" s="137" t="s">
        <v>129</v>
      </c>
      <c r="G355" s="137" t="s">
        <v>129</v>
      </c>
      <c r="H355" s="137" t="s">
        <v>129</v>
      </c>
      <c r="I355" s="137" t="s">
        <v>129</v>
      </c>
      <c r="J355" s="137" t="s">
        <v>129</v>
      </c>
      <c r="K355" s="137" t="s">
        <v>129</v>
      </c>
      <c r="L355" s="137" t="s">
        <v>129</v>
      </c>
      <c r="M355" s="141"/>
      <c r="N355" s="143"/>
    </row>
    <row r="356" hidden="1" outlineLevel="1">
      <c r="A356" s="255" t="s">
        <v>846</v>
      </c>
      <c r="B356" s="344">
        <v>46107.0</v>
      </c>
      <c r="C356" s="133" t="str">
        <f t="shared" si="44"/>
        <v>Thu</v>
      </c>
      <c r="D356" s="136">
        <f t="shared" si="45"/>
        <v>1</v>
      </c>
      <c r="E356" s="137" t="s">
        <v>129</v>
      </c>
      <c r="F356" s="137" t="s">
        <v>129</v>
      </c>
      <c r="G356" s="137" t="s">
        <v>129</v>
      </c>
      <c r="H356" s="137" t="s">
        <v>129</v>
      </c>
      <c r="I356" s="137" t="s">
        <v>129</v>
      </c>
      <c r="J356" s="137" t="s">
        <v>129</v>
      </c>
      <c r="K356" s="137" t="s">
        <v>129</v>
      </c>
      <c r="L356" s="137" t="s">
        <v>129</v>
      </c>
      <c r="M356" s="141"/>
      <c r="N356" s="147"/>
    </row>
    <row r="357" hidden="1" outlineLevel="1">
      <c r="A357" s="255" t="s">
        <v>848</v>
      </c>
      <c r="B357" s="344">
        <v>46107.0</v>
      </c>
      <c r="C357" s="133" t="str">
        <f t="shared" si="44"/>
        <v>Thu</v>
      </c>
      <c r="D357" s="136">
        <f t="shared" si="45"/>
        <v>1</v>
      </c>
      <c r="E357" s="137" t="s">
        <v>129</v>
      </c>
      <c r="F357" s="137" t="s">
        <v>129</v>
      </c>
      <c r="G357" s="137" t="s">
        <v>129</v>
      </c>
      <c r="H357" s="137" t="s">
        <v>129</v>
      </c>
      <c r="I357" s="137" t="s">
        <v>129</v>
      </c>
      <c r="J357" s="137" t="s">
        <v>129</v>
      </c>
      <c r="K357" s="137" t="s">
        <v>129</v>
      </c>
      <c r="L357" s="137" t="s">
        <v>129</v>
      </c>
      <c r="M357" s="141"/>
      <c r="N357" s="147"/>
    </row>
    <row r="358" hidden="1" outlineLevel="1">
      <c r="A358" s="255" t="s">
        <v>850</v>
      </c>
      <c r="B358" s="344">
        <v>46107.0</v>
      </c>
      <c r="C358" s="133" t="str">
        <f t="shared" si="44"/>
        <v>Thu</v>
      </c>
      <c r="D358" s="136">
        <f t="shared" si="45"/>
        <v>1</v>
      </c>
      <c r="E358" s="137" t="s">
        <v>129</v>
      </c>
      <c r="F358" s="137" t="s">
        <v>129</v>
      </c>
      <c r="G358" s="137" t="s">
        <v>129</v>
      </c>
      <c r="H358" s="137" t="s">
        <v>129</v>
      </c>
      <c r="I358" s="137" t="s">
        <v>129</v>
      </c>
      <c r="J358" s="137" t="s">
        <v>129</v>
      </c>
      <c r="K358" s="137" t="s">
        <v>129</v>
      </c>
      <c r="L358" s="137" t="s">
        <v>129</v>
      </c>
      <c r="M358" s="141"/>
      <c r="N358" s="147"/>
    </row>
    <row r="359" hidden="1" outlineLevel="1">
      <c r="A359" s="255" t="s">
        <v>852</v>
      </c>
      <c r="B359" s="344">
        <v>46108.0</v>
      </c>
      <c r="C359" s="133" t="str">
        <f t="shared" si="44"/>
        <v>Fri</v>
      </c>
      <c r="D359" s="136">
        <f t="shared" si="45"/>
        <v>1</v>
      </c>
      <c r="E359" s="137" t="s">
        <v>129</v>
      </c>
      <c r="F359" s="137" t="s">
        <v>129</v>
      </c>
      <c r="G359" s="137" t="s">
        <v>129</v>
      </c>
      <c r="H359" s="137" t="s">
        <v>129</v>
      </c>
      <c r="I359" s="137" t="s">
        <v>129</v>
      </c>
      <c r="J359" s="137" t="s">
        <v>129</v>
      </c>
      <c r="K359" s="137" t="s">
        <v>129</v>
      </c>
      <c r="L359" s="137" t="s">
        <v>129</v>
      </c>
      <c r="M359" s="141"/>
      <c r="N359" s="143"/>
    </row>
    <row r="360" hidden="1" outlineLevel="1">
      <c r="A360" s="255" t="s">
        <v>853</v>
      </c>
      <c r="B360" s="344">
        <v>46108.0</v>
      </c>
      <c r="C360" s="133" t="str">
        <f t="shared" si="44"/>
        <v>Fri</v>
      </c>
      <c r="D360" s="136">
        <f t="shared" si="45"/>
        <v>1</v>
      </c>
      <c r="E360" s="137" t="s">
        <v>129</v>
      </c>
      <c r="F360" s="137" t="s">
        <v>129</v>
      </c>
      <c r="G360" s="137" t="s">
        <v>129</v>
      </c>
      <c r="H360" s="137" t="s">
        <v>129</v>
      </c>
      <c r="I360" s="137" t="s">
        <v>129</v>
      </c>
      <c r="J360" s="137" t="s">
        <v>129</v>
      </c>
      <c r="K360" s="137" t="s">
        <v>129</v>
      </c>
      <c r="L360" s="137" t="s">
        <v>129</v>
      </c>
      <c r="M360" s="141"/>
      <c r="N360" s="143"/>
    </row>
    <row r="361" ht="15.0" hidden="1" customHeight="1" outlineLevel="1">
      <c r="A361" s="255" t="s">
        <v>855</v>
      </c>
      <c r="B361" s="344">
        <v>46108.0</v>
      </c>
      <c r="C361" s="133" t="str">
        <f t="shared" si="44"/>
        <v>Fri</v>
      </c>
      <c r="D361" s="136">
        <f t="shared" si="45"/>
        <v>1</v>
      </c>
      <c r="E361" s="137" t="s">
        <v>129</v>
      </c>
      <c r="F361" s="137" t="s">
        <v>129</v>
      </c>
      <c r="G361" s="137" t="s">
        <v>129</v>
      </c>
      <c r="H361" s="137" t="s">
        <v>129</v>
      </c>
      <c r="I361" s="137" t="s">
        <v>129</v>
      </c>
      <c r="J361" s="137" t="s">
        <v>129</v>
      </c>
      <c r="K361" s="137" t="s">
        <v>129</v>
      </c>
      <c r="L361" s="137" t="s">
        <v>129</v>
      </c>
      <c r="M361" s="141"/>
      <c r="N361" s="147"/>
    </row>
    <row r="362" hidden="1" outlineLevel="1">
      <c r="B362" s="189"/>
      <c r="C362" s="191" t="s">
        <v>194</v>
      </c>
      <c r="D362" s="204">
        <f>AVERAGE(D347:D361)</f>
        <v>1</v>
      </c>
      <c r="E362" s="200"/>
      <c r="L362" s="191" t="s">
        <v>194</v>
      </c>
      <c r="M362" s="204">
        <f>SUM(M347:M361)/75*0.1</f>
        <v>0</v>
      </c>
    </row>
    <row r="363" hidden="1" collapsed="1">
      <c r="A363" s="206" t="s">
        <v>858</v>
      </c>
      <c r="B363" s="207"/>
      <c r="C363" s="207"/>
      <c r="D363" s="208"/>
      <c r="E363" s="109"/>
      <c r="F363" s="109"/>
      <c r="G363" s="110"/>
      <c r="H363" s="110"/>
      <c r="I363" s="110"/>
      <c r="J363" s="110"/>
      <c r="K363" s="110"/>
      <c r="L363" s="110"/>
      <c r="M363" s="111"/>
      <c r="N363" s="113"/>
    </row>
    <row r="364" hidden="1" outlineLevel="1">
      <c r="A364" s="373" t="s">
        <v>98</v>
      </c>
      <c r="B364" s="115" t="s">
        <v>100</v>
      </c>
      <c r="C364" s="115" t="s">
        <v>102</v>
      </c>
      <c r="D364" s="119" t="s">
        <v>103</v>
      </c>
      <c r="E364" s="275" t="s">
        <v>269</v>
      </c>
      <c r="F364" s="275" t="s">
        <v>272</v>
      </c>
      <c r="G364" s="276" t="s">
        <v>328</v>
      </c>
      <c r="H364" s="121" t="s">
        <v>107</v>
      </c>
      <c r="I364" s="121" t="s">
        <v>108</v>
      </c>
      <c r="J364" s="276" t="s">
        <v>329</v>
      </c>
      <c r="K364" s="121" t="s">
        <v>111</v>
      </c>
      <c r="L364" s="276" t="s">
        <v>274</v>
      </c>
      <c r="M364" s="115" t="s">
        <v>114</v>
      </c>
      <c r="N364" s="119" t="s">
        <v>115</v>
      </c>
    </row>
    <row r="365" hidden="1" outlineLevel="1">
      <c r="A365" s="255" t="s">
        <v>860</v>
      </c>
      <c r="B365" s="344">
        <v>46111.0</v>
      </c>
      <c r="C365" s="133" t="str">
        <f t="shared" ref="C365:C379" si="46">IF(B365="", "", TEXT(B365, "ddd"))</f>
        <v>Mon</v>
      </c>
      <c r="D365" s="136">
        <f t="shared" ref="D365:D379" si="47">IF(E365="Yes",0.05,0)
+IF(F365="Yes",0.1,0)
+IF(G365="Yes",0.15,0)
+IF(H365="Yes",0.15,0)
+IF(I365="Yes",0.05,0)
+IF(J365="Yes",0.05,0)
+IF(K365="Yes",0.15,0)
+IF(L365="Yes",0.3,0)
</f>
        <v>1</v>
      </c>
      <c r="E365" s="137" t="s">
        <v>129</v>
      </c>
      <c r="F365" s="137" t="s">
        <v>129</v>
      </c>
      <c r="G365" s="137" t="s">
        <v>129</v>
      </c>
      <c r="H365" s="137" t="s">
        <v>129</v>
      </c>
      <c r="I365" s="137" t="s">
        <v>129</v>
      </c>
      <c r="J365" s="137" t="s">
        <v>129</v>
      </c>
      <c r="K365" s="137" t="s">
        <v>129</v>
      </c>
      <c r="L365" s="137" t="s">
        <v>129</v>
      </c>
      <c r="M365" s="141"/>
      <c r="N365" s="143"/>
    </row>
    <row r="366" hidden="1" outlineLevel="1">
      <c r="A366" s="255" t="s">
        <v>862</v>
      </c>
      <c r="B366" s="344">
        <v>46111.0</v>
      </c>
      <c r="C366" s="133" t="str">
        <f t="shared" si="46"/>
        <v>Mon</v>
      </c>
      <c r="D366" s="136">
        <f t="shared" si="47"/>
        <v>1</v>
      </c>
      <c r="E366" s="137" t="s">
        <v>129</v>
      </c>
      <c r="F366" s="137" t="s">
        <v>129</v>
      </c>
      <c r="G366" s="137" t="s">
        <v>129</v>
      </c>
      <c r="H366" s="137" t="s">
        <v>129</v>
      </c>
      <c r="I366" s="137" t="s">
        <v>129</v>
      </c>
      <c r="J366" s="137" t="s">
        <v>129</v>
      </c>
      <c r="K366" s="137" t="s">
        <v>129</v>
      </c>
      <c r="L366" s="137" t="s">
        <v>129</v>
      </c>
      <c r="M366" s="141"/>
      <c r="N366" s="147"/>
    </row>
    <row r="367" hidden="1" outlineLevel="1">
      <c r="A367" s="255" t="s">
        <v>864</v>
      </c>
      <c r="B367" s="344">
        <v>46111.0</v>
      </c>
      <c r="C367" s="133" t="str">
        <f t="shared" si="46"/>
        <v>Mon</v>
      </c>
      <c r="D367" s="136">
        <f t="shared" si="47"/>
        <v>1</v>
      </c>
      <c r="E367" s="137" t="s">
        <v>129</v>
      </c>
      <c r="F367" s="137" t="s">
        <v>129</v>
      </c>
      <c r="G367" s="137" t="s">
        <v>129</v>
      </c>
      <c r="H367" s="137" t="s">
        <v>129</v>
      </c>
      <c r="I367" s="137" t="s">
        <v>129</v>
      </c>
      <c r="J367" s="137" t="s">
        <v>129</v>
      </c>
      <c r="K367" s="137" t="s">
        <v>129</v>
      </c>
      <c r="L367" s="137" t="s">
        <v>129</v>
      </c>
      <c r="M367" s="141"/>
      <c r="N367" s="147"/>
    </row>
    <row r="368" hidden="1" outlineLevel="1">
      <c r="A368" s="255" t="s">
        <v>866</v>
      </c>
      <c r="B368" s="344">
        <v>46112.0</v>
      </c>
      <c r="C368" s="133" t="str">
        <f t="shared" si="46"/>
        <v>Tue</v>
      </c>
      <c r="D368" s="136">
        <f t="shared" si="47"/>
        <v>1</v>
      </c>
      <c r="E368" s="137" t="s">
        <v>129</v>
      </c>
      <c r="F368" s="137" t="s">
        <v>129</v>
      </c>
      <c r="G368" s="137" t="s">
        <v>129</v>
      </c>
      <c r="H368" s="137" t="s">
        <v>129</v>
      </c>
      <c r="I368" s="137" t="s">
        <v>129</v>
      </c>
      <c r="J368" s="137" t="s">
        <v>129</v>
      </c>
      <c r="K368" s="137" t="s">
        <v>129</v>
      </c>
      <c r="L368" s="137" t="s">
        <v>129</v>
      </c>
      <c r="M368" s="141"/>
      <c r="N368" s="143"/>
    </row>
    <row r="369" hidden="1" outlineLevel="1">
      <c r="A369" s="255" t="s">
        <v>868</v>
      </c>
      <c r="B369" s="344">
        <v>46112.0</v>
      </c>
      <c r="C369" s="133" t="str">
        <f t="shared" si="46"/>
        <v>Tue</v>
      </c>
      <c r="D369" s="136">
        <f t="shared" si="47"/>
        <v>1</v>
      </c>
      <c r="E369" s="137" t="s">
        <v>129</v>
      </c>
      <c r="F369" s="137" t="s">
        <v>129</v>
      </c>
      <c r="G369" s="137" t="s">
        <v>129</v>
      </c>
      <c r="H369" s="137" t="s">
        <v>129</v>
      </c>
      <c r="I369" s="137" t="s">
        <v>129</v>
      </c>
      <c r="J369" s="137" t="s">
        <v>129</v>
      </c>
      <c r="K369" s="137" t="s">
        <v>129</v>
      </c>
      <c r="L369" s="137" t="s">
        <v>129</v>
      </c>
      <c r="M369" s="141"/>
      <c r="N369" s="143"/>
    </row>
    <row r="370" hidden="1" outlineLevel="1">
      <c r="A370" s="255" t="s">
        <v>870</v>
      </c>
      <c r="B370" s="344">
        <v>46112.0</v>
      </c>
      <c r="C370" s="133" t="str">
        <f t="shared" si="46"/>
        <v>Tue</v>
      </c>
      <c r="D370" s="136">
        <f t="shared" si="47"/>
        <v>1</v>
      </c>
      <c r="E370" s="137" t="s">
        <v>129</v>
      </c>
      <c r="F370" s="137" t="s">
        <v>129</v>
      </c>
      <c r="G370" s="137" t="s">
        <v>129</v>
      </c>
      <c r="H370" s="137" t="s">
        <v>129</v>
      </c>
      <c r="I370" s="137" t="s">
        <v>129</v>
      </c>
      <c r="J370" s="137" t="s">
        <v>129</v>
      </c>
      <c r="K370" s="137" t="s">
        <v>129</v>
      </c>
      <c r="L370" s="137" t="s">
        <v>129</v>
      </c>
      <c r="M370" s="141"/>
      <c r="N370" s="143"/>
    </row>
    <row r="371" hidden="1" outlineLevel="1">
      <c r="A371" s="255" t="s">
        <v>873</v>
      </c>
      <c r="B371" s="344">
        <v>46113.0</v>
      </c>
      <c r="C371" s="133" t="str">
        <f t="shared" si="46"/>
        <v>Wed</v>
      </c>
      <c r="D371" s="136">
        <f t="shared" si="47"/>
        <v>1</v>
      </c>
      <c r="E371" s="137" t="s">
        <v>129</v>
      </c>
      <c r="F371" s="137" t="s">
        <v>129</v>
      </c>
      <c r="G371" s="137" t="s">
        <v>129</v>
      </c>
      <c r="H371" s="137" t="s">
        <v>129</v>
      </c>
      <c r="I371" s="137" t="s">
        <v>129</v>
      </c>
      <c r="J371" s="137" t="s">
        <v>129</v>
      </c>
      <c r="K371" s="137" t="s">
        <v>129</v>
      </c>
      <c r="L371" s="137" t="s">
        <v>129</v>
      </c>
      <c r="M371" s="141"/>
      <c r="N371" s="143"/>
    </row>
    <row r="372" hidden="1" outlineLevel="1">
      <c r="A372" s="255" t="s">
        <v>874</v>
      </c>
      <c r="B372" s="344">
        <v>46113.0</v>
      </c>
      <c r="C372" s="133" t="str">
        <f t="shared" si="46"/>
        <v>Wed</v>
      </c>
      <c r="D372" s="136">
        <f t="shared" si="47"/>
        <v>1</v>
      </c>
      <c r="E372" s="137" t="s">
        <v>129</v>
      </c>
      <c r="F372" s="137" t="s">
        <v>129</v>
      </c>
      <c r="G372" s="137" t="s">
        <v>129</v>
      </c>
      <c r="H372" s="137" t="s">
        <v>129</v>
      </c>
      <c r="I372" s="137" t="s">
        <v>129</v>
      </c>
      <c r="J372" s="137" t="s">
        <v>129</v>
      </c>
      <c r="K372" s="137" t="s">
        <v>129</v>
      </c>
      <c r="L372" s="137" t="s">
        <v>129</v>
      </c>
      <c r="M372" s="141"/>
      <c r="N372" s="147"/>
    </row>
    <row r="373" hidden="1" outlineLevel="1">
      <c r="A373" s="255" t="s">
        <v>875</v>
      </c>
      <c r="B373" s="344">
        <v>46113.0</v>
      </c>
      <c r="C373" s="133" t="str">
        <f t="shared" si="46"/>
        <v>Wed</v>
      </c>
      <c r="D373" s="136">
        <f t="shared" si="47"/>
        <v>1</v>
      </c>
      <c r="E373" s="137" t="s">
        <v>129</v>
      </c>
      <c r="F373" s="137" t="s">
        <v>129</v>
      </c>
      <c r="G373" s="137" t="s">
        <v>129</v>
      </c>
      <c r="H373" s="137" t="s">
        <v>129</v>
      </c>
      <c r="I373" s="137" t="s">
        <v>129</v>
      </c>
      <c r="J373" s="137" t="s">
        <v>129</v>
      </c>
      <c r="K373" s="137" t="s">
        <v>129</v>
      </c>
      <c r="L373" s="137" t="s">
        <v>129</v>
      </c>
      <c r="M373" s="141"/>
      <c r="N373" s="143"/>
    </row>
    <row r="374" hidden="1" outlineLevel="1">
      <c r="A374" s="255" t="s">
        <v>876</v>
      </c>
      <c r="B374" s="344">
        <v>46114.0</v>
      </c>
      <c r="C374" s="133" t="str">
        <f t="shared" si="46"/>
        <v>Thu</v>
      </c>
      <c r="D374" s="136">
        <f t="shared" si="47"/>
        <v>1</v>
      </c>
      <c r="E374" s="137" t="s">
        <v>129</v>
      </c>
      <c r="F374" s="137" t="s">
        <v>129</v>
      </c>
      <c r="G374" s="137" t="s">
        <v>129</v>
      </c>
      <c r="H374" s="137" t="s">
        <v>129</v>
      </c>
      <c r="I374" s="137" t="s">
        <v>129</v>
      </c>
      <c r="J374" s="137" t="s">
        <v>129</v>
      </c>
      <c r="K374" s="137" t="s">
        <v>129</v>
      </c>
      <c r="L374" s="137" t="s">
        <v>129</v>
      </c>
      <c r="M374" s="141"/>
      <c r="N374" s="147"/>
    </row>
    <row r="375" hidden="1" outlineLevel="1">
      <c r="A375" s="255" t="s">
        <v>877</v>
      </c>
      <c r="B375" s="344">
        <v>46114.0</v>
      </c>
      <c r="C375" s="133" t="str">
        <f t="shared" si="46"/>
        <v>Thu</v>
      </c>
      <c r="D375" s="136">
        <f t="shared" si="47"/>
        <v>1</v>
      </c>
      <c r="E375" s="137" t="s">
        <v>129</v>
      </c>
      <c r="F375" s="137" t="s">
        <v>129</v>
      </c>
      <c r="G375" s="137" t="s">
        <v>129</v>
      </c>
      <c r="H375" s="137" t="s">
        <v>129</v>
      </c>
      <c r="I375" s="137" t="s">
        <v>129</v>
      </c>
      <c r="J375" s="137" t="s">
        <v>129</v>
      </c>
      <c r="K375" s="137" t="s">
        <v>129</v>
      </c>
      <c r="L375" s="137" t="s">
        <v>129</v>
      </c>
      <c r="M375" s="141"/>
      <c r="N375" s="147"/>
    </row>
    <row r="376" hidden="1" outlineLevel="1">
      <c r="A376" s="255" t="s">
        <v>879</v>
      </c>
      <c r="B376" s="344">
        <v>46114.0</v>
      </c>
      <c r="C376" s="133" t="str">
        <f t="shared" si="46"/>
        <v>Thu</v>
      </c>
      <c r="D376" s="136">
        <f t="shared" si="47"/>
        <v>1</v>
      </c>
      <c r="E376" s="137" t="s">
        <v>129</v>
      </c>
      <c r="F376" s="137" t="s">
        <v>129</v>
      </c>
      <c r="G376" s="137" t="s">
        <v>129</v>
      </c>
      <c r="H376" s="137" t="s">
        <v>129</v>
      </c>
      <c r="I376" s="137" t="s">
        <v>129</v>
      </c>
      <c r="J376" s="137" t="s">
        <v>129</v>
      </c>
      <c r="K376" s="137" t="s">
        <v>129</v>
      </c>
      <c r="L376" s="137" t="s">
        <v>129</v>
      </c>
      <c r="M376" s="141"/>
      <c r="N376" s="147"/>
    </row>
    <row r="377" hidden="1" outlineLevel="1">
      <c r="A377" s="255" t="s">
        <v>880</v>
      </c>
      <c r="B377" s="344">
        <v>46115.0</v>
      </c>
      <c r="C377" s="133" t="str">
        <f t="shared" si="46"/>
        <v>Fri</v>
      </c>
      <c r="D377" s="136">
        <f t="shared" si="47"/>
        <v>1</v>
      </c>
      <c r="E377" s="137" t="s">
        <v>129</v>
      </c>
      <c r="F377" s="137" t="s">
        <v>129</v>
      </c>
      <c r="G377" s="137" t="s">
        <v>129</v>
      </c>
      <c r="H377" s="137" t="s">
        <v>129</v>
      </c>
      <c r="I377" s="137" t="s">
        <v>129</v>
      </c>
      <c r="J377" s="137" t="s">
        <v>129</v>
      </c>
      <c r="K377" s="137" t="s">
        <v>129</v>
      </c>
      <c r="L377" s="137" t="s">
        <v>129</v>
      </c>
      <c r="M377" s="141"/>
      <c r="N377" s="143"/>
    </row>
    <row r="378" hidden="1" outlineLevel="1">
      <c r="A378" s="255" t="s">
        <v>882</v>
      </c>
      <c r="B378" s="344">
        <v>46115.0</v>
      </c>
      <c r="C378" s="133" t="str">
        <f t="shared" si="46"/>
        <v>Fri</v>
      </c>
      <c r="D378" s="136">
        <f t="shared" si="47"/>
        <v>1</v>
      </c>
      <c r="E378" s="137" t="s">
        <v>129</v>
      </c>
      <c r="F378" s="137" t="s">
        <v>129</v>
      </c>
      <c r="G378" s="137" t="s">
        <v>129</v>
      </c>
      <c r="H378" s="137" t="s">
        <v>129</v>
      </c>
      <c r="I378" s="137" t="s">
        <v>129</v>
      </c>
      <c r="J378" s="137" t="s">
        <v>129</v>
      </c>
      <c r="K378" s="137" t="s">
        <v>129</v>
      </c>
      <c r="L378" s="137" t="s">
        <v>129</v>
      </c>
      <c r="M378" s="141"/>
      <c r="N378" s="143"/>
    </row>
    <row r="379" ht="15.0" hidden="1" customHeight="1" outlineLevel="1">
      <c r="A379" s="255" t="s">
        <v>884</v>
      </c>
      <c r="B379" s="344">
        <v>46115.0</v>
      </c>
      <c r="C379" s="133" t="str">
        <f t="shared" si="46"/>
        <v>Fri</v>
      </c>
      <c r="D379" s="136">
        <f t="shared" si="47"/>
        <v>1</v>
      </c>
      <c r="E379" s="137" t="s">
        <v>129</v>
      </c>
      <c r="F379" s="137" t="s">
        <v>129</v>
      </c>
      <c r="G379" s="137" t="s">
        <v>129</v>
      </c>
      <c r="H379" s="137" t="s">
        <v>129</v>
      </c>
      <c r="I379" s="137" t="s">
        <v>129</v>
      </c>
      <c r="J379" s="137" t="s">
        <v>129</v>
      </c>
      <c r="K379" s="137" t="s">
        <v>129</v>
      </c>
      <c r="L379" s="137" t="s">
        <v>129</v>
      </c>
      <c r="M379" s="141"/>
      <c r="N379" s="147"/>
    </row>
    <row r="380" hidden="1" outlineLevel="1">
      <c r="B380" s="189"/>
      <c r="C380" s="191" t="s">
        <v>194</v>
      </c>
      <c r="D380" s="204">
        <f>AVERAGE(D365:D379)</f>
        <v>1</v>
      </c>
      <c r="E380" s="200"/>
      <c r="L380" s="191" t="s">
        <v>194</v>
      </c>
      <c r="M380" s="204">
        <f>SUM(M365:M379)/75*0.1</f>
        <v>0</v>
      </c>
    </row>
    <row r="381" hidden="1" collapsed="1">
      <c r="A381" s="206" t="s">
        <v>886</v>
      </c>
      <c r="B381" s="207"/>
      <c r="C381" s="207"/>
      <c r="D381" s="208"/>
      <c r="E381" s="109"/>
      <c r="F381" s="109"/>
      <c r="G381" s="110"/>
      <c r="H381" s="110"/>
      <c r="I381" s="110"/>
      <c r="J381" s="110"/>
      <c r="K381" s="110"/>
      <c r="L381" s="110"/>
      <c r="M381" s="111"/>
      <c r="N381" s="113"/>
    </row>
    <row r="382" hidden="1" outlineLevel="1">
      <c r="A382" s="373" t="s">
        <v>98</v>
      </c>
      <c r="B382" s="115" t="s">
        <v>100</v>
      </c>
      <c r="C382" s="115" t="s">
        <v>102</v>
      </c>
      <c r="D382" s="119" t="s">
        <v>103</v>
      </c>
      <c r="E382" s="275" t="s">
        <v>269</v>
      </c>
      <c r="F382" s="275" t="s">
        <v>272</v>
      </c>
      <c r="G382" s="276" t="s">
        <v>328</v>
      </c>
      <c r="H382" s="121" t="s">
        <v>107</v>
      </c>
      <c r="I382" s="121" t="s">
        <v>108</v>
      </c>
      <c r="J382" s="276" t="s">
        <v>329</v>
      </c>
      <c r="K382" s="121" t="s">
        <v>111</v>
      </c>
      <c r="L382" s="276" t="s">
        <v>274</v>
      </c>
      <c r="M382" s="115" t="s">
        <v>114</v>
      </c>
      <c r="N382" s="119" t="s">
        <v>115</v>
      </c>
    </row>
    <row r="383" hidden="1" outlineLevel="1">
      <c r="A383" s="303" t="s">
        <v>888</v>
      </c>
      <c r="B383" s="344">
        <v>46118.0</v>
      </c>
      <c r="C383" s="133" t="str">
        <f t="shared" ref="C383:C397" si="48">IF(B383="", "", TEXT(B383, "ddd"))</f>
        <v>Mon</v>
      </c>
      <c r="D383" s="136">
        <f t="shared" ref="D383:D397" si="49">IF(E383="Yes",0.05,0)
+IF(F383="Yes",0.1,0)
+IF(G383="Yes",0.15,0)
+IF(H383="Yes",0.15,0)
+IF(I383="Yes",0.05,0)
+IF(J383="Yes",0.05,0)
+IF(K383="Yes",0.15,0)
+IF(L383="Yes",0.3,0)
</f>
        <v>1</v>
      </c>
      <c r="E383" s="137" t="s">
        <v>129</v>
      </c>
      <c r="F383" s="137" t="s">
        <v>129</v>
      </c>
      <c r="G383" s="137" t="s">
        <v>129</v>
      </c>
      <c r="H383" s="137" t="s">
        <v>129</v>
      </c>
      <c r="I383" s="137" t="s">
        <v>129</v>
      </c>
      <c r="J383" s="137" t="s">
        <v>129</v>
      </c>
      <c r="K383" s="137" t="s">
        <v>129</v>
      </c>
      <c r="L383" s="137" t="s">
        <v>129</v>
      </c>
      <c r="M383" s="141"/>
      <c r="N383" s="143"/>
    </row>
    <row r="384" hidden="1" outlineLevel="1">
      <c r="A384" s="303" t="s">
        <v>890</v>
      </c>
      <c r="B384" s="344">
        <v>46118.0</v>
      </c>
      <c r="C384" s="133" t="str">
        <f t="shared" si="48"/>
        <v>Mon</v>
      </c>
      <c r="D384" s="136">
        <f t="shared" si="49"/>
        <v>1</v>
      </c>
      <c r="E384" s="137" t="s">
        <v>129</v>
      </c>
      <c r="F384" s="137" t="s">
        <v>129</v>
      </c>
      <c r="G384" s="137" t="s">
        <v>129</v>
      </c>
      <c r="H384" s="137" t="s">
        <v>129</v>
      </c>
      <c r="I384" s="137" t="s">
        <v>129</v>
      </c>
      <c r="J384" s="137" t="s">
        <v>129</v>
      </c>
      <c r="K384" s="137" t="s">
        <v>129</v>
      </c>
      <c r="L384" s="137" t="s">
        <v>129</v>
      </c>
      <c r="M384" s="141"/>
      <c r="N384" s="147"/>
    </row>
    <row r="385" hidden="1" outlineLevel="1">
      <c r="A385" s="303" t="s">
        <v>891</v>
      </c>
      <c r="B385" s="344">
        <v>46118.0</v>
      </c>
      <c r="C385" s="133" t="str">
        <f t="shared" si="48"/>
        <v>Mon</v>
      </c>
      <c r="D385" s="136">
        <f t="shared" si="49"/>
        <v>1</v>
      </c>
      <c r="E385" s="137" t="s">
        <v>129</v>
      </c>
      <c r="F385" s="137" t="s">
        <v>129</v>
      </c>
      <c r="G385" s="137" t="s">
        <v>129</v>
      </c>
      <c r="H385" s="137" t="s">
        <v>129</v>
      </c>
      <c r="I385" s="137" t="s">
        <v>129</v>
      </c>
      <c r="J385" s="137" t="s">
        <v>129</v>
      </c>
      <c r="K385" s="137" t="s">
        <v>129</v>
      </c>
      <c r="L385" s="137" t="s">
        <v>129</v>
      </c>
      <c r="M385" s="141"/>
      <c r="N385" s="147"/>
    </row>
    <row r="386" hidden="1" outlineLevel="1">
      <c r="A386" s="303" t="s">
        <v>893</v>
      </c>
      <c r="B386" s="344">
        <v>46119.0</v>
      </c>
      <c r="C386" s="133" t="str">
        <f t="shared" si="48"/>
        <v>Tue</v>
      </c>
      <c r="D386" s="136">
        <f t="shared" si="49"/>
        <v>1</v>
      </c>
      <c r="E386" s="137" t="s">
        <v>129</v>
      </c>
      <c r="F386" s="137" t="s">
        <v>129</v>
      </c>
      <c r="G386" s="137" t="s">
        <v>129</v>
      </c>
      <c r="H386" s="137" t="s">
        <v>129</v>
      </c>
      <c r="I386" s="137" t="s">
        <v>129</v>
      </c>
      <c r="J386" s="137" t="s">
        <v>129</v>
      </c>
      <c r="K386" s="137" t="s">
        <v>129</v>
      </c>
      <c r="L386" s="137" t="s">
        <v>129</v>
      </c>
      <c r="M386" s="141"/>
      <c r="N386" s="143"/>
    </row>
    <row r="387" hidden="1" outlineLevel="1">
      <c r="A387" s="303" t="s">
        <v>895</v>
      </c>
      <c r="B387" s="344">
        <v>46119.0</v>
      </c>
      <c r="C387" s="133" t="str">
        <f t="shared" si="48"/>
        <v>Tue</v>
      </c>
      <c r="D387" s="136">
        <f t="shared" si="49"/>
        <v>1</v>
      </c>
      <c r="E387" s="137" t="s">
        <v>129</v>
      </c>
      <c r="F387" s="137" t="s">
        <v>129</v>
      </c>
      <c r="G387" s="137" t="s">
        <v>129</v>
      </c>
      <c r="H387" s="137" t="s">
        <v>129</v>
      </c>
      <c r="I387" s="137" t="s">
        <v>129</v>
      </c>
      <c r="J387" s="137" t="s">
        <v>129</v>
      </c>
      <c r="K387" s="137" t="s">
        <v>129</v>
      </c>
      <c r="L387" s="137" t="s">
        <v>129</v>
      </c>
      <c r="M387" s="141"/>
      <c r="N387" s="143"/>
    </row>
    <row r="388" hidden="1" outlineLevel="1">
      <c r="A388" s="303" t="s">
        <v>899</v>
      </c>
      <c r="B388" s="344">
        <v>46119.0</v>
      </c>
      <c r="C388" s="133" t="str">
        <f t="shared" si="48"/>
        <v>Tue</v>
      </c>
      <c r="D388" s="136">
        <f t="shared" si="49"/>
        <v>1</v>
      </c>
      <c r="E388" s="137" t="s">
        <v>129</v>
      </c>
      <c r="F388" s="137" t="s">
        <v>129</v>
      </c>
      <c r="G388" s="137" t="s">
        <v>129</v>
      </c>
      <c r="H388" s="137" t="s">
        <v>129</v>
      </c>
      <c r="I388" s="137" t="s">
        <v>129</v>
      </c>
      <c r="J388" s="137" t="s">
        <v>129</v>
      </c>
      <c r="K388" s="137" t="s">
        <v>129</v>
      </c>
      <c r="L388" s="137" t="s">
        <v>129</v>
      </c>
      <c r="M388" s="141"/>
      <c r="N388" s="143"/>
    </row>
    <row r="389" hidden="1" outlineLevel="1">
      <c r="A389" s="255" t="s">
        <v>902</v>
      </c>
      <c r="B389" s="344">
        <v>46120.0</v>
      </c>
      <c r="C389" s="133" t="str">
        <f t="shared" si="48"/>
        <v>Wed</v>
      </c>
      <c r="D389" s="136">
        <f t="shared" si="49"/>
        <v>1</v>
      </c>
      <c r="E389" s="137" t="s">
        <v>129</v>
      </c>
      <c r="F389" s="137" t="s">
        <v>129</v>
      </c>
      <c r="G389" s="137" t="s">
        <v>129</v>
      </c>
      <c r="H389" s="137" t="s">
        <v>129</v>
      </c>
      <c r="I389" s="137" t="s">
        <v>129</v>
      </c>
      <c r="J389" s="137" t="s">
        <v>129</v>
      </c>
      <c r="K389" s="137" t="s">
        <v>129</v>
      </c>
      <c r="L389" s="137" t="s">
        <v>129</v>
      </c>
      <c r="M389" s="141"/>
      <c r="N389" s="143"/>
    </row>
    <row r="390" hidden="1" outlineLevel="1">
      <c r="A390" s="255" t="s">
        <v>904</v>
      </c>
      <c r="B390" s="344">
        <v>46120.0</v>
      </c>
      <c r="C390" s="133" t="str">
        <f t="shared" si="48"/>
        <v>Wed</v>
      </c>
      <c r="D390" s="136">
        <f t="shared" si="49"/>
        <v>1</v>
      </c>
      <c r="E390" s="137" t="s">
        <v>129</v>
      </c>
      <c r="F390" s="137" t="s">
        <v>129</v>
      </c>
      <c r="G390" s="137" t="s">
        <v>129</v>
      </c>
      <c r="H390" s="137" t="s">
        <v>129</v>
      </c>
      <c r="I390" s="137" t="s">
        <v>129</v>
      </c>
      <c r="J390" s="137" t="s">
        <v>129</v>
      </c>
      <c r="K390" s="137" t="s">
        <v>129</v>
      </c>
      <c r="L390" s="137" t="s">
        <v>129</v>
      </c>
      <c r="M390" s="141"/>
      <c r="N390" s="147"/>
    </row>
    <row r="391" hidden="1" outlineLevel="1">
      <c r="A391" s="255" t="s">
        <v>906</v>
      </c>
      <c r="B391" s="344">
        <v>46120.0</v>
      </c>
      <c r="C391" s="133" t="str">
        <f t="shared" si="48"/>
        <v>Wed</v>
      </c>
      <c r="D391" s="136">
        <f t="shared" si="49"/>
        <v>1</v>
      </c>
      <c r="E391" s="137" t="s">
        <v>129</v>
      </c>
      <c r="F391" s="137" t="s">
        <v>129</v>
      </c>
      <c r="G391" s="137" t="s">
        <v>129</v>
      </c>
      <c r="H391" s="137" t="s">
        <v>129</v>
      </c>
      <c r="I391" s="137" t="s">
        <v>129</v>
      </c>
      <c r="J391" s="137" t="s">
        <v>129</v>
      </c>
      <c r="K391" s="137" t="s">
        <v>129</v>
      </c>
      <c r="L391" s="137" t="s">
        <v>129</v>
      </c>
      <c r="M391" s="141"/>
      <c r="N391" s="143"/>
    </row>
    <row r="392" hidden="1" outlineLevel="1">
      <c r="A392" s="255" t="s">
        <v>908</v>
      </c>
      <c r="B392" s="344">
        <v>46121.0</v>
      </c>
      <c r="C392" s="133" t="str">
        <f t="shared" si="48"/>
        <v>Thu</v>
      </c>
      <c r="D392" s="136">
        <f t="shared" si="49"/>
        <v>1</v>
      </c>
      <c r="E392" s="137" t="s">
        <v>129</v>
      </c>
      <c r="F392" s="137" t="s">
        <v>129</v>
      </c>
      <c r="G392" s="137" t="s">
        <v>129</v>
      </c>
      <c r="H392" s="137" t="s">
        <v>129</v>
      </c>
      <c r="I392" s="137" t="s">
        <v>129</v>
      </c>
      <c r="J392" s="137" t="s">
        <v>129</v>
      </c>
      <c r="K392" s="137" t="s">
        <v>129</v>
      </c>
      <c r="L392" s="137" t="s">
        <v>129</v>
      </c>
      <c r="M392" s="141"/>
      <c r="N392" s="147"/>
    </row>
    <row r="393" hidden="1" outlineLevel="1">
      <c r="A393" s="255" t="s">
        <v>909</v>
      </c>
      <c r="B393" s="344">
        <v>46121.0</v>
      </c>
      <c r="C393" s="133" t="str">
        <f t="shared" si="48"/>
        <v>Thu</v>
      </c>
      <c r="D393" s="136">
        <f t="shared" si="49"/>
        <v>1</v>
      </c>
      <c r="E393" s="137" t="s">
        <v>129</v>
      </c>
      <c r="F393" s="137" t="s">
        <v>129</v>
      </c>
      <c r="G393" s="137" t="s">
        <v>129</v>
      </c>
      <c r="H393" s="137" t="s">
        <v>129</v>
      </c>
      <c r="I393" s="137" t="s">
        <v>129</v>
      </c>
      <c r="J393" s="137" t="s">
        <v>129</v>
      </c>
      <c r="K393" s="137" t="s">
        <v>129</v>
      </c>
      <c r="L393" s="137" t="s">
        <v>129</v>
      </c>
      <c r="M393" s="141"/>
      <c r="N393" s="147"/>
    </row>
    <row r="394" hidden="1" outlineLevel="1">
      <c r="A394" s="255" t="s">
        <v>910</v>
      </c>
      <c r="B394" s="344">
        <v>46121.0</v>
      </c>
      <c r="C394" s="133" t="str">
        <f t="shared" si="48"/>
        <v>Thu</v>
      </c>
      <c r="D394" s="136">
        <f t="shared" si="49"/>
        <v>1</v>
      </c>
      <c r="E394" s="137" t="s">
        <v>129</v>
      </c>
      <c r="F394" s="137" t="s">
        <v>129</v>
      </c>
      <c r="G394" s="137" t="s">
        <v>129</v>
      </c>
      <c r="H394" s="137" t="s">
        <v>129</v>
      </c>
      <c r="I394" s="137" t="s">
        <v>129</v>
      </c>
      <c r="J394" s="137" t="s">
        <v>129</v>
      </c>
      <c r="K394" s="137" t="s">
        <v>129</v>
      </c>
      <c r="L394" s="137" t="s">
        <v>129</v>
      </c>
      <c r="M394" s="141"/>
      <c r="N394" s="147"/>
    </row>
    <row r="395" hidden="1" outlineLevel="1">
      <c r="A395" s="219" t="s">
        <v>912</v>
      </c>
      <c r="B395" s="344">
        <v>46122.0</v>
      </c>
      <c r="C395" s="133" t="str">
        <f t="shared" si="48"/>
        <v>Fri</v>
      </c>
      <c r="D395" s="136">
        <f t="shared" si="49"/>
        <v>1</v>
      </c>
      <c r="E395" s="137" t="s">
        <v>129</v>
      </c>
      <c r="F395" s="137" t="s">
        <v>129</v>
      </c>
      <c r="G395" s="137" t="s">
        <v>129</v>
      </c>
      <c r="H395" s="137" t="s">
        <v>129</v>
      </c>
      <c r="I395" s="137" t="s">
        <v>129</v>
      </c>
      <c r="J395" s="137" t="s">
        <v>129</v>
      </c>
      <c r="K395" s="137" t="s">
        <v>129</v>
      </c>
      <c r="L395" s="137" t="s">
        <v>129</v>
      </c>
      <c r="M395" s="141"/>
      <c r="N395" s="143"/>
    </row>
    <row r="396" hidden="1" outlineLevel="1">
      <c r="A396" s="219" t="s">
        <v>914</v>
      </c>
      <c r="B396" s="344">
        <v>46122.0</v>
      </c>
      <c r="C396" s="133" t="str">
        <f t="shared" si="48"/>
        <v>Fri</v>
      </c>
      <c r="D396" s="136">
        <f t="shared" si="49"/>
        <v>1</v>
      </c>
      <c r="E396" s="137" t="s">
        <v>129</v>
      </c>
      <c r="F396" s="137" t="s">
        <v>129</v>
      </c>
      <c r="G396" s="137" t="s">
        <v>129</v>
      </c>
      <c r="H396" s="137" t="s">
        <v>129</v>
      </c>
      <c r="I396" s="137" t="s">
        <v>129</v>
      </c>
      <c r="J396" s="137" t="s">
        <v>129</v>
      </c>
      <c r="K396" s="137" t="s">
        <v>129</v>
      </c>
      <c r="L396" s="137" t="s">
        <v>129</v>
      </c>
      <c r="M396" s="141"/>
      <c r="N396" s="143"/>
    </row>
    <row r="397" ht="15.0" hidden="1" customHeight="1" outlineLevel="1">
      <c r="A397" s="219" t="s">
        <v>916</v>
      </c>
      <c r="B397" s="344">
        <v>46122.0</v>
      </c>
      <c r="C397" s="133" t="str">
        <f t="shared" si="48"/>
        <v>Fri</v>
      </c>
      <c r="D397" s="136">
        <f t="shared" si="49"/>
        <v>1</v>
      </c>
      <c r="E397" s="137" t="s">
        <v>129</v>
      </c>
      <c r="F397" s="137" t="s">
        <v>129</v>
      </c>
      <c r="G397" s="137" t="s">
        <v>129</v>
      </c>
      <c r="H397" s="137" t="s">
        <v>129</v>
      </c>
      <c r="I397" s="137" t="s">
        <v>129</v>
      </c>
      <c r="J397" s="137" t="s">
        <v>129</v>
      </c>
      <c r="K397" s="137" t="s">
        <v>129</v>
      </c>
      <c r="L397" s="137" t="s">
        <v>129</v>
      </c>
      <c r="M397" s="141"/>
      <c r="N397" s="147"/>
    </row>
    <row r="398" hidden="1" outlineLevel="1">
      <c r="B398" s="189"/>
      <c r="C398" s="191" t="s">
        <v>194</v>
      </c>
      <c r="D398" s="204">
        <f>AVERAGE(D383:D397)</f>
        <v>1</v>
      </c>
      <c r="E398" s="200"/>
      <c r="L398" s="191" t="s">
        <v>194</v>
      </c>
      <c r="M398" s="204">
        <f>SUM(M383:M397)/75*0.1</f>
        <v>0</v>
      </c>
    </row>
    <row r="399" hidden="1" collapsed="1">
      <c r="A399" s="206" t="s">
        <v>917</v>
      </c>
      <c r="B399" s="207"/>
      <c r="C399" s="207"/>
      <c r="D399" s="208"/>
      <c r="E399" s="109"/>
      <c r="F399" s="109"/>
      <c r="G399" s="110"/>
      <c r="H399" s="110"/>
      <c r="I399" s="110"/>
      <c r="J399" s="110"/>
      <c r="K399" s="110"/>
      <c r="L399" s="110"/>
      <c r="M399" s="111"/>
      <c r="N399" s="113"/>
    </row>
    <row r="400" hidden="1" outlineLevel="1">
      <c r="A400" s="115" t="s">
        <v>98</v>
      </c>
      <c r="B400" s="115" t="s">
        <v>100</v>
      </c>
      <c r="C400" s="115" t="s">
        <v>102</v>
      </c>
      <c r="D400" s="119" t="s">
        <v>103</v>
      </c>
      <c r="E400" s="275" t="s">
        <v>269</v>
      </c>
      <c r="F400" s="275" t="s">
        <v>272</v>
      </c>
      <c r="G400" s="276" t="s">
        <v>328</v>
      </c>
      <c r="H400" s="121" t="s">
        <v>107</v>
      </c>
      <c r="I400" s="121" t="s">
        <v>108</v>
      </c>
      <c r="J400" s="276" t="s">
        <v>329</v>
      </c>
      <c r="K400" s="121" t="s">
        <v>111</v>
      </c>
      <c r="L400" s="276" t="s">
        <v>274</v>
      </c>
      <c r="M400" s="115" t="s">
        <v>114</v>
      </c>
      <c r="N400" s="119" t="s">
        <v>115</v>
      </c>
    </row>
    <row r="401" hidden="1" outlineLevel="1">
      <c r="A401" s="255" t="s">
        <v>918</v>
      </c>
      <c r="B401" s="344">
        <v>46125.0</v>
      </c>
      <c r="C401" s="133" t="str">
        <f t="shared" ref="C401:C415" si="50">IF(B401="", "", TEXT(B401, "ddd"))</f>
        <v>Mon</v>
      </c>
      <c r="D401" s="381">
        <f t="shared" ref="D401:D415" si="51">IF(E401="Yes",0.05,0)
+IF(F401="Yes",0.1,0)
+IF(G401="Yes",0.15,0)
+IF(H401="Yes",0.15,0)
+IF(I401="Yes",0.05,0)
+IF(J401="Yes",0.05,0)
+IF(K401="Yes",0.15,0)
+IF(L401="Yes",0.3,0)
</f>
        <v>1</v>
      </c>
      <c r="E401" s="382" t="s">
        <v>129</v>
      </c>
      <c r="F401" s="137" t="s">
        <v>129</v>
      </c>
      <c r="G401" s="137" t="s">
        <v>129</v>
      </c>
      <c r="H401" s="137" t="s">
        <v>129</v>
      </c>
      <c r="I401" s="137" t="s">
        <v>129</v>
      </c>
      <c r="J401" s="137" t="s">
        <v>129</v>
      </c>
      <c r="K401" s="137" t="s">
        <v>129</v>
      </c>
      <c r="L401" s="137" t="s">
        <v>129</v>
      </c>
      <c r="M401" s="141"/>
      <c r="N401" s="143"/>
    </row>
    <row r="402" hidden="1" outlineLevel="1">
      <c r="A402" s="255" t="s">
        <v>920</v>
      </c>
      <c r="B402" s="344">
        <v>46125.0</v>
      </c>
      <c r="C402" s="133" t="str">
        <f t="shared" si="50"/>
        <v>Mon</v>
      </c>
      <c r="D402" s="383">
        <f t="shared" si="51"/>
        <v>1</v>
      </c>
      <c r="E402" s="147" t="s">
        <v>129</v>
      </c>
      <c r="F402" s="137" t="s">
        <v>129</v>
      </c>
      <c r="G402" s="137" t="s">
        <v>129</v>
      </c>
      <c r="H402" s="137" t="s">
        <v>129</v>
      </c>
      <c r="I402" s="137" t="s">
        <v>129</v>
      </c>
      <c r="J402" s="137" t="s">
        <v>129</v>
      </c>
      <c r="K402" s="137" t="s">
        <v>129</v>
      </c>
      <c r="L402" s="137" t="s">
        <v>129</v>
      </c>
      <c r="M402" s="141"/>
      <c r="N402" s="147"/>
    </row>
    <row r="403" hidden="1" outlineLevel="1">
      <c r="A403" s="255" t="s">
        <v>923</v>
      </c>
      <c r="B403" s="344">
        <v>46125.0</v>
      </c>
      <c r="C403" s="133" t="str">
        <f t="shared" si="50"/>
        <v>Mon</v>
      </c>
      <c r="D403" s="381">
        <f t="shared" si="51"/>
        <v>1</v>
      </c>
      <c r="E403" s="382" t="s">
        <v>129</v>
      </c>
      <c r="F403" s="137" t="s">
        <v>129</v>
      </c>
      <c r="G403" s="137" t="s">
        <v>129</v>
      </c>
      <c r="H403" s="137" t="s">
        <v>129</v>
      </c>
      <c r="I403" s="137" t="s">
        <v>129</v>
      </c>
      <c r="J403" s="137" t="s">
        <v>129</v>
      </c>
      <c r="K403" s="137" t="s">
        <v>129</v>
      </c>
      <c r="L403" s="137" t="s">
        <v>129</v>
      </c>
      <c r="M403" s="141"/>
      <c r="N403" s="147"/>
    </row>
    <row r="404" hidden="1" outlineLevel="1">
      <c r="A404" s="303" t="s">
        <v>925</v>
      </c>
      <c r="B404" s="344">
        <v>46126.0</v>
      </c>
      <c r="C404" s="133" t="str">
        <f t="shared" si="50"/>
        <v>Tue</v>
      </c>
      <c r="D404" s="383">
        <f t="shared" si="51"/>
        <v>1</v>
      </c>
      <c r="E404" s="147" t="s">
        <v>129</v>
      </c>
      <c r="F404" s="137" t="s">
        <v>129</v>
      </c>
      <c r="G404" s="137" t="s">
        <v>129</v>
      </c>
      <c r="H404" s="137" t="s">
        <v>129</v>
      </c>
      <c r="I404" s="137" t="s">
        <v>129</v>
      </c>
      <c r="J404" s="137" t="s">
        <v>129</v>
      </c>
      <c r="K404" s="137" t="s">
        <v>129</v>
      </c>
      <c r="L404" s="137" t="s">
        <v>129</v>
      </c>
      <c r="M404" s="141"/>
      <c r="N404" s="143"/>
    </row>
    <row r="405" hidden="1" outlineLevel="1">
      <c r="A405" s="303" t="s">
        <v>927</v>
      </c>
      <c r="B405" s="344">
        <v>46126.0</v>
      </c>
      <c r="C405" s="133" t="str">
        <f t="shared" si="50"/>
        <v>Tue</v>
      </c>
      <c r="D405" s="381">
        <f t="shared" si="51"/>
        <v>1</v>
      </c>
      <c r="E405" s="382" t="s">
        <v>129</v>
      </c>
      <c r="F405" s="137" t="s">
        <v>129</v>
      </c>
      <c r="G405" s="137" t="s">
        <v>129</v>
      </c>
      <c r="H405" s="137" t="s">
        <v>129</v>
      </c>
      <c r="I405" s="137" t="s">
        <v>129</v>
      </c>
      <c r="J405" s="137" t="s">
        <v>129</v>
      </c>
      <c r="K405" s="137" t="s">
        <v>129</v>
      </c>
      <c r="L405" s="137" t="s">
        <v>129</v>
      </c>
      <c r="M405" s="141"/>
      <c r="N405" s="143"/>
    </row>
    <row r="406" hidden="1" outlineLevel="1">
      <c r="A406" s="303" t="s">
        <v>929</v>
      </c>
      <c r="B406" s="344">
        <v>46126.0</v>
      </c>
      <c r="C406" s="133" t="str">
        <f t="shared" si="50"/>
        <v>Tue</v>
      </c>
      <c r="D406" s="383">
        <f t="shared" si="51"/>
        <v>1</v>
      </c>
      <c r="E406" s="147" t="s">
        <v>129</v>
      </c>
      <c r="F406" s="137" t="s">
        <v>129</v>
      </c>
      <c r="G406" s="137" t="s">
        <v>129</v>
      </c>
      <c r="H406" s="137" t="s">
        <v>129</v>
      </c>
      <c r="I406" s="137" t="s">
        <v>129</v>
      </c>
      <c r="J406" s="137" t="s">
        <v>129</v>
      </c>
      <c r="K406" s="137" t="s">
        <v>129</v>
      </c>
      <c r="L406" s="137" t="s">
        <v>129</v>
      </c>
      <c r="M406" s="141"/>
      <c r="N406" s="143"/>
    </row>
    <row r="407" hidden="1" outlineLevel="1">
      <c r="A407" s="255" t="s">
        <v>930</v>
      </c>
      <c r="B407" s="344">
        <v>46127.0</v>
      </c>
      <c r="C407" s="133" t="str">
        <f t="shared" si="50"/>
        <v>Wed</v>
      </c>
      <c r="D407" s="381">
        <f t="shared" si="51"/>
        <v>1</v>
      </c>
      <c r="E407" s="382" t="s">
        <v>129</v>
      </c>
      <c r="F407" s="137" t="s">
        <v>129</v>
      </c>
      <c r="G407" s="137" t="s">
        <v>129</v>
      </c>
      <c r="H407" s="137" t="s">
        <v>129</v>
      </c>
      <c r="I407" s="137" t="s">
        <v>129</v>
      </c>
      <c r="J407" s="137" t="s">
        <v>129</v>
      </c>
      <c r="K407" s="137" t="s">
        <v>129</v>
      </c>
      <c r="L407" s="137" t="s">
        <v>129</v>
      </c>
      <c r="M407" s="141"/>
      <c r="N407" s="143"/>
    </row>
    <row r="408" hidden="1" outlineLevel="1">
      <c r="A408" s="255" t="s">
        <v>931</v>
      </c>
      <c r="B408" s="344">
        <v>46127.0</v>
      </c>
      <c r="C408" s="133" t="str">
        <f t="shared" si="50"/>
        <v>Wed</v>
      </c>
      <c r="D408" s="383">
        <f t="shared" si="51"/>
        <v>1</v>
      </c>
      <c r="E408" s="147" t="s">
        <v>129</v>
      </c>
      <c r="F408" s="137" t="s">
        <v>129</v>
      </c>
      <c r="G408" s="137" t="s">
        <v>129</v>
      </c>
      <c r="H408" s="137" t="s">
        <v>129</v>
      </c>
      <c r="I408" s="137" t="s">
        <v>129</v>
      </c>
      <c r="J408" s="137" t="s">
        <v>129</v>
      </c>
      <c r="K408" s="137" t="s">
        <v>129</v>
      </c>
      <c r="L408" s="137" t="s">
        <v>129</v>
      </c>
      <c r="M408" s="141"/>
      <c r="N408" s="147"/>
    </row>
    <row r="409" hidden="1" outlineLevel="1">
      <c r="A409" s="255" t="s">
        <v>933</v>
      </c>
      <c r="B409" s="344">
        <v>46127.0</v>
      </c>
      <c r="C409" s="133" t="str">
        <f t="shared" si="50"/>
        <v>Wed</v>
      </c>
      <c r="D409" s="381">
        <f t="shared" si="51"/>
        <v>1</v>
      </c>
      <c r="E409" s="382" t="s">
        <v>129</v>
      </c>
      <c r="F409" s="137" t="s">
        <v>129</v>
      </c>
      <c r="G409" s="137" t="s">
        <v>129</v>
      </c>
      <c r="H409" s="137" t="s">
        <v>129</v>
      </c>
      <c r="I409" s="137" t="s">
        <v>129</v>
      </c>
      <c r="J409" s="137" t="s">
        <v>129</v>
      </c>
      <c r="K409" s="137" t="s">
        <v>129</v>
      </c>
      <c r="L409" s="137" t="s">
        <v>129</v>
      </c>
      <c r="M409" s="141"/>
      <c r="N409" s="143"/>
    </row>
    <row r="410" hidden="1" outlineLevel="1">
      <c r="A410" s="255" t="s">
        <v>935</v>
      </c>
      <c r="B410" s="344">
        <v>46128.0</v>
      </c>
      <c r="C410" s="133" t="str">
        <f t="shared" si="50"/>
        <v>Thu</v>
      </c>
      <c r="D410" s="383">
        <f t="shared" si="51"/>
        <v>1</v>
      </c>
      <c r="E410" s="147" t="s">
        <v>129</v>
      </c>
      <c r="F410" s="137" t="s">
        <v>129</v>
      </c>
      <c r="G410" s="137" t="s">
        <v>129</v>
      </c>
      <c r="H410" s="137" t="s">
        <v>129</v>
      </c>
      <c r="I410" s="137" t="s">
        <v>129</v>
      </c>
      <c r="J410" s="137" t="s">
        <v>129</v>
      </c>
      <c r="K410" s="137" t="s">
        <v>129</v>
      </c>
      <c r="L410" s="137" t="s">
        <v>129</v>
      </c>
      <c r="M410" s="141"/>
      <c r="N410" s="147"/>
    </row>
    <row r="411" hidden="1" outlineLevel="1">
      <c r="A411" s="255" t="s">
        <v>937</v>
      </c>
      <c r="B411" s="344">
        <v>46128.0</v>
      </c>
      <c r="C411" s="133" t="str">
        <f t="shared" si="50"/>
        <v>Thu</v>
      </c>
      <c r="D411" s="381">
        <f t="shared" si="51"/>
        <v>1</v>
      </c>
      <c r="E411" s="382" t="s">
        <v>129</v>
      </c>
      <c r="F411" s="137" t="s">
        <v>129</v>
      </c>
      <c r="G411" s="137" t="s">
        <v>129</v>
      </c>
      <c r="H411" s="137" t="s">
        <v>129</v>
      </c>
      <c r="I411" s="137" t="s">
        <v>129</v>
      </c>
      <c r="J411" s="137" t="s">
        <v>129</v>
      </c>
      <c r="K411" s="137" t="s">
        <v>129</v>
      </c>
      <c r="L411" s="137" t="s">
        <v>129</v>
      </c>
      <c r="M411" s="141"/>
      <c r="N411" s="147"/>
    </row>
    <row r="412" hidden="1" outlineLevel="1">
      <c r="A412" s="255" t="s">
        <v>938</v>
      </c>
      <c r="B412" s="344">
        <v>46128.0</v>
      </c>
      <c r="C412" s="133" t="str">
        <f t="shared" si="50"/>
        <v>Thu</v>
      </c>
      <c r="D412" s="383">
        <f t="shared" si="51"/>
        <v>1</v>
      </c>
      <c r="E412" s="147" t="s">
        <v>129</v>
      </c>
      <c r="F412" s="137" t="s">
        <v>129</v>
      </c>
      <c r="G412" s="137" t="s">
        <v>129</v>
      </c>
      <c r="H412" s="137" t="s">
        <v>129</v>
      </c>
      <c r="I412" s="137" t="s">
        <v>129</v>
      </c>
      <c r="J412" s="137" t="s">
        <v>129</v>
      </c>
      <c r="K412" s="137" t="s">
        <v>129</v>
      </c>
      <c r="L412" s="137" t="s">
        <v>129</v>
      </c>
      <c r="M412" s="141"/>
      <c r="N412" s="147"/>
    </row>
    <row r="413" hidden="1" outlineLevel="1">
      <c r="A413" s="255" t="s">
        <v>940</v>
      </c>
      <c r="B413" s="344">
        <v>46129.0</v>
      </c>
      <c r="C413" s="133" t="str">
        <f t="shared" si="50"/>
        <v>Fri</v>
      </c>
      <c r="D413" s="381">
        <f t="shared" si="51"/>
        <v>1</v>
      </c>
      <c r="E413" s="382" t="s">
        <v>129</v>
      </c>
      <c r="F413" s="137" t="s">
        <v>129</v>
      </c>
      <c r="G413" s="137" t="s">
        <v>129</v>
      </c>
      <c r="H413" s="137" t="s">
        <v>129</v>
      </c>
      <c r="I413" s="137" t="s">
        <v>129</v>
      </c>
      <c r="J413" s="137" t="s">
        <v>129</v>
      </c>
      <c r="K413" s="137" t="s">
        <v>129</v>
      </c>
      <c r="L413" s="137" t="s">
        <v>129</v>
      </c>
      <c r="M413" s="141"/>
      <c r="N413" s="143"/>
    </row>
    <row r="414" hidden="1" outlineLevel="1">
      <c r="A414" s="255" t="s">
        <v>942</v>
      </c>
      <c r="B414" s="344">
        <v>46129.0</v>
      </c>
      <c r="C414" s="133" t="str">
        <f t="shared" si="50"/>
        <v>Fri</v>
      </c>
      <c r="D414" s="383">
        <f t="shared" si="51"/>
        <v>1</v>
      </c>
      <c r="E414" s="147" t="s">
        <v>129</v>
      </c>
      <c r="F414" s="137" t="s">
        <v>129</v>
      </c>
      <c r="G414" s="137" t="s">
        <v>129</v>
      </c>
      <c r="H414" s="137" t="s">
        <v>129</v>
      </c>
      <c r="I414" s="137" t="s">
        <v>129</v>
      </c>
      <c r="J414" s="137" t="s">
        <v>129</v>
      </c>
      <c r="K414" s="137" t="s">
        <v>129</v>
      </c>
      <c r="L414" s="137" t="s">
        <v>129</v>
      </c>
      <c r="M414" s="141"/>
      <c r="N414" s="143"/>
    </row>
    <row r="415" ht="15.0" hidden="1" customHeight="1" outlineLevel="1">
      <c r="A415" s="255" t="s">
        <v>944</v>
      </c>
      <c r="B415" s="344">
        <v>46129.0</v>
      </c>
      <c r="C415" s="133" t="str">
        <f t="shared" si="50"/>
        <v>Fri</v>
      </c>
      <c r="D415" s="381">
        <f t="shared" si="51"/>
        <v>1</v>
      </c>
      <c r="E415" s="382" t="s">
        <v>129</v>
      </c>
      <c r="F415" s="137" t="s">
        <v>129</v>
      </c>
      <c r="G415" s="137" t="s">
        <v>129</v>
      </c>
      <c r="H415" s="137" t="s">
        <v>129</v>
      </c>
      <c r="I415" s="137" t="s">
        <v>129</v>
      </c>
      <c r="J415" s="137" t="s">
        <v>129</v>
      </c>
      <c r="K415" s="137" t="s">
        <v>129</v>
      </c>
      <c r="L415" s="137" t="s">
        <v>129</v>
      </c>
      <c r="M415" s="141"/>
      <c r="N415" s="147"/>
    </row>
    <row r="416" hidden="1" outlineLevel="1">
      <c r="B416" s="189"/>
      <c r="C416" s="191" t="s">
        <v>194</v>
      </c>
      <c r="D416" s="204">
        <f>AVERAGE(D401:D415)</f>
        <v>1</v>
      </c>
      <c r="E416" s="384"/>
      <c r="L416" s="191" t="s">
        <v>194</v>
      </c>
      <c r="M416" s="204">
        <f>SUM(M401:M415)/75*0.1</f>
        <v>0</v>
      </c>
    </row>
    <row r="417" hidden="1" collapsed="1">
      <c r="A417" s="206" t="s">
        <v>946</v>
      </c>
      <c r="B417" s="207"/>
      <c r="C417" s="207"/>
      <c r="D417" s="385"/>
      <c r="E417" s="109"/>
      <c r="F417" s="109"/>
      <c r="G417" s="110"/>
      <c r="H417" s="110"/>
      <c r="I417" s="110"/>
      <c r="J417" s="110"/>
      <c r="K417" s="110"/>
      <c r="L417" s="110"/>
      <c r="M417" s="111"/>
      <c r="N417" s="113"/>
    </row>
    <row r="418" hidden="1" outlineLevel="1">
      <c r="A418" s="373" t="s">
        <v>98</v>
      </c>
      <c r="B418" s="115" t="s">
        <v>100</v>
      </c>
      <c r="C418" s="115" t="s">
        <v>102</v>
      </c>
      <c r="D418" s="119" t="s">
        <v>103</v>
      </c>
      <c r="E418" s="275" t="s">
        <v>269</v>
      </c>
      <c r="F418" s="275" t="s">
        <v>272</v>
      </c>
      <c r="G418" s="276" t="s">
        <v>328</v>
      </c>
      <c r="H418" s="121" t="s">
        <v>107</v>
      </c>
      <c r="I418" s="121" t="s">
        <v>108</v>
      </c>
      <c r="J418" s="276" t="s">
        <v>329</v>
      </c>
      <c r="K418" s="121" t="s">
        <v>111</v>
      </c>
      <c r="L418" s="276" t="s">
        <v>274</v>
      </c>
      <c r="M418" s="115" t="s">
        <v>114</v>
      </c>
      <c r="N418" s="119" t="s">
        <v>115</v>
      </c>
    </row>
    <row r="419" hidden="1" outlineLevel="1">
      <c r="A419" s="386" t="s">
        <v>948</v>
      </c>
      <c r="B419" s="344">
        <v>46132.0</v>
      </c>
      <c r="C419" s="133" t="str">
        <f t="shared" ref="C419:C433" si="52">IF(B419="", "", TEXT(B419, "ddd"))</f>
        <v>Mon</v>
      </c>
      <c r="D419" s="381">
        <f t="shared" ref="D419:D433" si="53">IF(E419="Yes",0.05,0)
+IF(F419="Yes",0.1,0)
+IF(G419="Yes",0.15,0)
+IF(H419="Yes",0.15,0)
+IF(I419="Yes",0.05,0)
+IF(J419="Yes",0.05,0)
+IF(K419="Yes",0.15,0)
+IF(L419="Yes",0.3,0)
</f>
        <v>1</v>
      </c>
      <c r="E419" s="382" t="s">
        <v>129</v>
      </c>
      <c r="F419" s="137" t="s">
        <v>129</v>
      </c>
      <c r="G419" s="137" t="s">
        <v>129</v>
      </c>
      <c r="H419" s="137" t="s">
        <v>129</v>
      </c>
      <c r="I419" s="137" t="s">
        <v>129</v>
      </c>
      <c r="J419" s="137" t="s">
        <v>129</v>
      </c>
      <c r="K419" s="137" t="s">
        <v>129</v>
      </c>
      <c r="L419" s="137" t="s">
        <v>129</v>
      </c>
      <c r="M419" s="141"/>
      <c r="N419" s="143"/>
    </row>
    <row r="420" hidden="1" outlineLevel="1">
      <c r="A420" s="387" t="s">
        <v>951</v>
      </c>
      <c r="B420" s="344">
        <v>46132.0</v>
      </c>
      <c r="C420" s="133" t="str">
        <f t="shared" si="52"/>
        <v>Mon</v>
      </c>
      <c r="D420" s="383">
        <f t="shared" si="53"/>
        <v>1</v>
      </c>
      <c r="E420" s="147" t="s">
        <v>129</v>
      </c>
      <c r="F420" s="137" t="s">
        <v>129</v>
      </c>
      <c r="G420" s="137" t="s">
        <v>129</v>
      </c>
      <c r="H420" s="137" t="s">
        <v>129</v>
      </c>
      <c r="I420" s="137" t="s">
        <v>129</v>
      </c>
      <c r="J420" s="137" t="s">
        <v>129</v>
      </c>
      <c r="K420" s="137" t="s">
        <v>129</v>
      </c>
      <c r="L420" s="137" t="s">
        <v>129</v>
      </c>
      <c r="M420" s="141"/>
      <c r="N420" s="147"/>
    </row>
    <row r="421" hidden="1" outlineLevel="1">
      <c r="A421" s="387" t="s">
        <v>953</v>
      </c>
      <c r="B421" s="344">
        <v>46132.0</v>
      </c>
      <c r="C421" s="133" t="str">
        <f t="shared" si="52"/>
        <v>Mon</v>
      </c>
      <c r="D421" s="381">
        <f t="shared" si="53"/>
        <v>1</v>
      </c>
      <c r="E421" s="382" t="s">
        <v>129</v>
      </c>
      <c r="F421" s="137" t="s">
        <v>129</v>
      </c>
      <c r="G421" s="137" t="s">
        <v>129</v>
      </c>
      <c r="H421" s="137" t="s">
        <v>129</v>
      </c>
      <c r="I421" s="137" t="s">
        <v>129</v>
      </c>
      <c r="J421" s="137" t="s">
        <v>129</v>
      </c>
      <c r="K421" s="137" t="s">
        <v>129</v>
      </c>
      <c r="L421" s="137" t="s">
        <v>129</v>
      </c>
      <c r="M421" s="141"/>
      <c r="N421" s="147"/>
    </row>
    <row r="422" hidden="1" outlineLevel="1">
      <c r="A422" s="388" t="s">
        <v>956</v>
      </c>
      <c r="B422" s="344">
        <v>46133.0</v>
      </c>
      <c r="C422" s="133" t="str">
        <f t="shared" si="52"/>
        <v>Tue</v>
      </c>
      <c r="D422" s="383">
        <f t="shared" si="53"/>
        <v>1</v>
      </c>
      <c r="E422" s="147" t="s">
        <v>129</v>
      </c>
      <c r="F422" s="137" t="s">
        <v>129</v>
      </c>
      <c r="G422" s="137" t="s">
        <v>129</v>
      </c>
      <c r="H422" s="137" t="s">
        <v>129</v>
      </c>
      <c r="I422" s="137" t="s">
        <v>129</v>
      </c>
      <c r="J422" s="137" t="s">
        <v>129</v>
      </c>
      <c r="K422" s="137" t="s">
        <v>129</v>
      </c>
      <c r="L422" s="137" t="s">
        <v>129</v>
      </c>
      <c r="M422" s="141"/>
      <c r="N422" s="143"/>
    </row>
    <row r="423" hidden="1" outlineLevel="1">
      <c r="A423" s="389" t="s">
        <v>958</v>
      </c>
      <c r="B423" s="344">
        <v>46133.0</v>
      </c>
      <c r="C423" s="133" t="str">
        <f t="shared" si="52"/>
        <v>Tue</v>
      </c>
      <c r="D423" s="381">
        <f t="shared" si="53"/>
        <v>1</v>
      </c>
      <c r="E423" s="382" t="s">
        <v>129</v>
      </c>
      <c r="F423" s="137" t="s">
        <v>129</v>
      </c>
      <c r="G423" s="137" t="s">
        <v>129</v>
      </c>
      <c r="H423" s="137" t="s">
        <v>129</v>
      </c>
      <c r="I423" s="137" t="s">
        <v>129</v>
      </c>
      <c r="J423" s="137" t="s">
        <v>129</v>
      </c>
      <c r="K423" s="137" t="s">
        <v>129</v>
      </c>
      <c r="L423" s="137" t="s">
        <v>129</v>
      </c>
      <c r="M423" s="141"/>
      <c r="N423" s="143"/>
    </row>
    <row r="424" hidden="1" outlineLevel="1">
      <c r="A424" s="389" t="s">
        <v>959</v>
      </c>
      <c r="B424" s="344">
        <v>46133.0</v>
      </c>
      <c r="C424" s="133" t="str">
        <f t="shared" si="52"/>
        <v>Tue</v>
      </c>
      <c r="D424" s="383">
        <f t="shared" si="53"/>
        <v>1</v>
      </c>
      <c r="E424" s="147" t="s">
        <v>129</v>
      </c>
      <c r="F424" s="137" t="s">
        <v>129</v>
      </c>
      <c r="G424" s="137" t="s">
        <v>129</v>
      </c>
      <c r="H424" s="137" t="s">
        <v>129</v>
      </c>
      <c r="I424" s="137" t="s">
        <v>129</v>
      </c>
      <c r="J424" s="137" t="s">
        <v>129</v>
      </c>
      <c r="K424" s="137" t="s">
        <v>129</v>
      </c>
      <c r="L424" s="137" t="s">
        <v>129</v>
      </c>
      <c r="M424" s="141"/>
      <c r="N424" s="143"/>
    </row>
    <row r="425" hidden="1" outlineLevel="1">
      <c r="A425" s="388" t="s">
        <v>960</v>
      </c>
      <c r="B425" s="344">
        <v>46134.0</v>
      </c>
      <c r="C425" s="133" t="str">
        <f t="shared" si="52"/>
        <v>Wed</v>
      </c>
      <c r="D425" s="381">
        <f t="shared" si="53"/>
        <v>1</v>
      </c>
      <c r="E425" s="382" t="s">
        <v>129</v>
      </c>
      <c r="F425" s="137" t="s">
        <v>129</v>
      </c>
      <c r="G425" s="137" t="s">
        <v>129</v>
      </c>
      <c r="H425" s="137" t="s">
        <v>129</v>
      </c>
      <c r="I425" s="137" t="s">
        <v>129</v>
      </c>
      <c r="J425" s="137" t="s">
        <v>129</v>
      </c>
      <c r="K425" s="137" t="s">
        <v>129</v>
      </c>
      <c r="L425" s="137" t="s">
        <v>129</v>
      </c>
      <c r="M425" s="141"/>
      <c r="N425" s="143"/>
    </row>
    <row r="426" hidden="1" outlineLevel="1">
      <c r="A426" s="389" t="s">
        <v>962</v>
      </c>
      <c r="B426" s="344">
        <v>46134.0</v>
      </c>
      <c r="C426" s="133" t="str">
        <f t="shared" si="52"/>
        <v>Wed</v>
      </c>
      <c r="D426" s="383">
        <f t="shared" si="53"/>
        <v>1</v>
      </c>
      <c r="E426" s="147" t="s">
        <v>129</v>
      </c>
      <c r="F426" s="137" t="s">
        <v>129</v>
      </c>
      <c r="G426" s="137" t="s">
        <v>129</v>
      </c>
      <c r="H426" s="137" t="s">
        <v>129</v>
      </c>
      <c r="I426" s="137" t="s">
        <v>129</v>
      </c>
      <c r="J426" s="137" t="s">
        <v>129</v>
      </c>
      <c r="K426" s="137" t="s">
        <v>129</v>
      </c>
      <c r="L426" s="137" t="s">
        <v>129</v>
      </c>
      <c r="M426" s="141"/>
      <c r="N426" s="147"/>
    </row>
    <row r="427" hidden="1" outlineLevel="1">
      <c r="A427" s="388" t="s">
        <v>964</v>
      </c>
      <c r="B427" s="344">
        <v>46134.0</v>
      </c>
      <c r="C427" s="133" t="str">
        <f t="shared" si="52"/>
        <v>Wed</v>
      </c>
      <c r="D427" s="381">
        <f t="shared" si="53"/>
        <v>1</v>
      </c>
      <c r="E427" s="382" t="s">
        <v>129</v>
      </c>
      <c r="F427" s="137" t="s">
        <v>129</v>
      </c>
      <c r="G427" s="137" t="s">
        <v>129</v>
      </c>
      <c r="H427" s="137" t="s">
        <v>129</v>
      </c>
      <c r="I427" s="137" t="s">
        <v>129</v>
      </c>
      <c r="J427" s="137" t="s">
        <v>129</v>
      </c>
      <c r="K427" s="137" t="s">
        <v>129</v>
      </c>
      <c r="L427" s="137" t="s">
        <v>129</v>
      </c>
      <c r="M427" s="141"/>
      <c r="N427" s="143"/>
    </row>
    <row r="428" hidden="1" outlineLevel="1">
      <c r="A428" s="389" t="s">
        <v>966</v>
      </c>
      <c r="B428" s="344">
        <v>46135.0</v>
      </c>
      <c r="C428" s="133" t="str">
        <f t="shared" si="52"/>
        <v>Thu</v>
      </c>
      <c r="D428" s="383">
        <f t="shared" si="53"/>
        <v>1</v>
      </c>
      <c r="E428" s="147" t="s">
        <v>129</v>
      </c>
      <c r="F428" s="137" t="s">
        <v>129</v>
      </c>
      <c r="G428" s="137" t="s">
        <v>129</v>
      </c>
      <c r="H428" s="137" t="s">
        <v>129</v>
      </c>
      <c r="I428" s="137" t="s">
        <v>129</v>
      </c>
      <c r="J428" s="137" t="s">
        <v>129</v>
      </c>
      <c r="K428" s="137" t="s">
        <v>129</v>
      </c>
      <c r="L428" s="137" t="s">
        <v>129</v>
      </c>
      <c r="M428" s="141"/>
      <c r="N428" s="147"/>
    </row>
    <row r="429" hidden="1" outlineLevel="1">
      <c r="A429" s="389" t="s">
        <v>968</v>
      </c>
      <c r="B429" s="344">
        <v>46135.0</v>
      </c>
      <c r="C429" s="133" t="str">
        <f t="shared" si="52"/>
        <v>Thu</v>
      </c>
      <c r="D429" s="381">
        <f t="shared" si="53"/>
        <v>1</v>
      </c>
      <c r="E429" s="382" t="s">
        <v>129</v>
      </c>
      <c r="F429" s="137" t="s">
        <v>129</v>
      </c>
      <c r="G429" s="137" t="s">
        <v>129</v>
      </c>
      <c r="H429" s="137" t="s">
        <v>129</v>
      </c>
      <c r="I429" s="137" t="s">
        <v>129</v>
      </c>
      <c r="J429" s="137" t="s">
        <v>129</v>
      </c>
      <c r="K429" s="137" t="s">
        <v>129</v>
      </c>
      <c r="L429" s="137" t="s">
        <v>129</v>
      </c>
      <c r="M429" s="141"/>
      <c r="N429" s="147"/>
    </row>
    <row r="430" hidden="1" outlineLevel="1">
      <c r="A430" s="388" t="s">
        <v>969</v>
      </c>
      <c r="B430" s="344">
        <v>46135.0</v>
      </c>
      <c r="C430" s="133" t="str">
        <f t="shared" si="52"/>
        <v>Thu</v>
      </c>
      <c r="D430" s="383">
        <f t="shared" si="53"/>
        <v>1</v>
      </c>
      <c r="E430" s="147" t="s">
        <v>129</v>
      </c>
      <c r="F430" s="137" t="s">
        <v>129</v>
      </c>
      <c r="G430" s="137" t="s">
        <v>129</v>
      </c>
      <c r="H430" s="137" t="s">
        <v>129</v>
      </c>
      <c r="I430" s="137" t="s">
        <v>129</v>
      </c>
      <c r="J430" s="137" t="s">
        <v>129</v>
      </c>
      <c r="K430" s="137" t="s">
        <v>129</v>
      </c>
      <c r="L430" s="137" t="s">
        <v>129</v>
      </c>
      <c r="M430" s="141"/>
      <c r="N430" s="147"/>
    </row>
    <row r="431" hidden="1" outlineLevel="1">
      <c r="A431" s="389" t="s">
        <v>972</v>
      </c>
      <c r="B431" s="344">
        <v>46136.0</v>
      </c>
      <c r="C431" s="133" t="str">
        <f t="shared" si="52"/>
        <v>Fri</v>
      </c>
      <c r="D431" s="381">
        <f t="shared" si="53"/>
        <v>1</v>
      </c>
      <c r="E431" s="382" t="s">
        <v>129</v>
      </c>
      <c r="F431" s="137" t="s">
        <v>129</v>
      </c>
      <c r="G431" s="137" t="s">
        <v>129</v>
      </c>
      <c r="H431" s="137" t="s">
        <v>129</v>
      </c>
      <c r="I431" s="137" t="s">
        <v>129</v>
      </c>
      <c r="J431" s="137" t="s">
        <v>129</v>
      </c>
      <c r="K431" s="137" t="s">
        <v>129</v>
      </c>
      <c r="L431" s="137" t="s">
        <v>129</v>
      </c>
      <c r="M431" s="141"/>
      <c r="N431" s="143"/>
    </row>
    <row r="432" hidden="1" outlineLevel="1">
      <c r="A432" s="389" t="s">
        <v>974</v>
      </c>
      <c r="B432" s="344">
        <v>46136.0</v>
      </c>
      <c r="C432" s="133" t="str">
        <f t="shared" si="52"/>
        <v>Fri</v>
      </c>
      <c r="D432" s="383">
        <f t="shared" si="53"/>
        <v>1</v>
      </c>
      <c r="E432" s="147" t="s">
        <v>129</v>
      </c>
      <c r="F432" s="137" t="s">
        <v>129</v>
      </c>
      <c r="G432" s="137" t="s">
        <v>129</v>
      </c>
      <c r="H432" s="137" t="s">
        <v>129</v>
      </c>
      <c r="I432" s="137" t="s">
        <v>129</v>
      </c>
      <c r="J432" s="137" t="s">
        <v>129</v>
      </c>
      <c r="K432" s="137" t="s">
        <v>129</v>
      </c>
      <c r="L432" s="137" t="s">
        <v>129</v>
      </c>
      <c r="M432" s="141"/>
      <c r="N432" s="143"/>
    </row>
    <row r="433" ht="15.0" hidden="1" customHeight="1" outlineLevel="1">
      <c r="A433" s="389" t="s">
        <v>976</v>
      </c>
      <c r="B433" s="344">
        <v>46136.0</v>
      </c>
      <c r="C433" s="133" t="str">
        <f t="shared" si="52"/>
        <v>Fri</v>
      </c>
      <c r="D433" s="381">
        <f t="shared" si="53"/>
        <v>1</v>
      </c>
      <c r="E433" s="382" t="s">
        <v>129</v>
      </c>
      <c r="F433" s="137" t="s">
        <v>129</v>
      </c>
      <c r="G433" s="137" t="s">
        <v>129</v>
      </c>
      <c r="H433" s="137" t="s">
        <v>129</v>
      </c>
      <c r="I433" s="137" t="s">
        <v>129</v>
      </c>
      <c r="J433" s="137" t="s">
        <v>129</v>
      </c>
      <c r="K433" s="137" t="s">
        <v>129</v>
      </c>
      <c r="L433" s="137" t="s">
        <v>129</v>
      </c>
      <c r="M433" s="141"/>
      <c r="N433" s="147"/>
    </row>
    <row r="434" hidden="1" outlineLevel="1">
      <c r="B434" s="189"/>
      <c r="C434" s="191" t="s">
        <v>194</v>
      </c>
      <c r="D434" s="204">
        <f>AVERAGE(D419:D433)</f>
        <v>1</v>
      </c>
      <c r="E434" s="384"/>
      <c r="L434" s="191" t="s">
        <v>194</v>
      </c>
      <c r="M434" s="204">
        <f>SUM(M419:M433)/75*0.1</f>
        <v>0</v>
      </c>
    </row>
    <row r="435" hidden="1" collapsed="1">
      <c r="A435" s="206" t="s">
        <v>978</v>
      </c>
      <c r="B435" s="207"/>
      <c r="C435" s="207"/>
      <c r="D435" s="385"/>
      <c r="E435" s="109"/>
      <c r="F435" s="109"/>
      <c r="G435" s="110"/>
      <c r="H435" s="110"/>
      <c r="I435" s="110"/>
      <c r="J435" s="110"/>
      <c r="K435" s="110"/>
      <c r="L435" s="110"/>
      <c r="M435" s="111"/>
      <c r="N435" s="113"/>
    </row>
    <row r="436" hidden="1" outlineLevel="1">
      <c r="A436" s="373" t="s">
        <v>98</v>
      </c>
      <c r="B436" s="115" t="s">
        <v>100</v>
      </c>
      <c r="C436" s="115" t="s">
        <v>102</v>
      </c>
      <c r="D436" s="119" t="s">
        <v>103</v>
      </c>
      <c r="E436" s="275" t="s">
        <v>269</v>
      </c>
      <c r="F436" s="275" t="s">
        <v>272</v>
      </c>
      <c r="G436" s="276" t="s">
        <v>328</v>
      </c>
      <c r="H436" s="121" t="s">
        <v>107</v>
      </c>
      <c r="I436" s="121" t="s">
        <v>108</v>
      </c>
      <c r="J436" s="276" t="s">
        <v>329</v>
      </c>
      <c r="K436" s="121" t="s">
        <v>111</v>
      </c>
      <c r="L436" s="276" t="s">
        <v>274</v>
      </c>
      <c r="M436" s="115" t="s">
        <v>114</v>
      </c>
      <c r="N436" s="119" t="s">
        <v>115</v>
      </c>
    </row>
    <row r="437" hidden="1" outlineLevel="1">
      <c r="A437" s="255" t="s">
        <v>979</v>
      </c>
      <c r="B437" s="344">
        <v>46139.0</v>
      </c>
      <c r="C437" s="133" t="str">
        <f t="shared" ref="C437:C451" si="54">IF(B437="", "", TEXT(B437, "ddd"))</f>
        <v>Mon</v>
      </c>
      <c r="D437" s="381">
        <f t="shared" ref="D437:D451" si="55">IF(E437="Yes",0.05,0)
+IF(F437="Yes",0.1,0)
+IF(G437="Yes",0.15,0)
+IF(H437="Yes",0.15,0)
+IF(I437="Yes",0.05,0)
+IF(J437="Yes",0.05,0)
+IF(K437="Yes",0.15,0)
+IF(L437="Yes",0.3,0)
</f>
        <v>1</v>
      </c>
      <c r="E437" s="382" t="s">
        <v>129</v>
      </c>
      <c r="F437" s="137" t="s">
        <v>129</v>
      </c>
      <c r="G437" s="137" t="s">
        <v>129</v>
      </c>
      <c r="H437" s="137" t="s">
        <v>129</v>
      </c>
      <c r="I437" s="137" t="s">
        <v>129</v>
      </c>
      <c r="J437" s="137" t="s">
        <v>129</v>
      </c>
      <c r="K437" s="137" t="s">
        <v>129</v>
      </c>
      <c r="L437" s="137" t="s">
        <v>129</v>
      </c>
      <c r="M437" s="141"/>
      <c r="N437" s="143"/>
    </row>
    <row r="438" hidden="1" outlineLevel="1">
      <c r="A438" s="255" t="s">
        <v>981</v>
      </c>
      <c r="B438" s="344">
        <v>46139.0</v>
      </c>
      <c r="C438" s="133" t="str">
        <f t="shared" si="54"/>
        <v>Mon</v>
      </c>
      <c r="D438" s="383">
        <f t="shared" si="55"/>
        <v>1</v>
      </c>
      <c r="E438" s="147" t="s">
        <v>129</v>
      </c>
      <c r="F438" s="137" t="s">
        <v>129</v>
      </c>
      <c r="G438" s="137" t="s">
        <v>129</v>
      </c>
      <c r="H438" s="137" t="s">
        <v>129</v>
      </c>
      <c r="I438" s="137" t="s">
        <v>129</v>
      </c>
      <c r="J438" s="137" t="s">
        <v>129</v>
      </c>
      <c r="K438" s="137" t="s">
        <v>129</v>
      </c>
      <c r="L438" s="137" t="s">
        <v>129</v>
      </c>
      <c r="M438" s="141"/>
      <c r="N438" s="147"/>
    </row>
    <row r="439" hidden="1" outlineLevel="1">
      <c r="A439" s="255" t="s">
        <v>983</v>
      </c>
      <c r="B439" s="344">
        <v>46139.0</v>
      </c>
      <c r="C439" s="133" t="str">
        <f t="shared" si="54"/>
        <v>Mon</v>
      </c>
      <c r="D439" s="381">
        <f t="shared" si="55"/>
        <v>1</v>
      </c>
      <c r="E439" s="382" t="s">
        <v>129</v>
      </c>
      <c r="F439" s="137" t="s">
        <v>129</v>
      </c>
      <c r="G439" s="137" t="s">
        <v>129</v>
      </c>
      <c r="H439" s="137" t="s">
        <v>129</v>
      </c>
      <c r="I439" s="137" t="s">
        <v>129</v>
      </c>
      <c r="J439" s="137" t="s">
        <v>129</v>
      </c>
      <c r="K439" s="137" t="s">
        <v>129</v>
      </c>
      <c r="L439" s="137" t="s">
        <v>129</v>
      </c>
      <c r="M439" s="141"/>
      <c r="N439" s="147"/>
    </row>
    <row r="440" hidden="1" outlineLevel="1">
      <c r="A440" s="390" t="s">
        <v>986</v>
      </c>
      <c r="B440" s="344">
        <v>46140.0</v>
      </c>
      <c r="C440" s="133" t="str">
        <f t="shared" si="54"/>
        <v>Tue</v>
      </c>
      <c r="D440" s="383">
        <f t="shared" si="55"/>
        <v>1</v>
      </c>
      <c r="E440" s="147" t="s">
        <v>129</v>
      </c>
      <c r="F440" s="137" t="s">
        <v>129</v>
      </c>
      <c r="G440" s="137" t="s">
        <v>129</v>
      </c>
      <c r="H440" s="137" t="s">
        <v>129</v>
      </c>
      <c r="I440" s="137" t="s">
        <v>129</v>
      </c>
      <c r="J440" s="137" t="s">
        <v>129</v>
      </c>
      <c r="K440" s="137" t="s">
        <v>129</v>
      </c>
      <c r="L440" s="137" t="s">
        <v>129</v>
      </c>
      <c r="M440" s="141"/>
      <c r="N440" s="143"/>
    </row>
    <row r="441" hidden="1" outlineLevel="1">
      <c r="A441" s="390" t="s">
        <v>988</v>
      </c>
      <c r="B441" s="344">
        <v>46140.0</v>
      </c>
      <c r="C441" s="133" t="str">
        <f t="shared" si="54"/>
        <v>Tue</v>
      </c>
      <c r="D441" s="381">
        <f t="shared" si="55"/>
        <v>1</v>
      </c>
      <c r="E441" s="382" t="s">
        <v>129</v>
      </c>
      <c r="F441" s="137" t="s">
        <v>129</v>
      </c>
      <c r="G441" s="137" t="s">
        <v>129</v>
      </c>
      <c r="H441" s="137" t="s">
        <v>129</v>
      </c>
      <c r="I441" s="137" t="s">
        <v>129</v>
      </c>
      <c r="J441" s="137" t="s">
        <v>129</v>
      </c>
      <c r="K441" s="137" t="s">
        <v>129</v>
      </c>
      <c r="L441" s="137" t="s">
        <v>129</v>
      </c>
      <c r="M441" s="141"/>
      <c r="N441" s="143"/>
    </row>
    <row r="442" hidden="1" outlineLevel="1">
      <c r="A442" s="391" t="s">
        <v>990</v>
      </c>
      <c r="B442" s="344">
        <v>46140.0</v>
      </c>
      <c r="C442" s="133" t="str">
        <f t="shared" si="54"/>
        <v>Tue</v>
      </c>
      <c r="D442" s="383">
        <f t="shared" si="55"/>
        <v>1</v>
      </c>
      <c r="E442" s="147" t="s">
        <v>129</v>
      </c>
      <c r="F442" s="137" t="s">
        <v>129</v>
      </c>
      <c r="G442" s="137" t="s">
        <v>129</v>
      </c>
      <c r="H442" s="137" t="s">
        <v>129</v>
      </c>
      <c r="I442" s="137" t="s">
        <v>129</v>
      </c>
      <c r="J442" s="137" t="s">
        <v>129</v>
      </c>
      <c r="K442" s="137" t="s">
        <v>129</v>
      </c>
      <c r="L442" s="137" t="s">
        <v>129</v>
      </c>
      <c r="M442" s="141"/>
      <c r="N442" s="143"/>
    </row>
    <row r="443" hidden="1" outlineLevel="1">
      <c r="A443" s="392" t="s">
        <v>992</v>
      </c>
      <c r="B443" s="344">
        <v>46141.0</v>
      </c>
      <c r="C443" s="133" t="str">
        <f t="shared" si="54"/>
        <v>Wed</v>
      </c>
      <c r="D443" s="381">
        <f t="shared" si="55"/>
        <v>1</v>
      </c>
      <c r="E443" s="382" t="s">
        <v>129</v>
      </c>
      <c r="F443" s="137" t="s">
        <v>129</v>
      </c>
      <c r="G443" s="137" t="s">
        <v>129</v>
      </c>
      <c r="H443" s="137" t="s">
        <v>129</v>
      </c>
      <c r="I443" s="137" t="s">
        <v>129</v>
      </c>
      <c r="J443" s="137" t="s">
        <v>129</v>
      </c>
      <c r="K443" s="137" t="s">
        <v>129</v>
      </c>
      <c r="L443" s="137" t="s">
        <v>129</v>
      </c>
      <c r="M443" s="141"/>
      <c r="N443" s="143"/>
    </row>
    <row r="444" hidden="1" outlineLevel="1">
      <c r="A444" s="390" t="s">
        <v>993</v>
      </c>
      <c r="B444" s="344">
        <v>46141.0</v>
      </c>
      <c r="C444" s="133" t="str">
        <f t="shared" si="54"/>
        <v>Wed</v>
      </c>
      <c r="D444" s="383">
        <f t="shared" si="55"/>
        <v>1</v>
      </c>
      <c r="E444" s="147" t="s">
        <v>129</v>
      </c>
      <c r="F444" s="137" t="s">
        <v>129</v>
      </c>
      <c r="G444" s="137" t="s">
        <v>129</v>
      </c>
      <c r="H444" s="137" t="s">
        <v>129</v>
      </c>
      <c r="I444" s="137" t="s">
        <v>129</v>
      </c>
      <c r="J444" s="137" t="s">
        <v>129</v>
      </c>
      <c r="K444" s="137" t="s">
        <v>129</v>
      </c>
      <c r="L444" s="137" t="s">
        <v>129</v>
      </c>
      <c r="M444" s="141"/>
      <c r="N444" s="147"/>
    </row>
    <row r="445" hidden="1" outlineLevel="1">
      <c r="A445" s="391" t="s">
        <v>994</v>
      </c>
      <c r="B445" s="344">
        <v>46141.0</v>
      </c>
      <c r="C445" s="133" t="str">
        <f t="shared" si="54"/>
        <v>Wed</v>
      </c>
      <c r="D445" s="381">
        <f t="shared" si="55"/>
        <v>1</v>
      </c>
      <c r="E445" s="382" t="s">
        <v>129</v>
      </c>
      <c r="F445" s="137" t="s">
        <v>129</v>
      </c>
      <c r="G445" s="137" t="s">
        <v>129</v>
      </c>
      <c r="H445" s="137" t="s">
        <v>129</v>
      </c>
      <c r="I445" s="137" t="s">
        <v>129</v>
      </c>
      <c r="J445" s="137" t="s">
        <v>129</v>
      </c>
      <c r="K445" s="137" t="s">
        <v>129</v>
      </c>
      <c r="L445" s="137" t="s">
        <v>129</v>
      </c>
      <c r="M445" s="141"/>
      <c r="N445" s="143"/>
    </row>
    <row r="446" hidden="1" outlineLevel="1">
      <c r="A446" s="391" t="s">
        <v>995</v>
      </c>
      <c r="B446" s="344">
        <v>46142.0</v>
      </c>
      <c r="C446" s="133" t="str">
        <f t="shared" si="54"/>
        <v>Thu</v>
      </c>
      <c r="D446" s="383">
        <f t="shared" si="55"/>
        <v>1</v>
      </c>
      <c r="E446" s="147" t="s">
        <v>129</v>
      </c>
      <c r="F446" s="137" t="s">
        <v>129</v>
      </c>
      <c r="G446" s="137" t="s">
        <v>129</v>
      </c>
      <c r="H446" s="137" t="s">
        <v>129</v>
      </c>
      <c r="I446" s="137" t="s">
        <v>129</v>
      </c>
      <c r="J446" s="137" t="s">
        <v>129</v>
      </c>
      <c r="K446" s="137" t="s">
        <v>129</v>
      </c>
      <c r="L446" s="137" t="s">
        <v>129</v>
      </c>
      <c r="M446" s="141"/>
      <c r="N446" s="147"/>
    </row>
    <row r="447" hidden="1" outlineLevel="1">
      <c r="A447" s="390" t="s">
        <v>996</v>
      </c>
      <c r="B447" s="344">
        <v>46142.0</v>
      </c>
      <c r="C447" s="133" t="str">
        <f t="shared" si="54"/>
        <v>Thu</v>
      </c>
      <c r="D447" s="381">
        <f t="shared" si="55"/>
        <v>1</v>
      </c>
      <c r="E447" s="382" t="s">
        <v>129</v>
      </c>
      <c r="F447" s="137" t="s">
        <v>129</v>
      </c>
      <c r="G447" s="137" t="s">
        <v>129</v>
      </c>
      <c r="H447" s="137" t="s">
        <v>129</v>
      </c>
      <c r="I447" s="137" t="s">
        <v>129</v>
      </c>
      <c r="J447" s="137" t="s">
        <v>129</v>
      </c>
      <c r="K447" s="137" t="s">
        <v>129</v>
      </c>
      <c r="L447" s="137" t="s">
        <v>129</v>
      </c>
      <c r="M447" s="141"/>
      <c r="N447" s="147"/>
    </row>
    <row r="448" hidden="1" outlineLevel="1">
      <c r="A448" s="391" t="s">
        <v>998</v>
      </c>
      <c r="B448" s="344">
        <v>46142.0</v>
      </c>
      <c r="C448" s="133" t="str">
        <f t="shared" si="54"/>
        <v>Thu</v>
      </c>
      <c r="D448" s="383">
        <f t="shared" si="55"/>
        <v>1</v>
      </c>
      <c r="E448" s="147" t="s">
        <v>129</v>
      </c>
      <c r="F448" s="137" t="s">
        <v>129</v>
      </c>
      <c r="G448" s="137" t="s">
        <v>129</v>
      </c>
      <c r="H448" s="137" t="s">
        <v>129</v>
      </c>
      <c r="I448" s="137" t="s">
        <v>129</v>
      </c>
      <c r="J448" s="137" t="s">
        <v>129</v>
      </c>
      <c r="K448" s="137" t="s">
        <v>129</v>
      </c>
      <c r="L448" s="137" t="s">
        <v>129</v>
      </c>
      <c r="M448" s="141"/>
      <c r="N448" s="147"/>
    </row>
    <row r="449" hidden="1" outlineLevel="1">
      <c r="A449" s="390" t="s">
        <v>999</v>
      </c>
      <c r="B449" s="344">
        <v>46143.0</v>
      </c>
      <c r="C449" s="133" t="str">
        <f t="shared" si="54"/>
        <v>Fri</v>
      </c>
      <c r="D449" s="381">
        <f t="shared" si="55"/>
        <v>1</v>
      </c>
      <c r="E449" s="382" t="s">
        <v>129</v>
      </c>
      <c r="F449" s="137" t="s">
        <v>129</v>
      </c>
      <c r="G449" s="137" t="s">
        <v>129</v>
      </c>
      <c r="H449" s="137" t="s">
        <v>129</v>
      </c>
      <c r="I449" s="137" t="s">
        <v>129</v>
      </c>
      <c r="J449" s="137" t="s">
        <v>129</v>
      </c>
      <c r="K449" s="137" t="s">
        <v>129</v>
      </c>
      <c r="L449" s="137" t="s">
        <v>129</v>
      </c>
      <c r="M449" s="141"/>
      <c r="N449" s="143"/>
    </row>
    <row r="450" hidden="1" outlineLevel="1">
      <c r="A450" s="391" t="s">
        <v>1002</v>
      </c>
      <c r="B450" s="344">
        <v>46143.0</v>
      </c>
      <c r="C450" s="133" t="str">
        <f t="shared" si="54"/>
        <v>Fri</v>
      </c>
      <c r="D450" s="383">
        <f t="shared" si="55"/>
        <v>1</v>
      </c>
      <c r="E450" s="147" t="s">
        <v>129</v>
      </c>
      <c r="F450" s="137" t="s">
        <v>129</v>
      </c>
      <c r="G450" s="137" t="s">
        <v>129</v>
      </c>
      <c r="H450" s="137" t="s">
        <v>129</v>
      </c>
      <c r="I450" s="137" t="s">
        <v>129</v>
      </c>
      <c r="J450" s="137" t="s">
        <v>129</v>
      </c>
      <c r="K450" s="137" t="s">
        <v>129</v>
      </c>
      <c r="L450" s="137" t="s">
        <v>129</v>
      </c>
      <c r="M450" s="141"/>
      <c r="N450" s="143"/>
    </row>
    <row r="451" ht="15.0" hidden="1" customHeight="1" outlineLevel="1">
      <c r="A451" s="390" t="s">
        <v>1003</v>
      </c>
      <c r="B451" s="344">
        <v>46143.0</v>
      </c>
      <c r="C451" s="133" t="str">
        <f t="shared" si="54"/>
        <v>Fri</v>
      </c>
      <c r="D451" s="381">
        <f t="shared" si="55"/>
        <v>1</v>
      </c>
      <c r="E451" s="382" t="s">
        <v>129</v>
      </c>
      <c r="F451" s="137" t="s">
        <v>129</v>
      </c>
      <c r="G451" s="137" t="s">
        <v>129</v>
      </c>
      <c r="H451" s="137" t="s">
        <v>129</v>
      </c>
      <c r="I451" s="137" t="s">
        <v>129</v>
      </c>
      <c r="J451" s="137" t="s">
        <v>129</v>
      </c>
      <c r="K451" s="137" t="s">
        <v>129</v>
      </c>
      <c r="L451" s="137" t="s">
        <v>129</v>
      </c>
      <c r="M451" s="141"/>
      <c r="N451" s="147"/>
    </row>
    <row r="452" hidden="1" outlineLevel="1">
      <c r="B452" s="189"/>
      <c r="C452" s="191" t="s">
        <v>194</v>
      </c>
      <c r="D452" s="204">
        <f>AVERAGE(D437:D451)</f>
        <v>1</v>
      </c>
      <c r="E452" s="384"/>
      <c r="L452" s="191" t="s">
        <v>194</v>
      </c>
      <c r="M452" s="204">
        <f>SUM(M437:M451)/75*0.1</f>
        <v>0</v>
      </c>
    </row>
    <row r="453" hidden="1" collapsed="1">
      <c r="A453" s="206" t="s">
        <v>1006</v>
      </c>
      <c r="B453" s="207"/>
      <c r="C453" s="207"/>
      <c r="D453" s="385"/>
      <c r="E453" s="109"/>
      <c r="F453" s="109"/>
      <c r="G453" s="110"/>
      <c r="H453" s="110"/>
      <c r="I453" s="110"/>
      <c r="J453" s="110"/>
      <c r="K453" s="110"/>
      <c r="L453" s="110"/>
      <c r="M453" s="111"/>
      <c r="N453" s="113"/>
    </row>
    <row r="454" hidden="1" outlineLevel="1">
      <c r="A454" s="373" t="s">
        <v>98</v>
      </c>
      <c r="B454" s="115" t="s">
        <v>100</v>
      </c>
      <c r="C454" s="115" t="s">
        <v>102</v>
      </c>
      <c r="D454" s="119" t="s">
        <v>103</v>
      </c>
      <c r="E454" s="275" t="s">
        <v>269</v>
      </c>
      <c r="F454" s="275" t="s">
        <v>272</v>
      </c>
      <c r="G454" s="276" t="s">
        <v>328</v>
      </c>
      <c r="H454" s="121" t="s">
        <v>107</v>
      </c>
      <c r="I454" s="121" t="s">
        <v>108</v>
      </c>
      <c r="J454" s="276" t="s">
        <v>329</v>
      </c>
      <c r="K454" s="121" t="s">
        <v>111</v>
      </c>
      <c r="L454" s="276" t="s">
        <v>274</v>
      </c>
      <c r="M454" s="115" t="s">
        <v>114</v>
      </c>
      <c r="N454" s="119" t="s">
        <v>115</v>
      </c>
    </row>
    <row r="455" hidden="1" outlineLevel="1">
      <c r="A455" s="391" t="s">
        <v>1007</v>
      </c>
      <c r="B455" s="344">
        <v>46146.0</v>
      </c>
      <c r="C455" s="133" t="str">
        <f t="shared" ref="C455:C469" si="56">IF(B455="", "", TEXT(B455, "ddd"))</f>
        <v>Mon</v>
      </c>
      <c r="D455" s="381">
        <f t="shared" ref="D455:D469" si="57">IF(E455="Yes",0.05,0)
+IF(F455="Yes",0.1,0)
+IF(G455="Yes",0.15,0)
+IF(H455="Yes",0.15,0)
+IF(I455="Yes",0.05,0)
+IF(J455="Yes",0.05,0)
+IF(K455="Yes",0.15,0)
+IF(L455="Yes",0.3,0)
</f>
        <v>1</v>
      </c>
      <c r="E455" s="382" t="s">
        <v>129</v>
      </c>
      <c r="F455" s="137" t="s">
        <v>129</v>
      </c>
      <c r="G455" s="137" t="s">
        <v>129</v>
      </c>
      <c r="H455" s="137" t="s">
        <v>129</v>
      </c>
      <c r="I455" s="137" t="s">
        <v>129</v>
      </c>
      <c r="J455" s="137" t="s">
        <v>129</v>
      </c>
      <c r="K455" s="137" t="s">
        <v>129</v>
      </c>
      <c r="L455" s="137" t="s">
        <v>129</v>
      </c>
      <c r="M455" s="141"/>
      <c r="N455" s="143"/>
    </row>
    <row r="456" hidden="1" outlineLevel="1">
      <c r="A456" s="391" t="s">
        <v>1009</v>
      </c>
      <c r="B456" s="344">
        <v>46146.0</v>
      </c>
      <c r="C456" s="133" t="str">
        <f t="shared" si="56"/>
        <v>Mon</v>
      </c>
      <c r="D456" s="383">
        <f t="shared" si="57"/>
        <v>1</v>
      </c>
      <c r="E456" s="147" t="s">
        <v>129</v>
      </c>
      <c r="F456" s="137" t="s">
        <v>129</v>
      </c>
      <c r="G456" s="137" t="s">
        <v>129</v>
      </c>
      <c r="H456" s="137" t="s">
        <v>129</v>
      </c>
      <c r="I456" s="137" t="s">
        <v>129</v>
      </c>
      <c r="J456" s="137" t="s">
        <v>129</v>
      </c>
      <c r="K456" s="137" t="s">
        <v>129</v>
      </c>
      <c r="L456" s="137" t="s">
        <v>129</v>
      </c>
      <c r="M456" s="141"/>
      <c r="N456" s="147"/>
    </row>
    <row r="457" hidden="1" outlineLevel="1">
      <c r="A457" s="391" t="s">
        <v>1014</v>
      </c>
      <c r="B457" s="344">
        <v>46146.0</v>
      </c>
      <c r="C457" s="133" t="str">
        <f t="shared" si="56"/>
        <v>Mon</v>
      </c>
      <c r="D457" s="381">
        <f t="shared" si="57"/>
        <v>1</v>
      </c>
      <c r="E457" s="382" t="s">
        <v>129</v>
      </c>
      <c r="F457" s="137" t="s">
        <v>129</v>
      </c>
      <c r="G457" s="137" t="s">
        <v>129</v>
      </c>
      <c r="H457" s="137" t="s">
        <v>129</v>
      </c>
      <c r="I457" s="137" t="s">
        <v>129</v>
      </c>
      <c r="J457" s="137" t="s">
        <v>129</v>
      </c>
      <c r="K457" s="137" t="s">
        <v>129</v>
      </c>
      <c r="L457" s="137" t="s">
        <v>129</v>
      </c>
      <c r="M457" s="141"/>
      <c r="N457" s="147"/>
    </row>
    <row r="458" hidden="1" outlineLevel="1">
      <c r="A458" s="390" t="s">
        <v>1016</v>
      </c>
      <c r="B458" s="344">
        <v>46147.0</v>
      </c>
      <c r="C458" s="133" t="str">
        <f t="shared" si="56"/>
        <v>Tue</v>
      </c>
      <c r="D458" s="383">
        <f t="shared" si="57"/>
        <v>1</v>
      </c>
      <c r="E458" s="147" t="s">
        <v>129</v>
      </c>
      <c r="F458" s="137" t="s">
        <v>129</v>
      </c>
      <c r="G458" s="137" t="s">
        <v>129</v>
      </c>
      <c r="H458" s="137" t="s">
        <v>129</v>
      </c>
      <c r="I458" s="137" t="s">
        <v>129</v>
      </c>
      <c r="J458" s="137" t="s">
        <v>129</v>
      </c>
      <c r="K458" s="137" t="s">
        <v>129</v>
      </c>
      <c r="L458" s="137" t="s">
        <v>129</v>
      </c>
      <c r="M458" s="141"/>
      <c r="N458" s="143"/>
    </row>
    <row r="459" hidden="1" outlineLevel="1">
      <c r="A459" s="390" t="s">
        <v>1017</v>
      </c>
      <c r="B459" s="344">
        <v>46147.0</v>
      </c>
      <c r="C459" s="133" t="str">
        <f t="shared" si="56"/>
        <v>Tue</v>
      </c>
      <c r="D459" s="381">
        <f t="shared" si="57"/>
        <v>1</v>
      </c>
      <c r="E459" s="382" t="s">
        <v>129</v>
      </c>
      <c r="F459" s="137" t="s">
        <v>129</v>
      </c>
      <c r="G459" s="137" t="s">
        <v>129</v>
      </c>
      <c r="H459" s="137" t="s">
        <v>129</v>
      </c>
      <c r="I459" s="137" t="s">
        <v>129</v>
      </c>
      <c r="J459" s="137" t="s">
        <v>129</v>
      </c>
      <c r="K459" s="137" t="s">
        <v>129</v>
      </c>
      <c r="L459" s="137" t="s">
        <v>129</v>
      </c>
      <c r="M459" s="141"/>
      <c r="N459" s="143"/>
    </row>
    <row r="460" hidden="1" outlineLevel="1">
      <c r="A460" s="391" t="s">
        <v>1018</v>
      </c>
      <c r="B460" s="344">
        <v>46147.0</v>
      </c>
      <c r="C460" s="133" t="str">
        <f t="shared" si="56"/>
        <v>Tue</v>
      </c>
      <c r="D460" s="383">
        <f t="shared" si="57"/>
        <v>1</v>
      </c>
      <c r="E460" s="147" t="s">
        <v>129</v>
      </c>
      <c r="F460" s="137" t="s">
        <v>129</v>
      </c>
      <c r="G460" s="137" t="s">
        <v>129</v>
      </c>
      <c r="H460" s="137" t="s">
        <v>129</v>
      </c>
      <c r="I460" s="137" t="s">
        <v>129</v>
      </c>
      <c r="J460" s="137" t="s">
        <v>129</v>
      </c>
      <c r="K460" s="137" t="s">
        <v>129</v>
      </c>
      <c r="L460" s="137" t="s">
        <v>129</v>
      </c>
      <c r="M460" s="141"/>
      <c r="N460" s="143"/>
    </row>
    <row r="461" hidden="1" outlineLevel="1">
      <c r="A461" s="391" t="s">
        <v>1020</v>
      </c>
      <c r="B461" s="344">
        <v>46148.0</v>
      </c>
      <c r="C461" s="133" t="str">
        <f t="shared" si="56"/>
        <v>Wed</v>
      </c>
      <c r="D461" s="381">
        <f t="shared" si="57"/>
        <v>1</v>
      </c>
      <c r="E461" s="382" t="s">
        <v>129</v>
      </c>
      <c r="F461" s="137" t="s">
        <v>129</v>
      </c>
      <c r="G461" s="137" t="s">
        <v>129</v>
      </c>
      <c r="H461" s="137" t="s">
        <v>129</v>
      </c>
      <c r="I461" s="137" t="s">
        <v>129</v>
      </c>
      <c r="J461" s="137" t="s">
        <v>129</v>
      </c>
      <c r="K461" s="137" t="s">
        <v>129</v>
      </c>
      <c r="L461" s="137" t="s">
        <v>129</v>
      </c>
      <c r="M461" s="141"/>
      <c r="N461" s="143"/>
    </row>
    <row r="462" hidden="1" outlineLevel="1">
      <c r="A462" s="390" t="s">
        <v>1022</v>
      </c>
      <c r="B462" s="344">
        <v>46148.0</v>
      </c>
      <c r="C462" s="133" t="str">
        <f t="shared" si="56"/>
        <v>Wed</v>
      </c>
      <c r="D462" s="383">
        <f t="shared" si="57"/>
        <v>1</v>
      </c>
      <c r="E462" s="147" t="s">
        <v>129</v>
      </c>
      <c r="F462" s="137" t="s">
        <v>129</v>
      </c>
      <c r="G462" s="137" t="s">
        <v>129</v>
      </c>
      <c r="H462" s="137" t="s">
        <v>129</v>
      </c>
      <c r="I462" s="137" t="s">
        <v>129</v>
      </c>
      <c r="J462" s="137" t="s">
        <v>129</v>
      </c>
      <c r="K462" s="137" t="s">
        <v>129</v>
      </c>
      <c r="L462" s="137" t="s">
        <v>129</v>
      </c>
      <c r="M462" s="141"/>
      <c r="N462" s="147"/>
    </row>
    <row r="463" hidden="1" outlineLevel="1">
      <c r="A463" s="391" t="s">
        <v>1024</v>
      </c>
      <c r="B463" s="344">
        <v>46148.0</v>
      </c>
      <c r="C463" s="133" t="str">
        <f t="shared" si="56"/>
        <v>Wed</v>
      </c>
      <c r="D463" s="381">
        <f t="shared" si="57"/>
        <v>1</v>
      </c>
      <c r="E463" s="382" t="s">
        <v>129</v>
      </c>
      <c r="F463" s="137" t="s">
        <v>129</v>
      </c>
      <c r="G463" s="137" t="s">
        <v>129</v>
      </c>
      <c r="H463" s="137" t="s">
        <v>129</v>
      </c>
      <c r="I463" s="137" t="s">
        <v>129</v>
      </c>
      <c r="J463" s="137" t="s">
        <v>129</v>
      </c>
      <c r="K463" s="137" t="s">
        <v>129</v>
      </c>
      <c r="L463" s="137" t="s">
        <v>129</v>
      </c>
      <c r="M463" s="141"/>
      <c r="N463" s="143"/>
    </row>
    <row r="464" hidden="1" outlineLevel="1">
      <c r="A464" s="391" t="s">
        <v>1026</v>
      </c>
      <c r="B464" s="344">
        <v>46149.0</v>
      </c>
      <c r="C464" s="133" t="str">
        <f t="shared" si="56"/>
        <v>Thu</v>
      </c>
      <c r="D464" s="383">
        <f t="shared" si="57"/>
        <v>1</v>
      </c>
      <c r="E464" s="147" t="s">
        <v>129</v>
      </c>
      <c r="F464" s="137" t="s">
        <v>129</v>
      </c>
      <c r="G464" s="137" t="s">
        <v>129</v>
      </c>
      <c r="H464" s="137" t="s">
        <v>129</v>
      </c>
      <c r="I464" s="137" t="s">
        <v>129</v>
      </c>
      <c r="J464" s="137" t="s">
        <v>129</v>
      </c>
      <c r="K464" s="137" t="s">
        <v>129</v>
      </c>
      <c r="L464" s="137" t="s">
        <v>129</v>
      </c>
      <c r="M464" s="141"/>
      <c r="N464" s="147"/>
    </row>
    <row r="465" hidden="1" outlineLevel="1">
      <c r="A465" s="390" t="s">
        <v>1028</v>
      </c>
      <c r="B465" s="344">
        <v>46149.0</v>
      </c>
      <c r="C465" s="133" t="str">
        <f t="shared" si="56"/>
        <v>Thu</v>
      </c>
      <c r="D465" s="381">
        <f t="shared" si="57"/>
        <v>1</v>
      </c>
      <c r="E465" s="382" t="s">
        <v>129</v>
      </c>
      <c r="F465" s="137" t="s">
        <v>129</v>
      </c>
      <c r="G465" s="137" t="s">
        <v>129</v>
      </c>
      <c r="H465" s="137" t="s">
        <v>129</v>
      </c>
      <c r="I465" s="137" t="s">
        <v>129</v>
      </c>
      <c r="J465" s="137" t="s">
        <v>129</v>
      </c>
      <c r="K465" s="137" t="s">
        <v>129</v>
      </c>
      <c r="L465" s="137" t="s">
        <v>129</v>
      </c>
      <c r="M465" s="141"/>
      <c r="N465" s="147"/>
    </row>
    <row r="466" hidden="1" outlineLevel="1">
      <c r="A466" s="391" t="s">
        <v>1030</v>
      </c>
      <c r="B466" s="344">
        <v>46149.0</v>
      </c>
      <c r="C466" s="133" t="str">
        <f t="shared" si="56"/>
        <v>Thu</v>
      </c>
      <c r="D466" s="383">
        <f t="shared" si="57"/>
        <v>1</v>
      </c>
      <c r="E466" s="147" t="s">
        <v>129</v>
      </c>
      <c r="F466" s="137" t="s">
        <v>129</v>
      </c>
      <c r="G466" s="137" t="s">
        <v>129</v>
      </c>
      <c r="H466" s="137" t="s">
        <v>129</v>
      </c>
      <c r="I466" s="137" t="s">
        <v>129</v>
      </c>
      <c r="J466" s="137" t="s">
        <v>129</v>
      </c>
      <c r="K466" s="137" t="s">
        <v>129</v>
      </c>
      <c r="L466" s="137" t="s">
        <v>129</v>
      </c>
      <c r="M466" s="141"/>
      <c r="N466" s="147"/>
    </row>
    <row r="467" hidden="1" outlineLevel="1">
      <c r="A467" s="390" t="s">
        <v>1031</v>
      </c>
      <c r="B467" s="344">
        <v>46150.0</v>
      </c>
      <c r="C467" s="133" t="str">
        <f t="shared" si="56"/>
        <v>Fri</v>
      </c>
      <c r="D467" s="381">
        <f t="shared" si="57"/>
        <v>1</v>
      </c>
      <c r="E467" s="382" t="s">
        <v>129</v>
      </c>
      <c r="F467" s="137" t="s">
        <v>129</v>
      </c>
      <c r="G467" s="137" t="s">
        <v>129</v>
      </c>
      <c r="H467" s="137" t="s">
        <v>129</v>
      </c>
      <c r="I467" s="137" t="s">
        <v>129</v>
      </c>
      <c r="J467" s="137" t="s">
        <v>129</v>
      </c>
      <c r="K467" s="137" t="s">
        <v>129</v>
      </c>
      <c r="L467" s="137" t="s">
        <v>129</v>
      </c>
      <c r="M467" s="141"/>
      <c r="N467" s="143"/>
    </row>
    <row r="468" hidden="1" outlineLevel="1">
      <c r="A468" s="391" t="s">
        <v>1033</v>
      </c>
      <c r="B468" s="344">
        <v>46150.0</v>
      </c>
      <c r="C468" s="133" t="str">
        <f t="shared" si="56"/>
        <v>Fri</v>
      </c>
      <c r="D468" s="383">
        <f t="shared" si="57"/>
        <v>1</v>
      </c>
      <c r="E468" s="147" t="s">
        <v>129</v>
      </c>
      <c r="F468" s="137" t="s">
        <v>129</v>
      </c>
      <c r="G468" s="137" t="s">
        <v>129</v>
      </c>
      <c r="H468" s="137" t="s">
        <v>129</v>
      </c>
      <c r="I468" s="137" t="s">
        <v>129</v>
      </c>
      <c r="J468" s="137" t="s">
        <v>129</v>
      </c>
      <c r="K468" s="137" t="s">
        <v>129</v>
      </c>
      <c r="L468" s="137" t="s">
        <v>129</v>
      </c>
      <c r="M468" s="141"/>
      <c r="N468" s="143"/>
    </row>
    <row r="469" ht="15.0" hidden="1" customHeight="1" outlineLevel="1">
      <c r="A469" s="390" t="s">
        <v>1034</v>
      </c>
      <c r="B469" s="344">
        <v>46150.0</v>
      </c>
      <c r="C469" s="133" t="str">
        <f t="shared" si="56"/>
        <v>Fri</v>
      </c>
      <c r="D469" s="381">
        <f t="shared" si="57"/>
        <v>1</v>
      </c>
      <c r="E469" s="382" t="s">
        <v>129</v>
      </c>
      <c r="F469" s="137" t="s">
        <v>129</v>
      </c>
      <c r="G469" s="137" t="s">
        <v>129</v>
      </c>
      <c r="H469" s="137" t="s">
        <v>129</v>
      </c>
      <c r="I469" s="137" t="s">
        <v>129</v>
      </c>
      <c r="J469" s="137" t="s">
        <v>129</v>
      </c>
      <c r="K469" s="137" t="s">
        <v>129</v>
      </c>
      <c r="L469" s="137" t="s">
        <v>129</v>
      </c>
      <c r="M469" s="141"/>
      <c r="N469" s="147"/>
    </row>
    <row r="470" hidden="1" outlineLevel="1">
      <c r="B470" s="189"/>
      <c r="C470" s="191" t="s">
        <v>194</v>
      </c>
      <c r="D470" s="204">
        <f>AVERAGE(D455:D469)</f>
        <v>1</v>
      </c>
      <c r="E470" s="384"/>
      <c r="L470" s="191" t="s">
        <v>194</v>
      </c>
      <c r="M470" s="204">
        <f>SUM(M455:M469)/75*0.1</f>
        <v>0</v>
      </c>
    </row>
    <row r="471" hidden="1" collapsed="1">
      <c r="A471" s="206" t="s">
        <v>1036</v>
      </c>
      <c r="B471" s="207"/>
      <c r="C471" s="207"/>
      <c r="D471" s="385"/>
      <c r="E471" s="109"/>
      <c r="F471" s="109"/>
      <c r="G471" s="110"/>
      <c r="H471" s="110"/>
      <c r="I471" s="110"/>
      <c r="J471" s="110"/>
      <c r="K471" s="110"/>
      <c r="L471" s="110"/>
      <c r="M471" s="111"/>
      <c r="N471" s="113"/>
    </row>
    <row r="472" hidden="1" outlineLevel="1">
      <c r="A472" s="373" t="s">
        <v>98</v>
      </c>
      <c r="B472" s="115" t="s">
        <v>100</v>
      </c>
      <c r="C472" s="115" t="s">
        <v>102</v>
      </c>
      <c r="D472" s="119" t="s">
        <v>103</v>
      </c>
      <c r="E472" s="275" t="s">
        <v>269</v>
      </c>
      <c r="F472" s="275" t="s">
        <v>272</v>
      </c>
      <c r="G472" s="276" t="s">
        <v>328</v>
      </c>
      <c r="H472" s="121" t="s">
        <v>107</v>
      </c>
      <c r="I472" s="121" t="s">
        <v>108</v>
      </c>
      <c r="J472" s="276" t="s">
        <v>329</v>
      </c>
      <c r="K472" s="121" t="s">
        <v>111</v>
      </c>
      <c r="L472" s="276" t="s">
        <v>274</v>
      </c>
      <c r="M472" s="115" t="s">
        <v>114</v>
      </c>
      <c r="N472" s="119" t="s">
        <v>115</v>
      </c>
    </row>
    <row r="473" hidden="1" outlineLevel="1">
      <c r="A473" s="393" t="s">
        <v>1037</v>
      </c>
      <c r="B473" s="344">
        <v>46153.0</v>
      </c>
      <c r="C473" s="133" t="str">
        <f t="shared" ref="C473:C487" si="58">IF(B473="", "", TEXT(B473, "ddd"))</f>
        <v>Mon</v>
      </c>
      <c r="D473" s="381">
        <f t="shared" ref="D473:D487" si="59">IF(E473="Yes",0.05,0)
+IF(F473="Yes",0.1,0)
+IF(G473="Yes",0.15,0)
+IF(H473="Yes",0.15,0)
+IF(I473="Yes",0.05,0)
+IF(J473="Yes",0.05,0)
+IF(K473="Yes",0.15,0)
+IF(L473="Yes",0.3,0)
</f>
        <v>1</v>
      </c>
      <c r="E473" s="382" t="s">
        <v>129</v>
      </c>
      <c r="F473" s="137" t="s">
        <v>129</v>
      </c>
      <c r="G473" s="137" t="s">
        <v>129</v>
      </c>
      <c r="H473" s="137" t="s">
        <v>129</v>
      </c>
      <c r="I473" s="137" t="s">
        <v>129</v>
      </c>
      <c r="J473" s="137" t="s">
        <v>129</v>
      </c>
      <c r="K473" s="137" t="s">
        <v>129</v>
      </c>
      <c r="L473" s="137" t="s">
        <v>129</v>
      </c>
      <c r="M473" s="141"/>
      <c r="N473" s="143"/>
    </row>
    <row r="474" hidden="1" outlineLevel="1">
      <c r="A474" s="394" t="s">
        <v>1038</v>
      </c>
      <c r="B474" s="344">
        <v>46153.0</v>
      </c>
      <c r="C474" s="133" t="str">
        <f t="shared" si="58"/>
        <v>Mon</v>
      </c>
      <c r="D474" s="383">
        <f t="shared" si="59"/>
        <v>1</v>
      </c>
      <c r="E474" s="147" t="s">
        <v>129</v>
      </c>
      <c r="F474" s="137" t="s">
        <v>129</v>
      </c>
      <c r="G474" s="137" t="s">
        <v>129</v>
      </c>
      <c r="H474" s="137" t="s">
        <v>129</v>
      </c>
      <c r="I474" s="137" t="s">
        <v>129</v>
      </c>
      <c r="J474" s="137" t="s">
        <v>129</v>
      </c>
      <c r="K474" s="137" t="s">
        <v>129</v>
      </c>
      <c r="L474" s="137" t="s">
        <v>129</v>
      </c>
      <c r="M474" s="141"/>
      <c r="N474" s="147"/>
    </row>
    <row r="475" hidden="1" outlineLevel="1">
      <c r="A475" s="393" t="s">
        <v>1040</v>
      </c>
      <c r="B475" s="344">
        <v>46153.0</v>
      </c>
      <c r="C475" s="133" t="str">
        <f t="shared" si="58"/>
        <v>Mon</v>
      </c>
      <c r="D475" s="381">
        <f t="shared" si="59"/>
        <v>1</v>
      </c>
      <c r="E475" s="382" t="s">
        <v>129</v>
      </c>
      <c r="F475" s="137" t="s">
        <v>129</v>
      </c>
      <c r="G475" s="137" t="s">
        <v>129</v>
      </c>
      <c r="H475" s="137" t="s">
        <v>129</v>
      </c>
      <c r="I475" s="137" t="s">
        <v>129</v>
      </c>
      <c r="J475" s="137" t="s">
        <v>129</v>
      </c>
      <c r="K475" s="137" t="s">
        <v>129</v>
      </c>
      <c r="L475" s="137" t="s">
        <v>129</v>
      </c>
      <c r="M475" s="141"/>
      <c r="N475" s="147"/>
    </row>
    <row r="476" hidden="1" outlineLevel="1">
      <c r="A476" s="394" t="s">
        <v>1041</v>
      </c>
      <c r="B476" s="344">
        <v>46154.0</v>
      </c>
      <c r="C476" s="133" t="str">
        <f t="shared" si="58"/>
        <v>Tue</v>
      </c>
      <c r="D476" s="383">
        <f t="shared" si="59"/>
        <v>1</v>
      </c>
      <c r="E476" s="147" t="s">
        <v>129</v>
      </c>
      <c r="F476" s="137" t="s">
        <v>129</v>
      </c>
      <c r="G476" s="137" t="s">
        <v>129</v>
      </c>
      <c r="H476" s="137" t="s">
        <v>129</v>
      </c>
      <c r="I476" s="137" t="s">
        <v>129</v>
      </c>
      <c r="J476" s="137" t="s">
        <v>129</v>
      </c>
      <c r="K476" s="137" t="s">
        <v>129</v>
      </c>
      <c r="L476" s="137" t="s">
        <v>129</v>
      </c>
      <c r="M476" s="141"/>
      <c r="N476" s="143"/>
    </row>
    <row r="477" hidden="1" outlineLevel="1">
      <c r="A477" s="394" t="s">
        <v>1043</v>
      </c>
      <c r="B477" s="344">
        <v>46154.0</v>
      </c>
      <c r="C477" s="133" t="str">
        <f t="shared" si="58"/>
        <v>Tue</v>
      </c>
      <c r="D477" s="381">
        <f t="shared" si="59"/>
        <v>1</v>
      </c>
      <c r="E477" s="382" t="s">
        <v>129</v>
      </c>
      <c r="F477" s="137" t="s">
        <v>129</v>
      </c>
      <c r="G477" s="137" t="s">
        <v>129</v>
      </c>
      <c r="H477" s="137" t="s">
        <v>129</v>
      </c>
      <c r="I477" s="137" t="s">
        <v>129</v>
      </c>
      <c r="J477" s="137" t="s">
        <v>129</v>
      </c>
      <c r="K477" s="137" t="s">
        <v>129</v>
      </c>
      <c r="L477" s="137" t="s">
        <v>129</v>
      </c>
      <c r="M477" s="141"/>
      <c r="N477" s="143"/>
    </row>
    <row r="478" hidden="1" outlineLevel="1">
      <c r="A478" s="393" t="s">
        <v>1045</v>
      </c>
      <c r="B478" s="344">
        <v>46154.0</v>
      </c>
      <c r="C478" s="133" t="str">
        <f t="shared" si="58"/>
        <v>Tue</v>
      </c>
      <c r="D478" s="383">
        <f t="shared" si="59"/>
        <v>1</v>
      </c>
      <c r="E478" s="147" t="s">
        <v>129</v>
      </c>
      <c r="F478" s="137" t="s">
        <v>129</v>
      </c>
      <c r="G478" s="137" t="s">
        <v>129</v>
      </c>
      <c r="H478" s="137" t="s">
        <v>129</v>
      </c>
      <c r="I478" s="137" t="s">
        <v>129</v>
      </c>
      <c r="J478" s="137" t="s">
        <v>129</v>
      </c>
      <c r="K478" s="137" t="s">
        <v>129</v>
      </c>
      <c r="L478" s="137" t="s">
        <v>129</v>
      </c>
      <c r="M478" s="141"/>
      <c r="N478" s="143"/>
    </row>
    <row r="479" hidden="1" outlineLevel="1">
      <c r="A479" s="393" t="s">
        <v>1046</v>
      </c>
      <c r="B479" s="344">
        <v>46159.0</v>
      </c>
      <c r="C479" s="133" t="str">
        <f t="shared" si="58"/>
        <v>Sun</v>
      </c>
      <c r="D479" s="381">
        <f t="shared" si="59"/>
        <v>1</v>
      </c>
      <c r="E479" s="382" t="s">
        <v>129</v>
      </c>
      <c r="F479" s="137" t="s">
        <v>129</v>
      </c>
      <c r="G479" s="137" t="s">
        <v>129</v>
      </c>
      <c r="H479" s="137" t="s">
        <v>129</v>
      </c>
      <c r="I479" s="137" t="s">
        <v>129</v>
      </c>
      <c r="J479" s="137" t="s">
        <v>129</v>
      </c>
      <c r="K479" s="137" t="s">
        <v>129</v>
      </c>
      <c r="L479" s="137" t="s">
        <v>129</v>
      </c>
      <c r="M479" s="141"/>
      <c r="N479" s="143"/>
    </row>
    <row r="480" hidden="1" outlineLevel="1">
      <c r="A480" s="394" t="s">
        <v>1048</v>
      </c>
      <c r="B480" s="344">
        <v>46159.0</v>
      </c>
      <c r="C480" s="133" t="str">
        <f t="shared" si="58"/>
        <v>Sun</v>
      </c>
      <c r="D480" s="383">
        <f t="shared" si="59"/>
        <v>1</v>
      </c>
      <c r="E480" s="147" t="s">
        <v>129</v>
      </c>
      <c r="F480" s="137" t="s">
        <v>129</v>
      </c>
      <c r="G480" s="137" t="s">
        <v>129</v>
      </c>
      <c r="H480" s="137" t="s">
        <v>129</v>
      </c>
      <c r="I480" s="137" t="s">
        <v>129</v>
      </c>
      <c r="J480" s="137" t="s">
        <v>129</v>
      </c>
      <c r="K480" s="137" t="s">
        <v>129</v>
      </c>
      <c r="L480" s="137" t="s">
        <v>129</v>
      </c>
      <c r="M480" s="141"/>
      <c r="N480" s="147"/>
    </row>
    <row r="481" hidden="1" outlineLevel="1">
      <c r="A481" s="393" t="s">
        <v>1050</v>
      </c>
      <c r="B481" s="344">
        <v>46159.0</v>
      </c>
      <c r="C481" s="133" t="str">
        <f t="shared" si="58"/>
        <v>Sun</v>
      </c>
      <c r="D481" s="381">
        <f t="shared" si="59"/>
        <v>1</v>
      </c>
      <c r="E481" s="382" t="s">
        <v>129</v>
      </c>
      <c r="F481" s="137" t="s">
        <v>129</v>
      </c>
      <c r="G481" s="137" t="s">
        <v>129</v>
      </c>
      <c r="H481" s="137" t="s">
        <v>129</v>
      </c>
      <c r="I481" s="137" t="s">
        <v>129</v>
      </c>
      <c r="J481" s="137" t="s">
        <v>129</v>
      </c>
      <c r="K481" s="137" t="s">
        <v>129</v>
      </c>
      <c r="L481" s="137" t="s">
        <v>129</v>
      </c>
      <c r="M481" s="141"/>
      <c r="N481" s="143"/>
    </row>
    <row r="482" hidden="1" outlineLevel="1">
      <c r="A482" s="391"/>
      <c r="B482" s="344"/>
      <c r="C482" s="133" t="str">
        <f t="shared" si="58"/>
        <v/>
      </c>
      <c r="D482" s="383">
        <f t="shared" si="59"/>
        <v>0</v>
      </c>
      <c r="E482" s="147"/>
      <c r="F482" s="137"/>
      <c r="G482" s="137"/>
      <c r="H482" s="137"/>
      <c r="I482" s="137"/>
      <c r="J482" s="137"/>
      <c r="K482" s="137"/>
      <c r="L482" s="137"/>
      <c r="M482" s="141"/>
      <c r="N482" s="147"/>
    </row>
    <row r="483" hidden="1" outlineLevel="1">
      <c r="A483" s="390"/>
      <c r="B483" s="344"/>
      <c r="C483" s="133" t="str">
        <f t="shared" si="58"/>
        <v/>
      </c>
      <c r="D483" s="381">
        <f t="shared" si="59"/>
        <v>0</v>
      </c>
      <c r="E483" s="382"/>
      <c r="F483" s="137"/>
      <c r="G483" s="137"/>
      <c r="H483" s="137"/>
      <c r="I483" s="137"/>
      <c r="J483" s="137"/>
      <c r="K483" s="137"/>
      <c r="L483" s="137"/>
      <c r="M483" s="141"/>
      <c r="N483" s="147"/>
    </row>
    <row r="484" hidden="1" outlineLevel="1">
      <c r="A484" s="391"/>
      <c r="B484" s="344"/>
      <c r="C484" s="133" t="str">
        <f t="shared" si="58"/>
        <v/>
      </c>
      <c r="D484" s="383">
        <f t="shared" si="59"/>
        <v>0</v>
      </c>
      <c r="E484" s="147"/>
      <c r="F484" s="137"/>
      <c r="G484" s="137"/>
      <c r="H484" s="137"/>
      <c r="I484" s="137"/>
      <c r="J484" s="137"/>
      <c r="K484" s="137"/>
      <c r="L484" s="137"/>
      <c r="M484" s="141"/>
      <c r="N484" s="147"/>
    </row>
    <row r="485" hidden="1" outlineLevel="1">
      <c r="A485" s="390"/>
      <c r="B485" s="344"/>
      <c r="C485" s="133" t="str">
        <f t="shared" si="58"/>
        <v/>
      </c>
      <c r="D485" s="381">
        <f t="shared" si="59"/>
        <v>0</v>
      </c>
      <c r="E485" s="382"/>
      <c r="F485" s="137"/>
      <c r="G485" s="137"/>
      <c r="H485" s="137"/>
      <c r="I485" s="137"/>
      <c r="J485" s="137"/>
      <c r="K485" s="137"/>
      <c r="L485" s="137"/>
      <c r="M485" s="141"/>
      <c r="N485" s="143"/>
    </row>
    <row r="486" hidden="1" outlineLevel="1">
      <c r="A486" s="391"/>
      <c r="B486" s="344"/>
      <c r="C486" s="133" t="str">
        <f t="shared" si="58"/>
        <v/>
      </c>
      <c r="D486" s="383">
        <f t="shared" si="59"/>
        <v>0</v>
      </c>
      <c r="E486" s="147"/>
      <c r="F486" s="137"/>
      <c r="G486" s="137"/>
      <c r="H486" s="137"/>
      <c r="I486" s="137"/>
      <c r="J486" s="137"/>
      <c r="K486" s="137"/>
      <c r="L486" s="137"/>
      <c r="M486" s="141"/>
      <c r="N486" s="143"/>
    </row>
    <row r="487" ht="15.0" hidden="1" customHeight="1" outlineLevel="1">
      <c r="A487" s="391"/>
      <c r="B487" s="344"/>
      <c r="C487" s="133" t="str">
        <f t="shared" si="58"/>
        <v/>
      </c>
      <c r="D487" s="381">
        <f t="shared" si="59"/>
        <v>0</v>
      </c>
      <c r="E487" s="382"/>
      <c r="F487" s="137"/>
      <c r="G487" s="137"/>
      <c r="H487" s="137"/>
      <c r="I487" s="137"/>
      <c r="J487" s="137"/>
      <c r="K487" s="137"/>
      <c r="L487" s="137"/>
      <c r="M487" s="141"/>
      <c r="N487" s="147"/>
    </row>
    <row r="488" hidden="1" outlineLevel="1">
      <c r="B488" s="189"/>
      <c r="C488" s="191" t="s">
        <v>194</v>
      </c>
      <c r="D488" s="204">
        <f>AVERAGE(D473:D481)</f>
        <v>1</v>
      </c>
      <c r="E488" s="384"/>
      <c r="L488" s="191" t="s">
        <v>194</v>
      </c>
      <c r="M488" s="204">
        <f>SUM(M473:M487)/75*0.1</f>
        <v>0</v>
      </c>
    </row>
    <row r="489" hidden="1" collapsed="1">
      <c r="A489" s="206" t="s">
        <v>1057</v>
      </c>
      <c r="B489" s="207"/>
      <c r="C489" s="207"/>
      <c r="D489" s="385"/>
      <c r="E489" s="109"/>
      <c r="F489" s="109"/>
      <c r="G489" s="110"/>
      <c r="H489" s="110"/>
      <c r="I489" s="110"/>
      <c r="J489" s="110"/>
      <c r="K489" s="110"/>
      <c r="L489" s="110"/>
      <c r="M489" s="111"/>
      <c r="N489" s="113"/>
    </row>
    <row r="490" hidden="1" outlineLevel="1">
      <c r="A490" s="373" t="s">
        <v>98</v>
      </c>
      <c r="B490" s="115" t="s">
        <v>100</v>
      </c>
      <c r="C490" s="115" t="s">
        <v>102</v>
      </c>
      <c r="D490" s="119" t="s">
        <v>103</v>
      </c>
      <c r="E490" s="275" t="s">
        <v>269</v>
      </c>
      <c r="F490" s="275" t="s">
        <v>272</v>
      </c>
      <c r="G490" s="276" t="s">
        <v>328</v>
      </c>
      <c r="H490" s="121" t="s">
        <v>107</v>
      </c>
      <c r="I490" s="121" t="s">
        <v>108</v>
      </c>
      <c r="J490" s="276" t="s">
        <v>329</v>
      </c>
      <c r="K490" s="121" t="s">
        <v>111</v>
      </c>
      <c r="L490" s="276" t="s">
        <v>274</v>
      </c>
      <c r="M490" s="115" t="s">
        <v>114</v>
      </c>
      <c r="N490" s="119" t="s">
        <v>115</v>
      </c>
    </row>
    <row r="491" hidden="1" outlineLevel="1">
      <c r="A491" s="390" t="s">
        <v>1059</v>
      </c>
      <c r="B491" s="344">
        <v>46160.0</v>
      </c>
      <c r="C491" s="133" t="str">
        <f t="shared" ref="C491:C505" si="60">IF(B491="", "", TEXT(B491, "ddd"))</f>
        <v>Mon</v>
      </c>
      <c r="D491" s="381">
        <f t="shared" ref="D491:D505" si="61">IF(E491="Yes",0.05,0)
+IF(F491="Yes",0.1,0)
+IF(G491="Yes",0.15,0)
+IF(H491="Yes",0.15,0)
+IF(I491="Yes",0.05,0)
+IF(J491="Yes",0.05,0)
+IF(K491="Yes",0.15,0)
+IF(L491="Yes",0.3,0)
</f>
        <v>1</v>
      </c>
      <c r="E491" s="382" t="s">
        <v>129</v>
      </c>
      <c r="F491" s="137" t="s">
        <v>129</v>
      </c>
      <c r="G491" s="137" t="s">
        <v>129</v>
      </c>
      <c r="H491" s="137" t="s">
        <v>129</v>
      </c>
      <c r="I491" s="137" t="s">
        <v>129</v>
      </c>
      <c r="J491" s="137" t="s">
        <v>129</v>
      </c>
      <c r="K491" s="137" t="s">
        <v>129</v>
      </c>
      <c r="L491" s="137" t="s">
        <v>129</v>
      </c>
      <c r="M491" s="141"/>
      <c r="N491" s="143"/>
    </row>
    <row r="492" hidden="1" outlineLevel="1">
      <c r="A492" s="391" t="s">
        <v>1061</v>
      </c>
      <c r="B492" s="344">
        <v>46160.0</v>
      </c>
      <c r="C492" s="133" t="str">
        <f t="shared" si="60"/>
        <v>Mon</v>
      </c>
      <c r="D492" s="383">
        <f t="shared" si="61"/>
        <v>1</v>
      </c>
      <c r="E492" s="147" t="s">
        <v>129</v>
      </c>
      <c r="F492" s="137" t="s">
        <v>129</v>
      </c>
      <c r="G492" s="137" t="s">
        <v>129</v>
      </c>
      <c r="H492" s="137" t="s">
        <v>129</v>
      </c>
      <c r="I492" s="137" t="s">
        <v>129</v>
      </c>
      <c r="J492" s="137" t="s">
        <v>129</v>
      </c>
      <c r="K492" s="137" t="s">
        <v>129</v>
      </c>
      <c r="L492" s="137" t="s">
        <v>129</v>
      </c>
      <c r="M492" s="141"/>
      <c r="N492" s="147"/>
    </row>
    <row r="493" hidden="1" outlineLevel="1">
      <c r="A493" s="391" t="s">
        <v>1063</v>
      </c>
      <c r="B493" s="344">
        <v>46160.0</v>
      </c>
      <c r="C493" s="133" t="str">
        <f t="shared" si="60"/>
        <v>Mon</v>
      </c>
      <c r="D493" s="381">
        <f t="shared" si="61"/>
        <v>1</v>
      </c>
      <c r="E493" s="382" t="s">
        <v>129</v>
      </c>
      <c r="F493" s="137" t="s">
        <v>129</v>
      </c>
      <c r="G493" s="137" t="s">
        <v>129</v>
      </c>
      <c r="H493" s="137" t="s">
        <v>129</v>
      </c>
      <c r="I493" s="137" t="s">
        <v>129</v>
      </c>
      <c r="J493" s="137" t="s">
        <v>129</v>
      </c>
      <c r="K493" s="137" t="s">
        <v>129</v>
      </c>
      <c r="L493" s="137" t="s">
        <v>129</v>
      </c>
      <c r="M493" s="141"/>
      <c r="N493" s="147"/>
    </row>
    <row r="494" hidden="1" outlineLevel="1">
      <c r="A494" s="390" t="s">
        <v>1064</v>
      </c>
      <c r="B494" s="344">
        <v>46161.0</v>
      </c>
      <c r="C494" s="133" t="str">
        <f t="shared" si="60"/>
        <v>Tue</v>
      </c>
      <c r="D494" s="383">
        <f t="shared" si="61"/>
        <v>1</v>
      </c>
      <c r="E494" s="147" t="s">
        <v>129</v>
      </c>
      <c r="F494" s="137" t="s">
        <v>129</v>
      </c>
      <c r="G494" s="137" t="s">
        <v>129</v>
      </c>
      <c r="H494" s="137" t="s">
        <v>129</v>
      </c>
      <c r="I494" s="137" t="s">
        <v>129</v>
      </c>
      <c r="J494" s="137" t="s">
        <v>129</v>
      </c>
      <c r="K494" s="137" t="s">
        <v>129</v>
      </c>
      <c r="L494" s="137" t="s">
        <v>129</v>
      </c>
      <c r="M494" s="141"/>
      <c r="N494" s="143"/>
    </row>
    <row r="495" hidden="1" outlineLevel="1">
      <c r="A495" s="402" t="s">
        <v>1065</v>
      </c>
      <c r="B495" s="344">
        <v>46161.0</v>
      </c>
      <c r="C495" s="133" t="str">
        <f t="shared" si="60"/>
        <v>Tue</v>
      </c>
      <c r="D495" s="381">
        <f t="shared" si="61"/>
        <v>1</v>
      </c>
      <c r="E495" s="382" t="s">
        <v>129</v>
      </c>
      <c r="F495" s="137" t="s">
        <v>129</v>
      </c>
      <c r="G495" s="137" t="s">
        <v>129</v>
      </c>
      <c r="H495" s="137" t="s">
        <v>129</v>
      </c>
      <c r="I495" s="137" t="s">
        <v>129</v>
      </c>
      <c r="J495" s="137" t="s">
        <v>129</v>
      </c>
      <c r="K495" s="137" t="s">
        <v>129</v>
      </c>
      <c r="L495" s="137" t="s">
        <v>129</v>
      </c>
      <c r="M495" s="141"/>
      <c r="N495" s="143"/>
    </row>
    <row r="496" hidden="1" outlineLevel="1">
      <c r="A496" s="391" t="s">
        <v>1066</v>
      </c>
      <c r="B496" s="344">
        <v>46161.0</v>
      </c>
      <c r="C496" s="133" t="str">
        <f t="shared" si="60"/>
        <v>Tue</v>
      </c>
      <c r="D496" s="383">
        <f t="shared" si="61"/>
        <v>1</v>
      </c>
      <c r="E496" s="147" t="s">
        <v>129</v>
      </c>
      <c r="F496" s="137" t="s">
        <v>129</v>
      </c>
      <c r="G496" s="137" t="s">
        <v>129</v>
      </c>
      <c r="H496" s="137" t="s">
        <v>129</v>
      </c>
      <c r="I496" s="137" t="s">
        <v>129</v>
      </c>
      <c r="J496" s="137" t="s">
        <v>129</v>
      </c>
      <c r="K496" s="137" t="s">
        <v>129</v>
      </c>
      <c r="L496" s="137" t="s">
        <v>129</v>
      </c>
      <c r="M496" s="141"/>
      <c r="N496" s="143"/>
    </row>
    <row r="497" hidden="1" outlineLevel="1">
      <c r="A497" s="390" t="s">
        <v>1067</v>
      </c>
      <c r="B497" s="344">
        <v>46162.0</v>
      </c>
      <c r="C497" s="133" t="str">
        <f t="shared" si="60"/>
        <v>Wed</v>
      </c>
      <c r="D497" s="381">
        <f t="shared" si="61"/>
        <v>1</v>
      </c>
      <c r="E497" s="382" t="s">
        <v>129</v>
      </c>
      <c r="F497" s="137" t="s">
        <v>129</v>
      </c>
      <c r="G497" s="137" t="s">
        <v>129</v>
      </c>
      <c r="H497" s="137" t="s">
        <v>129</v>
      </c>
      <c r="I497" s="137" t="s">
        <v>129</v>
      </c>
      <c r="J497" s="137" t="s">
        <v>129</v>
      </c>
      <c r="K497" s="137" t="s">
        <v>129</v>
      </c>
      <c r="L497" s="137" t="s">
        <v>129</v>
      </c>
      <c r="M497" s="141"/>
      <c r="N497" s="143"/>
    </row>
    <row r="498" hidden="1" outlineLevel="1">
      <c r="A498" s="391" t="s">
        <v>1069</v>
      </c>
      <c r="B498" s="344">
        <v>46162.0</v>
      </c>
      <c r="C498" s="133" t="str">
        <f t="shared" si="60"/>
        <v>Wed</v>
      </c>
      <c r="D498" s="383">
        <f t="shared" si="61"/>
        <v>1</v>
      </c>
      <c r="E498" s="147" t="s">
        <v>129</v>
      </c>
      <c r="F498" s="137" t="s">
        <v>129</v>
      </c>
      <c r="G498" s="137" t="s">
        <v>129</v>
      </c>
      <c r="H498" s="137" t="s">
        <v>129</v>
      </c>
      <c r="I498" s="137" t="s">
        <v>129</v>
      </c>
      <c r="J498" s="137" t="s">
        <v>129</v>
      </c>
      <c r="K498" s="137" t="s">
        <v>129</v>
      </c>
      <c r="L498" s="137" t="s">
        <v>129</v>
      </c>
      <c r="M498" s="141"/>
      <c r="N498" s="147"/>
    </row>
    <row r="499" hidden="1" outlineLevel="1">
      <c r="A499" s="390" t="s">
        <v>1073</v>
      </c>
      <c r="B499" s="344">
        <v>46162.0</v>
      </c>
      <c r="C499" s="133" t="str">
        <f t="shared" si="60"/>
        <v>Wed</v>
      </c>
      <c r="D499" s="381">
        <f t="shared" si="61"/>
        <v>1</v>
      </c>
      <c r="E499" s="382" t="s">
        <v>129</v>
      </c>
      <c r="F499" s="137" t="s">
        <v>129</v>
      </c>
      <c r="G499" s="137" t="s">
        <v>129</v>
      </c>
      <c r="H499" s="137" t="s">
        <v>129</v>
      </c>
      <c r="I499" s="137" t="s">
        <v>129</v>
      </c>
      <c r="J499" s="137" t="s">
        <v>129</v>
      </c>
      <c r="K499" s="137" t="s">
        <v>129</v>
      </c>
      <c r="L499" s="137" t="s">
        <v>129</v>
      </c>
      <c r="M499" s="141"/>
      <c r="N499" s="143"/>
    </row>
    <row r="500" hidden="1" outlineLevel="1">
      <c r="A500" s="255" t="s">
        <v>1075</v>
      </c>
      <c r="B500" s="344">
        <v>46163.0</v>
      </c>
      <c r="C500" s="133" t="str">
        <f t="shared" si="60"/>
        <v>Thu</v>
      </c>
      <c r="D500" s="383">
        <f t="shared" si="61"/>
        <v>1</v>
      </c>
      <c r="E500" s="147" t="s">
        <v>129</v>
      </c>
      <c r="F500" s="137" t="s">
        <v>129</v>
      </c>
      <c r="G500" s="137" t="s">
        <v>129</v>
      </c>
      <c r="H500" s="137" t="s">
        <v>129</v>
      </c>
      <c r="I500" s="137" t="s">
        <v>129</v>
      </c>
      <c r="J500" s="137" t="s">
        <v>129</v>
      </c>
      <c r="K500" s="137" t="s">
        <v>129</v>
      </c>
      <c r="L500" s="137" t="s">
        <v>129</v>
      </c>
      <c r="M500" s="141"/>
      <c r="N500" s="147"/>
    </row>
    <row r="501" hidden="1" outlineLevel="1">
      <c r="A501" s="255" t="s">
        <v>1076</v>
      </c>
      <c r="B501" s="344">
        <v>46163.0</v>
      </c>
      <c r="C501" s="133" t="str">
        <f t="shared" si="60"/>
        <v>Thu</v>
      </c>
      <c r="D501" s="381">
        <f t="shared" si="61"/>
        <v>1</v>
      </c>
      <c r="E501" s="382" t="s">
        <v>129</v>
      </c>
      <c r="F501" s="137" t="s">
        <v>129</v>
      </c>
      <c r="G501" s="137" t="s">
        <v>129</v>
      </c>
      <c r="H501" s="137" t="s">
        <v>129</v>
      </c>
      <c r="I501" s="137" t="s">
        <v>129</v>
      </c>
      <c r="J501" s="137" t="s">
        <v>129</v>
      </c>
      <c r="K501" s="137" t="s">
        <v>129</v>
      </c>
      <c r="L501" s="137" t="s">
        <v>129</v>
      </c>
      <c r="M501" s="141"/>
      <c r="N501" s="147"/>
    </row>
    <row r="502" hidden="1" outlineLevel="1">
      <c r="A502" s="255" t="s">
        <v>1077</v>
      </c>
      <c r="B502" s="344">
        <v>46163.0</v>
      </c>
      <c r="C502" s="133" t="str">
        <f t="shared" si="60"/>
        <v>Thu</v>
      </c>
      <c r="D502" s="383">
        <f t="shared" si="61"/>
        <v>1</v>
      </c>
      <c r="E502" s="147" t="s">
        <v>129</v>
      </c>
      <c r="F502" s="137" t="s">
        <v>129</v>
      </c>
      <c r="G502" s="137" t="s">
        <v>129</v>
      </c>
      <c r="H502" s="137" t="s">
        <v>129</v>
      </c>
      <c r="I502" s="137" t="s">
        <v>129</v>
      </c>
      <c r="J502" s="137" t="s">
        <v>129</v>
      </c>
      <c r="K502" s="137" t="s">
        <v>129</v>
      </c>
      <c r="L502" s="137" t="s">
        <v>129</v>
      </c>
      <c r="M502" s="141"/>
      <c r="N502" s="147"/>
    </row>
    <row r="503" hidden="1" outlineLevel="1">
      <c r="A503" s="255" t="s">
        <v>1078</v>
      </c>
      <c r="B503" s="344">
        <v>46164.0</v>
      </c>
      <c r="C503" s="133" t="str">
        <f t="shared" si="60"/>
        <v>Fri</v>
      </c>
      <c r="D503" s="381">
        <f t="shared" si="61"/>
        <v>1</v>
      </c>
      <c r="E503" s="382" t="s">
        <v>129</v>
      </c>
      <c r="F503" s="137" t="s">
        <v>129</v>
      </c>
      <c r="G503" s="137" t="s">
        <v>129</v>
      </c>
      <c r="H503" s="137" t="s">
        <v>129</v>
      </c>
      <c r="I503" s="137" t="s">
        <v>129</v>
      </c>
      <c r="J503" s="137" t="s">
        <v>129</v>
      </c>
      <c r="K503" s="137" t="s">
        <v>129</v>
      </c>
      <c r="L503" s="137" t="s">
        <v>129</v>
      </c>
      <c r="M503" s="141"/>
      <c r="N503" s="143"/>
    </row>
    <row r="504" hidden="1" outlineLevel="1">
      <c r="A504" s="255" t="s">
        <v>1080</v>
      </c>
      <c r="B504" s="344">
        <v>46164.0</v>
      </c>
      <c r="C504" s="133" t="str">
        <f t="shared" si="60"/>
        <v>Fri</v>
      </c>
      <c r="D504" s="383">
        <f t="shared" si="61"/>
        <v>1</v>
      </c>
      <c r="E504" s="147" t="s">
        <v>129</v>
      </c>
      <c r="F504" s="137" t="s">
        <v>129</v>
      </c>
      <c r="G504" s="137" t="s">
        <v>129</v>
      </c>
      <c r="H504" s="137" t="s">
        <v>129</v>
      </c>
      <c r="I504" s="137" t="s">
        <v>129</v>
      </c>
      <c r="J504" s="137" t="s">
        <v>129</v>
      </c>
      <c r="K504" s="137" t="s">
        <v>129</v>
      </c>
      <c r="L504" s="137" t="s">
        <v>129</v>
      </c>
      <c r="M504" s="141"/>
      <c r="N504" s="143"/>
    </row>
    <row r="505" ht="15.0" hidden="1" customHeight="1" outlineLevel="1">
      <c r="A505" s="255" t="s">
        <v>1082</v>
      </c>
      <c r="B505" s="344">
        <v>46164.0</v>
      </c>
      <c r="C505" s="133" t="str">
        <f t="shared" si="60"/>
        <v>Fri</v>
      </c>
      <c r="D505" s="381">
        <f t="shared" si="61"/>
        <v>1</v>
      </c>
      <c r="E505" s="382" t="s">
        <v>129</v>
      </c>
      <c r="F505" s="137" t="s">
        <v>129</v>
      </c>
      <c r="G505" s="137" t="s">
        <v>129</v>
      </c>
      <c r="H505" s="137" t="s">
        <v>129</v>
      </c>
      <c r="I505" s="137" t="s">
        <v>129</v>
      </c>
      <c r="J505" s="137" t="s">
        <v>129</v>
      </c>
      <c r="K505" s="137" t="s">
        <v>129</v>
      </c>
      <c r="L505" s="137" t="s">
        <v>129</v>
      </c>
      <c r="M505" s="141"/>
      <c r="N505" s="147"/>
    </row>
    <row r="506" hidden="1" outlineLevel="1">
      <c r="B506" s="189"/>
      <c r="C506" s="191" t="s">
        <v>194</v>
      </c>
      <c r="D506" s="204">
        <f>AVERAGE(D491:D505)</f>
        <v>1</v>
      </c>
      <c r="E506" s="384"/>
      <c r="L506" s="191" t="s">
        <v>194</v>
      </c>
      <c r="M506" s="204">
        <f>SUM(M491:M505)/75*0.1</f>
        <v>0</v>
      </c>
    </row>
    <row r="507" hidden="1" collapsed="1">
      <c r="A507" s="206" t="s">
        <v>1084</v>
      </c>
      <c r="B507" s="207"/>
      <c r="C507" s="207"/>
      <c r="D507" s="385"/>
      <c r="E507" s="109"/>
      <c r="F507" s="109"/>
      <c r="G507" s="110"/>
      <c r="H507" s="110"/>
      <c r="I507" s="110"/>
      <c r="J507" s="110"/>
      <c r="K507" s="110"/>
      <c r="L507" s="110"/>
      <c r="M507" s="111"/>
      <c r="N507" s="113"/>
    </row>
    <row r="508" hidden="1" outlineLevel="1">
      <c r="A508" s="373" t="s">
        <v>98</v>
      </c>
      <c r="B508" s="115" t="s">
        <v>100</v>
      </c>
      <c r="C508" s="115" t="s">
        <v>102</v>
      </c>
      <c r="D508" s="119" t="s">
        <v>103</v>
      </c>
      <c r="E508" s="275" t="s">
        <v>269</v>
      </c>
      <c r="F508" s="275" t="s">
        <v>272</v>
      </c>
      <c r="G508" s="276" t="s">
        <v>328</v>
      </c>
      <c r="H508" s="121" t="s">
        <v>107</v>
      </c>
      <c r="I508" s="121" t="s">
        <v>108</v>
      </c>
      <c r="J508" s="276" t="s">
        <v>329</v>
      </c>
      <c r="K508" s="121" t="s">
        <v>111</v>
      </c>
      <c r="L508" s="276" t="s">
        <v>274</v>
      </c>
      <c r="M508" s="115" t="s">
        <v>114</v>
      </c>
      <c r="N508" s="119" t="s">
        <v>115</v>
      </c>
    </row>
    <row r="509" hidden="1" outlineLevel="1">
      <c r="A509" s="303" t="s">
        <v>1086</v>
      </c>
      <c r="B509" s="344">
        <v>46167.0</v>
      </c>
      <c r="C509" s="133" t="str">
        <f t="shared" ref="C509:C523" si="62">IF(B509="", "", TEXT(B509, "ddd"))</f>
        <v>Mon</v>
      </c>
      <c r="D509" s="381">
        <f t="shared" ref="D509:D523" si="63">IF(E509="Yes",0.05,0)
+IF(F509="Yes",0.1,0)
+IF(G509="Yes",0.15,0)
+IF(H509="Yes",0.15,0)
+IF(I509="Yes",0.05,0)
+IF(J509="Yes",0.05,0)
+IF(K509="Yes",0.15,0)
+IF(L509="Yes",0.3,0)
</f>
        <v>1</v>
      </c>
      <c r="E509" s="382" t="s">
        <v>129</v>
      </c>
      <c r="F509" s="137" t="s">
        <v>129</v>
      </c>
      <c r="G509" s="137" t="s">
        <v>129</v>
      </c>
      <c r="H509" s="137" t="s">
        <v>129</v>
      </c>
      <c r="I509" s="137" t="s">
        <v>129</v>
      </c>
      <c r="J509" s="137" t="s">
        <v>129</v>
      </c>
      <c r="K509" s="137" t="s">
        <v>129</v>
      </c>
      <c r="L509" s="137" t="s">
        <v>129</v>
      </c>
      <c r="M509" s="141"/>
      <c r="N509" s="143"/>
    </row>
    <row r="510" hidden="1" outlineLevel="1">
      <c r="A510" s="303" t="s">
        <v>1088</v>
      </c>
      <c r="B510" s="344">
        <v>46167.0</v>
      </c>
      <c r="C510" s="133" t="str">
        <f t="shared" si="62"/>
        <v>Mon</v>
      </c>
      <c r="D510" s="383">
        <f t="shared" si="63"/>
        <v>1</v>
      </c>
      <c r="E510" s="147" t="s">
        <v>129</v>
      </c>
      <c r="F510" s="137" t="s">
        <v>129</v>
      </c>
      <c r="G510" s="137" t="s">
        <v>129</v>
      </c>
      <c r="H510" s="137" t="s">
        <v>129</v>
      </c>
      <c r="I510" s="137" t="s">
        <v>129</v>
      </c>
      <c r="J510" s="137" t="s">
        <v>129</v>
      </c>
      <c r="K510" s="137" t="s">
        <v>129</v>
      </c>
      <c r="L510" s="137" t="s">
        <v>129</v>
      </c>
      <c r="M510" s="141"/>
      <c r="N510" s="147"/>
    </row>
    <row r="511" hidden="1" outlineLevel="1">
      <c r="A511" s="303" t="s">
        <v>1090</v>
      </c>
      <c r="B511" s="344">
        <v>46167.0</v>
      </c>
      <c r="C511" s="133" t="str">
        <f t="shared" si="62"/>
        <v>Mon</v>
      </c>
      <c r="D511" s="381">
        <f t="shared" si="63"/>
        <v>1</v>
      </c>
      <c r="E511" s="382" t="s">
        <v>129</v>
      </c>
      <c r="F511" s="137" t="s">
        <v>129</v>
      </c>
      <c r="G511" s="137" t="s">
        <v>129</v>
      </c>
      <c r="H511" s="137" t="s">
        <v>129</v>
      </c>
      <c r="I511" s="137" t="s">
        <v>129</v>
      </c>
      <c r="J511" s="137" t="s">
        <v>129</v>
      </c>
      <c r="K511" s="137" t="s">
        <v>129</v>
      </c>
      <c r="L511" s="137" t="s">
        <v>129</v>
      </c>
      <c r="M511" s="141"/>
      <c r="N511" s="147"/>
    </row>
    <row r="512" hidden="1" outlineLevel="1">
      <c r="A512" s="303" t="s">
        <v>1092</v>
      </c>
      <c r="B512" s="344">
        <v>46168.0</v>
      </c>
      <c r="C512" s="133" t="str">
        <f t="shared" si="62"/>
        <v>Tue</v>
      </c>
      <c r="D512" s="383">
        <f t="shared" si="63"/>
        <v>1</v>
      </c>
      <c r="E512" s="147" t="s">
        <v>129</v>
      </c>
      <c r="F512" s="137" t="s">
        <v>129</v>
      </c>
      <c r="G512" s="137" t="s">
        <v>129</v>
      </c>
      <c r="H512" s="137" t="s">
        <v>129</v>
      </c>
      <c r="I512" s="137" t="s">
        <v>129</v>
      </c>
      <c r="J512" s="137" t="s">
        <v>129</v>
      </c>
      <c r="K512" s="137" t="s">
        <v>129</v>
      </c>
      <c r="L512" s="137" t="s">
        <v>129</v>
      </c>
      <c r="M512" s="141"/>
      <c r="N512" s="143"/>
    </row>
    <row r="513" hidden="1" outlineLevel="1">
      <c r="A513" s="303" t="s">
        <v>1093</v>
      </c>
      <c r="B513" s="344">
        <v>46168.0</v>
      </c>
      <c r="C513" s="133" t="str">
        <f t="shared" si="62"/>
        <v>Tue</v>
      </c>
      <c r="D513" s="381">
        <f t="shared" si="63"/>
        <v>1</v>
      </c>
      <c r="E513" s="382" t="s">
        <v>129</v>
      </c>
      <c r="F513" s="137" t="s">
        <v>129</v>
      </c>
      <c r="G513" s="137" t="s">
        <v>129</v>
      </c>
      <c r="H513" s="137" t="s">
        <v>129</v>
      </c>
      <c r="I513" s="137" t="s">
        <v>129</v>
      </c>
      <c r="J513" s="137" t="s">
        <v>129</v>
      </c>
      <c r="K513" s="137" t="s">
        <v>129</v>
      </c>
      <c r="L513" s="137" t="s">
        <v>129</v>
      </c>
      <c r="M513" s="141"/>
      <c r="N513" s="143"/>
    </row>
    <row r="514" hidden="1" outlineLevel="1">
      <c r="A514" s="303" t="s">
        <v>1094</v>
      </c>
      <c r="B514" s="344">
        <v>46168.0</v>
      </c>
      <c r="C514" s="133" t="str">
        <f t="shared" si="62"/>
        <v>Tue</v>
      </c>
      <c r="D514" s="383">
        <f t="shared" si="63"/>
        <v>1</v>
      </c>
      <c r="E514" s="147" t="s">
        <v>129</v>
      </c>
      <c r="F514" s="137" t="s">
        <v>129</v>
      </c>
      <c r="G514" s="137" t="s">
        <v>129</v>
      </c>
      <c r="H514" s="137" t="s">
        <v>129</v>
      </c>
      <c r="I514" s="137" t="s">
        <v>129</v>
      </c>
      <c r="J514" s="137" t="s">
        <v>129</v>
      </c>
      <c r="K514" s="137" t="s">
        <v>129</v>
      </c>
      <c r="L514" s="137" t="s">
        <v>129</v>
      </c>
      <c r="M514" s="141"/>
      <c r="N514" s="143"/>
    </row>
    <row r="515" hidden="1" outlineLevel="1">
      <c r="A515" s="303" t="s">
        <v>1096</v>
      </c>
      <c r="B515" s="344">
        <v>46169.0</v>
      </c>
      <c r="C515" s="133" t="str">
        <f t="shared" si="62"/>
        <v>Wed</v>
      </c>
      <c r="D515" s="381">
        <f t="shared" si="63"/>
        <v>1</v>
      </c>
      <c r="E515" s="382" t="s">
        <v>129</v>
      </c>
      <c r="F515" s="137" t="s">
        <v>129</v>
      </c>
      <c r="G515" s="137" t="s">
        <v>129</v>
      </c>
      <c r="H515" s="137" t="s">
        <v>129</v>
      </c>
      <c r="I515" s="137" t="s">
        <v>129</v>
      </c>
      <c r="J515" s="137" t="s">
        <v>129</v>
      </c>
      <c r="K515" s="137" t="s">
        <v>129</v>
      </c>
      <c r="L515" s="137" t="s">
        <v>129</v>
      </c>
      <c r="M515" s="141"/>
      <c r="N515" s="143"/>
    </row>
    <row r="516" hidden="1" outlineLevel="1">
      <c r="A516" s="303" t="s">
        <v>1098</v>
      </c>
      <c r="B516" s="344">
        <v>46169.0</v>
      </c>
      <c r="C516" s="133" t="str">
        <f t="shared" si="62"/>
        <v>Wed</v>
      </c>
      <c r="D516" s="383">
        <f t="shared" si="63"/>
        <v>1</v>
      </c>
      <c r="E516" s="147" t="s">
        <v>129</v>
      </c>
      <c r="F516" s="137" t="s">
        <v>129</v>
      </c>
      <c r="G516" s="137" t="s">
        <v>129</v>
      </c>
      <c r="H516" s="137" t="s">
        <v>129</v>
      </c>
      <c r="I516" s="137" t="s">
        <v>129</v>
      </c>
      <c r="J516" s="137" t="s">
        <v>129</v>
      </c>
      <c r="K516" s="137" t="s">
        <v>129</v>
      </c>
      <c r="L516" s="137" t="s">
        <v>129</v>
      </c>
      <c r="M516" s="141"/>
      <c r="N516" s="147"/>
    </row>
    <row r="517" hidden="1" outlineLevel="1">
      <c r="A517" s="303" t="s">
        <v>1101</v>
      </c>
      <c r="B517" s="344">
        <v>46169.0</v>
      </c>
      <c r="C517" s="133" t="str">
        <f t="shared" si="62"/>
        <v>Wed</v>
      </c>
      <c r="D517" s="381">
        <f t="shared" si="63"/>
        <v>1</v>
      </c>
      <c r="E517" s="382" t="s">
        <v>129</v>
      </c>
      <c r="F517" s="137" t="s">
        <v>129</v>
      </c>
      <c r="G517" s="137" t="s">
        <v>129</v>
      </c>
      <c r="H517" s="137" t="s">
        <v>129</v>
      </c>
      <c r="I517" s="137" t="s">
        <v>129</v>
      </c>
      <c r="J517" s="137" t="s">
        <v>129</v>
      </c>
      <c r="K517" s="137" t="s">
        <v>129</v>
      </c>
      <c r="L517" s="137" t="s">
        <v>129</v>
      </c>
      <c r="M517" s="141"/>
      <c r="N517" s="143"/>
    </row>
    <row r="518" hidden="1" outlineLevel="1">
      <c r="A518" s="303" t="s">
        <v>1102</v>
      </c>
      <c r="B518" s="344">
        <v>46173.0</v>
      </c>
      <c r="C518" s="133" t="str">
        <f t="shared" si="62"/>
        <v>Sun</v>
      </c>
      <c r="D518" s="383">
        <f t="shared" si="63"/>
        <v>1</v>
      </c>
      <c r="E518" s="147" t="s">
        <v>129</v>
      </c>
      <c r="F518" s="137" t="s">
        <v>129</v>
      </c>
      <c r="G518" s="137" t="s">
        <v>129</v>
      </c>
      <c r="H518" s="137" t="s">
        <v>129</v>
      </c>
      <c r="I518" s="137" t="s">
        <v>129</v>
      </c>
      <c r="J518" s="137" t="s">
        <v>129</v>
      </c>
      <c r="K518" s="137" t="s">
        <v>129</v>
      </c>
      <c r="L518" s="137" t="s">
        <v>129</v>
      </c>
      <c r="M518" s="141"/>
      <c r="N518" s="147"/>
    </row>
    <row r="519" hidden="1" outlineLevel="1">
      <c r="A519" s="303" t="s">
        <v>1104</v>
      </c>
      <c r="B519" s="344">
        <v>46173.0</v>
      </c>
      <c r="C519" s="133" t="str">
        <f t="shared" si="62"/>
        <v>Sun</v>
      </c>
      <c r="D519" s="381">
        <f t="shared" si="63"/>
        <v>1</v>
      </c>
      <c r="E519" s="382" t="s">
        <v>129</v>
      </c>
      <c r="F519" s="137" t="s">
        <v>129</v>
      </c>
      <c r="G519" s="137" t="s">
        <v>129</v>
      </c>
      <c r="H519" s="137" t="s">
        <v>129</v>
      </c>
      <c r="I519" s="137" t="s">
        <v>129</v>
      </c>
      <c r="J519" s="137" t="s">
        <v>129</v>
      </c>
      <c r="K519" s="137" t="s">
        <v>129</v>
      </c>
      <c r="L519" s="137" t="s">
        <v>129</v>
      </c>
      <c r="M519" s="141"/>
      <c r="N519" s="147"/>
    </row>
    <row r="520" hidden="1" outlineLevel="1">
      <c r="A520" s="303" t="s">
        <v>1106</v>
      </c>
      <c r="B520" s="344">
        <v>46173.0</v>
      </c>
      <c r="C520" s="133" t="str">
        <f t="shared" si="62"/>
        <v>Sun</v>
      </c>
      <c r="D520" s="383">
        <f t="shared" si="63"/>
        <v>1</v>
      </c>
      <c r="E520" s="147" t="s">
        <v>129</v>
      </c>
      <c r="F520" s="137" t="s">
        <v>129</v>
      </c>
      <c r="G520" s="137" t="s">
        <v>129</v>
      </c>
      <c r="H520" s="137" t="s">
        <v>129</v>
      </c>
      <c r="I520" s="137" t="s">
        <v>129</v>
      </c>
      <c r="J520" s="137" t="s">
        <v>129</v>
      </c>
      <c r="K520" s="137" t="s">
        <v>129</v>
      </c>
      <c r="L520" s="137" t="s">
        <v>129</v>
      </c>
      <c r="M520" s="141"/>
      <c r="N520" s="147"/>
    </row>
    <row r="521" hidden="1" outlineLevel="1">
      <c r="A521" s="411" t="s">
        <v>145</v>
      </c>
      <c r="B521" s="344"/>
      <c r="C521" s="133" t="str">
        <f t="shared" si="62"/>
        <v/>
      </c>
      <c r="D521" s="381">
        <f t="shared" si="63"/>
        <v>1</v>
      </c>
      <c r="E521" s="382" t="s">
        <v>129</v>
      </c>
      <c r="F521" s="137" t="s">
        <v>129</v>
      </c>
      <c r="G521" s="137" t="s">
        <v>129</v>
      </c>
      <c r="H521" s="137" t="s">
        <v>129</v>
      </c>
      <c r="I521" s="137" t="s">
        <v>129</v>
      </c>
      <c r="J521" s="137" t="s">
        <v>129</v>
      </c>
      <c r="K521" s="137" t="s">
        <v>129</v>
      </c>
      <c r="L521" s="137" t="s">
        <v>129</v>
      </c>
      <c r="M521" s="141"/>
      <c r="N521" s="143"/>
    </row>
    <row r="522" hidden="1" outlineLevel="1">
      <c r="A522" s="411" t="s">
        <v>145</v>
      </c>
      <c r="B522" s="344"/>
      <c r="C522" s="133" t="str">
        <f t="shared" si="62"/>
        <v/>
      </c>
      <c r="D522" s="383">
        <f t="shared" si="63"/>
        <v>1</v>
      </c>
      <c r="E522" s="147" t="s">
        <v>129</v>
      </c>
      <c r="F522" s="137" t="s">
        <v>129</v>
      </c>
      <c r="G522" s="137" t="s">
        <v>129</v>
      </c>
      <c r="H522" s="137" t="s">
        <v>129</v>
      </c>
      <c r="I522" s="137" t="s">
        <v>129</v>
      </c>
      <c r="J522" s="137" t="s">
        <v>129</v>
      </c>
      <c r="K522" s="137" t="s">
        <v>129</v>
      </c>
      <c r="L522" s="137" t="s">
        <v>129</v>
      </c>
      <c r="M522" s="141"/>
      <c r="N522" s="143"/>
    </row>
    <row r="523" ht="15.0" hidden="1" customHeight="1" outlineLevel="1">
      <c r="A523" s="411" t="s">
        <v>145</v>
      </c>
      <c r="B523" s="344"/>
      <c r="C523" s="133" t="str">
        <f t="shared" si="62"/>
        <v/>
      </c>
      <c r="D523" s="381">
        <f t="shared" si="63"/>
        <v>1</v>
      </c>
      <c r="E523" s="382" t="s">
        <v>129</v>
      </c>
      <c r="F523" s="137" t="s">
        <v>129</v>
      </c>
      <c r="G523" s="137" t="s">
        <v>129</v>
      </c>
      <c r="H523" s="137" t="s">
        <v>129</v>
      </c>
      <c r="I523" s="137" t="s">
        <v>129</v>
      </c>
      <c r="J523" s="137" t="s">
        <v>129</v>
      </c>
      <c r="K523" s="137" t="s">
        <v>129</v>
      </c>
      <c r="L523" s="137" t="s">
        <v>129</v>
      </c>
      <c r="M523" s="141"/>
      <c r="N523" s="147"/>
    </row>
    <row r="524" hidden="1" outlineLevel="1">
      <c r="B524" s="189"/>
      <c r="C524" s="191" t="s">
        <v>194</v>
      </c>
      <c r="D524" s="204">
        <f>AVERAGE(D509:D523)</f>
        <v>1</v>
      </c>
      <c r="E524" s="384"/>
      <c r="L524" s="191" t="s">
        <v>194</v>
      </c>
      <c r="M524" s="204">
        <f>SUM(M509:M523)/75*0.1</f>
        <v>0</v>
      </c>
    </row>
    <row r="525" hidden="1" collapsed="1">
      <c r="A525" s="206" t="s">
        <v>1109</v>
      </c>
      <c r="B525" s="207"/>
      <c r="C525" s="207"/>
      <c r="D525" s="385"/>
      <c r="E525" s="109"/>
      <c r="F525" s="109"/>
      <c r="G525" s="110"/>
      <c r="H525" s="110"/>
      <c r="I525" s="110"/>
      <c r="J525" s="110"/>
      <c r="K525" s="110"/>
      <c r="L525" s="110"/>
      <c r="M525" s="111"/>
      <c r="N525" s="113"/>
    </row>
    <row r="526" hidden="1" outlineLevel="1">
      <c r="A526" s="373" t="s">
        <v>98</v>
      </c>
      <c r="B526" s="115" t="s">
        <v>100</v>
      </c>
      <c r="C526" s="115" t="s">
        <v>102</v>
      </c>
      <c r="D526" s="119" t="s">
        <v>103</v>
      </c>
      <c r="E526" s="275" t="s">
        <v>269</v>
      </c>
      <c r="F526" s="275" t="s">
        <v>272</v>
      </c>
      <c r="G526" s="276" t="s">
        <v>328</v>
      </c>
      <c r="H526" s="121" t="s">
        <v>107</v>
      </c>
      <c r="I526" s="121" t="s">
        <v>108</v>
      </c>
      <c r="J526" s="276" t="s">
        <v>329</v>
      </c>
      <c r="K526" s="121" t="s">
        <v>111</v>
      </c>
      <c r="L526" s="276" t="s">
        <v>274</v>
      </c>
      <c r="M526" s="115" t="s">
        <v>114</v>
      </c>
      <c r="N526" s="119" t="s">
        <v>115</v>
      </c>
    </row>
    <row r="527" hidden="1" outlineLevel="1">
      <c r="A527" s="255" t="s">
        <v>1111</v>
      </c>
      <c r="B527" s="344">
        <v>46174.0</v>
      </c>
      <c r="C527" s="133" t="str">
        <f t="shared" ref="C527:C541" si="64">IF(B527="", "", TEXT(B527, "ddd"))</f>
        <v>Mon</v>
      </c>
      <c r="D527" s="381">
        <f t="shared" ref="D527:D541" si="65">IF(E527="Yes",0.05,0)
+IF(F527="Yes",0.1,0)
+IF(G527="Yes",0.15,0)
+IF(H527="Yes",0.15,0)
+IF(I527="Yes",0.05,0)
+IF(J527="Yes",0.05,0)
+IF(K527="Yes",0.15,0)
+IF(L527="Yes",0.3,0)
</f>
        <v>1</v>
      </c>
      <c r="E527" s="382" t="s">
        <v>129</v>
      </c>
      <c r="F527" s="137" t="s">
        <v>129</v>
      </c>
      <c r="G527" s="137" t="s">
        <v>129</v>
      </c>
      <c r="H527" s="137" t="s">
        <v>129</v>
      </c>
      <c r="I527" s="137" t="s">
        <v>129</v>
      </c>
      <c r="J527" s="137" t="s">
        <v>129</v>
      </c>
      <c r="K527" s="137" t="s">
        <v>129</v>
      </c>
      <c r="L527" s="137" t="s">
        <v>129</v>
      </c>
      <c r="M527" s="141"/>
      <c r="N527" s="143"/>
    </row>
    <row r="528" hidden="1" outlineLevel="1">
      <c r="A528" s="255" t="s">
        <v>1112</v>
      </c>
      <c r="B528" s="344">
        <v>46174.0</v>
      </c>
      <c r="C528" s="133" t="str">
        <f t="shared" si="64"/>
        <v>Mon</v>
      </c>
      <c r="D528" s="383">
        <f t="shared" si="65"/>
        <v>1</v>
      </c>
      <c r="E528" s="147" t="s">
        <v>129</v>
      </c>
      <c r="F528" s="137" t="s">
        <v>129</v>
      </c>
      <c r="G528" s="137" t="s">
        <v>129</v>
      </c>
      <c r="H528" s="137" t="s">
        <v>129</v>
      </c>
      <c r="I528" s="137" t="s">
        <v>129</v>
      </c>
      <c r="J528" s="137" t="s">
        <v>129</v>
      </c>
      <c r="K528" s="137" t="s">
        <v>129</v>
      </c>
      <c r="L528" s="137" t="s">
        <v>129</v>
      </c>
      <c r="M528" s="141"/>
      <c r="N528" s="147"/>
    </row>
    <row r="529" hidden="1" outlineLevel="1">
      <c r="A529" s="255" t="s">
        <v>1113</v>
      </c>
      <c r="B529" s="344">
        <v>46174.0</v>
      </c>
      <c r="C529" s="133" t="str">
        <f t="shared" si="64"/>
        <v>Mon</v>
      </c>
      <c r="D529" s="381">
        <f t="shared" si="65"/>
        <v>1</v>
      </c>
      <c r="E529" s="382" t="s">
        <v>129</v>
      </c>
      <c r="F529" s="137" t="s">
        <v>129</v>
      </c>
      <c r="G529" s="137" t="s">
        <v>129</v>
      </c>
      <c r="H529" s="137" t="s">
        <v>129</v>
      </c>
      <c r="I529" s="137" t="s">
        <v>129</v>
      </c>
      <c r="J529" s="137" t="s">
        <v>129</v>
      </c>
      <c r="K529" s="137" t="s">
        <v>129</v>
      </c>
      <c r="L529" s="137" t="s">
        <v>129</v>
      </c>
      <c r="M529" s="141"/>
      <c r="N529" s="147"/>
    </row>
    <row r="530" hidden="1" outlineLevel="1">
      <c r="A530" s="255" t="s">
        <v>1114</v>
      </c>
      <c r="B530" s="344">
        <v>46175.0</v>
      </c>
      <c r="C530" s="133" t="str">
        <f t="shared" si="64"/>
        <v>Tue</v>
      </c>
      <c r="D530" s="383">
        <f t="shared" si="65"/>
        <v>1</v>
      </c>
      <c r="E530" s="147" t="s">
        <v>129</v>
      </c>
      <c r="F530" s="137" t="s">
        <v>129</v>
      </c>
      <c r="G530" s="137" t="s">
        <v>129</v>
      </c>
      <c r="H530" s="137" t="s">
        <v>129</v>
      </c>
      <c r="I530" s="137" t="s">
        <v>129</v>
      </c>
      <c r="J530" s="137" t="s">
        <v>129</v>
      </c>
      <c r="K530" s="137" t="s">
        <v>129</v>
      </c>
      <c r="L530" s="137" t="s">
        <v>129</v>
      </c>
      <c r="M530" s="141"/>
      <c r="N530" s="143"/>
    </row>
    <row r="531" hidden="1" outlineLevel="1">
      <c r="A531" s="255" t="s">
        <v>1116</v>
      </c>
      <c r="B531" s="344">
        <v>46175.0</v>
      </c>
      <c r="C531" s="133" t="str">
        <f t="shared" si="64"/>
        <v>Tue</v>
      </c>
      <c r="D531" s="381">
        <f t="shared" si="65"/>
        <v>1</v>
      </c>
      <c r="E531" s="382" t="s">
        <v>129</v>
      </c>
      <c r="F531" s="137" t="s">
        <v>129</v>
      </c>
      <c r="G531" s="137" t="s">
        <v>129</v>
      </c>
      <c r="H531" s="137" t="s">
        <v>129</v>
      </c>
      <c r="I531" s="137" t="s">
        <v>129</v>
      </c>
      <c r="J531" s="137" t="s">
        <v>129</v>
      </c>
      <c r="K531" s="137" t="s">
        <v>129</v>
      </c>
      <c r="L531" s="137" t="s">
        <v>129</v>
      </c>
      <c r="M531" s="141"/>
      <c r="N531" s="143"/>
    </row>
    <row r="532" hidden="1" outlineLevel="1">
      <c r="A532" s="255" t="s">
        <v>1118</v>
      </c>
      <c r="B532" s="344">
        <v>46175.0</v>
      </c>
      <c r="C532" s="133" t="str">
        <f t="shared" si="64"/>
        <v>Tue</v>
      </c>
      <c r="D532" s="383">
        <f t="shared" si="65"/>
        <v>1</v>
      </c>
      <c r="E532" s="147" t="s">
        <v>129</v>
      </c>
      <c r="F532" s="137" t="s">
        <v>129</v>
      </c>
      <c r="G532" s="137" t="s">
        <v>129</v>
      </c>
      <c r="H532" s="137" t="s">
        <v>129</v>
      </c>
      <c r="I532" s="137" t="s">
        <v>129</v>
      </c>
      <c r="J532" s="137" t="s">
        <v>129</v>
      </c>
      <c r="K532" s="137" t="s">
        <v>129</v>
      </c>
      <c r="L532" s="137" t="s">
        <v>129</v>
      </c>
      <c r="M532" s="141"/>
      <c r="N532" s="143"/>
    </row>
    <row r="533" hidden="1" outlineLevel="1">
      <c r="A533" s="255" t="s">
        <v>1119</v>
      </c>
      <c r="B533" s="344">
        <v>46176.0</v>
      </c>
      <c r="C533" s="133" t="str">
        <f t="shared" si="64"/>
        <v>Wed</v>
      </c>
      <c r="D533" s="381">
        <f t="shared" si="65"/>
        <v>1</v>
      </c>
      <c r="E533" s="382" t="s">
        <v>129</v>
      </c>
      <c r="F533" s="137" t="s">
        <v>129</v>
      </c>
      <c r="G533" s="137" t="s">
        <v>129</v>
      </c>
      <c r="H533" s="137" t="s">
        <v>129</v>
      </c>
      <c r="I533" s="137" t="s">
        <v>129</v>
      </c>
      <c r="J533" s="137" t="s">
        <v>129</v>
      </c>
      <c r="K533" s="137" t="s">
        <v>129</v>
      </c>
      <c r="L533" s="137" t="s">
        <v>129</v>
      </c>
      <c r="M533" s="141"/>
      <c r="N533" s="143"/>
    </row>
    <row r="534" hidden="1" outlineLevel="1">
      <c r="A534" s="255" t="s">
        <v>1121</v>
      </c>
      <c r="B534" s="344">
        <v>46176.0</v>
      </c>
      <c r="C534" s="133" t="str">
        <f t="shared" si="64"/>
        <v>Wed</v>
      </c>
      <c r="D534" s="383">
        <f t="shared" si="65"/>
        <v>1</v>
      </c>
      <c r="E534" s="147" t="s">
        <v>129</v>
      </c>
      <c r="F534" s="137" t="s">
        <v>129</v>
      </c>
      <c r="G534" s="137" t="s">
        <v>129</v>
      </c>
      <c r="H534" s="137" t="s">
        <v>129</v>
      </c>
      <c r="I534" s="137" t="s">
        <v>129</v>
      </c>
      <c r="J534" s="137" t="s">
        <v>129</v>
      </c>
      <c r="K534" s="137" t="s">
        <v>129</v>
      </c>
      <c r="L534" s="137" t="s">
        <v>129</v>
      </c>
      <c r="M534" s="141"/>
      <c r="N534" s="147"/>
    </row>
    <row r="535" hidden="1" outlineLevel="1">
      <c r="A535" s="255" t="s">
        <v>1123</v>
      </c>
      <c r="B535" s="344">
        <v>46176.0</v>
      </c>
      <c r="C535" s="133" t="str">
        <f t="shared" si="64"/>
        <v>Wed</v>
      </c>
      <c r="D535" s="381">
        <f t="shared" si="65"/>
        <v>1</v>
      </c>
      <c r="E535" s="382" t="s">
        <v>129</v>
      </c>
      <c r="F535" s="137" t="s">
        <v>129</v>
      </c>
      <c r="G535" s="137" t="s">
        <v>129</v>
      </c>
      <c r="H535" s="137" t="s">
        <v>129</v>
      </c>
      <c r="I535" s="137" t="s">
        <v>129</v>
      </c>
      <c r="J535" s="137" t="s">
        <v>129</v>
      </c>
      <c r="K535" s="137" t="s">
        <v>129</v>
      </c>
      <c r="L535" s="137" t="s">
        <v>129</v>
      </c>
      <c r="M535" s="141"/>
      <c r="N535" s="143"/>
    </row>
    <row r="536" hidden="1" outlineLevel="1">
      <c r="A536" s="255" t="s">
        <v>1124</v>
      </c>
      <c r="B536" s="344">
        <v>46177.0</v>
      </c>
      <c r="C536" s="133" t="str">
        <f t="shared" si="64"/>
        <v>Thu</v>
      </c>
      <c r="D536" s="383">
        <f t="shared" si="65"/>
        <v>1</v>
      </c>
      <c r="E536" s="147" t="s">
        <v>129</v>
      </c>
      <c r="F536" s="137" t="s">
        <v>129</v>
      </c>
      <c r="G536" s="137" t="s">
        <v>129</v>
      </c>
      <c r="H536" s="137" t="s">
        <v>129</v>
      </c>
      <c r="I536" s="137" t="s">
        <v>129</v>
      </c>
      <c r="J536" s="137" t="s">
        <v>129</v>
      </c>
      <c r="K536" s="137" t="s">
        <v>129</v>
      </c>
      <c r="L536" s="137" t="s">
        <v>129</v>
      </c>
      <c r="M536" s="141"/>
      <c r="N536" s="147"/>
    </row>
    <row r="537" hidden="1" outlineLevel="1">
      <c r="A537" s="255" t="s">
        <v>1129</v>
      </c>
      <c r="B537" s="344">
        <v>46177.0</v>
      </c>
      <c r="C537" s="133" t="str">
        <f t="shared" si="64"/>
        <v>Thu</v>
      </c>
      <c r="D537" s="381">
        <f t="shared" si="65"/>
        <v>1</v>
      </c>
      <c r="E537" s="382" t="s">
        <v>129</v>
      </c>
      <c r="F537" s="137" t="s">
        <v>129</v>
      </c>
      <c r="G537" s="137" t="s">
        <v>129</v>
      </c>
      <c r="H537" s="137" t="s">
        <v>129</v>
      </c>
      <c r="I537" s="137" t="s">
        <v>129</v>
      </c>
      <c r="J537" s="137" t="s">
        <v>129</v>
      </c>
      <c r="K537" s="137" t="s">
        <v>129</v>
      </c>
      <c r="L537" s="137" t="s">
        <v>129</v>
      </c>
      <c r="M537" s="141"/>
      <c r="N537" s="147"/>
    </row>
    <row r="538" hidden="1" outlineLevel="1">
      <c r="A538" s="255" t="s">
        <v>1131</v>
      </c>
      <c r="B538" s="344">
        <v>46177.0</v>
      </c>
      <c r="C538" s="133" t="str">
        <f t="shared" si="64"/>
        <v>Thu</v>
      </c>
      <c r="D538" s="383">
        <f t="shared" si="65"/>
        <v>1</v>
      </c>
      <c r="E538" s="147" t="s">
        <v>129</v>
      </c>
      <c r="F538" s="137" t="s">
        <v>129</v>
      </c>
      <c r="G538" s="137" t="s">
        <v>129</v>
      </c>
      <c r="H538" s="137" t="s">
        <v>129</v>
      </c>
      <c r="I538" s="137" t="s">
        <v>129</v>
      </c>
      <c r="J538" s="137" t="s">
        <v>129</v>
      </c>
      <c r="K538" s="137" t="s">
        <v>129</v>
      </c>
      <c r="L538" s="137" t="s">
        <v>129</v>
      </c>
      <c r="M538" s="141"/>
      <c r="N538" s="147"/>
    </row>
    <row r="539" hidden="1" outlineLevel="1">
      <c r="A539" s="255" t="s">
        <v>1133</v>
      </c>
      <c r="B539" s="344">
        <v>46178.0</v>
      </c>
      <c r="C539" s="133" t="str">
        <f t="shared" si="64"/>
        <v>Fri</v>
      </c>
      <c r="D539" s="381">
        <f t="shared" si="65"/>
        <v>1</v>
      </c>
      <c r="E539" s="382" t="s">
        <v>129</v>
      </c>
      <c r="F539" s="137" t="s">
        <v>129</v>
      </c>
      <c r="G539" s="137" t="s">
        <v>129</v>
      </c>
      <c r="H539" s="137" t="s">
        <v>129</v>
      </c>
      <c r="I539" s="137" t="s">
        <v>129</v>
      </c>
      <c r="J539" s="137" t="s">
        <v>129</v>
      </c>
      <c r="K539" s="137" t="s">
        <v>129</v>
      </c>
      <c r="L539" s="137" t="s">
        <v>129</v>
      </c>
      <c r="M539" s="141"/>
      <c r="N539" s="143"/>
    </row>
    <row r="540" hidden="1" outlineLevel="1">
      <c r="A540" s="255" t="s">
        <v>1134</v>
      </c>
      <c r="B540" s="344">
        <v>46178.0</v>
      </c>
      <c r="C540" s="133" t="str">
        <f t="shared" si="64"/>
        <v>Fri</v>
      </c>
      <c r="D540" s="383">
        <f t="shared" si="65"/>
        <v>1</v>
      </c>
      <c r="E540" s="147" t="s">
        <v>129</v>
      </c>
      <c r="F540" s="137" t="s">
        <v>129</v>
      </c>
      <c r="G540" s="137" t="s">
        <v>129</v>
      </c>
      <c r="H540" s="137" t="s">
        <v>129</v>
      </c>
      <c r="I540" s="137" t="s">
        <v>129</v>
      </c>
      <c r="J540" s="137" t="s">
        <v>129</v>
      </c>
      <c r="K540" s="137" t="s">
        <v>129</v>
      </c>
      <c r="L540" s="137" t="s">
        <v>129</v>
      </c>
      <c r="M540" s="141"/>
      <c r="N540" s="143"/>
    </row>
    <row r="541" ht="15.0" hidden="1" customHeight="1" outlineLevel="1">
      <c r="A541" s="255" t="s">
        <v>1136</v>
      </c>
      <c r="B541" s="344">
        <v>46178.0</v>
      </c>
      <c r="C541" s="133" t="str">
        <f t="shared" si="64"/>
        <v>Fri</v>
      </c>
      <c r="D541" s="381">
        <f t="shared" si="65"/>
        <v>1</v>
      </c>
      <c r="E541" s="382" t="s">
        <v>129</v>
      </c>
      <c r="F541" s="137" t="s">
        <v>129</v>
      </c>
      <c r="G541" s="137" t="s">
        <v>129</v>
      </c>
      <c r="H541" s="137" t="s">
        <v>129</v>
      </c>
      <c r="I541" s="137" t="s">
        <v>129</v>
      </c>
      <c r="J541" s="137" t="s">
        <v>129</v>
      </c>
      <c r="K541" s="137" t="s">
        <v>129</v>
      </c>
      <c r="L541" s="137" t="s">
        <v>129</v>
      </c>
      <c r="M541" s="141"/>
      <c r="N541" s="147"/>
    </row>
    <row r="542" hidden="1" outlineLevel="1">
      <c r="B542" s="189"/>
      <c r="C542" s="191" t="s">
        <v>194</v>
      </c>
      <c r="D542" s="204">
        <f>AVERAGE(D527:D541)</f>
        <v>1</v>
      </c>
      <c r="E542" s="384"/>
      <c r="L542" s="191" t="s">
        <v>194</v>
      </c>
      <c r="M542" s="204">
        <f>SUM(M527:M541)/75*0.1</f>
        <v>0</v>
      </c>
    </row>
    <row r="543" hidden="1" collapsed="1">
      <c r="A543" s="206" t="s">
        <v>1138</v>
      </c>
      <c r="B543" s="207"/>
      <c r="C543" s="207"/>
      <c r="D543" s="385"/>
      <c r="E543" s="109"/>
      <c r="F543" s="109"/>
      <c r="G543" s="110"/>
      <c r="H543" s="110"/>
      <c r="I543" s="110"/>
      <c r="J543" s="110"/>
      <c r="K543" s="110"/>
      <c r="L543" s="110"/>
      <c r="M543" s="111"/>
      <c r="N543" s="113"/>
    </row>
    <row r="544" hidden="1" outlineLevel="1">
      <c r="A544" s="373" t="s">
        <v>98</v>
      </c>
      <c r="B544" s="115" t="s">
        <v>100</v>
      </c>
      <c r="C544" s="115" t="s">
        <v>102</v>
      </c>
      <c r="D544" s="119" t="s">
        <v>103</v>
      </c>
      <c r="E544" s="275" t="s">
        <v>269</v>
      </c>
      <c r="F544" s="275" t="s">
        <v>272</v>
      </c>
      <c r="G544" s="276" t="s">
        <v>328</v>
      </c>
      <c r="H544" s="121" t="s">
        <v>107</v>
      </c>
      <c r="I544" s="121" t="s">
        <v>108</v>
      </c>
      <c r="J544" s="276" t="s">
        <v>329</v>
      </c>
      <c r="K544" s="121" t="s">
        <v>111</v>
      </c>
      <c r="L544" s="276" t="s">
        <v>274</v>
      </c>
      <c r="M544" s="115" t="s">
        <v>114</v>
      </c>
      <c r="N544" s="119" t="s">
        <v>115</v>
      </c>
    </row>
    <row r="545" hidden="1" outlineLevel="1">
      <c r="A545" s="255" t="s">
        <v>1139</v>
      </c>
      <c r="B545" s="344">
        <v>46181.0</v>
      </c>
      <c r="C545" s="133" t="str">
        <f t="shared" ref="C545:C559" si="66">IF(B545="", "", TEXT(B545, "ddd"))</f>
        <v>Mon</v>
      </c>
      <c r="D545" s="381">
        <f t="shared" ref="D545:D559" si="67">IF(E545="Yes",0.05,0)
+IF(F545="Yes",0.1,0)
+IF(G545="Yes",0.15,0)
+IF(H545="Yes",0.15,0)
+IF(I545="Yes",0.05,0)
+IF(J545="Yes",0.05,0)
+IF(K545="Yes",0.15,0)
+IF(L545="Yes",0.3,0)
</f>
        <v>1</v>
      </c>
      <c r="E545" s="382" t="s">
        <v>129</v>
      </c>
      <c r="F545" s="137" t="s">
        <v>129</v>
      </c>
      <c r="G545" s="137" t="s">
        <v>129</v>
      </c>
      <c r="H545" s="137" t="s">
        <v>129</v>
      </c>
      <c r="I545" s="137" t="s">
        <v>129</v>
      </c>
      <c r="J545" s="137" t="s">
        <v>129</v>
      </c>
      <c r="K545" s="137" t="s">
        <v>129</v>
      </c>
      <c r="L545" s="137" t="s">
        <v>129</v>
      </c>
      <c r="M545" s="141"/>
      <c r="N545" s="143"/>
    </row>
    <row r="546" hidden="1" outlineLevel="1">
      <c r="A546" s="255" t="s">
        <v>1140</v>
      </c>
      <c r="B546" s="344">
        <v>46181.0</v>
      </c>
      <c r="C546" s="133" t="str">
        <f t="shared" si="66"/>
        <v>Mon</v>
      </c>
      <c r="D546" s="383">
        <f t="shared" si="67"/>
        <v>1</v>
      </c>
      <c r="E546" s="147" t="s">
        <v>129</v>
      </c>
      <c r="F546" s="137" t="s">
        <v>129</v>
      </c>
      <c r="G546" s="137" t="s">
        <v>129</v>
      </c>
      <c r="H546" s="137" t="s">
        <v>129</v>
      </c>
      <c r="I546" s="137" t="s">
        <v>129</v>
      </c>
      <c r="J546" s="137" t="s">
        <v>129</v>
      </c>
      <c r="K546" s="137" t="s">
        <v>129</v>
      </c>
      <c r="L546" s="137" t="s">
        <v>129</v>
      </c>
      <c r="M546" s="141"/>
      <c r="N546" s="147"/>
    </row>
    <row r="547" hidden="1" outlineLevel="1">
      <c r="A547" s="255" t="s">
        <v>1142</v>
      </c>
      <c r="B547" s="344">
        <v>46181.0</v>
      </c>
      <c r="C547" s="133" t="str">
        <f t="shared" si="66"/>
        <v>Mon</v>
      </c>
      <c r="D547" s="381">
        <f t="shared" si="67"/>
        <v>1</v>
      </c>
      <c r="E547" s="382" t="s">
        <v>129</v>
      </c>
      <c r="F547" s="137" t="s">
        <v>129</v>
      </c>
      <c r="G547" s="137" t="s">
        <v>129</v>
      </c>
      <c r="H547" s="137" t="s">
        <v>129</v>
      </c>
      <c r="I547" s="137" t="s">
        <v>129</v>
      </c>
      <c r="J547" s="137" t="s">
        <v>129</v>
      </c>
      <c r="K547" s="137" t="s">
        <v>129</v>
      </c>
      <c r="L547" s="137" t="s">
        <v>129</v>
      </c>
      <c r="M547" s="141"/>
      <c r="N547" s="147"/>
    </row>
    <row r="548" hidden="1" outlineLevel="1">
      <c r="A548" s="255" t="s">
        <v>1143</v>
      </c>
      <c r="B548" s="344">
        <v>46182.0</v>
      </c>
      <c r="C548" s="133" t="str">
        <f t="shared" si="66"/>
        <v>Tue</v>
      </c>
      <c r="D548" s="383">
        <f t="shared" si="67"/>
        <v>1</v>
      </c>
      <c r="E548" s="147" t="s">
        <v>129</v>
      </c>
      <c r="F548" s="137" t="s">
        <v>129</v>
      </c>
      <c r="G548" s="137" t="s">
        <v>129</v>
      </c>
      <c r="H548" s="137" t="s">
        <v>129</v>
      </c>
      <c r="I548" s="137" t="s">
        <v>129</v>
      </c>
      <c r="J548" s="137" t="s">
        <v>129</v>
      </c>
      <c r="K548" s="137" t="s">
        <v>129</v>
      </c>
      <c r="L548" s="137" t="s">
        <v>129</v>
      </c>
      <c r="M548" s="141"/>
      <c r="N548" s="143"/>
    </row>
    <row r="549" hidden="1" outlineLevel="1">
      <c r="A549" s="255" t="s">
        <v>1145</v>
      </c>
      <c r="B549" s="344">
        <v>46182.0</v>
      </c>
      <c r="C549" s="133" t="str">
        <f t="shared" si="66"/>
        <v>Tue</v>
      </c>
      <c r="D549" s="381">
        <f t="shared" si="67"/>
        <v>1</v>
      </c>
      <c r="E549" s="382" t="s">
        <v>129</v>
      </c>
      <c r="F549" s="137" t="s">
        <v>129</v>
      </c>
      <c r="G549" s="137" t="s">
        <v>129</v>
      </c>
      <c r="H549" s="137" t="s">
        <v>129</v>
      </c>
      <c r="I549" s="137" t="s">
        <v>129</v>
      </c>
      <c r="J549" s="137" t="s">
        <v>129</v>
      </c>
      <c r="K549" s="137" t="s">
        <v>129</v>
      </c>
      <c r="L549" s="137" t="s">
        <v>129</v>
      </c>
      <c r="M549" s="141"/>
      <c r="N549" s="143"/>
    </row>
    <row r="550" hidden="1" outlineLevel="1">
      <c r="A550" s="255" t="s">
        <v>1146</v>
      </c>
      <c r="B550" s="344">
        <v>46182.0</v>
      </c>
      <c r="C550" s="133" t="str">
        <f t="shared" si="66"/>
        <v>Tue</v>
      </c>
      <c r="D550" s="383">
        <f t="shared" si="67"/>
        <v>1</v>
      </c>
      <c r="E550" s="147" t="s">
        <v>129</v>
      </c>
      <c r="F550" s="137" t="s">
        <v>129</v>
      </c>
      <c r="G550" s="137" t="s">
        <v>129</v>
      </c>
      <c r="H550" s="137" t="s">
        <v>129</v>
      </c>
      <c r="I550" s="137" t="s">
        <v>129</v>
      </c>
      <c r="J550" s="137" t="s">
        <v>129</v>
      </c>
      <c r="K550" s="137" t="s">
        <v>129</v>
      </c>
      <c r="L550" s="137" t="s">
        <v>129</v>
      </c>
      <c r="M550" s="141"/>
      <c r="N550" s="143"/>
    </row>
    <row r="551" hidden="1" outlineLevel="1">
      <c r="A551" s="255" t="s">
        <v>1148</v>
      </c>
      <c r="B551" s="344">
        <v>46183.0</v>
      </c>
      <c r="C551" s="133" t="str">
        <f t="shared" si="66"/>
        <v>Wed</v>
      </c>
      <c r="D551" s="381">
        <f t="shared" si="67"/>
        <v>1</v>
      </c>
      <c r="E551" s="382" t="s">
        <v>129</v>
      </c>
      <c r="F551" s="137" t="s">
        <v>129</v>
      </c>
      <c r="G551" s="137" t="s">
        <v>129</v>
      </c>
      <c r="H551" s="137" t="s">
        <v>129</v>
      </c>
      <c r="I551" s="137" t="s">
        <v>129</v>
      </c>
      <c r="J551" s="137" t="s">
        <v>129</v>
      </c>
      <c r="K551" s="137" t="s">
        <v>129</v>
      </c>
      <c r="L551" s="137" t="s">
        <v>129</v>
      </c>
      <c r="M551" s="141"/>
      <c r="N551" s="143"/>
    </row>
    <row r="552" hidden="1" outlineLevel="1">
      <c r="A552" s="255" t="s">
        <v>1149</v>
      </c>
      <c r="B552" s="344">
        <v>46183.0</v>
      </c>
      <c r="C552" s="133" t="str">
        <f t="shared" si="66"/>
        <v>Wed</v>
      </c>
      <c r="D552" s="383">
        <f t="shared" si="67"/>
        <v>1</v>
      </c>
      <c r="E552" s="147" t="s">
        <v>129</v>
      </c>
      <c r="F552" s="137" t="s">
        <v>129</v>
      </c>
      <c r="G552" s="137" t="s">
        <v>129</v>
      </c>
      <c r="H552" s="137" t="s">
        <v>129</v>
      </c>
      <c r="I552" s="137" t="s">
        <v>129</v>
      </c>
      <c r="J552" s="137" t="s">
        <v>129</v>
      </c>
      <c r="K552" s="137" t="s">
        <v>129</v>
      </c>
      <c r="L552" s="137" t="s">
        <v>129</v>
      </c>
      <c r="M552" s="141"/>
      <c r="N552" s="147"/>
    </row>
    <row r="553" hidden="1" outlineLevel="1">
      <c r="A553" s="255" t="s">
        <v>1150</v>
      </c>
      <c r="B553" s="344">
        <v>46183.0</v>
      </c>
      <c r="C553" s="133" t="str">
        <f t="shared" si="66"/>
        <v>Wed</v>
      </c>
      <c r="D553" s="381">
        <f t="shared" si="67"/>
        <v>1</v>
      </c>
      <c r="E553" s="382" t="s">
        <v>129</v>
      </c>
      <c r="F553" s="137" t="s">
        <v>129</v>
      </c>
      <c r="G553" s="137" t="s">
        <v>129</v>
      </c>
      <c r="H553" s="137" t="s">
        <v>129</v>
      </c>
      <c r="I553" s="137" t="s">
        <v>129</v>
      </c>
      <c r="J553" s="137" t="s">
        <v>129</v>
      </c>
      <c r="K553" s="137" t="s">
        <v>129</v>
      </c>
      <c r="L553" s="137" t="s">
        <v>129</v>
      </c>
      <c r="M553" s="141"/>
      <c r="N553" s="143"/>
    </row>
    <row r="554" hidden="1" outlineLevel="1">
      <c r="A554" s="255" t="s">
        <v>1153</v>
      </c>
      <c r="B554" s="344">
        <v>46184.0</v>
      </c>
      <c r="C554" s="133" t="str">
        <f t="shared" si="66"/>
        <v>Thu</v>
      </c>
      <c r="D554" s="383">
        <f t="shared" si="67"/>
        <v>1</v>
      </c>
      <c r="E554" s="147" t="s">
        <v>129</v>
      </c>
      <c r="F554" s="137" t="s">
        <v>129</v>
      </c>
      <c r="G554" s="137" t="s">
        <v>129</v>
      </c>
      <c r="H554" s="137" t="s">
        <v>129</v>
      </c>
      <c r="I554" s="137" t="s">
        <v>129</v>
      </c>
      <c r="J554" s="137" t="s">
        <v>129</v>
      </c>
      <c r="K554" s="137" t="s">
        <v>129</v>
      </c>
      <c r="L554" s="137" t="s">
        <v>129</v>
      </c>
      <c r="M554" s="141"/>
      <c r="N554" s="147"/>
    </row>
    <row r="555" hidden="1" outlineLevel="1">
      <c r="A555" s="255" t="s">
        <v>1154</v>
      </c>
      <c r="B555" s="344">
        <v>46184.0</v>
      </c>
      <c r="C555" s="133" t="str">
        <f t="shared" si="66"/>
        <v>Thu</v>
      </c>
      <c r="D555" s="381">
        <f t="shared" si="67"/>
        <v>1</v>
      </c>
      <c r="E555" s="382" t="s">
        <v>129</v>
      </c>
      <c r="F555" s="137" t="s">
        <v>129</v>
      </c>
      <c r="G555" s="137" t="s">
        <v>129</v>
      </c>
      <c r="H555" s="137" t="s">
        <v>129</v>
      </c>
      <c r="I555" s="137" t="s">
        <v>129</v>
      </c>
      <c r="J555" s="137" t="s">
        <v>129</v>
      </c>
      <c r="K555" s="137" t="s">
        <v>129</v>
      </c>
      <c r="L555" s="137" t="s">
        <v>129</v>
      </c>
      <c r="M555" s="141"/>
      <c r="N555" s="147"/>
    </row>
    <row r="556" hidden="1" outlineLevel="1">
      <c r="A556" s="255" t="s">
        <v>1156</v>
      </c>
      <c r="B556" s="344">
        <v>46184.0</v>
      </c>
      <c r="C556" s="133" t="str">
        <f t="shared" si="66"/>
        <v>Thu</v>
      </c>
      <c r="D556" s="383">
        <f t="shared" si="67"/>
        <v>1</v>
      </c>
      <c r="E556" s="147" t="s">
        <v>129</v>
      </c>
      <c r="F556" s="137" t="s">
        <v>129</v>
      </c>
      <c r="G556" s="137" t="s">
        <v>129</v>
      </c>
      <c r="H556" s="137" t="s">
        <v>129</v>
      </c>
      <c r="I556" s="137" t="s">
        <v>129</v>
      </c>
      <c r="J556" s="137" t="s">
        <v>129</v>
      </c>
      <c r="K556" s="137" t="s">
        <v>129</v>
      </c>
      <c r="L556" s="137" t="s">
        <v>129</v>
      </c>
      <c r="M556" s="141"/>
      <c r="N556" s="147"/>
    </row>
    <row r="557" hidden="1" outlineLevel="1">
      <c r="A557" s="255" t="s">
        <v>1157</v>
      </c>
      <c r="B557" s="344">
        <v>46185.0</v>
      </c>
      <c r="C557" s="133" t="str">
        <f t="shared" si="66"/>
        <v>Fri</v>
      </c>
      <c r="D557" s="381">
        <f t="shared" si="67"/>
        <v>1</v>
      </c>
      <c r="E557" s="382" t="s">
        <v>129</v>
      </c>
      <c r="F557" s="137" t="s">
        <v>129</v>
      </c>
      <c r="G557" s="137" t="s">
        <v>129</v>
      </c>
      <c r="H557" s="137" t="s">
        <v>129</v>
      </c>
      <c r="I557" s="137" t="s">
        <v>129</v>
      </c>
      <c r="J557" s="137" t="s">
        <v>129</v>
      </c>
      <c r="K557" s="137" t="s">
        <v>129</v>
      </c>
      <c r="L557" s="137" t="s">
        <v>129</v>
      </c>
      <c r="M557" s="141"/>
      <c r="N557" s="143"/>
    </row>
    <row r="558" hidden="1" outlineLevel="1">
      <c r="A558" s="255" t="s">
        <v>1159</v>
      </c>
      <c r="B558" s="344">
        <v>46185.0</v>
      </c>
      <c r="C558" s="133" t="str">
        <f t="shared" si="66"/>
        <v>Fri</v>
      </c>
      <c r="D558" s="383">
        <f t="shared" si="67"/>
        <v>1</v>
      </c>
      <c r="E558" s="147" t="s">
        <v>129</v>
      </c>
      <c r="F558" s="137" t="s">
        <v>129</v>
      </c>
      <c r="G558" s="137" t="s">
        <v>129</v>
      </c>
      <c r="H558" s="137" t="s">
        <v>129</v>
      </c>
      <c r="I558" s="137" t="s">
        <v>129</v>
      </c>
      <c r="J558" s="137" t="s">
        <v>129</v>
      </c>
      <c r="K558" s="137" t="s">
        <v>129</v>
      </c>
      <c r="L558" s="137" t="s">
        <v>129</v>
      </c>
      <c r="M558" s="141"/>
      <c r="N558" s="143"/>
    </row>
    <row r="559" ht="15.0" hidden="1" customHeight="1" outlineLevel="1">
      <c r="A559" s="255" t="s">
        <v>1160</v>
      </c>
      <c r="B559" s="344">
        <v>46185.0</v>
      </c>
      <c r="C559" s="133" t="str">
        <f t="shared" si="66"/>
        <v>Fri</v>
      </c>
      <c r="D559" s="381">
        <f t="shared" si="67"/>
        <v>1</v>
      </c>
      <c r="E559" s="382" t="s">
        <v>129</v>
      </c>
      <c r="F559" s="137" t="s">
        <v>129</v>
      </c>
      <c r="G559" s="137" t="s">
        <v>129</v>
      </c>
      <c r="H559" s="137" t="s">
        <v>129</v>
      </c>
      <c r="I559" s="137" t="s">
        <v>129</v>
      </c>
      <c r="J559" s="137" t="s">
        <v>129</v>
      </c>
      <c r="K559" s="137" t="s">
        <v>129</v>
      </c>
      <c r="L559" s="137" t="s">
        <v>129</v>
      </c>
      <c r="M559" s="141"/>
      <c r="N559" s="147"/>
    </row>
    <row r="560" hidden="1" outlineLevel="1">
      <c r="B560" s="189"/>
      <c r="C560" s="191" t="s">
        <v>194</v>
      </c>
      <c r="D560" s="204">
        <f>AVERAGE(D545:D559)</f>
        <v>1</v>
      </c>
      <c r="E560" s="384"/>
      <c r="L560" s="191" t="s">
        <v>194</v>
      </c>
      <c r="M560" s="204">
        <f>SUM(M545:M559)/75*0.1</f>
        <v>0</v>
      </c>
    </row>
    <row r="561" hidden="1" collapsed="1">
      <c r="A561" s="206" t="s">
        <v>1161</v>
      </c>
      <c r="B561" s="207"/>
      <c r="C561" s="207"/>
      <c r="D561" s="385"/>
      <c r="E561" s="109"/>
      <c r="F561" s="109"/>
      <c r="G561" s="110"/>
      <c r="H561" s="110"/>
      <c r="I561" s="110"/>
      <c r="J561" s="110"/>
      <c r="K561" s="110"/>
      <c r="L561" s="110"/>
      <c r="M561" s="111"/>
      <c r="N561" s="113"/>
    </row>
    <row r="562" hidden="1" outlineLevel="1">
      <c r="A562" s="373" t="s">
        <v>98</v>
      </c>
      <c r="B562" s="115" t="s">
        <v>100</v>
      </c>
      <c r="C562" s="115" t="s">
        <v>102</v>
      </c>
      <c r="D562" s="119" t="s">
        <v>103</v>
      </c>
      <c r="E562" s="275" t="s">
        <v>269</v>
      </c>
      <c r="F562" s="275" t="s">
        <v>272</v>
      </c>
      <c r="G562" s="276" t="s">
        <v>328</v>
      </c>
      <c r="H562" s="121" t="s">
        <v>107</v>
      </c>
      <c r="I562" s="121" t="s">
        <v>108</v>
      </c>
      <c r="J562" s="276" t="s">
        <v>329</v>
      </c>
      <c r="K562" s="121" t="s">
        <v>111</v>
      </c>
      <c r="L562" s="276" t="s">
        <v>274</v>
      </c>
      <c r="M562" s="115" t="s">
        <v>114</v>
      </c>
      <c r="N562" s="119" t="s">
        <v>115</v>
      </c>
    </row>
    <row r="563" hidden="1" outlineLevel="1">
      <c r="A563" s="412" t="s">
        <v>1162</v>
      </c>
      <c r="B563" s="344"/>
      <c r="C563" s="133" t="str">
        <f t="shared" ref="C563:C577" si="68">IF(B563="", "", TEXT(B563, "ddd"))</f>
        <v/>
      </c>
      <c r="D563" s="381">
        <f t="shared" ref="D563:D577" si="69">IF(E563="Yes",0.05,0)
+IF(F563="Yes",0.1,0)
+IF(G563="Yes",0.15,0)
+IF(H563="Yes",0.15,0)
+IF(I563="Yes",0.05,0)
+IF(J563="Yes",0.05,0)
+IF(K563="Yes",0.15,0)
+IF(L563="Yes",0.3,0)
</f>
        <v>1</v>
      </c>
      <c r="E563" s="382" t="s">
        <v>129</v>
      </c>
      <c r="F563" s="137" t="s">
        <v>129</v>
      </c>
      <c r="G563" s="137" t="s">
        <v>129</v>
      </c>
      <c r="H563" s="137" t="s">
        <v>129</v>
      </c>
      <c r="I563" s="137" t="s">
        <v>129</v>
      </c>
      <c r="J563" s="137" t="s">
        <v>129</v>
      </c>
      <c r="K563" s="137" t="s">
        <v>129</v>
      </c>
      <c r="L563" s="137" t="s">
        <v>129</v>
      </c>
      <c r="M563" s="141"/>
      <c r="N563" s="143"/>
    </row>
    <row r="564" hidden="1" outlineLevel="1">
      <c r="A564" s="412" t="s">
        <v>1162</v>
      </c>
      <c r="B564" s="344"/>
      <c r="C564" s="133" t="str">
        <f t="shared" si="68"/>
        <v/>
      </c>
      <c r="D564" s="383">
        <f t="shared" si="69"/>
        <v>1</v>
      </c>
      <c r="E564" s="147" t="s">
        <v>129</v>
      </c>
      <c r="F564" s="137" t="s">
        <v>129</v>
      </c>
      <c r="G564" s="137" t="s">
        <v>129</v>
      </c>
      <c r="H564" s="137" t="s">
        <v>129</v>
      </c>
      <c r="I564" s="137" t="s">
        <v>129</v>
      </c>
      <c r="J564" s="137" t="s">
        <v>129</v>
      </c>
      <c r="K564" s="137" t="s">
        <v>129</v>
      </c>
      <c r="L564" s="137" t="s">
        <v>129</v>
      </c>
      <c r="M564" s="141"/>
      <c r="N564" s="147"/>
    </row>
    <row r="565" hidden="1" outlineLevel="1">
      <c r="A565" s="412" t="s">
        <v>1162</v>
      </c>
      <c r="B565" s="344"/>
      <c r="C565" s="133" t="str">
        <f t="shared" si="68"/>
        <v/>
      </c>
      <c r="D565" s="381">
        <f t="shared" si="69"/>
        <v>1</v>
      </c>
      <c r="E565" s="382" t="s">
        <v>129</v>
      </c>
      <c r="F565" s="137" t="s">
        <v>129</v>
      </c>
      <c r="G565" s="137" t="s">
        <v>129</v>
      </c>
      <c r="H565" s="137" t="s">
        <v>129</v>
      </c>
      <c r="I565" s="137" t="s">
        <v>129</v>
      </c>
      <c r="J565" s="137" t="s">
        <v>129</v>
      </c>
      <c r="K565" s="137" t="s">
        <v>129</v>
      </c>
      <c r="L565" s="137" t="s">
        <v>129</v>
      </c>
      <c r="M565" s="141"/>
      <c r="N565" s="147"/>
    </row>
    <row r="566" hidden="1" outlineLevel="1">
      <c r="A566" s="412" t="s">
        <v>1162</v>
      </c>
      <c r="B566" s="344"/>
      <c r="C566" s="133" t="str">
        <f t="shared" si="68"/>
        <v/>
      </c>
      <c r="D566" s="383">
        <f t="shared" si="69"/>
        <v>1</v>
      </c>
      <c r="E566" s="147" t="s">
        <v>129</v>
      </c>
      <c r="F566" s="137" t="s">
        <v>129</v>
      </c>
      <c r="G566" s="137" t="s">
        <v>129</v>
      </c>
      <c r="H566" s="137" t="s">
        <v>129</v>
      </c>
      <c r="I566" s="137" t="s">
        <v>129</v>
      </c>
      <c r="J566" s="137" t="s">
        <v>129</v>
      </c>
      <c r="K566" s="137" t="s">
        <v>129</v>
      </c>
      <c r="L566" s="137" t="s">
        <v>129</v>
      </c>
      <c r="M566" s="141"/>
      <c r="N566" s="143"/>
    </row>
    <row r="567" hidden="1" outlineLevel="1">
      <c r="A567" s="412" t="s">
        <v>1162</v>
      </c>
      <c r="B567" s="344"/>
      <c r="C567" s="133" t="str">
        <f t="shared" si="68"/>
        <v/>
      </c>
      <c r="D567" s="381">
        <f t="shared" si="69"/>
        <v>1</v>
      </c>
      <c r="E567" s="382" t="s">
        <v>129</v>
      </c>
      <c r="F567" s="137" t="s">
        <v>129</v>
      </c>
      <c r="G567" s="137" t="s">
        <v>129</v>
      </c>
      <c r="H567" s="137" t="s">
        <v>129</v>
      </c>
      <c r="I567" s="137" t="s">
        <v>129</v>
      </c>
      <c r="J567" s="137" t="s">
        <v>129</v>
      </c>
      <c r="K567" s="137" t="s">
        <v>129</v>
      </c>
      <c r="L567" s="137" t="s">
        <v>129</v>
      </c>
      <c r="M567" s="141"/>
      <c r="N567" s="143"/>
    </row>
    <row r="568" hidden="1" outlineLevel="1">
      <c r="A568" s="412" t="s">
        <v>1162</v>
      </c>
      <c r="B568" s="344"/>
      <c r="C568" s="133" t="str">
        <f t="shared" si="68"/>
        <v/>
      </c>
      <c r="D568" s="383">
        <f t="shared" si="69"/>
        <v>1</v>
      </c>
      <c r="E568" s="147" t="s">
        <v>129</v>
      </c>
      <c r="F568" s="137" t="s">
        <v>129</v>
      </c>
      <c r="G568" s="137" t="s">
        <v>129</v>
      </c>
      <c r="H568" s="137" t="s">
        <v>129</v>
      </c>
      <c r="I568" s="137" t="s">
        <v>129</v>
      </c>
      <c r="J568" s="137" t="s">
        <v>129</v>
      </c>
      <c r="K568" s="137" t="s">
        <v>129</v>
      </c>
      <c r="L568" s="137" t="s">
        <v>129</v>
      </c>
      <c r="M568" s="141"/>
      <c r="N568" s="143"/>
    </row>
    <row r="569" hidden="1" outlineLevel="1">
      <c r="A569" s="412" t="s">
        <v>1162</v>
      </c>
      <c r="B569" s="344"/>
      <c r="C569" s="133" t="str">
        <f t="shared" si="68"/>
        <v/>
      </c>
      <c r="D569" s="381">
        <f t="shared" si="69"/>
        <v>1</v>
      </c>
      <c r="E569" s="382" t="s">
        <v>129</v>
      </c>
      <c r="F569" s="137" t="s">
        <v>129</v>
      </c>
      <c r="G569" s="137" t="s">
        <v>129</v>
      </c>
      <c r="H569" s="137" t="s">
        <v>129</v>
      </c>
      <c r="I569" s="137" t="s">
        <v>129</v>
      </c>
      <c r="J569" s="137" t="s">
        <v>129</v>
      </c>
      <c r="K569" s="137" t="s">
        <v>129</v>
      </c>
      <c r="L569" s="137" t="s">
        <v>129</v>
      </c>
      <c r="M569" s="141"/>
      <c r="N569" s="143"/>
    </row>
    <row r="570" hidden="1" outlineLevel="1">
      <c r="A570" s="412" t="s">
        <v>1162</v>
      </c>
      <c r="B570" s="344"/>
      <c r="C570" s="133" t="str">
        <f t="shared" si="68"/>
        <v/>
      </c>
      <c r="D570" s="383">
        <f t="shared" si="69"/>
        <v>1</v>
      </c>
      <c r="E570" s="147" t="s">
        <v>129</v>
      </c>
      <c r="F570" s="137" t="s">
        <v>129</v>
      </c>
      <c r="G570" s="137" t="s">
        <v>129</v>
      </c>
      <c r="H570" s="137" t="s">
        <v>129</v>
      </c>
      <c r="I570" s="137" t="s">
        <v>129</v>
      </c>
      <c r="J570" s="137" t="s">
        <v>129</v>
      </c>
      <c r="K570" s="137" t="s">
        <v>129</v>
      </c>
      <c r="L570" s="137" t="s">
        <v>129</v>
      </c>
      <c r="M570" s="141"/>
      <c r="N570" s="147"/>
    </row>
    <row r="571" hidden="1" outlineLevel="1">
      <c r="A571" s="412" t="s">
        <v>1162</v>
      </c>
      <c r="B571" s="344"/>
      <c r="C571" s="133" t="str">
        <f t="shared" si="68"/>
        <v/>
      </c>
      <c r="D571" s="381">
        <f t="shared" si="69"/>
        <v>1</v>
      </c>
      <c r="E571" s="382" t="s">
        <v>129</v>
      </c>
      <c r="F571" s="137" t="s">
        <v>129</v>
      </c>
      <c r="G571" s="137" t="s">
        <v>129</v>
      </c>
      <c r="H571" s="137" t="s">
        <v>129</v>
      </c>
      <c r="I571" s="137" t="s">
        <v>129</v>
      </c>
      <c r="J571" s="137" t="s">
        <v>129</v>
      </c>
      <c r="K571" s="137" t="s">
        <v>129</v>
      </c>
      <c r="L571" s="137" t="s">
        <v>129</v>
      </c>
      <c r="M571" s="141"/>
      <c r="N571" s="143"/>
    </row>
    <row r="572" hidden="1" outlineLevel="1">
      <c r="A572" s="412" t="s">
        <v>1162</v>
      </c>
      <c r="B572" s="344"/>
      <c r="C572" s="133" t="str">
        <f t="shared" si="68"/>
        <v/>
      </c>
      <c r="D572" s="383">
        <f t="shared" si="69"/>
        <v>1</v>
      </c>
      <c r="E572" s="147" t="s">
        <v>129</v>
      </c>
      <c r="F572" s="137" t="s">
        <v>129</v>
      </c>
      <c r="G572" s="137" t="s">
        <v>129</v>
      </c>
      <c r="H572" s="137" t="s">
        <v>129</v>
      </c>
      <c r="I572" s="137" t="s">
        <v>129</v>
      </c>
      <c r="J572" s="137" t="s">
        <v>129</v>
      </c>
      <c r="K572" s="137" t="s">
        <v>129</v>
      </c>
      <c r="L572" s="137" t="s">
        <v>129</v>
      </c>
      <c r="M572" s="141"/>
      <c r="N572" s="147"/>
    </row>
    <row r="573" hidden="1" outlineLevel="1">
      <c r="A573" s="412" t="s">
        <v>1162</v>
      </c>
      <c r="B573" s="344"/>
      <c r="C573" s="133" t="str">
        <f t="shared" si="68"/>
        <v/>
      </c>
      <c r="D573" s="381">
        <f t="shared" si="69"/>
        <v>1</v>
      </c>
      <c r="E573" s="382" t="s">
        <v>129</v>
      </c>
      <c r="F573" s="137" t="s">
        <v>129</v>
      </c>
      <c r="G573" s="137" t="s">
        <v>129</v>
      </c>
      <c r="H573" s="137" t="s">
        <v>129</v>
      </c>
      <c r="I573" s="137" t="s">
        <v>129</v>
      </c>
      <c r="J573" s="137" t="s">
        <v>129</v>
      </c>
      <c r="K573" s="137" t="s">
        <v>129</v>
      </c>
      <c r="L573" s="137" t="s">
        <v>129</v>
      </c>
      <c r="M573" s="141"/>
      <c r="N573" s="147"/>
    </row>
    <row r="574" hidden="1" outlineLevel="1">
      <c r="A574" s="412" t="s">
        <v>1162</v>
      </c>
      <c r="B574" s="344"/>
      <c r="C574" s="133" t="str">
        <f t="shared" si="68"/>
        <v/>
      </c>
      <c r="D574" s="383">
        <f t="shared" si="69"/>
        <v>1</v>
      </c>
      <c r="E574" s="147" t="s">
        <v>129</v>
      </c>
      <c r="F574" s="137" t="s">
        <v>129</v>
      </c>
      <c r="G574" s="137" t="s">
        <v>129</v>
      </c>
      <c r="H574" s="137" t="s">
        <v>129</v>
      </c>
      <c r="I574" s="137" t="s">
        <v>129</v>
      </c>
      <c r="J574" s="137" t="s">
        <v>129</v>
      </c>
      <c r="K574" s="137" t="s">
        <v>129</v>
      </c>
      <c r="L574" s="137" t="s">
        <v>129</v>
      </c>
      <c r="M574" s="141"/>
      <c r="N574" s="147"/>
    </row>
    <row r="575" hidden="1" outlineLevel="1">
      <c r="A575" s="412" t="s">
        <v>1162</v>
      </c>
      <c r="B575" s="344"/>
      <c r="C575" s="133" t="str">
        <f t="shared" si="68"/>
        <v/>
      </c>
      <c r="D575" s="381">
        <f t="shared" si="69"/>
        <v>1</v>
      </c>
      <c r="E575" s="382" t="s">
        <v>129</v>
      </c>
      <c r="F575" s="137" t="s">
        <v>129</v>
      </c>
      <c r="G575" s="137" t="s">
        <v>129</v>
      </c>
      <c r="H575" s="137" t="s">
        <v>129</v>
      </c>
      <c r="I575" s="137" t="s">
        <v>129</v>
      </c>
      <c r="J575" s="137" t="s">
        <v>129</v>
      </c>
      <c r="K575" s="137" t="s">
        <v>129</v>
      </c>
      <c r="L575" s="137" t="s">
        <v>129</v>
      </c>
      <c r="M575" s="141"/>
      <c r="N575" s="143"/>
    </row>
    <row r="576" hidden="1" outlineLevel="1">
      <c r="A576" s="412" t="s">
        <v>1162</v>
      </c>
      <c r="B576" s="344"/>
      <c r="C576" s="133" t="str">
        <f t="shared" si="68"/>
        <v/>
      </c>
      <c r="D576" s="383">
        <f t="shared" si="69"/>
        <v>1</v>
      </c>
      <c r="E576" s="147" t="s">
        <v>129</v>
      </c>
      <c r="F576" s="137" t="s">
        <v>129</v>
      </c>
      <c r="G576" s="137" t="s">
        <v>129</v>
      </c>
      <c r="H576" s="137" t="s">
        <v>129</v>
      </c>
      <c r="I576" s="137" t="s">
        <v>129</v>
      </c>
      <c r="J576" s="137" t="s">
        <v>129</v>
      </c>
      <c r="K576" s="137" t="s">
        <v>129</v>
      </c>
      <c r="L576" s="137" t="s">
        <v>129</v>
      </c>
      <c r="M576" s="141"/>
      <c r="N576" s="143"/>
    </row>
    <row r="577" ht="15.0" hidden="1" customHeight="1" outlineLevel="1">
      <c r="A577" s="412" t="s">
        <v>1162</v>
      </c>
      <c r="B577" s="344"/>
      <c r="C577" s="133" t="str">
        <f t="shared" si="68"/>
        <v/>
      </c>
      <c r="D577" s="381">
        <f t="shared" si="69"/>
        <v>1</v>
      </c>
      <c r="E577" s="382" t="s">
        <v>129</v>
      </c>
      <c r="F577" s="137" t="s">
        <v>129</v>
      </c>
      <c r="G577" s="137" t="s">
        <v>129</v>
      </c>
      <c r="H577" s="137" t="s">
        <v>129</v>
      </c>
      <c r="I577" s="137" t="s">
        <v>129</v>
      </c>
      <c r="J577" s="137" t="s">
        <v>129</v>
      </c>
      <c r="K577" s="137" t="s">
        <v>129</v>
      </c>
      <c r="L577" s="137" t="s">
        <v>129</v>
      </c>
      <c r="M577" s="141"/>
      <c r="N577" s="147"/>
    </row>
    <row r="578" hidden="1" outlineLevel="1">
      <c r="B578" s="189"/>
      <c r="C578" s="191" t="s">
        <v>194</v>
      </c>
      <c r="D578" s="204">
        <f>AVERAGE(D563:D577)</f>
        <v>1</v>
      </c>
      <c r="E578" s="384"/>
      <c r="L578" s="191" t="s">
        <v>194</v>
      </c>
      <c r="M578" s="204">
        <f>SUM(M563:M577)/75*0.1</f>
        <v>0</v>
      </c>
    </row>
    <row r="579" hidden="1" collapsed="1">
      <c r="A579" s="206" t="s">
        <v>1169</v>
      </c>
      <c r="B579" s="207"/>
      <c r="C579" s="207"/>
      <c r="D579" s="385"/>
      <c r="E579" s="109"/>
      <c r="F579" s="109"/>
      <c r="G579" s="110"/>
      <c r="H579" s="110"/>
      <c r="I579" s="110"/>
      <c r="J579" s="110"/>
      <c r="K579" s="110"/>
      <c r="L579" s="110"/>
      <c r="M579" s="111"/>
      <c r="N579" s="113"/>
    </row>
    <row r="580" hidden="1" outlineLevel="1">
      <c r="A580" s="373" t="s">
        <v>98</v>
      </c>
      <c r="B580" s="115" t="s">
        <v>100</v>
      </c>
      <c r="C580" s="115" t="s">
        <v>102</v>
      </c>
      <c r="D580" s="119" t="s">
        <v>103</v>
      </c>
      <c r="E580" s="275" t="s">
        <v>269</v>
      </c>
      <c r="F580" s="275" t="s">
        <v>272</v>
      </c>
      <c r="G580" s="276" t="s">
        <v>328</v>
      </c>
      <c r="H580" s="121" t="s">
        <v>107</v>
      </c>
      <c r="I580" s="121" t="s">
        <v>108</v>
      </c>
      <c r="J580" s="276" t="s">
        <v>329</v>
      </c>
      <c r="K580" s="121" t="s">
        <v>111</v>
      </c>
      <c r="L580" s="276" t="s">
        <v>274</v>
      </c>
      <c r="M580" s="115" t="s">
        <v>114</v>
      </c>
      <c r="N580" s="119" t="s">
        <v>115</v>
      </c>
    </row>
    <row r="581" hidden="1" outlineLevel="1">
      <c r="A581" s="303" t="s">
        <v>1170</v>
      </c>
      <c r="B581" s="344">
        <v>46195.0</v>
      </c>
      <c r="C581" s="133" t="str">
        <f t="shared" ref="C581:C595" si="70">IF(B581="", "", TEXT(B581, "ddd"))</f>
        <v>Mon</v>
      </c>
      <c r="D581" s="381">
        <f t="shared" ref="D581:D595" si="71">IF(E581="Yes",0.05,0)
+IF(F581="Yes",0.1,0)
+IF(G581="Yes",0.15,0)
+IF(H581="Yes",0.15,0)
+IF(I581="Yes",0.05,0)
+IF(J581="Yes",0.05,0)
+IF(K581="Yes",0.15,0)
+IF(L581="Yes",0.3,0)
</f>
        <v>1</v>
      </c>
      <c r="E581" s="382" t="s">
        <v>129</v>
      </c>
      <c r="F581" s="137" t="s">
        <v>129</v>
      </c>
      <c r="G581" s="137" t="s">
        <v>129</v>
      </c>
      <c r="H581" s="137" t="s">
        <v>129</v>
      </c>
      <c r="I581" s="137" t="s">
        <v>129</v>
      </c>
      <c r="J581" s="137" t="s">
        <v>129</v>
      </c>
      <c r="K581" s="137" t="s">
        <v>129</v>
      </c>
      <c r="L581" s="137" t="s">
        <v>129</v>
      </c>
      <c r="M581" s="141"/>
      <c r="N581" s="143"/>
    </row>
    <row r="582" hidden="1" outlineLevel="1">
      <c r="A582" s="303" t="s">
        <v>1172</v>
      </c>
      <c r="B582" s="344">
        <v>46195.0</v>
      </c>
      <c r="C582" s="133" t="str">
        <f t="shared" si="70"/>
        <v>Mon</v>
      </c>
      <c r="D582" s="383">
        <f t="shared" si="71"/>
        <v>1</v>
      </c>
      <c r="E582" s="147" t="s">
        <v>129</v>
      </c>
      <c r="F582" s="137" t="s">
        <v>129</v>
      </c>
      <c r="G582" s="137" t="s">
        <v>129</v>
      </c>
      <c r="H582" s="137" t="s">
        <v>129</v>
      </c>
      <c r="I582" s="137" t="s">
        <v>129</v>
      </c>
      <c r="J582" s="137" t="s">
        <v>129</v>
      </c>
      <c r="K582" s="137" t="s">
        <v>129</v>
      </c>
      <c r="L582" s="137" t="s">
        <v>129</v>
      </c>
      <c r="M582" s="141"/>
      <c r="N582" s="147"/>
    </row>
    <row r="583" hidden="1" outlineLevel="1">
      <c r="A583" s="303" t="s">
        <v>1174</v>
      </c>
      <c r="B583" s="344">
        <v>46195.0</v>
      </c>
      <c r="C583" s="133" t="str">
        <f t="shared" si="70"/>
        <v>Mon</v>
      </c>
      <c r="D583" s="381">
        <f t="shared" si="71"/>
        <v>1</v>
      </c>
      <c r="E583" s="382" t="s">
        <v>129</v>
      </c>
      <c r="F583" s="137" t="s">
        <v>129</v>
      </c>
      <c r="G583" s="137" t="s">
        <v>129</v>
      </c>
      <c r="H583" s="137" t="s">
        <v>129</v>
      </c>
      <c r="I583" s="137" t="s">
        <v>129</v>
      </c>
      <c r="J583" s="137" t="s">
        <v>129</v>
      </c>
      <c r="K583" s="137" t="s">
        <v>129</v>
      </c>
      <c r="L583" s="137" t="s">
        <v>129</v>
      </c>
      <c r="M583" s="141"/>
      <c r="N583" s="147"/>
    </row>
    <row r="584" hidden="1" outlineLevel="1">
      <c r="A584" s="412" t="s">
        <v>1176</v>
      </c>
      <c r="B584" s="344">
        <v>46196.0</v>
      </c>
      <c r="C584" s="133" t="str">
        <f t="shared" si="70"/>
        <v>Tue</v>
      </c>
      <c r="D584" s="383">
        <f t="shared" si="71"/>
        <v>1</v>
      </c>
      <c r="E584" s="147" t="s">
        <v>129</v>
      </c>
      <c r="F584" s="137" t="s">
        <v>129</v>
      </c>
      <c r="G584" s="137" t="s">
        <v>129</v>
      </c>
      <c r="H584" s="137" t="s">
        <v>129</v>
      </c>
      <c r="I584" s="137" t="s">
        <v>129</v>
      </c>
      <c r="J584" s="137" t="s">
        <v>129</v>
      </c>
      <c r="K584" s="137" t="s">
        <v>129</v>
      </c>
      <c r="L584" s="137" t="s">
        <v>129</v>
      </c>
      <c r="M584" s="141"/>
      <c r="N584" s="143"/>
    </row>
    <row r="585" hidden="1" outlineLevel="1">
      <c r="A585" s="412" t="s">
        <v>1177</v>
      </c>
      <c r="B585" s="344">
        <v>46196.0</v>
      </c>
      <c r="C585" s="133" t="str">
        <f t="shared" si="70"/>
        <v>Tue</v>
      </c>
      <c r="D585" s="381">
        <f t="shared" si="71"/>
        <v>1</v>
      </c>
      <c r="E585" s="382" t="s">
        <v>129</v>
      </c>
      <c r="F585" s="137" t="s">
        <v>129</v>
      </c>
      <c r="G585" s="137" t="s">
        <v>129</v>
      </c>
      <c r="H585" s="137" t="s">
        <v>129</v>
      </c>
      <c r="I585" s="137" t="s">
        <v>129</v>
      </c>
      <c r="J585" s="137" t="s">
        <v>129</v>
      </c>
      <c r="K585" s="137" t="s">
        <v>129</v>
      </c>
      <c r="L585" s="137" t="s">
        <v>129</v>
      </c>
      <c r="M585" s="141"/>
      <c r="N585" s="143"/>
    </row>
    <row r="586" hidden="1" outlineLevel="1">
      <c r="A586" s="412" t="s">
        <v>1179</v>
      </c>
      <c r="B586" s="344">
        <v>46196.0</v>
      </c>
      <c r="C586" s="133" t="str">
        <f t="shared" si="70"/>
        <v>Tue</v>
      </c>
      <c r="D586" s="383">
        <f t="shared" si="71"/>
        <v>1</v>
      </c>
      <c r="E586" s="147" t="s">
        <v>129</v>
      </c>
      <c r="F586" s="137" t="s">
        <v>129</v>
      </c>
      <c r="G586" s="137" t="s">
        <v>129</v>
      </c>
      <c r="H586" s="137" t="s">
        <v>129</v>
      </c>
      <c r="I586" s="137" t="s">
        <v>129</v>
      </c>
      <c r="J586" s="137" t="s">
        <v>129</v>
      </c>
      <c r="K586" s="137" t="s">
        <v>129</v>
      </c>
      <c r="L586" s="137" t="s">
        <v>129</v>
      </c>
      <c r="M586" s="141"/>
      <c r="N586" s="143"/>
    </row>
    <row r="587" hidden="1" outlineLevel="1">
      <c r="A587" s="303" t="s">
        <v>1180</v>
      </c>
      <c r="B587" s="344">
        <v>46197.0</v>
      </c>
      <c r="C587" s="133" t="str">
        <f t="shared" si="70"/>
        <v>Wed</v>
      </c>
      <c r="D587" s="381">
        <f t="shared" si="71"/>
        <v>1</v>
      </c>
      <c r="E587" s="382" t="s">
        <v>129</v>
      </c>
      <c r="F587" s="137" t="s">
        <v>129</v>
      </c>
      <c r="G587" s="137" t="s">
        <v>129</v>
      </c>
      <c r="H587" s="137" t="s">
        <v>129</v>
      </c>
      <c r="I587" s="137" t="s">
        <v>129</v>
      </c>
      <c r="J587" s="137" t="s">
        <v>129</v>
      </c>
      <c r="K587" s="137" t="s">
        <v>129</v>
      </c>
      <c r="L587" s="137" t="s">
        <v>129</v>
      </c>
      <c r="M587" s="141"/>
      <c r="N587" s="143"/>
    </row>
    <row r="588" hidden="1" outlineLevel="1">
      <c r="A588" s="303" t="s">
        <v>1182</v>
      </c>
      <c r="B588" s="344">
        <v>46197.0</v>
      </c>
      <c r="C588" s="133" t="str">
        <f t="shared" si="70"/>
        <v>Wed</v>
      </c>
      <c r="D588" s="383">
        <f t="shared" si="71"/>
        <v>1</v>
      </c>
      <c r="E588" s="147" t="s">
        <v>129</v>
      </c>
      <c r="F588" s="137" t="s">
        <v>129</v>
      </c>
      <c r="G588" s="137" t="s">
        <v>129</v>
      </c>
      <c r="H588" s="137" t="s">
        <v>129</v>
      </c>
      <c r="I588" s="137" t="s">
        <v>129</v>
      </c>
      <c r="J588" s="137" t="s">
        <v>129</v>
      </c>
      <c r="K588" s="137" t="s">
        <v>129</v>
      </c>
      <c r="L588" s="137" t="s">
        <v>129</v>
      </c>
      <c r="M588" s="141"/>
      <c r="N588" s="147"/>
    </row>
    <row r="589" hidden="1" outlineLevel="1">
      <c r="A589" s="303" t="s">
        <v>1183</v>
      </c>
      <c r="B589" s="344">
        <v>46197.0</v>
      </c>
      <c r="C589" s="133" t="str">
        <f t="shared" si="70"/>
        <v>Wed</v>
      </c>
      <c r="D589" s="381">
        <f t="shared" si="71"/>
        <v>1</v>
      </c>
      <c r="E589" s="382" t="s">
        <v>129</v>
      </c>
      <c r="F589" s="137" t="s">
        <v>129</v>
      </c>
      <c r="G589" s="137" t="s">
        <v>129</v>
      </c>
      <c r="H589" s="137" t="s">
        <v>129</v>
      </c>
      <c r="I589" s="137" t="s">
        <v>129</v>
      </c>
      <c r="J589" s="137" t="s">
        <v>129</v>
      </c>
      <c r="K589" s="137" t="s">
        <v>129</v>
      </c>
      <c r="L589" s="137" t="s">
        <v>129</v>
      </c>
      <c r="M589" s="141"/>
      <c r="N589" s="143"/>
    </row>
    <row r="590" hidden="1" outlineLevel="1">
      <c r="A590" s="303" t="s">
        <v>1185</v>
      </c>
      <c r="B590" s="344">
        <v>46198.0</v>
      </c>
      <c r="C590" s="133" t="str">
        <f t="shared" si="70"/>
        <v>Thu</v>
      </c>
      <c r="D590" s="383">
        <f t="shared" si="71"/>
        <v>1</v>
      </c>
      <c r="E590" s="147" t="s">
        <v>129</v>
      </c>
      <c r="F590" s="137" t="s">
        <v>129</v>
      </c>
      <c r="G590" s="137" t="s">
        <v>129</v>
      </c>
      <c r="H590" s="137" t="s">
        <v>129</v>
      </c>
      <c r="I590" s="137" t="s">
        <v>129</v>
      </c>
      <c r="J590" s="137" t="s">
        <v>129</v>
      </c>
      <c r="K590" s="137" t="s">
        <v>129</v>
      </c>
      <c r="L590" s="137" t="s">
        <v>129</v>
      </c>
      <c r="M590" s="141"/>
      <c r="N590" s="147"/>
    </row>
    <row r="591" hidden="1" outlineLevel="1">
      <c r="A591" s="303" t="s">
        <v>1186</v>
      </c>
      <c r="B591" s="344">
        <v>46198.0</v>
      </c>
      <c r="C591" s="133" t="str">
        <f t="shared" si="70"/>
        <v>Thu</v>
      </c>
      <c r="D591" s="381">
        <f t="shared" si="71"/>
        <v>1</v>
      </c>
      <c r="E591" s="382" t="s">
        <v>129</v>
      </c>
      <c r="F591" s="137" t="s">
        <v>129</v>
      </c>
      <c r="G591" s="137" t="s">
        <v>129</v>
      </c>
      <c r="H591" s="137" t="s">
        <v>129</v>
      </c>
      <c r="I591" s="137" t="s">
        <v>129</v>
      </c>
      <c r="J591" s="137" t="s">
        <v>129</v>
      </c>
      <c r="K591" s="137" t="s">
        <v>129</v>
      </c>
      <c r="L591" s="137" t="s">
        <v>129</v>
      </c>
      <c r="M591" s="141"/>
      <c r="N591" s="147"/>
    </row>
    <row r="592" hidden="1" outlineLevel="1">
      <c r="A592" s="303" t="s">
        <v>1188</v>
      </c>
      <c r="B592" s="344">
        <v>46198.0</v>
      </c>
      <c r="C592" s="133" t="str">
        <f t="shared" si="70"/>
        <v>Thu</v>
      </c>
      <c r="D592" s="383">
        <f t="shared" si="71"/>
        <v>1</v>
      </c>
      <c r="E592" s="147" t="s">
        <v>129</v>
      </c>
      <c r="F592" s="137" t="s">
        <v>129</v>
      </c>
      <c r="G592" s="137" t="s">
        <v>129</v>
      </c>
      <c r="H592" s="137" t="s">
        <v>129</v>
      </c>
      <c r="I592" s="137" t="s">
        <v>129</v>
      </c>
      <c r="J592" s="137" t="s">
        <v>129</v>
      </c>
      <c r="K592" s="137" t="s">
        <v>129</v>
      </c>
      <c r="L592" s="137" t="s">
        <v>129</v>
      </c>
      <c r="M592" s="141"/>
      <c r="N592" s="147"/>
    </row>
    <row r="593" hidden="1" outlineLevel="1">
      <c r="A593" s="303" t="s">
        <v>1189</v>
      </c>
      <c r="B593" s="344">
        <v>46199.0</v>
      </c>
      <c r="C593" s="133" t="str">
        <f t="shared" si="70"/>
        <v>Fri</v>
      </c>
      <c r="D593" s="381">
        <f t="shared" si="71"/>
        <v>1</v>
      </c>
      <c r="E593" s="382" t="s">
        <v>129</v>
      </c>
      <c r="F593" s="137" t="s">
        <v>129</v>
      </c>
      <c r="G593" s="137" t="s">
        <v>129</v>
      </c>
      <c r="H593" s="137" t="s">
        <v>129</v>
      </c>
      <c r="I593" s="137" t="s">
        <v>129</v>
      </c>
      <c r="J593" s="137" t="s">
        <v>129</v>
      </c>
      <c r="K593" s="137" t="s">
        <v>129</v>
      </c>
      <c r="L593" s="137" t="s">
        <v>129</v>
      </c>
      <c r="M593" s="141"/>
      <c r="N593" s="143"/>
    </row>
    <row r="594" hidden="1" outlineLevel="1">
      <c r="A594" s="303" t="s">
        <v>1190</v>
      </c>
      <c r="B594" s="344">
        <v>46199.0</v>
      </c>
      <c r="C594" s="133" t="str">
        <f t="shared" si="70"/>
        <v>Fri</v>
      </c>
      <c r="D594" s="383">
        <f t="shared" si="71"/>
        <v>1</v>
      </c>
      <c r="E594" s="147" t="s">
        <v>129</v>
      </c>
      <c r="F594" s="137" t="s">
        <v>129</v>
      </c>
      <c r="G594" s="137" t="s">
        <v>129</v>
      </c>
      <c r="H594" s="137" t="s">
        <v>129</v>
      </c>
      <c r="I594" s="137" t="s">
        <v>129</v>
      </c>
      <c r="J594" s="137" t="s">
        <v>129</v>
      </c>
      <c r="K594" s="137" t="s">
        <v>129</v>
      </c>
      <c r="L594" s="137" t="s">
        <v>129</v>
      </c>
      <c r="M594" s="141"/>
      <c r="N594" s="143"/>
    </row>
    <row r="595" ht="15.0" hidden="1" customHeight="1" outlineLevel="1">
      <c r="A595" s="303" t="s">
        <v>1192</v>
      </c>
      <c r="B595" s="344">
        <v>46199.0</v>
      </c>
      <c r="C595" s="133" t="str">
        <f t="shared" si="70"/>
        <v>Fri</v>
      </c>
      <c r="D595" s="381">
        <f t="shared" si="71"/>
        <v>1</v>
      </c>
      <c r="E595" s="382" t="s">
        <v>129</v>
      </c>
      <c r="F595" s="137" t="s">
        <v>129</v>
      </c>
      <c r="G595" s="137" t="s">
        <v>129</v>
      </c>
      <c r="H595" s="137" t="s">
        <v>129</v>
      </c>
      <c r="I595" s="137" t="s">
        <v>129</v>
      </c>
      <c r="J595" s="137" t="s">
        <v>129</v>
      </c>
      <c r="K595" s="137" t="s">
        <v>129</v>
      </c>
      <c r="L595" s="137" t="s">
        <v>129</v>
      </c>
      <c r="M595" s="141"/>
      <c r="N595" s="147"/>
    </row>
    <row r="596" hidden="1" outlineLevel="1">
      <c r="B596" s="189"/>
      <c r="C596" s="191" t="s">
        <v>194</v>
      </c>
      <c r="D596" s="204">
        <f>AVERAGE(D581:D595)</f>
        <v>1</v>
      </c>
      <c r="E596" s="384"/>
      <c r="L596" s="191" t="s">
        <v>194</v>
      </c>
      <c r="M596" s="204">
        <f>SUM(M581:M595)/75*0.1</f>
        <v>0</v>
      </c>
    </row>
    <row r="597" hidden="1" collapsed="1">
      <c r="A597" s="206" t="s">
        <v>1194</v>
      </c>
      <c r="B597" s="207"/>
      <c r="C597" s="207"/>
      <c r="D597" s="385"/>
      <c r="E597" s="109"/>
      <c r="F597" s="109"/>
      <c r="G597" s="110"/>
      <c r="H597" s="110"/>
      <c r="I597" s="110"/>
      <c r="J597" s="110"/>
      <c r="K597" s="110"/>
      <c r="L597" s="110"/>
      <c r="M597" s="111"/>
      <c r="N597" s="113"/>
    </row>
    <row r="598" hidden="1" outlineLevel="1">
      <c r="A598" s="373" t="s">
        <v>98</v>
      </c>
      <c r="B598" s="115" t="s">
        <v>100</v>
      </c>
      <c r="C598" s="115" t="s">
        <v>102</v>
      </c>
      <c r="D598" s="119" t="s">
        <v>103</v>
      </c>
      <c r="E598" s="275" t="s">
        <v>269</v>
      </c>
      <c r="F598" s="275" t="s">
        <v>272</v>
      </c>
      <c r="G598" s="276" t="s">
        <v>328</v>
      </c>
      <c r="H598" s="121" t="s">
        <v>107</v>
      </c>
      <c r="I598" s="121" t="s">
        <v>108</v>
      </c>
      <c r="J598" s="276" t="s">
        <v>329</v>
      </c>
      <c r="K598" s="121" t="s">
        <v>111</v>
      </c>
      <c r="L598" s="276" t="s">
        <v>274</v>
      </c>
      <c r="M598" s="115" t="s">
        <v>114</v>
      </c>
      <c r="N598" s="119" t="s">
        <v>115</v>
      </c>
    </row>
    <row r="599" hidden="1" outlineLevel="1">
      <c r="A599" s="303" t="s">
        <v>1195</v>
      </c>
      <c r="B599" s="344">
        <v>46202.0</v>
      </c>
      <c r="C599" s="133" t="str">
        <f t="shared" ref="C599:C613" si="72">IF(B599="", "", TEXT(B599, "ddd"))</f>
        <v>Mon</v>
      </c>
      <c r="D599" s="381">
        <f t="shared" ref="D599:D613" si="73">IF(E599="Yes",0.05,0)
+IF(F599="Yes",0.1,0)
+IF(G599="Yes",0.15,0)
+IF(H599="Yes",0.15,0)
+IF(I599="Yes",0.05,0)
+IF(J599="Yes",0.05,0)
+IF(K599="Yes",0.15,0)
+IF(L599="Yes",0.3,0)
</f>
        <v>1</v>
      </c>
      <c r="E599" s="382" t="s">
        <v>129</v>
      </c>
      <c r="F599" s="137" t="s">
        <v>129</v>
      </c>
      <c r="G599" s="137" t="s">
        <v>129</v>
      </c>
      <c r="H599" s="137" t="s">
        <v>129</v>
      </c>
      <c r="I599" s="137" t="s">
        <v>129</v>
      </c>
      <c r="J599" s="137" t="s">
        <v>129</v>
      </c>
      <c r="K599" s="137" t="s">
        <v>129</v>
      </c>
      <c r="L599" s="137" t="s">
        <v>129</v>
      </c>
      <c r="M599" s="141"/>
      <c r="N599" s="143"/>
    </row>
    <row r="600" hidden="1" outlineLevel="1">
      <c r="A600" s="303" t="s">
        <v>1196</v>
      </c>
      <c r="B600" s="344">
        <v>46202.0</v>
      </c>
      <c r="C600" s="133" t="str">
        <f t="shared" si="72"/>
        <v>Mon</v>
      </c>
      <c r="D600" s="383">
        <f t="shared" si="73"/>
        <v>1</v>
      </c>
      <c r="E600" s="147" t="s">
        <v>129</v>
      </c>
      <c r="F600" s="137" t="s">
        <v>129</v>
      </c>
      <c r="G600" s="137" t="s">
        <v>129</v>
      </c>
      <c r="H600" s="137" t="s">
        <v>129</v>
      </c>
      <c r="I600" s="137" t="s">
        <v>129</v>
      </c>
      <c r="J600" s="137" t="s">
        <v>129</v>
      </c>
      <c r="K600" s="137" t="s">
        <v>129</v>
      </c>
      <c r="L600" s="137" t="s">
        <v>129</v>
      </c>
      <c r="M600" s="141"/>
      <c r="N600" s="147"/>
    </row>
    <row r="601" hidden="1" outlineLevel="1">
      <c r="A601" s="303" t="s">
        <v>1198</v>
      </c>
      <c r="B601" s="344">
        <v>46202.0</v>
      </c>
      <c r="C601" s="133" t="str">
        <f t="shared" si="72"/>
        <v>Mon</v>
      </c>
      <c r="D601" s="381">
        <f t="shared" si="73"/>
        <v>1</v>
      </c>
      <c r="E601" s="382" t="s">
        <v>129</v>
      </c>
      <c r="F601" s="137" t="s">
        <v>129</v>
      </c>
      <c r="G601" s="137" t="s">
        <v>129</v>
      </c>
      <c r="H601" s="137" t="s">
        <v>129</v>
      </c>
      <c r="I601" s="137" t="s">
        <v>129</v>
      </c>
      <c r="J601" s="137" t="s">
        <v>129</v>
      </c>
      <c r="K601" s="137" t="s">
        <v>129</v>
      </c>
      <c r="L601" s="137" t="s">
        <v>129</v>
      </c>
      <c r="M601" s="141"/>
      <c r="N601" s="147"/>
    </row>
    <row r="602" hidden="1" outlineLevel="1">
      <c r="A602" s="303" t="s">
        <v>1199</v>
      </c>
      <c r="B602" s="344">
        <v>46203.0</v>
      </c>
      <c r="C602" s="133" t="str">
        <f t="shared" si="72"/>
        <v>Tue</v>
      </c>
      <c r="D602" s="383">
        <f t="shared" si="73"/>
        <v>1</v>
      </c>
      <c r="E602" s="147" t="s">
        <v>129</v>
      </c>
      <c r="F602" s="137" t="s">
        <v>129</v>
      </c>
      <c r="G602" s="137" t="s">
        <v>129</v>
      </c>
      <c r="H602" s="137" t="s">
        <v>129</v>
      </c>
      <c r="I602" s="137" t="s">
        <v>129</v>
      </c>
      <c r="J602" s="137" t="s">
        <v>129</v>
      </c>
      <c r="K602" s="137" t="s">
        <v>129</v>
      </c>
      <c r="L602" s="137" t="s">
        <v>129</v>
      </c>
      <c r="M602" s="141"/>
      <c r="N602" s="143"/>
    </row>
    <row r="603" hidden="1" outlineLevel="1">
      <c r="A603" s="303" t="s">
        <v>1200</v>
      </c>
      <c r="B603" s="344">
        <v>46203.0</v>
      </c>
      <c r="C603" s="133" t="str">
        <f t="shared" si="72"/>
        <v>Tue</v>
      </c>
      <c r="D603" s="381">
        <f t="shared" si="73"/>
        <v>1</v>
      </c>
      <c r="E603" s="382" t="s">
        <v>129</v>
      </c>
      <c r="F603" s="137" t="s">
        <v>129</v>
      </c>
      <c r="G603" s="137" t="s">
        <v>129</v>
      </c>
      <c r="H603" s="137" t="s">
        <v>129</v>
      </c>
      <c r="I603" s="137" t="s">
        <v>129</v>
      </c>
      <c r="J603" s="137" t="s">
        <v>129</v>
      </c>
      <c r="K603" s="137" t="s">
        <v>129</v>
      </c>
      <c r="L603" s="137" t="s">
        <v>129</v>
      </c>
      <c r="M603" s="141"/>
      <c r="N603" s="143"/>
    </row>
    <row r="604" hidden="1" outlineLevel="1">
      <c r="A604" s="303" t="s">
        <v>1201</v>
      </c>
      <c r="B604" s="344">
        <v>46203.0</v>
      </c>
      <c r="C604" s="133" t="str">
        <f t="shared" si="72"/>
        <v>Tue</v>
      </c>
      <c r="D604" s="383">
        <f t="shared" si="73"/>
        <v>1</v>
      </c>
      <c r="E604" s="147" t="s">
        <v>129</v>
      </c>
      <c r="F604" s="137" t="s">
        <v>129</v>
      </c>
      <c r="G604" s="137" t="s">
        <v>129</v>
      </c>
      <c r="H604" s="137" t="s">
        <v>129</v>
      </c>
      <c r="I604" s="137" t="s">
        <v>129</v>
      </c>
      <c r="J604" s="137" t="s">
        <v>129</v>
      </c>
      <c r="K604" s="137" t="s">
        <v>129</v>
      </c>
      <c r="L604" s="137" t="s">
        <v>129</v>
      </c>
      <c r="M604" s="141"/>
      <c r="N604" s="143"/>
    </row>
    <row r="605" hidden="1" outlineLevel="1">
      <c r="A605" s="303" t="s">
        <v>1203</v>
      </c>
      <c r="B605" s="344">
        <v>46204.0</v>
      </c>
      <c r="C605" s="133" t="str">
        <f t="shared" si="72"/>
        <v>Wed</v>
      </c>
      <c r="D605" s="381">
        <f t="shared" si="73"/>
        <v>1</v>
      </c>
      <c r="E605" s="382" t="s">
        <v>129</v>
      </c>
      <c r="F605" s="137" t="s">
        <v>129</v>
      </c>
      <c r="G605" s="137" t="s">
        <v>129</v>
      </c>
      <c r="H605" s="137" t="s">
        <v>129</v>
      </c>
      <c r="I605" s="137" t="s">
        <v>129</v>
      </c>
      <c r="J605" s="137" t="s">
        <v>129</v>
      </c>
      <c r="K605" s="137" t="s">
        <v>129</v>
      </c>
      <c r="L605" s="137" t="s">
        <v>129</v>
      </c>
      <c r="M605" s="141"/>
      <c r="N605" s="143"/>
    </row>
    <row r="606" hidden="1" outlineLevel="1">
      <c r="A606" s="303" t="s">
        <v>1204</v>
      </c>
      <c r="B606" s="344">
        <v>46204.0</v>
      </c>
      <c r="C606" s="133" t="str">
        <f t="shared" si="72"/>
        <v>Wed</v>
      </c>
      <c r="D606" s="383">
        <f t="shared" si="73"/>
        <v>1</v>
      </c>
      <c r="E606" s="147" t="s">
        <v>129</v>
      </c>
      <c r="F606" s="137" t="s">
        <v>129</v>
      </c>
      <c r="G606" s="137" t="s">
        <v>129</v>
      </c>
      <c r="H606" s="137" t="s">
        <v>129</v>
      </c>
      <c r="I606" s="137" t="s">
        <v>129</v>
      </c>
      <c r="J606" s="137" t="s">
        <v>129</v>
      </c>
      <c r="K606" s="137" t="s">
        <v>129</v>
      </c>
      <c r="L606" s="137" t="s">
        <v>129</v>
      </c>
      <c r="M606" s="141"/>
      <c r="N606" s="147"/>
    </row>
    <row r="607" hidden="1" outlineLevel="1">
      <c r="A607" s="303" t="s">
        <v>1205</v>
      </c>
      <c r="B607" s="344">
        <v>46204.0</v>
      </c>
      <c r="C607" s="133" t="str">
        <f t="shared" si="72"/>
        <v>Wed</v>
      </c>
      <c r="D607" s="381">
        <f t="shared" si="73"/>
        <v>1</v>
      </c>
      <c r="E607" s="382" t="s">
        <v>129</v>
      </c>
      <c r="F607" s="137" t="s">
        <v>129</v>
      </c>
      <c r="G607" s="137" t="s">
        <v>129</v>
      </c>
      <c r="H607" s="137" t="s">
        <v>129</v>
      </c>
      <c r="I607" s="137" t="s">
        <v>129</v>
      </c>
      <c r="J607" s="137" t="s">
        <v>129</v>
      </c>
      <c r="K607" s="137" t="s">
        <v>129</v>
      </c>
      <c r="L607" s="137" t="s">
        <v>129</v>
      </c>
      <c r="M607" s="141"/>
      <c r="N607" s="143"/>
    </row>
    <row r="608" hidden="1" outlineLevel="1">
      <c r="A608" s="303" t="s">
        <v>1207</v>
      </c>
      <c r="B608" s="344">
        <v>46205.0</v>
      </c>
      <c r="C608" s="133" t="str">
        <f t="shared" si="72"/>
        <v>Thu</v>
      </c>
      <c r="D608" s="383">
        <f t="shared" si="73"/>
        <v>1</v>
      </c>
      <c r="E608" s="147" t="s">
        <v>129</v>
      </c>
      <c r="F608" s="137" t="s">
        <v>129</v>
      </c>
      <c r="G608" s="137" t="s">
        <v>129</v>
      </c>
      <c r="H608" s="137" t="s">
        <v>129</v>
      </c>
      <c r="I608" s="137" t="s">
        <v>129</v>
      </c>
      <c r="J608" s="137" t="s">
        <v>129</v>
      </c>
      <c r="K608" s="137" t="s">
        <v>129</v>
      </c>
      <c r="L608" s="137" t="s">
        <v>129</v>
      </c>
      <c r="M608" s="141"/>
      <c r="N608" s="147"/>
    </row>
    <row r="609" hidden="1" outlineLevel="1">
      <c r="A609" s="303" t="s">
        <v>1208</v>
      </c>
      <c r="B609" s="344">
        <v>46205.0</v>
      </c>
      <c r="C609" s="133" t="str">
        <f t="shared" si="72"/>
        <v>Thu</v>
      </c>
      <c r="D609" s="381">
        <f t="shared" si="73"/>
        <v>1</v>
      </c>
      <c r="E609" s="382" t="s">
        <v>129</v>
      </c>
      <c r="F609" s="137" t="s">
        <v>129</v>
      </c>
      <c r="G609" s="137" t="s">
        <v>129</v>
      </c>
      <c r="H609" s="137" t="s">
        <v>129</v>
      </c>
      <c r="I609" s="137" t="s">
        <v>129</v>
      </c>
      <c r="J609" s="137" t="s">
        <v>129</v>
      </c>
      <c r="K609" s="137" t="s">
        <v>129</v>
      </c>
      <c r="L609" s="137" t="s">
        <v>129</v>
      </c>
      <c r="M609" s="141"/>
      <c r="N609" s="147"/>
    </row>
    <row r="610" hidden="1" outlineLevel="1">
      <c r="A610" s="303" t="s">
        <v>1209</v>
      </c>
      <c r="B610" s="344">
        <v>46205.0</v>
      </c>
      <c r="C610" s="133" t="str">
        <f t="shared" si="72"/>
        <v>Thu</v>
      </c>
      <c r="D610" s="383">
        <f t="shared" si="73"/>
        <v>1</v>
      </c>
      <c r="E610" s="147" t="s">
        <v>129</v>
      </c>
      <c r="F610" s="137" t="s">
        <v>129</v>
      </c>
      <c r="G610" s="137" t="s">
        <v>129</v>
      </c>
      <c r="H610" s="137" t="s">
        <v>129</v>
      </c>
      <c r="I610" s="137" t="s">
        <v>129</v>
      </c>
      <c r="J610" s="137" t="s">
        <v>129</v>
      </c>
      <c r="K610" s="137" t="s">
        <v>129</v>
      </c>
      <c r="L610" s="137" t="s">
        <v>129</v>
      </c>
      <c r="M610" s="141"/>
      <c r="N610" s="147"/>
    </row>
    <row r="611" hidden="1" outlineLevel="1">
      <c r="A611" s="303" t="s">
        <v>1213</v>
      </c>
      <c r="B611" s="344">
        <v>46206.0</v>
      </c>
      <c r="C611" s="133" t="str">
        <f t="shared" si="72"/>
        <v>Fri</v>
      </c>
      <c r="D611" s="381">
        <f t="shared" si="73"/>
        <v>1</v>
      </c>
      <c r="E611" s="382" t="s">
        <v>129</v>
      </c>
      <c r="F611" s="137" t="s">
        <v>129</v>
      </c>
      <c r="G611" s="137" t="s">
        <v>129</v>
      </c>
      <c r="H611" s="137" t="s">
        <v>129</v>
      </c>
      <c r="I611" s="137" t="s">
        <v>129</v>
      </c>
      <c r="J611" s="137" t="s">
        <v>129</v>
      </c>
      <c r="K611" s="137" t="s">
        <v>129</v>
      </c>
      <c r="L611" s="137" t="s">
        <v>129</v>
      </c>
      <c r="M611" s="141"/>
      <c r="N611" s="143"/>
    </row>
    <row r="612" hidden="1" outlineLevel="1">
      <c r="A612" s="303" t="s">
        <v>1218</v>
      </c>
      <c r="B612" s="344">
        <v>46206.0</v>
      </c>
      <c r="C612" s="133" t="str">
        <f t="shared" si="72"/>
        <v>Fri</v>
      </c>
      <c r="D612" s="383">
        <f t="shared" si="73"/>
        <v>1</v>
      </c>
      <c r="E612" s="147" t="s">
        <v>129</v>
      </c>
      <c r="F612" s="137" t="s">
        <v>129</v>
      </c>
      <c r="G612" s="137" t="s">
        <v>129</v>
      </c>
      <c r="H612" s="137" t="s">
        <v>129</v>
      </c>
      <c r="I612" s="137" t="s">
        <v>129</v>
      </c>
      <c r="J612" s="137" t="s">
        <v>129</v>
      </c>
      <c r="K612" s="137" t="s">
        <v>129</v>
      </c>
      <c r="L612" s="137" t="s">
        <v>129</v>
      </c>
      <c r="M612" s="141"/>
      <c r="N612" s="143"/>
    </row>
    <row r="613" ht="15.0" hidden="1" customHeight="1" outlineLevel="1">
      <c r="A613" s="303" t="s">
        <v>1219</v>
      </c>
      <c r="B613" s="344">
        <v>46206.0</v>
      </c>
      <c r="C613" s="133" t="str">
        <f t="shared" si="72"/>
        <v>Fri</v>
      </c>
      <c r="D613" s="381">
        <f t="shared" si="73"/>
        <v>1</v>
      </c>
      <c r="E613" s="382" t="s">
        <v>129</v>
      </c>
      <c r="F613" s="137" t="s">
        <v>129</v>
      </c>
      <c r="G613" s="137" t="s">
        <v>129</v>
      </c>
      <c r="H613" s="137" t="s">
        <v>129</v>
      </c>
      <c r="I613" s="137" t="s">
        <v>129</v>
      </c>
      <c r="J613" s="137" t="s">
        <v>129</v>
      </c>
      <c r="K613" s="137" t="s">
        <v>129</v>
      </c>
      <c r="L613" s="137" t="s">
        <v>129</v>
      </c>
      <c r="M613" s="141"/>
      <c r="N613" s="147"/>
    </row>
    <row r="614" hidden="1" outlineLevel="1">
      <c r="B614" s="189"/>
      <c r="C614" s="191" t="s">
        <v>194</v>
      </c>
      <c r="D614" s="204">
        <f>AVERAGE(D599:D613)</f>
        <v>1</v>
      </c>
      <c r="E614" s="384"/>
      <c r="L614" s="191" t="s">
        <v>194</v>
      </c>
      <c r="M614" s="204">
        <f>SUM(M599:M613)/75*0.1</f>
        <v>0</v>
      </c>
    </row>
    <row r="615" hidden="1" collapsed="1">
      <c r="A615" s="206" t="s">
        <v>1220</v>
      </c>
      <c r="B615" s="207"/>
      <c r="C615" s="207"/>
      <c r="D615" s="385"/>
      <c r="E615" s="109"/>
      <c r="F615" s="109"/>
      <c r="G615" s="110"/>
      <c r="H615" s="110"/>
      <c r="I615" s="110"/>
      <c r="J615" s="110"/>
      <c r="K615" s="110"/>
      <c r="L615" s="110"/>
      <c r="M615" s="111"/>
      <c r="N615" s="113"/>
    </row>
    <row r="616" hidden="1" outlineLevel="1">
      <c r="A616" s="373" t="s">
        <v>98</v>
      </c>
      <c r="B616" s="115" t="s">
        <v>100</v>
      </c>
      <c r="C616" s="115" t="s">
        <v>102</v>
      </c>
      <c r="D616" s="119" t="s">
        <v>103</v>
      </c>
      <c r="E616" s="275" t="s">
        <v>269</v>
      </c>
      <c r="F616" s="275" t="s">
        <v>272</v>
      </c>
      <c r="G616" s="276" t="s">
        <v>328</v>
      </c>
      <c r="H616" s="121" t="s">
        <v>107</v>
      </c>
      <c r="I616" s="121" t="s">
        <v>108</v>
      </c>
      <c r="J616" s="276" t="s">
        <v>329</v>
      </c>
      <c r="K616" s="121" t="s">
        <v>111</v>
      </c>
      <c r="L616" s="276" t="s">
        <v>274</v>
      </c>
      <c r="M616" s="115" t="s">
        <v>114</v>
      </c>
      <c r="N616" s="119" t="s">
        <v>115</v>
      </c>
    </row>
    <row r="617" hidden="1" outlineLevel="1">
      <c r="A617" s="255" t="s">
        <v>1221</v>
      </c>
      <c r="B617" s="344">
        <v>46209.0</v>
      </c>
      <c r="C617" s="133" t="str">
        <f t="shared" ref="C617:C631" si="74">IF(B617="", "", TEXT(B617, "ddd"))</f>
        <v>Mon</v>
      </c>
      <c r="D617" s="381">
        <f t="shared" ref="D617:D631" si="75">IF(E617="Yes",0.05,0)
+IF(F617="Yes",0.1,0)
+IF(G617="Yes",0.15,0)
+IF(H617="Yes",0.15,0)
+IF(I617="Yes",0.05,0)
+IF(J617="Yes",0.05,0)
+IF(K617="Yes",0.15,0)
+IF(L617="Yes",0.3,0)
</f>
        <v>1</v>
      </c>
      <c r="E617" s="382" t="s">
        <v>129</v>
      </c>
      <c r="F617" s="137" t="s">
        <v>129</v>
      </c>
      <c r="G617" s="137" t="s">
        <v>129</v>
      </c>
      <c r="H617" s="137" t="s">
        <v>129</v>
      </c>
      <c r="I617" s="137" t="s">
        <v>129</v>
      </c>
      <c r="J617" s="137" t="s">
        <v>129</v>
      </c>
      <c r="K617" s="137" t="s">
        <v>129</v>
      </c>
      <c r="L617" s="137" t="s">
        <v>129</v>
      </c>
      <c r="M617" s="141"/>
      <c r="N617" s="143"/>
    </row>
    <row r="618" hidden="1" outlineLevel="1">
      <c r="A618" s="255" t="s">
        <v>1223</v>
      </c>
      <c r="B618" s="344">
        <v>46209.0</v>
      </c>
      <c r="C618" s="133" t="str">
        <f t="shared" si="74"/>
        <v>Mon</v>
      </c>
      <c r="D618" s="383">
        <f t="shared" si="75"/>
        <v>1</v>
      </c>
      <c r="E618" s="147" t="s">
        <v>129</v>
      </c>
      <c r="F618" s="137" t="s">
        <v>129</v>
      </c>
      <c r="G618" s="137" t="s">
        <v>129</v>
      </c>
      <c r="H618" s="137" t="s">
        <v>129</v>
      </c>
      <c r="I618" s="137" t="s">
        <v>129</v>
      </c>
      <c r="J618" s="137" t="s">
        <v>129</v>
      </c>
      <c r="K618" s="137" t="s">
        <v>129</v>
      </c>
      <c r="L618" s="137" t="s">
        <v>129</v>
      </c>
      <c r="M618" s="141"/>
      <c r="N618" s="147"/>
    </row>
    <row r="619" hidden="1" outlineLevel="1">
      <c r="A619" s="255" t="s">
        <v>1224</v>
      </c>
      <c r="B619" s="344">
        <v>46209.0</v>
      </c>
      <c r="C619" s="133" t="str">
        <f t="shared" si="74"/>
        <v>Mon</v>
      </c>
      <c r="D619" s="381">
        <f t="shared" si="75"/>
        <v>1</v>
      </c>
      <c r="E619" s="382" t="s">
        <v>129</v>
      </c>
      <c r="F619" s="137" t="s">
        <v>129</v>
      </c>
      <c r="G619" s="137" t="s">
        <v>129</v>
      </c>
      <c r="H619" s="137" t="s">
        <v>129</v>
      </c>
      <c r="I619" s="137" t="s">
        <v>129</v>
      </c>
      <c r="J619" s="137" t="s">
        <v>129</v>
      </c>
      <c r="K619" s="137" t="s">
        <v>129</v>
      </c>
      <c r="L619" s="137" t="s">
        <v>129</v>
      </c>
      <c r="M619" s="141"/>
      <c r="N619" s="147"/>
    </row>
    <row r="620" hidden="1" outlineLevel="1">
      <c r="A620" s="255" t="s">
        <v>1225</v>
      </c>
      <c r="B620" s="344">
        <v>46210.0</v>
      </c>
      <c r="C620" s="133" t="str">
        <f t="shared" si="74"/>
        <v>Tue</v>
      </c>
      <c r="D620" s="383">
        <f t="shared" si="75"/>
        <v>1</v>
      </c>
      <c r="E620" s="147" t="s">
        <v>129</v>
      </c>
      <c r="F620" s="137" t="s">
        <v>129</v>
      </c>
      <c r="G620" s="137" t="s">
        <v>129</v>
      </c>
      <c r="H620" s="137" t="s">
        <v>129</v>
      </c>
      <c r="I620" s="137" t="s">
        <v>129</v>
      </c>
      <c r="J620" s="137" t="s">
        <v>129</v>
      </c>
      <c r="K620" s="137" t="s">
        <v>129</v>
      </c>
      <c r="L620" s="137" t="s">
        <v>129</v>
      </c>
      <c r="M620" s="141"/>
      <c r="N620" s="143"/>
    </row>
    <row r="621" hidden="1" outlineLevel="1">
      <c r="A621" s="255" t="s">
        <v>1226</v>
      </c>
      <c r="B621" s="344">
        <v>46210.0</v>
      </c>
      <c r="C621" s="133" t="str">
        <f t="shared" si="74"/>
        <v>Tue</v>
      </c>
      <c r="D621" s="381">
        <f t="shared" si="75"/>
        <v>1</v>
      </c>
      <c r="E621" s="382" t="s">
        <v>129</v>
      </c>
      <c r="F621" s="137" t="s">
        <v>129</v>
      </c>
      <c r="G621" s="137" t="s">
        <v>129</v>
      </c>
      <c r="H621" s="137" t="s">
        <v>129</v>
      </c>
      <c r="I621" s="137" t="s">
        <v>129</v>
      </c>
      <c r="J621" s="137" t="s">
        <v>129</v>
      </c>
      <c r="K621" s="137" t="s">
        <v>129</v>
      </c>
      <c r="L621" s="137" t="s">
        <v>129</v>
      </c>
      <c r="M621" s="141"/>
      <c r="N621" s="143"/>
    </row>
    <row r="622" hidden="1" outlineLevel="1">
      <c r="A622" s="255" t="s">
        <v>1228</v>
      </c>
      <c r="B622" s="344">
        <v>46210.0</v>
      </c>
      <c r="C622" s="133" t="str">
        <f t="shared" si="74"/>
        <v>Tue</v>
      </c>
      <c r="D622" s="383">
        <f t="shared" si="75"/>
        <v>1</v>
      </c>
      <c r="E622" s="147" t="s">
        <v>129</v>
      </c>
      <c r="F622" s="137" t="s">
        <v>129</v>
      </c>
      <c r="G622" s="137" t="s">
        <v>129</v>
      </c>
      <c r="H622" s="137" t="s">
        <v>129</v>
      </c>
      <c r="I622" s="137" t="s">
        <v>129</v>
      </c>
      <c r="J622" s="137" t="s">
        <v>129</v>
      </c>
      <c r="K622" s="137" t="s">
        <v>129</v>
      </c>
      <c r="L622" s="137" t="s">
        <v>129</v>
      </c>
      <c r="M622" s="141"/>
      <c r="N622" s="143"/>
    </row>
    <row r="623" hidden="1" outlineLevel="1">
      <c r="A623" s="255" t="s">
        <v>1230</v>
      </c>
      <c r="B623" s="344">
        <v>46211.0</v>
      </c>
      <c r="C623" s="133" t="str">
        <f t="shared" si="74"/>
        <v>Wed</v>
      </c>
      <c r="D623" s="381">
        <f t="shared" si="75"/>
        <v>1</v>
      </c>
      <c r="E623" s="382" t="s">
        <v>129</v>
      </c>
      <c r="F623" s="137" t="s">
        <v>129</v>
      </c>
      <c r="G623" s="137" t="s">
        <v>129</v>
      </c>
      <c r="H623" s="137" t="s">
        <v>129</v>
      </c>
      <c r="I623" s="137" t="s">
        <v>129</v>
      </c>
      <c r="J623" s="137" t="s">
        <v>129</v>
      </c>
      <c r="K623" s="137" t="s">
        <v>129</v>
      </c>
      <c r="L623" s="137" t="s">
        <v>129</v>
      </c>
      <c r="M623" s="141"/>
      <c r="N623" s="143"/>
    </row>
    <row r="624" hidden="1" outlineLevel="1">
      <c r="A624" s="255" t="s">
        <v>1231</v>
      </c>
      <c r="B624" s="344">
        <v>46211.0</v>
      </c>
      <c r="C624" s="133" t="str">
        <f t="shared" si="74"/>
        <v>Wed</v>
      </c>
      <c r="D624" s="383">
        <f t="shared" si="75"/>
        <v>1</v>
      </c>
      <c r="E624" s="147" t="s">
        <v>129</v>
      </c>
      <c r="F624" s="137" t="s">
        <v>129</v>
      </c>
      <c r="G624" s="137" t="s">
        <v>129</v>
      </c>
      <c r="H624" s="137" t="s">
        <v>129</v>
      </c>
      <c r="I624" s="137" t="s">
        <v>129</v>
      </c>
      <c r="J624" s="137" t="s">
        <v>129</v>
      </c>
      <c r="K624" s="137" t="s">
        <v>129</v>
      </c>
      <c r="L624" s="137" t="s">
        <v>129</v>
      </c>
      <c r="M624" s="141"/>
      <c r="N624" s="147"/>
    </row>
    <row r="625" hidden="1" outlineLevel="1">
      <c r="A625" s="255" t="s">
        <v>1233</v>
      </c>
      <c r="B625" s="344">
        <v>46211.0</v>
      </c>
      <c r="C625" s="133" t="str">
        <f t="shared" si="74"/>
        <v>Wed</v>
      </c>
      <c r="D625" s="381">
        <f t="shared" si="75"/>
        <v>1</v>
      </c>
      <c r="E625" s="382" t="s">
        <v>129</v>
      </c>
      <c r="F625" s="137" t="s">
        <v>129</v>
      </c>
      <c r="G625" s="137" t="s">
        <v>129</v>
      </c>
      <c r="H625" s="137" t="s">
        <v>129</v>
      </c>
      <c r="I625" s="137" t="s">
        <v>129</v>
      </c>
      <c r="J625" s="137" t="s">
        <v>129</v>
      </c>
      <c r="K625" s="137" t="s">
        <v>129</v>
      </c>
      <c r="L625" s="137" t="s">
        <v>129</v>
      </c>
      <c r="M625" s="141"/>
      <c r="N625" s="143"/>
    </row>
    <row r="626" hidden="1" outlineLevel="1">
      <c r="A626" s="255" t="s">
        <v>1235</v>
      </c>
      <c r="B626" s="344">
        <v>46212.0</v>
      </c>
      <c r="C626" s="133" t="str">
        <f t="shared" si="74"/>
        <v>Thu</v>
      </c>
      <c r="D626" s="383">
        <f t="shared" si="75"/>
        <v>1</v>
      </c>
      <c r="E626" s="147" t="s">
        <v>129</v>
      </c>
      <c r="F626" s="137" t="s">
        <v>129</v>
      </c>
      <c r="G626" s="137" t="s">
        <v>129</v>
      </c>
      <c r="H626" s="137" t="s">
        <v>129</v>
      </c>
      <c r="I626" s="137" t="s">
        <v>129</v>
      </c>
      <c r="J626" s="137" t="s">
        <v>129</v>
      </c>
      <c r="K626" s="137" t="s">
        <v>129</v>
      </c>
      <c r="L626" s="137" t="s">
        <v>129</v>
      </c>
      <c r="M626" s="141"/>
      <c r="N626" s="147"/>
    </row>
    <row r="627" hidden="1" outlineLevel="1">
      <c r="A627" s="255" t="s">
        <v>1236</v>
      </c>
      <c r="B627" s="344">
        <v>46212.0</v>
      </c>
      <c r="C627" s="133" t="str">
        <f t="shared" si="74"/>
        <v>Thu</v>
      </c>
      <c r="D627" s="381">
        <f t="shared" si="75"/>
        <v>1</v>
      </c>
      <c r="E627" s="382" t="s">
        <v>129</v>
      </c>
      <c r="F627" s="137" t="s">
        <v>129</v>
      </c>
      <c r="G627" s="137" t="s">
        <v>129</v>
      </c>
      <c r="H627" s="137" t="s">
        <v>129</v>
      </c>
      <c r="I627" s="137" t="s">
        <v>129</v>
      </c>
      <c r="J627" s="137" t="s">
        <v>129</v>
      </c>
      <c r="K627" s="137" t="s">
        <v>129</v>
      </c>
      <c r="L627" s="137" t="s">
        <v>129</v>
      </c>
      <c r="M627" s="141"/>
      <c r="N627" s="147"/>
    </row>
    <row r="628" hidden="1" outlineLevel="1">
      <c r="A628" s="255" t="s">
        <v>1238</v>
      </c>
      <c r="B628" s="344">
        <v>46212.0</v>
      </c>
      <c r="C628" s="133" t="str">
        <f t="shared" si="74"/>
        <v>Thu</v>
      </c>
      <c r="D628" s="383">
        <f t="shared" si="75"/>
        <v>1</v>
      </c>
      <c r="E628" s="147" t="s">
        <v>129</v>
      </c>
      <c r="F628" s="137" t="s">
        <v>129</v>
      </c>
      <c r="G628" s="137" t="s">
        <v>129</v>
      </c>
      <c r="H628" s="137" t="s">
        <v>129</v>
      </c>
      <c r="I628" s="137" t="s">
        <v>129</v>
      </c>
      <c r="J628" s="137" t="s">
        <v>129</v>
      </c>
      <c r="K628" s="137" t="s">
        <v>129</v>
      </c>
      <c r="L628" s="137" t="s">
        <v>129</v>
      </c>
      <c r="M628" s="141"/>
      <c r="N628" s="147"/>
    </row>
    <row r="629" hidden="1" outlineLevel="1">
      <c r="A629" s="255" t="s">
        <v>1239</v>
      </c>
      <c r="B629" s="344">
        <v>46213.0</v>
      </c>
      <c r="C629" s="133" t="str">
        <f t="shared" si="74"/>
        <v>Fri</v>
      </c>
      <c r="D629" s="381">
        <f t="shared" si="75"/>
        <v>1</v>
      </c>
      <c r="E629" s="382" t="s">
        <v>129</v>
      </c>
      <c r="F629" s="137" t="s">
        <v>129</v>
      </c>
      <c r="G629" s="137" t="s">
        <v>129</v>
      </c>
      <c r="H629" s="137" t="s">
        <v>129</v>
      </c>
      <c r="I629" s="137" t="s">
        <v>129</v>
      </c>
      <c r="J629" s="137" t="s">
        <v>129</v>
      </c>
      <c r="K629" s="137" t="s">
        <v>129</v>
      </c>
      <c r="L629" s="137" t="s">
        <v>129</v>
      </c>
      <c r="M629" s="141"/>
      <c r="N629" s="143"/>
    </row>
    <row r="630" hidden="1" outlineLevel="1">
      <c r="A630" s="255" t="s">
        <v>1241</v>
      </c>
      <c r="B630" s="344">
        <v>46213.0</v>
      </c>
      <c r="C630" s="133" t="str">
        <f t="shared" si="74"/>
        <v>Fri</v>
      </c>
      <c r="D630" s="383">
        <f t="shared" si="75"/>
        <v>1</v>
      </c>
      <c r="E630" s="147" t="s">
        <v>129</v>
      </c>
      <c r="F630" s="137" t="s">
        <v>129</v>
      </c>
      <c r="G630" s="137" t="s">
        <v>129</v>
      </c>
      <c r="H630" s="137" t="s">
        <v>129</v>
      </c>
      <c r="I630" s="137" t="s">
        <v>129</v>
      </c>
      <c r="J630" s="137" t="s">
        <v>129</v>
      </c>
      <c r="K630" s="137" t="s">
        <v>129</v>
      </c>
      <c r="L630" s="137" t="s">
        <v>129</v>
      </c>
      <c r="M630" s="141"/>
      <c r="N630" s="143"/>
    </row>
    <row r="631" ht="15.0" hidden="1" customHeight="1" outlineLevel="1">
      <c r="A631" s="255" t="s">
        <v>1243</v>
      </c>
      <c r="B631" s="344">
        <v>46213.0</v>
      </c>
      <c r="C631" s="133" t="str">
        <f t="shared" si="74"/>
        <v>Fri</v>
      </c>
      <c r="D631" s="381">
        <f t="shared" si="75"/>
        <v>1</v>
      </c>
      <c r="E631" s="382" t="s">
        <v>129</v>
      </c>
      <c r="F631" s="137" t="s">
        <v>129</v>
      </c>
      <c r="G631" s="137" t="s">
        <v>129</v>
      </c>
      <c r="H631" s="137" t="s">
        <v>129</v>
      </c>
      <c r="I631" s="137" t="s">
        <v>129</v>
      </c>
      <c r="J631" s="137" t="s">
        <v>129</v>
      </c>
      <c r="K631" s="137" t="s">
        <v>129</v>
      </c>
      <c r="L631" s="137" t="s">
        <v>129</v>
      </c>
      <c r="M631" s="141"/>
      <c r="N631" s="147"/>
    </row>
    <row r="632" hidden="1" outlineLevel="1">
      <c r="B632" s="189"/>
      <c r="C632" s="191" t="s">
        <v>194</v>
      </c>
      <c r="D632" s="204">
        <f>AVERAGE(D617:D631)</f>
        <v>1</v>
      </c>
      <c r="E632" s="384"/>
      <c r="L632" s="191" t="s">
        <v>194</v>
      </c>
      <c r="M632" s="204">
        <f>SUM(M617:M631)/75*0.1</f>
        <v>0</v>
      </c>
    </row>
    <row r="633" collapsed="1">
      <c r="A633" s="206" t="s">
        <v>1246</v>
      </c>
      <c r="B633" s="207"/>
      <c r="C633" s="207"/>
      <c r="D633" s="385"/>
      <c r="E633" s="109"/>
      <c r="F633" s="109"/>
      <c r="G633" s="110"/>
      <c r="H633" s="110"/>
      <c r="I633" s="110"/>
      <c r="J633" s="110"/>
      <c r="K633" s="110"/>
      <c r="L633" s="110"/>
      <c r="M633" s="111"/>
      <c r="N633" s="113"/>
    </row>
    <row r="634" hidden="1" outlineLevel="1">
      <c r="A634" s="373" t="s">
        <v>98</v>
      </c>
      <c r="B634" s="115" t="s">
        <v>100</v>
      </c>
      <c r="C634" s="115" t="s">
        <v>102</v>
      </c>
      <c r="D634" s="119" t="s">
        <v>103</v>
      </c>
      <c r="E634" s="275" t="s">
        <v>269</v>
      </c>
      <c r="F634" s="275" t="s">
        <v>272</v>
      </c>
      <c r="G634" s="276" t="s">
        <v>328</v>
      </c>
      <c r="H634" s="121" t="s">
        <v>107</v>
      </c>
      <c r="I634" s="121" t="s">
        <v>108</v>
      </c>
      <c r="J634" s="276" t="s">
        <v>329</v>
      </c>
      <c r="K634" s="121" t="s">
        <v>111</v>
      </c>
      <c r="L634" s="276" t="s">
        <v>274</v>
      </c>
      <c r="M634" s="115" t="s">
        <v>114</v>
      </c>
      <c r="N634" s="119" t="s">
        <v>115</v>
      </c>
    </row>
    <row r="635" hidden="1" outlineLevel="1">
      <c r="A635" s="367" t="s">
        <v>1248</v>
      </c>
      <c r="B635" s="344">
        <v>46216.0</v>
      </c>
      <c r="C635" s="133" t="str">
        <f t="shared" ref="C635:C649" si="76">IF(B635="", "", TEXT(B635, "ddd"))</f>
        <v>Mon</v>
      </c>
      <c r="D635" s="381">
        <f t="shared" ref="D635:D649" si="77">IF(E635="Yes",0.05,0)
+IF(F635="Yes",0.1,0)
+IF(G635="Yes",0.15,0)
+IF(H635="Yes",0.15,0)
+IF(I635="Yes",0.05,0)
+IF(J635="Yes",0.05,0)
+IF(K635="Yes",0.15,0)
+IF(L635="Yes",0.3,0)
</f>
        <v>1</v>
      </c>
      <c r="E635" s="382" t="s">
        <v>129</v>
      </c>
      <c r="F635" s="137" t="s">
        <v>129</v>
      </c>
      <c r="G635" s="137" t="s">
        <v>129</v>
      </c>
      <c r="H635" s="137" t="s">
        <v>129</v>
      </c>
      <c r="I635" s="137" t="s">
        <v>129</v>
      </c>
      <c r="J635" s="137" t="s">
        <v>129</v>
      </c>
      <c r="K635" s="137" t="s">
        <v>129</v>
      </c>
      <c r="L635" s="137" t="s">
        <v>129</v>
      </c>
      <c r="M635" s="141"/>
      <c r="N635" s="143"/>
    </row>
    <row r="636" hidden="1" outlineLevel="1">
      <c r="A636" s="367" t="s">
        <v>1250</v>
      </c>
      <c r="B636" s="344">
        <v>46216.0</v>
      </c>
      <c r="C636" s="133" t="str">
        <f t="shared" si="76"/>
        <v>Mon</v>
      </c>
      <c r="D636" s="383">
        <f t="shared" si="77"/>
        <v>1</v>
      </c>
      <c r="E636" s="147" t="s">
        <v>129</v>
      </c>
      <c r="F636" s="137" t="s">
        <v>129</v>
      </c>
      <c r="G636" s="137" t="s">
        <v>129</v>
      </c>
      <c r="H636" s="137" t="s">
        <v>129</v>
      </c>
      <c r="I636" s="137" t="s">
        <v>129</v>
      </c>
      <c r="J636" s="137" t="s">
        <v>129</v>
      </c>
      <c r="K636" s="137" t="s">
        <v>129</v>
      </c>
      <c r="L636" s="137" t="s">
        <v>129</v>
      </c>
      <c r="M636" s="141"/>
      <c r="N636" s="147"/>
    </row>
    <row r="637" hidden="1" outlineLevel="1">
      <c r="A637" s="367" t="s">
        <v>1252</v>
      </c>
      <c r="B637" s="344">
        <v>46216.0</v>
      </c>
      <c r="C637" s="133" t="str">
        <f t="shared" si="76"/>
        <v>Mon</v>
      </c>
      <c r="D637" s="381">
        <f t="shared" si="77"/>
        <v>1</v>
      </c>
      <c r="E637" s="382" t="s">
        <v>129</v>
      </c>
      <c r="F637" s="137" t="s">
        <v>129</v>
      </c>
      <c r="G637" s="137" t="s">
        <v>129</v>
      </c>
      <c r="H637" s="137" t="s">
        <v>129</v>
      </c>
      <c r="I637" s="137" t="s">
        <v>129</v>
      </c>
      <c r="J637" s="137" t="s">
        <v>129</v>
      </c>
      <c r="K637" s="137" t="s">
        <v>129</v>
      </c>
      <c r="L637" s="137" t="s">
        <v>129</v>
      </c>
      <c r="M637" s="141"/>
      <c r="N637" s="147"/>
    </row>
    <row r="638" hidden="1" outlineLevel="1">
      <c r="A638" s="255" t="s">
        <v>1254</v>
      </c>
      <c r="B638" s="344">
        <v>46217.0</v>
      </c>
      <c r="C638" s="133" t="str">
        <f t="shared" si="76"/>
        <v>Tue</v>
      </c>
      <c r="D638" s="383">
        <f t="shared" si="77"/>
        <v>1</v>
      </c>
      <c r="E638" s="147" t="s">
        <v>129</v>
      </c>
      <c r="F638" s="137" t="s">
        <v>129</v>
      </c>
      <c r="G638" s="137" t="s">
        <v>129</v>
      </c>
      <c r="H638" s="137" t="s">
        <v>129</v>
      </c>
      <c r="I638" s="137" t="s">
        <v>129</v>
      </c>
      <c r="J638" s="137" t="s">
        <v>129</v>
      </c>
      <c r="K638" s="137" t="s">
        <v>129</v>
      </c>
      <c r="L638" s="137" t="s">
        <v>129</v>
      </c>
      <c r="M638" s="141"/>
      <c r="N638" s="143"/>
    </row>
    <row r="639" hidden="1" outlineLevel="1">
      <c r="A639" s="255" t="s">
        <v>1255</v>
      </c>
      <c r="B639" s="344">
        <v>46217.0</v>
      </c>
      <c r="C639" s="133" t="str">
        <f t="shared" si="76"/>
        <v>Tue</v>
      </c>
      <c r="D639" s="381">
        <f t="shared" si="77"/>
        <v>1</v>
      </c>
      <c r="E639" s="382" t="s">
        <v>129</v>
      </c>
      <c r="F639" s="137" t="s">
        <v>129</v>
      </c>
      <c r="G639" s="137" t="s">
        <v>129</v>
      </c>
      <c r="H639" s="137" t="s">
        <v>129</v>
      </c>
      <c r="I639" s="137" t="s">
        <v>129</v>
      </c>
      <c r="J639" s="137" t="s">
        <v>129</v>
      </c>
      <c r="K639" s="137" t="s">
        <v>129</v>
      </c>
      <c r="L639" s="137" t="s">
        <v>129</v>
      </c>
      <c r="M639" s="141"/>
      <c r="N639" s="143"/>
    </row>
    <row r="640" hidden="1" outlineLevel="1">
      <c r="A640" s="255" t="s">
        <v>1256</v>
      </c>
      <c r="B640" s="344">
        <v>46217.0</v>
      </c>
      <c r="C640" s="133" t="str">
        <f t="shared" si="76"/>
        <v>Tue</v>
      </c>
      <c r="D640" s="383">
        <f t="shared" si="77"/>
        <v>1</v>
      </c>
      <c r="E640" s="147" t="s">
        <v>129</v>
      </c>
      <c r="F640" s="137" t="s">
        <v>129</v>
      </c>
      <c r="G640" s="137" t="s">
        <v>129</v>
      </c>
      <c r="H640" s="137" t="s">
        <v>129</v>
      </c>
      <c r="I640" s="137" t="s">
        <v>129</v>
      </c>
      <c r="J640" s="137" t="s">
        <v>129</v>
      </c>
      <c r="K640" s="137" t="s">
        <v>129</v>
      </c>
      <c r="L640" s="137" t="s">
        <v>129</v>
      </c>
      <c r="M640" s="141"/>
      <c r="N640" s="143"/>
    </row>
    <row r="641" hidden="1" outlineLevel="1">
      <c r="A641" s="255" t="s">
        <v>1257</v>
      </c>
      <c r="B641" s="344">
        <v>46218.0</v>
      </c>
      <c r="C641" s="133" t="str">
        <f t="shared" si="76"/>
        <v>Wed</v>
      </c>
      <c r="D641" s="381">
        <f t="shared" si="77"/>
        <v>1</v>
      </c>
      <c r="E641" s="382" t="s">
        <v>129</v>
      </c>
      <c r="F641" s="137" t="s">
        <v>129</v>
      </c>
      <c r="G641" s="137" t="s">
        <v>129</v>
      </c>
      <c r="H641" s="137" t="s">
        <v>129</v>
      </c>
      <c r="I641" s="137" t="s">
        <v>129</v>
      </c>
      <c r="J641" s="137" t="s">
        <v>129</v>
      </c>
      <c r="K641" s="137" t="s">
        <v>129</v>
      </c>
      <c r="L641" s="137" t="s">
        <v>129</v>
      </c>
      <c r="M641" s="141"/>
      <c r="N641" s="143"/>
    </row>
    <row r="642" hidden="1" outlineLevel="1">
      <c r="A642" s="255" t="s">
        <v>1258</v>
      </c>
      <c r="B642" s="344">
        <v>46218.0</v>
      </c>
      <c r="C642" s="133" t="str">
        <f t="shared" si="76"/>
        <v>Wed</v>
      </c>
      <c r="D642" s="383">
        <f t="shared" si="77"/>
        <v>1</v>
      </c>
      <c r="E642" s="147" t="s">
        <v>129</v>
      </c>
      <c r="F642" s="137" t="s">
        <v>129</v>
      </c>
      <c r="G642" s="137" t="s">
        <v>129</v>
      </c>
      <c r="H642" s="137" t="s">
        <v>129</v>
      </c>
      <c r="I642" s="137" t="s">
        <v>129</v>
      </c>
      <c r="J642" s="137" t="s">
        <v>129</v>
      </c>
      <c r="K642" s="137" t="s">
        <v>129</v>
      </c>
      <c r="L642" s="137" t="s">
        <v>129</v>
      </c>
      <c r="M642" s="141"/>
      <c r="N642" s="147"/>
    </row>
    <row r="643" hidden="1" outlineLevel="1">
      <c r="A643" s="255" t="s">
        <v>1260</v>
      </c>
      <c r="B643" s="344">
        <v>46218.0</v>
      </c>
      <c r="C643" s="133" t="str">
        <f t="shared" si="76"/>
        <v>Wed</v>
      </c>
      <c r="D643" s="381">
        <f t="shared" si="77"/>
        <v>1</v>
      </c>
      <c r="E643" s="382" t="s">
        <v>129</v>
      </c>
      <c r="F643" s="137" t="s">
        <v>129</v>
      </c>
      <c r="G643" s="137" t="s">
        <v>129</v>
      </c>
      <c r="H643" s="137" t="s">
        <v>129</v>
      </c>
      <c r="I643" s="137" t="s">
        <v>129</v>
      </c>
      <c r="J643" s="137" t="s">
        <v>129</v>
      </c>
      <c r="K643" s="137" t="s">
        <v>129</v>
      </c>
      <c r="L643" s="137" t="s">
        <v>129</v>
      </c>
      <c r="M643" s="141"/>
      <c r="N643" s="143"/>
    </row>
    <row r="644" hidden="1" outlineLevel="1">
      <c r="A644" s="255" t="s">
        <v>1261</v>
      </c>
      <c r="B644" s="344">
        <v>46219.0</v>
      </c>
      <c r="C644" s="133" t="str">
        <f t="shared" si="76"/>
        <v>Thu</v>
      </c>
      <c r="D644" s="383">
        <f t="shared" si="77"/>
        <v>1</v>
      </c>
      <c r="E644" s="147" t="s">
        <v>129</v>
      </c>
      <c r="F644" s="137" t="s">
        <v>129</v>
      </c>
      <c r="G644" s="137" t="s">
        <v>129</v>
      </c>
      <c r="H644" s="137" t="s">
        <v>129</v>
      </c>
      <c r="I644" s="137" t="s">
        <v>129</v>
      </c>
      <c r="J644" s="137" t="s">
        <v>129</v>
      </c>
      <c r="K644" s="137" t="s">
        <v>129</v>
      </c>
      <c r="L644" s="137" t="s">
        <v>129</v>
      </c>
      <c r="M644" s="141"/>
      <c r="N644" s="147"/>
    </row>
    <row r="645" hidden="1" outlineLevel="1">
      <c r="A645" s="255" t="s">
        <v>1263</v>
      </c>
      <c r="B645" s="344">
        <v>46219.0</v>
      </c>
      <c r="C645" s="133" t="str">
        <f t="shared" si="76"/>
        <v>Thu</v>
      </c>
      <c r="D645" s="381">
        <f t="shared" si="77"/>
        <v>1</v>
      </c>
      <c r="E645" s="382" t="s">
        <v>129</v>
      </c>
      <c r="F645" s="137" t="s">
        <v>129</v>
      </c>
      <c r="G645" s="137" t="s">
        <v>129</v>
      </c>
      <c r="H645" s="137" t="s">
        <v>129</v>
      </c>
      <c r="I645" s="137" t="s">
        <v>129</v>
      </c>
      <c r="J645" s="137" t="s">
        <v>129</v>
      </c>
      <c r="K645" s="137" t="s">
        <v>129</v>
      </c>
      <c r="L645" s="137" t="s">
        <v>129</v>
      </c>
      <c r="M645" s="141"/>
      <c r="N645" s="147"/>
    </row>
    <row r="646" hidden="1" outlineLevel="1">
      <c r="A646" s="255" t="s">
        <v>1264</v>
      </c>
      <c r="B646" s="344">
        <v>46219.0</v>
      </c>
      <c r="C646" s="133" t="str">
        <f t="shared" si="76"/>
        <v>Thu</v>
      </c>
      <c r="D646" s="383">
        <f t="shared" si="77"/>
        <v>1</v>
      </c>
      <c r="E646" s="147" t="s">
        <v>129</v>
      </c>
      <c r="F646" s="137" t="s">
        <v>129</v>
      </c>
      <c r="G646" s="137" t="s">
        <v>129</v>
      </c>
      <c r="H646" s="137" t="s">
        <v>129</v>
      </c>
      <c r="I646" s="137" t="s">
        <v>129</v>
      </c>
      <c r="J646" s="137" t="s">
        <v>129</v>
      </c>
      <c r="K646" s="137" t="s">
        <v>129</v>
      </c>
      <c r="L646" s="137" t="s">
        <v>129</v>
      </c>
      <c r="M646" s="141"/>
      <c r="N646" s="147"/>
    </row>
    <row r="647" hidden="1" outlineLevel="1">
      <c r="A647" s="255" t="s">
        <v>1265</v>
      </c>
      <c r="B647" s="344">
        <v>46220.0</v>
      </c>
      <c r="C647" s="133" t="str">
        <f t="shared" si="76"/>
        <v>Fri</v>
      </c>
      <c r="D647" s="381">
        <f t="shared" si="77"/>
        <v>1</v>
      </c>
      <c r="E647" s="382" t="s">
        <v>129</v>
      </c>
      <c r="F647" s="137" t="s">
        <v>129</v>
      </c>
      <c r="G647" s="137" t="s">
        <v>129</v>
      </c>
      <c r="H647" s="137" t="s">
        <v>129</v>
      </c>
      <c r="I647" s="137" t="s">
        <v>129</v>
      </c>
      <c r="J647" s="137" t="s">
        <v>129</v>
      </c>
      <c r="K647" s="137" t="s">
        <v>129</v>
      </c>
      <c r="L647" s="137" t="s">
        <v>129</v>
      </c>
      <c r="M647" s="141"/>
      <c r="N647" s="143"/>
    </row>
    <row r="648" hidden="1" outlineLevel="1">
      <c r="A648" s="255" t="s">
        <v>1266</v>
      </c>
      <c r="B648" s="344">
        <v>46220.0</v>
      </c>
      <c r="C648" s="133" t="str">
        <f t="shared" si="76"/>
        <v>Fri</v>
      </c>
      <c r="D648" s="383">
        <f t="shared" si="77"/>
        <v>1</v>
      </c>
      <c r="E648" s="147" t="s">
        <v>129</v>
      </c>
      <c r="F648" s="137" t="s">
        <v>129</v>
      </c>
      <c r="G648" s="137" t="s">
        <v>129</v>
      </c>
      <c r="H648" s="137" t="s">
        <v>129</v>
      </c>
      <c r="I648" s="137" t="s">
        <v>129</v>
      </c>
      <c r="J648" s="137" t="s">
        <v>129</v>
      </c>
      <c r="K648" s="137" t="s">
        <v>129</v>
      </c>
      <c r="L648" s="137" t="s">
        <v>129</v>
      </c>
      <c r="M648" s="141"/>
      <c r="N648" s="143"/>
    </row>
    <row r="649" ht="15.0" hidden="1" customHeight="1" outlineLevel="1">
      <c r="A649" s="255" t="s">
        <v>1267</v>
      </c>
      <c r="B649" s="344">
        <v>46220.0</v>
      </c>
      <c r="C649" s="133" t="str">
        <f t="shared" si="76"/>
        <v>Fri</v>
      </c>
      <c r="D649" s="381">
        <f t="shared" si="77"/>
        <v>1</v>
      </c>
      <c r="E649" s="382" t="s">
        <v>129</v>
      </c>
      <c r="F649" s="137" t="s">
        <v>129</v>
      </c>
      <c r="G649" s="137" t="s">
        <v>129</v>
      </c>
      <c r="H649" s="137" t="s">
        <v>129</v>
      </c>
      <c r="I649" s="137" t="s">
        <v>129</v>
      </c>
      <c r="J649" s="137" t="s">
        <v>129</v>
      </c>
      <c r="K649" s="137" t="s">
        <v>129</v>
      </c>
      <c r="L649" s="137" t="s">
        <v>129</v>
      </c>
      <c r="M649" s="141"/>
      <c r="N649" s="147"/>
    </row>
    <row r="650" hidden="1" outlineLevel="1">
      <c r="B650" s="189"/>
      <c r="C650" s="191" t="s">
        <v>194</v>
      </c>
      <c r="D650" s="204">
        <f>AVERAGE(D635:D649)</f>
        <v>1</v>
      </c>
      <c r="E650" s="384"/>
      <c r="L650" s="191" t="s">
        <v>194</v>
      </c>
      <c r="M650" s="204">
        <f>SUM(M635:M649)/75*0.1</f>
        <v>0</v>
      </c>
    </row>
    <row r="651" collapsed="1">
      <c r="A651" s="206" t="s">
        <v>1270</v>
      </c>
      <c r="B651" s="207"/>
      <c r="C651" s="207"/>
      <c r="D651" s="385"/>
      <c r="E651" s="109"/>
      <c r="F651" s="109"/>
      <c r="G651" s="110"/>
      <c r="H651" s="110"/>
      <c r="I651" s="110"/>
      <c r="J651" s="110"/>
      <c r="K651" s="110"/>
      <c r="L651" s="110"/>
      <c r="M651" s="111"/>
      <c r="N651" s="113"/>
    </row>
    <row r="652" hidden="1" outlineLevel="1">
      <c r="A652" s="115" t="s">
        <v>98</v>
      </c>
      <c r="B652" s="115" t="s">
        <v>100</v>
      </c>
      <c r="C652" s="115" t="s">
        <v>102</v>
      </c>
      <c r="D652" s="119" t="s">
        <v>103</v>
      </c>
      <c r="E652" s="275" t="s">
        <v>269</v>
      </c>
      <c r="F652" s="275" t="s">
        <v>272</v>
      </c>
      <c r="G652" s="276" t="s">
        <v>328</v>
      </c>
      <c r="H652" s="121" t="s">
        <v>107</v>
      </c>
      <c r="I652" s="121" t="s">
        <v>108</v>
      </c>
      <c r="J652" s="276" t="s">
        <v>329</v>
      </c>
      <c r="K652" s="121" t="s">
        <v>111</v>
      </c>
      <c r="L652" s="276" t="s">
        <v>274</v>
      </c>
      <c r="M652" s="115" t="s">
        <v>114</v>
      </c>
      <c r="N652" s="119" t="s">
        <v>115</v>
      </c>
    </row>
    <row r="653" hidden="1" outlineLevel="1">
      <c r="A653" s="255" t="s">
        <v>1271</v>
      </c>
      <c r="B653" s="418">
        <v>46223.0</v>
      </c>
      <c r="C653" s="133" t="str">
        <f t="shared" ref="C653:C667" si="78">IF(B653="", "", TEXT(B653, "ddd"))</f>
        <v>Mon</v>
      </c>
      <c r="D653" s="381">
        <f t="shared" ref="D653:D667" si="79">IF(E653="Yes",0.05,0)
+IF(F653="Yes",0.1,0)
+IF(G653="Yes",0.15,0)
+IF(H653="Yes",0.15,0)
+IF(I653="Yes",0.05,0)
+IF(J653="Yes",0.05,0)
+IF(K653="Yes",0.15,0)
+IF(L653="Yes",0.3,0)
</f>
        <v>1</v>
      </c>
      <c r="E653" s="382" t="s">
        <v>129</v>
      </c>
      <c r="F653" s="137" t="s">
        <v>129</v>
      </c>
      <c r="G653" s="137" t="s">
        <v>129</v>
      </c>
      <c r="H653" s="137" t="s">
        <v>129</v>
      </c>
      <c r="I653" s="137" t="s">
        <v>129</v>
      </c>
      <c r="J653" s="137" t="s">
        <v>129</v>
      </c>
      <c r="K653" s="137" t="s">
        <v>129</v>
      </c>
      <c r="L653" s="137" t="s">
        <v>129</v>
      </c>
      <c r="M653" s="141"/>
      <c r="N653" s="143"/>
    </row>
    <row r="654" hidden="1" outlineLevel="1">
      <c r="A654" s="255" t="s">
        <v>1273</v>
      </c>
      <c r="B654" s="418">
        <v>46223.0</v>
      </c>
      <c r="C654" s="133" t="str">
        <f t="shared" si="78"/>
        <v>Mon</v>
      </c>
      <c r="D654" s="383">
        <f t="shared" si="79"/>
        <v>1</v>
      </c>
      <c r="E654" s="147" t="s">
        <v>129</v>
      </c>
      <c r="F654" s="137" t="s">
        <v>129</v>
      </c>
      <c r="G654" s="137" t="s">
        <v>129</v>
      </c>
      <c r="H654" s="137" t="s">
        <v>129</v>
      </c>
      <c r="I654" s="137" t="s">
        <v>129</v>
      </c>
      <c r="J654" s="137" t="s">
        <v>129</v>
      </c>
      <c r="K654" s="137" t="s">
        <v>129</v>
      </c>
      <c r="L654" s="137" t="s">
        <v>129</v>
      </c>
      <c r="M654" s="141"/>
      <c r="N654" s="147"/>
    </row>
    <row r="655" hidden="1" outlineLevel="1">
      <c r="A655" s="255" t="s">
        <v>1275</v>
      </c>
      <c r="B655" s="418">
        <v>46223.0</v>
      </c>
      <c r="C655" s="133" t="str">
        <f t="shared" si="78"/>
        <v>Mon</v>
      </c>
      <c r="D655" s="381">
        <f t="shared" si="79"/>
        <v>1</v>
      </c>
      <c r="E655" s="382" t="s">
        <v>129</v>
      </c>
      <c r="F655" s="137" t="s">
        <v>129</v>
      </c>
      <c r="G655" s="137" t="s">
        <v>129</v>
      </c>
      <c r="H655" s="137" t="s">
        <v>129</v>
      </c>
      <c r="I655" s="137" t="s">
        <v>129</v>
      </c>
      <c r="J655" s="137" t="s">
        <v>129</v>
      </c>
      <c r="K655" s="137" t="s">
        <v>129</v>
      </c>
      <c r="L655" s="137" t="s">
        <v>129</v>
      </c>
      <c r="M655" s="141"/>
      <c r="N655" s="147"/>
    </row>
    <row r="656" hidden="1" outlineLevel="1">
      <c r="A656" s="255" t="s">
        <v>1276</v>
      </c>
      <c r="B656" s="418">
        <v>46224.0</v>
      </c>
      <c r="C656" s="133" t="str">
        <f t="shared" si="78"/>
        <v>Tue</v>
      </c>
      <c r="D656" s="383">
        <f t="shared" si="79"/>
        <v>1</v>
      </c>
      <c r="E656" s="147" t="s">
        <v>129</v>
      </c>
      <c r="F656" s="137" t="s">
        <v>129</v>
      </c>
      <c r="G656" s="137" t="s">
        <v>129</v>
      </c>
      <c r="H656" s="137" t="s">
        <v>129</v>
      </c>
      <c r="I656" s="137" t="s">
        <v>129</v>
      </c>
      <c r="J656" s="137" t="s">
        <v>129</v>
      </c>
      <c r="K656" s="137" t="s">
        <v>129</v>
      </c>
      <c r="L656" s="137" t="s">
        <v>129</v>
      </c>
      <c r="M656" s="141"/>
      <c r="N656" s="143"/>
    </row>
    <row r="657" hidden="1" outlineLevel="1">
      <c r="A657" s="255" t="s">
        <v>1278</v>
      </c>
      <c r="B657" s="418">
        <v>46224.0</v>
      </c>
      <c r="C657" s="133" t="str">
        <f t="shared" si="78"/>
        <v>Tue</v>
      </c>
      <c r="D657" s="381">
        <f t="shared" si="79"/>
        <v>1</v>
      </c>
      <c r="E657" s="382" t="s">
        <v>129</v>
      </c>
      <c r="F657" s="137" t="s">
        <v>129</v>
      </c>
      <c r="G657" s="137" t="s">
        <v>129</v>
      </c>
      <c r="H657" s="137" t="s">
        <v>129</v>
      </c>
      <c r="I657" s="137" t="s">
        <v>129</v>
      </c>
      <c r="J657" s="137" t="s">
        <v>129</v>
      </c>
      <c r="K657" s="137" t="s">
        <v>129</v>
      </c>
      <c r="L657" s="137" t="s">
        <v>129</v>
      </c>
      <c r="M657" s="141"/>
      <c r="N657" s="143"/>
    </row>
    <row r="658" hidden="1" outlineLevel="1">
      <c r="A658" s="255" t="s">
        <v>1280</v>
      </c>
      <c r="B658" s="418">
        <v>46224.0</v>
      </c>
      <c r="C658" s="133" t="str">
        <f t="shared" si="78"/>
        <v>Tue</v>
      </c>
      <c r="D658" s="383">
        <f t="shared" si="79"/>
        <v>1</v>
      </c>
      <c r="E658" s="147" t="s">
        <v>129</v>
      </c>
      <c r="F658" s="137" t="s">
        <v>129</v>
      </c>
      <c r="G658" s="137" t="s">
        <v>129</v>
      </c>
      <c r="H658" s="137" t="s">
        <v>129</v>
      </c>
      <c r="I658" s="137" t="s">
        <v>129</v>
      </c>
      <c r="J658" s="137" t="s">
        <v>129</v>
      </c>
      <c r="K658" s="137" t="s">
        <v>129</v>
      </c>
      <c r="L658" s="137" t="s">
        <v>129</v>
      </c>
      <c r="M658" s="141"/>
      <c r="N658" s="143"/>
    </row>
    <row r="659" hidden="1" outlineLevel="1">
      <c r="A659" s="255" t="s">
        <v>1281</v>
      </c>
      <c r="B659" s="418">
        <v>46225.0</v>
      </c>
      <c r="C659" s="133" t="str">
        <f t="shared" si="78"/>
        <v>Wed</v>
      </c>
      <c r="D659" s="381">
        <f t="shared" si="79"/>
        <v>1</v>
      </c>
      <c r="E659" s="382" t="s">
        <v>129</v>
      </c>
      <c r="F659" s="137" t="s">
        <v>129</v>
      </c>
      <c r="G659" s="137" t="s">
        <v>129</v>
      </c>
      <c r="H659" s="137" t="s">
        <v>129</v>
      </c>
      <c r="I659" s="137" t="s">
        <v>129</v>
      </c>
      <c r="J659" s="137" t="s">
        <v>129</v>
      </c>
      <c r="K659" s="137" t="s">
        <v>129</v>
      </c>
      <c r="L659" s="137" t="s">
        <v>129</v>
      </c>
      <c r="M659" s="141"/>
      <c r="N659" s="143"/>
    </row>
    <row r="660" hidden="1" outlineLevel="1">
      <c r="A660" s="255" t="s">
        <v>1282</v>
      </c>
      <c r="B660" s="418">
        <v>46225.0</v>
      </c>
      <c r="C660" s="133" t="str">
        <f t="shared" si="78"/>
        <v>Wed</v>
      </c>
      <c r="D660" s="383">
        <f t="shared" si="79"/>
        <v>1</v>
      </c>
      <c r="E660" s="147" t="s">
        <v>129</v>
      </c>
      <c r="F660" s="137" t="s">
        <v>129</v>
      </c>
      <c r="G660" s="137" t="s">
        <v>129</v>
      </c>
      <c r="H660" s="137" t="s">
        <v>129</v>
      </c>
      <c r="I660" s="137" t="s">
        <v>129</v>
      </c>
      <c r="J660" s="137" t="s">
        <v>129</v>
      </c>
      <c r="K660" s="137" t="s">
        <v>129</v>
      </c>
      <c r="L660" s="137" t="s">
        <v>129</v>
      </c>
      <c r="M660" s="141"/>
      <c r="N660" s="147"/>
    </row>
    <row r="661" hidden="1" outlineLevel="1">
      <c r="A661" s="255" t="s">
        <v>1283</v>
      </c>
      <c r="B661" s="418">
        <v>46225.0</v>
      </c>
      <c r="C661" s="133" t="str">
        <f t="shared" si="78"/>
        <v>Wed</v>
      </c>
      <c r="D661" s="381">
        <f t="shared" si="79"/>
        <v>1</v>
      </c>
      <c r="E661" s="382" t="s">
        <v>129</v>
      </c>
      <c r="F661" s="137" t="s">
        <v>129</v>
      </c>
      <c r="G661" s="137" t="s">
        <v>129</v>
      </c>
      <c r="H661" s="137" t="s">
        <v>129</v>
      </c>
      <c r="I661" s="137" t="s">
        <v>129</v>
      </c>
      <c r="J661" s="137" t="s">
        <v>129</v>
      </c>
      <c r="K661" s="137" t="s">
        <v>129</v>
      </c>
      <c r="L661" s="137" t="s">
        <v>129</v>
      </c>
      <c r="M661" s="141"/>
      <c r="N661" s="143"/>
    </row>
    <row r="662" hidden="1" outlineLevel="1">
      <c r="A662" s="255" t="s">
        <v>1284</v>
      </c>
      <c r="B662" s="418">
        <v>46226.0</v>
      </c>
      <c r="C662" s="133" t="str">
        <f t="shared" si="78"/>
        <v>Thu</v>
      </c>
      <c r="D662" s="383">
        <f t="shared" si="79"/>
        <v>1</v>
      </c>
      <c r="E662" s="147" t="s">
        <v>129</v>
      </c>
      <c r="F662" s="137" t="s">
        <v>129</v>
      </c>
      <c r="G662" s="137" t="s">
        <v>129</v>
      </c>
      <c r="H662" s="137" t="s">
        <v>129</v>
      </c>
      <c r="I662" s="137" t="s">
        <v>129</v>
      </c>
      <c r="J662" s="137" t="s">
        <v>129</v>
      </c>
      <c r="K662" s="137" t="s">
        <v>129</v>
      </c>
      <c r="L662" s="137" t="s">
        <v>129</v>
      </c>
      <c r="M662" s="141"/>
      <c r="N662" s="147"/>
    </row>
    <row r="663" hidden="1" outlineLevel="1">
      <c r="A663" s="255" t="s">
        <v>1286</v>
      </c>
      <c r="B663" s="418">
        <v>46226.0</v>
      </c>
      <c r="C663" s="133" t="str">
        <f t="shared" si="78"/>
        <v>Thu</v>
      </c>
      <c r="D663" s="381">
        <f t="shared" si="79"/>
        <v>1</v>
      </c>
      <c r="E663" s="382" t="s">
        <v>129</v>
      </c>
      <c r="F663" s="137" t="s">
        <v>129</v>
      </c>
      <c r="G663" s="137" t="s">
        <v>129</v>
      </c>
      <c r="H663" s="137" t="s">
        <v>129</v>
      </c>
      <c r="I663" s="137" t="s">
        <v>129</v>
      </c>
      <c r="J663" s="137" t="s">
        <v>129</v>
      </c>
      <c r="K663" s="137" t="s">
        <v>129</v>
      </c>
      <c r="L663" s="137" t="s">
        <v>129</v>
      </c>
      <c r="M663" s="141"/>
      <c r="N663" s="147"/>
    </row>
    <row r="664" hidden="1" outlineLevel="1">
      <c r="A664" s="255" t="s">
        <v>1287</v>
      </c>
      <c r="B664" s="418">
        <v>46226.0</v>
      </c>
      <c r="C664" s="133" t="str">
        <f t="shared" si="78"/>
        <v>Thu</v>
      </c>
      <c r="D664" s="383">
        <f t="shared" si="79"/>
        <v>1</v>
      </c>
      <c r="E664" s="147" t="s">
        <v>129</v>
      </c>
      <c r="F664" s="137" t="s">
        <v>129</v>
      </c>
      <c r="G664" s="137" t="s">
        <v>129</v>
      </c>
      <c r="H664" s="137" t="s">
        <v>129</v>
      </c>
      <c r="I664" s="137" t="s">
        <v>129</v>
      </c>
      <c r="J664" s="137" t="s">
        <v>129</v>
      </c>
      <c r="K664" s="137" t="s">
        <v>129</v>
      </c>
      <c r="L664" s="137" t="s">
        <v>129</v>
      </c>
      <c r="M664" s="141"/>
      <c r="N664" s="147"/>
    </row>
    <row r="665" hidden="1" outlineLevel="1">
      <c r="A665" s="255" t="s">
        <v>1288</v>
      </c>
      <c r="B665" s="418">
        <v>46227.0</v>
      </c>
      <c r="C665" s="133" t="str">
        <f t="shared" si="78"/>
        <v>Fri</v>
      </c>
      <c r="D665" s="381">
        <f t="shared" si="79"/>
        <v>1</v>
      </c>
      <c r="E665" s="382" t="s">
        <v>129</v>
      </c>
      <c r="F665" s="137" t="s">
        <v>129</v>
      </c>
      <c r="G665" s="137" t="s">
        <v>129</v>
      </c>
      <c r="H665" s="137" t="s">
        <v>129</v>
      </c>
      <c r="I665" s="137" t="s">
        <v>129</v>
      </c>
      <c r="J665" s="137" t="s">
        <v>129</v>
      </c>
      <c r="K665" s="137" t="s">
        <v>129</v>
      </c>
      <c r="L665" s="137" t="s">
        <v>129</v>
      </c>
      <c r="M665" s="141"/>
      <c r="N665" s="143"/>
    </row>
    <row r="666" hidden="1" outlineLevel="1">
      <c r="A666" s="255" t="s">
        <v>1290</v>
      </c>
      <c r="B666" s="418">
        <v>46227.0</v>
      </c>
      <c r="C666" s="133" t="str">
        <f t="shared" si="78"/>
        <v>Fri</v>
      </c>
      <c r="D666" s="383">
        <f t="shared" si="79"/>
        <v>1</v>
      </c>
      <c r="E666" s="147" t="s">
        <v>129</v>
      </c>
      <c r="F666" s="137" t="s">
        <v>129</v>
      </c>
      <c r="G666" s="137" t="s">
        <v>129</v>
      </c>
      <c r="H666" s="137" t="s">
        <v>129</v>
      </c>
      <c r="I666" s="137" t="s">
        <v>129</v>
      </c>
      <c r="J666" s="137" t="s">
        <v>129</v>
      </c>
      <c r="K666" s="137" t="s">
        <v>129</v>
      </c>
      <c r="L666" s="137" t="s">
        <v>129</v>
      </c>
      <c r="M666" s="141"/>
      <c r="N666" s="143"/>
    </row>
    <row r="667" ht="15.0" hidden="1" customHeight="1" outlineLevel="1">
      <c r="A667" s="255" t="s">
        <v>1291</v>
      </c>
      <c r="B667" s="418">
        <v>46227.0</v>
      </c>
      <c r="C667" s="133" t="str">
        <f t="shared" si="78"/>
        <v>Fri</v>
      </c>
      <c r="D667" s="381">
        <f t="shared" si="79"/>
        <v>1</v>
      </c>
      <c r="E667" s="382" t="s">
        <v>129</v>
      </c>
      <c r="F667" s="137" t="s">
        <v>129</v>
      </c>
      <c r="G667" s="137" t="s">
        <v>129</v>
      </c>
      <c r="H667" s="137" t="s">
        <v>129</v>
      </c>
      <c r="I667" s="137" t="s">
        <v>129</v>
      </c>
      <c r="J667" s="137" t="s">
        <v>129</v>
      </c>
      <c r="K667" s="137" t="s">
        <v>129</v>
      </c>
      <c r="L667" s="137" t="s">
        <v>129</v>
      </c>
      <c r="M667" s="141"/>
      <c r="N667" s="147"/>
    </row>
    <row r="668" hidden="1" outlineLevel="1">
      <c r="B668" s="189"/>
      <c r="C668" s="191" t="s">
        <v>194</v>
      </c>
      <c r="D668" s="204">
        <f>AVERAGE(D653:D667)</f>
        <v>1</v>
      </c>
      <c r="E668" s="384"/>
      <c r="L668" s="191" t="s">
        <v>194</v>
      </c>
      <c r="M668" s="204">
        <f>SUM(M653:M667)/75*0.1</f>
        <v>0</v>
      </c>
    </row>
    <row r="669" collapsed="1">
      <c r="A669" s="206" t="s">
        <v>1294</v>
      </c>
      <c r="B669" s="207"/>
      <c r="C669" s="207"/>
      <c r="D669" s="385"/>
      <c r="E669" s="109"/>
      <c r="F669" s="109"/>
      <c r="G669" s="110"/>
      <c r="H669" s="110"/>
      <c r="I669" s="110"/>
      <c r="J669" s="110"/>
      <c r="K669" s="110"/>
      <c r="L669" s="110"/>
      <c r="M669" s="111"/>
      <c r="N669" s="113"/>
    </row>
    <row r="670" hidden="1" outlineLevel="1">
      <c r="A670" s="373" t="s">
        <v>98</v>
      </c>
      <c r="B670" s="115" t="s">
        <v>100</v>
      </c>
      <c r="C670" s="115" t="s">
        <v>102</v>
      </c>
      <c r="D670" s="119" t="s">
        <v>103</v>
      </c>
      <c r="E670" s="275" t="s">
        <v>269</v>
      </c>
      <c r="F670" s="275" t="s">
        <v>272</v>
      </c>
      <c r="G670" s="276" t="s">
        <v>328</v>
      </c>
      <c r="H670" s="121" t="s">
        <v>107</v>
      </c>
      <c r="I670" s="121" t="s">
        <v>108</v>
      </c>
      <c r="J670" s="276" t="s">
        <v>329</v>
      </c>
      <c r="K670" s="121" t="s">
        <v>111</v>
      </c>
      <c r="L670" s="276" t="s">
        <v>274</v>
      </c>
      <c r="M670" s="115" t="s">
        <v>114</v>
      </c>
      <c r="N670" s="119" t="s">
        <v>115</v>
      </c>
    </row>
    <row r="671" hidden="1" outlineLevel="1">
      <c r="A671" s="255" t="s">
        <v>1295</v>
      </c>
      <c r="B671" s="420">
        <v>46230.0</v>
      </c>
      <c r="C671" s="133" t="str">
        <f t="shared" ref="C671:C685" si="80">IF(B671="", "", TEXT(B671, "ddd"))</f>
        <v>Mon</v>
      </c>
      <c r="D671" s="381">
        <f t="shared" ref="D671:D685" si="81">IF(E671="Yes",0.05,0)
+IF(F671="Yes",0.1,0)
+IF(G671="Yes",0.15,0)
+IF(H671="Yes",0.15,0)
+IF(I671="Yes",0.05,0)
+IF(J671="Yes",0.05,0)
+IF(K671="Yes",0.15,0)
+IF(L671="Yes",0.3,0)
</f>
        <v>1</v>
      </c>
      <c r="E671" s="382" t="s">
        <v>129</v>
      </c>
      <c r="F671" s="137" t="s">
        <v>129</v>
      </c>
      <c r="G671" s="137" t="s">
        <v>129</v>
      </c>
      <c r="H671" s="137" t="s">
        <v>129</v>
      </c>
      <c r="I671" s="137" t="s">
        <v>129</v>
      </c>
      <c r="J671" s="137" t="s">
        <v>129</v>
      </c>
      <c r="K671" s="137" t="s">
        <v>129</v>
      </c>
      <c r="L671" s="137" t="s">
        <v>129</v>
      </c>
      <c r="M671" s="141"/>
      <c r="N671" s="143"/>
    </row>
    <row r="672" hidden="1" outlineLevel="1">
      <c r="A672" s="255" t="s">
        <v>1301</v>
      </c>
      <c r="B672" s="420">
        <v>46230.0</v>
      </c>
      <c r="C672" s="133" t="str">
        <f t="shared" si="80"/>
        <v>Mon</v>
      </c>
      <c r="D672" s="383">
        <f t="shared" si="81"/>
        <v>1</v>
      </c>
      <c r="E672" s="147" t="s">
        <v>129</v>
      </c>
      <c r="F672" s="137" t="s">
        <v>129</v>
      </c>
      <c r="G672" s="137" t="s">
        <v>129</v>
      </c>
      <c r="H672" s="137" t="s">
        <v>129</v>
      </c>
      <c r="I672" s="137" t="s">
        <v>129</v>
      </c>
      <c r="J672" s="137" t="s">
        <v>129</v>
      </c>
      <c r="K672" s="137" t="s">
        <v>129</v>
      </c>
      <c r="L672" s="137" t="s">
        <v>129</v>
      </c>
      <c r="M672" s="141"/>
      <c r="N672" s="147"/>
    </row>
    <row r="673" hidden="1" outlineLevel="1">
      <c r="A673" s="255" t="s">
        <v>1303</v>
      </c>
      <c r="B673" s="420">
        <v>46230.0</v>
      </c>
      <c r="C673" s="133" t="str">
        <f t="shared" si="80"/>
        <v>Mon</v>
      </c>
      <c r="D673" s="381">
        <f t="shared" si="81"/>
        <v>1</v>
      </c>
      <c r="E673" s="382" t="s">
        <v>129</v>
      </c>
      <c r="F673" s="137" t="s">
        <v>129</v>
      </c>
      <c r="G673" s="137" t="s">
        <v>129</v>
      </c>
      <c r="H673" s="137" t="s">
        <v>129</v>
      </c>
      <c r="I673" s="137" t="s">
        <v>129</v>
      </c>
      <c r="J673" s="137" t="s">
        <v>129</v>
      </c>
      <c r="K673" s="137" t="s">
        <v>129</v>
      </c>
      <c r="L673" s="137" t="s">
        <v>129</v>
      </c>
      <c r="M673" s="141"/>
      <c r="N673" s="147"/>
    </row>
    <row r="674" hidden="1" outlineLevel="1">
      <c r="A674" s="255" t="s">
        <v>1305</v>
      </c>
      <c r="B674" s="420">
        <v>46231.0</v>
      </c>
      <c r="C674" s="133" t="str">
        <f t="shared" si="80"/>
        <v>Tue</v>
      </c>
      <c r="D674" s="383">
        <f t="shared" si="81"/>
        <v>1</v>
      </c>
      <c r="E674" s="147" t="s">
        <v>129</v>
      </c>
      <c r="F674" s="137" t="s">
        <v>129</v>
      </c>
      <c r="G674" s="137" t="s">
        <v>129</v>
      </c>
      <c r="H674" s="137" t="s">
        <v>129</v>
      </c>
      <c r="I674" s="137" t="s">
        <v>129</v>
      </c>
      <c r="J674" s="137" t="s">
        <v>129</v>
      </c>
      <c r="K674" s="137" t="s">
        <v>129</v>
      </c>
      <c r="L674" s="137" t="s">
        <v>129</v>
      </c>
      <c r="M674" s="141"/>
      <c r="N674" s="143"/>
    </row>
    <row r="675" hidden="1" outlineLevel="1">
      <c r="A675" s="255" t="s">
        <v>1307</v>
      </c>
      <c r="B675" s="420">
        <v>46231.0</v>
      </c>
      <c r="C675" s="133" t="str">
        <f t="shared" si="80"/>
        <v>Tue</v>
      </c>
      <c r="D675" s="381">
        <f t="shared" si="81"/>
        <v>1</v>
      </c>
      <c r="E675" s="382" t="s">
        <v>129</v>
      </c>
      <c r="F675" s="137" t="s">
        <v>129</v>
      </c>
      <c r="G675" s="137" t="s">
        <v>129</v>
      </c>
      <c r="H675" s="137" t="s">
        <v>129</v>
      </c>
      <c r="I675" s="137" t="s">
        <v>129</v>
      </c>
      <c r="J675" s="137" t="s">
        <v>129</v>
      </c>
      <c r="K675" s="137" t="s">
        <v>129</v>
      </c>
      <c r="L675" s="137" t="s">
        <v>129</v>
      </c>
      <c r="M675" s="141"/>
      <c r="N675" s="143"/>
    </row>
    <row r="676" hidden="1" outlineLevel="1">
      <c r="A676" s="255" t="s">
        <v>1308</v>
      </c>
      <c r="B676" s="420">
        <v>46231.0</v>
      </c>
      <c r="C676" s="133" t="str">
        <f t="shared" si="80"/>
        <v>Tue</v>
      </c>
      <c r="D676" s="383">
        <f t="shared" si="81"/>
        <v>1</v>
      </c>
      <c r="E676" s="147" t="s">
        <v>129</v>
      </c>
      <c r="F676" s="137" t="s">
        <v>129</v>
      </c>
      <c r="G676" s="137" t="s">
        <v>129</v>
      </c>
      <c r="H676" s="137" t="s">
        <v>129</v>
      </c>
      <c r="I676" s="137" t="s">
        <v>129</v>
      </c>
      <c r="J676" s="137" t="s">
        <v>129</v>
      </c>
      <c r="K676" s="137" t="s">
        <v>129</v>
      </c>
      <c r="L676" s="137" t="s">
        <v>129</v>
      </c>
      <c r="M676" s="141"/>
      <c r="N676" s="143"/>
    </row>
    <row r="677" hidden="1" outlineLevel="1">
      <c r="A677" s="367" t="s">
        <v>1310</v>
      </c>
      <c r="B677" s="420">
        <v>46232.0</v>
      </c>
      <c r="C677" s="133" t="str">
        <f t="shared" si="80"/>
        <v>Wed</v>
      </c>
      <c r="D677" s="381">
        <f t="shared" si="81"/>
        <v>1</v>
      </c>
      <c r="E677" s="382" t="s">
        <v>129</v>
      </c>
      <c r="F677" s="137" t="s">
        <v>129</v>
      </c>
      <c r="G677" s="137" t="s">
        <v>129</v>
      </c>
      <c r="H677" s="137" t="s">
        <v>129</v>
      </c>
      <c r="I677" s="137" t="s">
        <v>129</v>
      </c>
      <c r="J677" s="137" t="s">
        <v>129</v>
      </c>
      <c r="K677" s="137" t="s">
        <v>129</v>
      </c>
      <c r="L677" s="137" t="s">
        <v>129</v>
      </c>
      <c r="M677" s="141"/>
      <c r="N677" s="143"/>
    </row>
    <row r="678" hidden="1" outlineLevel="1">
      <c r="A678" s="367" t="s">
        <v>1311</v>
      </c>
      <c r="B678" s="420">
        <v>46232.0</v>
      </c>
      <c r="C678" s="133" t="str">
        <f t="shared" si="80"/>
        <v>Wed</v>
      </c>
      <c r="D678" s="383">
        <f t="shared" si="81"/>
        <v>1</v>
      </c>
      <c r="E678" s="147" t="s">
        <v>129</v>
      </c>
      <c r="F678" s="137" t="s">
        <v>129</v>
      </c>
      <c r="G678" s="137" t="s">
        <v>129</v>
      </c>
      <c r="H678" s="137" t="s">
        <v>129</v>
      </c>
      <c r="I678" s="137" t="s">
        <v>129</v>
      </c>
      <c r="J678" s="137" t="s">
        <v>129</v>
      </c>
      <c r="K678" s="137" t="s">
        <v>129</v>
      </c>
      <c r="L678" s="137" t="s">
        <v>129</v>
      </c>
      <c r="M678" s="141"/>
      <c r="N678" s="147"/>
    </row>
    <row r="679" hidden="1" outlineLevel="1">
      <c r="A679" s="367" t="s">
        <v>1312</v>
      </c>
      <c r="B679" s="420">
        <v>46232.0</v>
      </c>
      <c r="C679" s="133" t="str">
        <f t="shared" si="80"/>
        <v>Wed</v>
      </c>
      <c r="D679" s="381">
        <f t="shared" si="81"/>
        <v>1</v>
      </c>
      <c r="E679" s="382" t="s">
        <v>129</v>
      </c>
      <c r="F679" s="137" t="s">
        <v>129</v>
      </c>
      <c r="G679" s="137" t="s">
        <v>129</v>
      </c>
      <c r="H679" s="137" t="s">
        <v>129</v>
      </c>
      <c r="I679" s="137" t="s">
        <v>129</v>
      </c>
      <c r="J679" s="137" t="s">
        <v>129</v>
      </c>
      <c r="K679" s="137" t="s">
        <v>129</v>
      </c>
      <c r="L679" s="137" t="s">
        <v>129</v>
      </c>
      <c r="M679" s="141"/>
      <c r="N679" s="143"/>
    </row>
    <row r="680" hidden="1" outlineLevel="1">
      <c r="A680" s="255" t="s">
        <v>1313</v>
      </c>
      <c r="B680" s="420">
        <v>46233.0</v>
      </c>
      <c r="C680" s="133" t="str">
        <f t="shared" si="80"/>
        <v>Thu</v>
      </c>
      <c r="D680" s="383">
        <f t="shared" si="81"/>
        <v>1</v>
      </c>
      <c r="E680" s="147" t="s">
        <v>129</v>
      </c>
      <c r="F680" s="137" t="s">
        <v>129</v>
      </c>
      <c r="G680" s="137" t="s">
        <v>129</v>
      </c>
      <c r="H680" s="137" t="s">
        <v>129</v>
      </c>
      <c r="I680" s="137" t="s">
        <v>129</v>
      </c>
      <c r="J680" s="137" t="s">
        <v>129</v>
      </c>
      <c r="K680" s="137" t="s">
        <v>129</v>
      </c>
      <c r="L680" s="137" t="s">
        <v>129</v>
      </c>
      <c r="M680" s="141"/>
      <c r="N680" s="147"/>
    </row>
    <row r="681" hidden="1" outlineLevel="1">
      <c r="A681" s="255" t="s">
        <v>1315</v>
      </c>
      <c r="B681" s="420">
        <v>46233.0</v>
      </c>
      <c r="C681" s="133" t="str">
        <f t="shared" si="80"/>
        <v>Thu</v>
      </c>
      <c r="D681" s="381">
        <f t="shared" si="81"/>
        <v>1</v>
      </c>
      <c r="E681" s="382" t="s">
        <v>129</v>
      </c>
      <c r="F681" s="137" t="s">
        <v>129</v>
      </c>
      <c r="G681" s="137" t="s">
        <v>129</v>
      </c>
      <c r="H681" s="137" t="s">
        <v>129</v>
      </c>
      <c r="I681" s="137" t="s">
        <v>129</v>
      </c>
      <c r="J681" s="137" t="s">
        <v>129</v>
      </c>
      <c r="K681" s="137" t="s">
        <v>129</v>
      </c>
      <c r="L681" s="137" t="s">
        <v>129</v>
      </c>
      <c r="M681" s="141"/>
      <c r="N681" s="147"/>
    </row>
    <row r="682" hidden="1" outlineLevel="1">
      <c r="A682" s="255" t="s">
        <v>1316</v>
      </c>
      <c r="B682" s="420">
        <v>46233.0</v>
      </c>
      <c r="C682" s="133" t="str">
        <f t="shared" si="80"/>
        <v>Thu</v>
      </c>
      <c r="D682" s="383">
        <f t="shared" si="81"/>
        <v>1</v>
      </c>
      <c r="E682" s="147" t="s">
        <v>129</v>
      </c>
      <c r="F682" s="137" t="s">
        <v>129</v>
      </c>
      <c r="G682" s="137" t="s">
        <v>129</v>
      </c>
      <c r="H682" s="137" t="s">
        <v>129</v>
      </c>
      <c r="I682" s="137" t="s">
        <v>129</v>
      </c>
      <c r="J682" s="137" t="s">
        <v>129</v>
      </c>
      <c r="K682" s="137" t="s">
        <v>129</v>
      </c>
      <c r="L682" s="137" t="s">
        <v>129</v>
      </c>
      <c r="M682" s="141"/>
      <c r="N682" s="147"/>
    </row>
    <row r="683" hidden="1" outlineLevel="1">
      <c r="A683" s="255"/>
      <c r="B683" s="418"/>
      <c r="C683" s="133" t="str">
        <f t="shared" si="80"/>
        <v/>
      </c>
      <c r="D683" s="381">
        <f t="shared" si="81"/>
        <v>1</v>
      </c>
      <c r="E683" s="382" t="s">
        <v>129</v>
      </c>
      <c r="F683" s="137" t="s">
        <v>129</v>
      </c>
      <c r="G683" s="137" t="s">
        <v>129</v>
      </c>
      <c r="H683" s="137" t="s">
        <v>129</v>
      </c>
      <c r="I683" s="137" t="s">
        <v>129</v>
      </c>
      <c r="J683" s="137" t="s">
        <v>129</v>
      </c>
      <c r="K683" s="137" t="s">
        <v>129</v>
      </c>
      <c r="L683" s="137" t="s">
        <v>129</v>
      </c>
      <c r="M683" s="141"/>
      <c r="N683" s="143"/>
    </row>
    <row r="684" hidden="1" outlineLevel="1">
      <c r="A684" s="255"/>
      <c r="B684" s="418"/>
      <c r="C684" s="133" t="str">
        <f t="shared" si="80"/>
        <v/>
      </c>
      <c r="D684" s="383">
        <f t="shared" si="81"/>
        <v>1</v>
      </c>
      <c r="E684" s="147" t="s">
        <v>129</v>
      </c>
      <c r="F684" s="137" t="s">
        <v>129</v>
      </c>
      <c r="G684" s="137" t="s">
        <v>129</v>
      </c>
      <c r="H684" s="137" t="s">
        <v>129</v>
      </c>
      <c r="I684" s="137" t="s">
        <v>129</v>
      </c>
      <c r="J684" s="137" t="s">
        <v>129</v>
      </c>
      <c r="K684" s="137" t="s">
        <v>129</v>
      </c>
      <c r="L684" s="137" t="s">
        <v>129</v>
      </c>
      <c r="M684" s="141"/>
      <c r="N684" s="143"/>
    </row>
    <row r="685" ht="15.0" hidden="1" customHeight="1" outlineLevel="1">
      <c r="A685" s="255"/>
      <c r="B685" s="418"/>
      <c r="C685" s="133" t="str">
        <f t="shared" si="80"/>
        <v/>
      </c>
      <c r="D685" s="381">
        <f t="shared" si="81"/>
        <v>1</v>
      </c>
      <c r="E685" s="382" t="s">
        <v>129</v>
      </c>
      <c r="F685" s="137" t="s">
        <v>129</v>
      </c>
      <c r="G685" s="137" t="s">
        <v>129</v>
      </c>
      <c r="H685" s="137" t="s">
        <v>129</v>
      </c>
      <c r="I685" s="137" t="s">
        <v>129</v>
      </c>
      <c r="J685" s="137" t="s">
        <v>129</v>
      </c>
      <c r="K685" s="137" t="s">
        <v>129</v>
      </c>
      <c r="L685" s="137" t="s">
        <v>129</v>
      </c>
      <c r="M685" s="141"/>
      <c r="N685" s="147"/>
    </row>
    <row r="686" hidden="1" outlineLevel="1">
      <c r="B686" s="189"/>
      <c r="C686" s="191" t="s">
        <v>194</v>
      </c>
      <c r="D686" s="204">
        <f>AVERAGE(D671:D685)</f>
        <v>1</v>
      </c>
      <c r="E686" s="384"/>
      <c r="L686" s="191" t="s">
        <v>194</v>
      </c>
      <c r="M686" s="204">
        <f>SUM(M671:M685)/75*0.1</f>
        <v>0</v>
      </c>
    </row>
    <row r="687">
      <c r="A687" s="206" t="s">
        <v>1318</v>
      </c>
      <c r="B687" s="207"/>
      <c r="C687" s="207"/>
      <c r="D687" s="385"/>
      <c r="E687" s="109"/>
      <c r="F687" s="109"/>
      <c r="G687" s="110"/>
      <c r="H687" s="110"/>
      <c r="I687" s="110"/>
      <c r="J687" s="110"/>
      <c r="K687" s="110"/>
      <c r="L687" s="110"/>
      <c r="M687" s="111"/>
      <c r="N687" s="113"/>
    </row>
    <row r="688" outlineLevel="1">
      <c r="A688" s="373" t="s">
        <v>98</v>
      </c>
      <c r="B688" s="115" t="s">
        <v>100</v>
      </c>
      <c r="C688" s="115" t="s">
        <v>102</v>
      </c>
      <c r="D688" s="119" t="s">
        <v>103</v>
      </c>
      <c r="E688" s="275" t="s">
        <v>269</v>
      </c>
      <c r="F688" s="275" t="s">
        <v>272</v>
      </c>
      <c r="G688" s="276" t="s">
        <v>328</v>
      </c>
      <c r="H688" s="121" t="s">
        <v>107</v>
      </c>
      <c r="I688" s="121" t="s">
        <v>108</v>
      </c>
      <c r="J688" s="276" t="s">
        <v>329</v>
      </c>
      <c r="K688" s="121" t="s">
        <v>111</v>
      </c>
      <c r="L688" s="276" t="s">
        <v>274</v>
      </c>
      <c r="M688" s="115" t="s">
        <v>114</v>
      </c>
      <c r="N688" s="119" t="s">
        <v>115</v>
      </c>
    </row>
    <row r="689" outlineLevel="1">
      <c r="A689" s="255" t="s">
        <v>1320</v>
      </c>
      <c r="B689" s="420">
        <v>46237.0</v>
      </c>
      <c r="C689" s="133" t="str">
        <f t="shared" ref="C689:C703" si="82">IF(B689="", "", TEXT(B689, "ddd"))</f>
        <v>Mon</v>
      </c>
      <c r="D689" s="381">
        <f t="shared" ref="D689:D703" si="83">IF(E689="Yes",0.05,0)
+IF(F689="Yes",0.1,0)
+IF(G689="Yes",0.15,0)
+IF(H689="Yes",0.15,0)
+IF(I689="Yes",0.05,0)
+IF(J689="Yes",0.05,0)
+IF(K689="Yes",0.15,0)
+IF(L689="Yes",0.3,0)
</f>
        <v>1</v>
      </c>
      <c r="E689" s="382" t="s">
        <v>129</v>
      </c>
      <c r="F689" s="137" t="s">
        <v>129</v>
      </c>
      <c r="G689" s="137" t="s">
        <v>129</v>
      </c>
      <c r="H689" s="137" t="s">
        <v>129</v>
      </c>
      <c r="I689" s="137" t="s">
        <v>129</v>
      </c>
      <c r="J689" s="137" t="s">
        <v>129</v>
      </c>
      <c r="K689" s="137" t="s">
        <v>129</v>
      </c>
      <c r="L689" s="137" t="s">
        <v>129</v>
      </c>
      <c r="M689" s="141"/>
      <c r="N689" s="143"/>
    </row>
    <row r="690" outlineLevel="1">
      <c r="A690" s="255" t="s">
        <v>1322</v>
      </c>
      <c r="B690" s="420">
        <v>46237.0</v>
      </c>
      <c r="C690" s="133" t="str">
        <f t="shared" si="82"/>
        <v>Mon</v>
      </c>
      <c r="D690" s="383">
        <f t="shared" si="83"/>
        <v>1</v>
      </c>
      <c r="E690" s="147" t="s">
        <v>129</v>
      </c>
      <c r="F690" s="137" t="s">
        <v>129</v>
      </c>
      <c r="G690" s="137" t="s">
        <v>129</v>
      </c>
      <c r="H690" s="137" t="s">
        <v>129</v>
      </c>
      <c r="I690" s="137" t="s">
        <v>129</v>
      </c>
      <c r="J690" s="137" t="s">
        <v>129</v>
      </c>
      <c r="K690" s="137" t="s">
        <v>129</v>
      </c>
      <c r="L690" s="137" t="s">
        <v>129</v>
      </c>
      <c r="M690" s="141"/>
      <c r="N690" s="147"/>
    </row>
    <row r="691" outlineLevel="1">
      <c r="A691" s="255" t="s">
        <v>1324</v>
      </c>
      <c r="B691" s="420">
        <v>46237.0</v>
      </c>
      <c r="C691" s="133" t="str">
        <f t="shared" si="82"/>
        <v>Mon</v>
      </c>
      <c r="D691" s="381">
        <f t="shared" si="83"/>
        <v>1</v>
      </c>
      <c r="E691" s="382" t="s">
        <v>129</v>
      </c>
      <c r="F691" s="137" t="s">
        <v>129</v>
      </c>
      <c r="G691" s="137" t="s">
        <v>129</v>
      </c>
      <c r="H691" s="137" t="s">
        <v>129</v>
      </c>
      <c r="I691" s="137" t="s">
        <v>129</v>
      </c>
      <c r="J691" s="137" t="s">
        <v>129</v>
      </c>
      <c r="K691" s="137" t="s">
        <v>129</v>
      </c>
      <c r="L691" s="137" t="s">
        <v>129</v>
      </c>
      <c r="M691" s="141"/>
      <c r="N691" s="147"/>
    </row>
    <row r="692" outlineLevel="1">
      <c r="A692" s="255" t="s">
        <v>1325</v>
      </c>
      <c r="B692" s="420">
        <v>46238.0</v>
      </c>
      <c r="C692" s="133" t="str">
        <f t="shared" si="82"/>
        <v>Tue</v>
      </c>
      <c r="D692" s="383">
        <f t="shared" si="83"/>
        <v>1</v>
      </c>
      <c r="E692" s="147" t="s">
        <v>129</v>
      </c>
      <c r="F692" s="137" t="s">
        <v>129</v>
      </c>
      <c r="G692" s="137" t="s">
        <v>129</v>
      </c>
      <c r="H692" s="137" t="s">
        <v>129</v>
      </c>
      <c r="I692" s="137" t="s">
        <v>129</v>
      </c>
      <c r="J692" s="137" t="s">
        <v>129</v>
      </c>
      <c r="K692" s="137" t="s">
        <v>129</v>
      </c>
      <c r="L692" s="137" t="s">
        <v>129</v>
      </c>
      <c r="M692" s="141"/>
      <c r="N692" s="147"/>
    </row>
    <row r="693" outlineLevel="1">
      <c r="A693" s="255" t="s">
        <v>1327</v>
      </c>
      <c r="B693" s="420">
        <v>46238.0</v>
      </c>
      <c r="C693" s="133" t="str">
        <f t="shared" si="82"/>
        <v>Tue</v>
      </c>
      <c r="D693" s="381">
        <f t="shared" si="83"/>
        <v>1</v>
      </c>
      <c r="E693" s="382" t="s">
        <v>129</v>
      </c>
      <c r="F693" s="137" t="s">
        <v>129</v>
      </c>
      <c r="G693" s="137" t="s">
        <v>129</v>
      </c>
      <c r="H693" s="137" t="s">
        <v>129</v>
      </c>
      <c r="I693" s="137" t="s">
        <v>129</v>
      </c>
      <c r="J693" s="137" t="s">
        <v>129</v>
      </c>
      <c r="K693" s="137" t="s">
        <v>129</v>
      </c>
      <c r="L693" s="137" t="s">
        <v>129</v>
      </c>
      <c r="M693" s="141"/>
      <c r="N693" s="147"/>
    </row>
    <row r="694" outlineLevel="1">
      <c r="A694" s="255" t="s">
        <v>1329</v>
      </c>
      <c r="B694" s="420">
        <v>46238.0</v>
      </c>
      <c r="C694" s="133" t="str">
        <f t="shared" si="82"/>
        <v>Tue</v>
      </c>
      <c r="D694" s="383">
        <f t="shared" si="83"/>
        <v>1</v>
      </c>
      <c r="E694" s="147" t="s">
        <v>129</v>
      </c>
      <c r="F694" s="137" t="s">
        <v>129</v>
      </c>
      <c r="G694" s="137" t="s">
        <v>129</v>
      </c>
      <c r="H694" s="137" t="s">
        <v>129</v>
      </c>
      <c r="I694" s="137" t="s">
        <v>129</v>
      </c>
      <c r="J694" s="137" t="s">
        <v>129</v>
      </c>
      <c r="K694" s="137" t="s">
        <v>129</v>
      </c>
      <c r="L694" s="137" t="s">
        <v>129</v>
      </c>
      <c r="M694" s="141"/>
      <c r="N694" s="147"/>
    </row>
    <row r="695" outlineLevel="1">
      <c r="A695" s="255" t="s">
        <v>1330</v>
      </c>
      <c r="B695" s="418">
        <v>46239.0</v>
      </c>
      <c r="C695" s="133" t="str">
        <f t="shared" si="82"/>
        <v>Wed</v>
      </c>
      <c r="D695" s="381">
        <f t="shared" si="83"/>
        <v>0</v>
      </c>
      <c r="E695" s="382"/>
      <c r="F695" s="137"/>
      <c r="G695" s="137"/>
      <c r="H695" s="137"/>
      <c r="I695" s="137"/>
      <c r="J695" s="137"/>
      <c r="K695" s="137"/>
      <c r="L695" s="137"/>
      <c r="M695" s="141"/>
      <c r="N695" s="143"/>
    </row>
    <row r="696" outlineLevel="1">
      <c r="A696" s="255" t="s">
        <v>1332</v>
      </c>
      <c r="B696" s="418">
        <v>46239.0</v>
      </c>
      <c r="C696" s="133" t="str">
        <f t="shared" si="82"/>
        <v>Wed</v>
      </c>
      <c r="D696" s="383">
        <f t="shared" si="83"/>
        <v>0</v>
      </c>
      <c r="E696" s="147"/>
      <c r="F696" s="137"/>
      <c r="G696" s="137"/>
      <c r="H696" s="137"/>
      <c r="I696" s="137"/>
      <c r="J696" s="137"/>
      <c r="K696" s="137"/>
      <c r="L696" s="137"/>
      <c r="M696" s="141"/>
      <c r="N696" s="147"/>
    </row>
    <row r="697" outlineLevel="1">
      <c r="A697" s="255" t="s">
        <v>1333</v>
      </c>
      <c r="B697" s="418">
        <v>46239.0</v>
      </c>
      <c r="C697" s="133" t="str">
        <f t="shared" si="82"/>
        <v>Wed</v>
      </c>
      <c r="D697" s="381">
        <f t="shared" si="83"/>
        <v>0</v>
      </c>
      <c r="E697" s="382"/>
      <c r="F697" s="137"/>
      <c r="G697" s="137"/>
      <c r="H697" s="137"/>
      <c r="I697" s="137"/>
      <c r="J697" s="137"/>
      <c r="K697" s="137"/>
      <c r="L697" s="137"/>
      <c r="M697" s="141"/>
      <c r="N697" s="143"/>
    </row>
    <row r="698" outlineLevel="1">
      <c r="A698" s="255" t="s">
        <v>1335</v>
      </c>
      <c r="B698" s="418">
        <v>46240.0</v>
      </c>
      <c r="C698" s="133" t="str">
        <f t="shared" si="82"/>
        <v>Thu</v>
      </c>
      <c r="D698" s="383">
        <f t="shared" si="83"/>
        <v>0</v>
      </c>
      <c r="E698" s="147"/>
      <c r="F698" s="137"/>
      <c r="G698" s="137"/>
      <c r="H698" s="137"/>
      <c r="I698" s="137"/>
      <c r="J698" s="137"/>
      <c r="K698" s="137"/>
      <c r="L698" s="137"/>
      <c r="M698" s="141"/>
      <c r="N698" s="147"/>
    </row>
    <row r="699" outlineLevel="1">
      <c r="A699" s="255" t="s">
        <v>1337</v>
      </c>
      <c r="B699" s="418">
        <v>46240.0</v>
      </c>
      <c r="C699" s="133" t="str">
        <f t="shared" si="82"/>
        <v>Thu</v>
      </c>
      <c r="D699" s="381">
        <f t="shared" si="83"/>
        <v>0</v>
      </c>
      <c r="E699" s="382"/>
      <c r="F699" s="137"/>
      <c r="G699" s="137"/>
      <c r="H699" s="137"/>
      <c r="I699" s="137"/>
      <c r="J699" s="137"/>
      <c r="K699" s="137"/>
      <c r="L699" s="137"/>
      <c r="M699" s="141"/>
      <c r="N699" s="147"/>
    </row>
    <row r="700" outlineLevel="1">
      <c r="A700" s="255" t="s">
        <v>1338</v>
      </c>
      <c r="B700" s="418">
        <v>46240.0</v>
      </c>
      <c r="C700" s="133" t="str">
        <f t="shared" si="82"/>
        <v>Thu</v>
      </c>
      <c r="D700" s="383">
        <f t="shared" si="83"/>
        <v>0</v>
      </c>
      <c r="E700" s="147"/>
      <c r="F700" s="137"/>
      <c r="G700" s="137"/>
      <c r="H700" s="137"/>
      <c r="I700" s="137"/>
      <c r="J700" s="137"/>
      <c r="K700" s="137"/>
      <c r="L700" s="137"/>
      <c r="M700" s="141"/>
      <c r="N700" s="147"/>
    </row>
    <row r="701" outlineLevel="1">
      <c r="A701" s="255" t="s">
        <v>1339</v>
      </c>
      <c r="B701" s="418">
        <v>46241.0</v>
      </c>
      <c r="C701" s="133" t="str">
        <f t="shared" si="82"/>
        <v>Fri</v>
      </c>
      <c r="D701" s="381">
        <f t="shared" si="83"/>
        <v>0</v>
      </c>
      <c r="E701" s="382"/>
      <c r="F701" s="137"/>
      <c r="G701" s="137"/>
      <c r="H701" s="137"/>
      <c r="I701" s="137"/>
      <c r="J701" s="137"/>
      <c r="K701" s="137"/>
      <c r="L701" s="137"/>
      <c r="M701" s="141"/>
      <c r="N701" s="143"/>
    </row>
    <row r="702" outlineLevel="1">
      <c r="A702" s="255" t="s">
        <v>1340</v>
      </c>
      <c r="B702" s="418">
        <v>46241.0</v>
      </c>
      <c r="C702" s="133" t="str">
        <f t="shared" si="82"/>
        <v>Fri</v>
      </c>
      <c r="D702" s="383">
        <f t="shared" si="83"/>
        <v>0</v>
      </c>
      <c r="E702" s="147"/>
      <c r="F702" s="137"/>
      <c r="G702" s="137"/>
      <c r="H702" s="137"/>
      <c r="I702" s="137"/>
      <c r="J702" s="137"/>
      <c r="K702" s="137"/>
      <c r="L702" s="137"/>
      <c r="M702" s="141"/>
      <c r="N702" s="143"/>
    </row>
    <row r="703" ht="15.0" customHeight="1" outlineLevel="1">
      <c r="A703" s="255" t="s">
        <v>1342</v>
      </c>
      <c r="B703" s="418">
        <v>46241.0</v>
      </c>
      <c r="C703" s="133" t="str">
        <f t="shared" si="82"/>
        <v>Fri</v>
      </c>
      <c r="D703" s="381">
        <f t="shared" si="83"/>
        <v>0</v>
      </c>
      <c r="E703" s="382"/>
      <c r="F703" s="137"/>
      <c r="G703" s="137"/>
      <c r="H703" s="137"/>
      <c r="I703" s="137"/>
      <c r="J703" s="137"/>
      <c r="K703" s="137"/>
      <c r="L703" s="137"/>
      <c r="M703" s="141"/>
      <c r="N703" s="147"/>
    </row>
    <row r="704" outlineLevel="1">
      <c r="B704" s="189"/>
      <c r="C704" s="191" t="s">
        <v>194</v>
      </c>
      <c r="D704" s="204">
        <f>AVERAGE(D689:D703)</f>
        <v>0.4</v>
      </c>
      <c r="E704" s="384"/>
      <c r="L704" s="191" t="s">
        <v>194</v>
      </c>
      <c r="M704" s="204">
        <f>SUM(M689:M703)/75*0.1</f>
        <v>0</v>
      </c>
    </row>
    <row r="705">
      <c r="B705" s="189"/>
    </row>
    <row r="706">
      <c r="B706" s="189"/>
    </row>
    <row r="707">
      <c r="B707" s="189"/>
    </row>
    <row r="708">
      <c r="B708" s="189"/>
    </row>
    <row r="709">
      <c r="B709" s="189"/>
    </row>
    <row r="710">
      <c r="B710" s="189"/>
    </row>
    <row r="711">
      <c r="B711" s="189"/>
    </row>
    <row r="712">
      <c r="B712" s="189"/>
    </row>
    <row r="713">
      <c r="B713" s="189"/>
    </row>
    <row r="714">
      <c r="B714" s="189"/>
    </row>
    <row r="715">
      <c r="B715" s="189"/>
    </row>
    <row r="716">
      <c r="B716" s="189"/>
    </row>
    <row r="717">
      <c r="B717" s="189"/>
    </row>
    <row r="718">
      <c r="B718" s="189"/>
    </row>
    <row r="719">
      <c r="B719" s="189"/>
    </row>
    <row r="720">
      <c r="B720" s="189"/>
    </row>
    <row r="721">
      <c r="B721" s="189"/>
    </row>
    <row r="722">
      <c r="B722" s="189"/>
    </row>
    <row r="723">
      <c r="B723" s="189"/>
    </row>
    <row r="724">
      <c r="B724" s="189"/>
    </row>
    <row r="725">
      <c r="B725" s="189"/>
    </row>
    <row r="726">
      <c r="B726" s="189"/>
    </row>
    <row r="727">
      <c r="B727" s="189"/>
    </row>
    <row r="728">
      <c r="B728" s="189"/>
    </row>
    <row r="729">
      <c r="B729" s="189"/>
    </row>
    <row r="730">
      <c r="B730" s="189"/>
    </row>
    <row r="731">
      <c r="B731" s="189"/>
    </row>
    <row r="732">
      <c r="B732" s="189"/>
    </row>
    <row r="733">
      <c r="B733" s="189"/>
    </row>
    <row r="734">
      <c r="B734" s="189"/>
    </row>
    <row r="735">
      <c r="B735" s="189"/>
    </row>
    <row r="736">
      <c r="B736" s="189"/>
    </row>
    <row r="737">
      <c r="B737" s="189"/>
    </row>
    <row r="738">
      <c r="B738" s="189"/>
    </row>
    <row r="739">
      <c r="B739" s="189"/>
    </row>
    <row r="740">
      <c r="B740" s="189"/>
    </row>
    <row r="741">
      <c r="B741" s="189"/>
    </row>
    <row r="742">
      <c r="B742" s="189"/>
    </row>
    <row r="743">
      <c r="B743" s="189"/>
    </row>
    <row r="744">
      <c r="B744" s="189"/>
    </row>
    <row r="745">
      <c r="B745" s="189"/>
    </row>
    <row r="746">
      <c r="B746" s="189"/>
    </row>
    <row r="747">
      <c r="B747" s="189"/>
    </row>
    <row r="748">
      <c r="B748" s="189"/>
    </row>
    <row r="749">
      <c r="B749" s="189"/>
    </row>
    <row r="750">
      <c r="B750" s="189"/>
    </row>
    <row r="751">
      <c r="B751" s="189"/>
    </row>
    <row r="752">
      <c r="B752" s="189"/>
    </row>
    <row r="753">
      <c r="B753" s="189"/>
    </row>
    <row r="754">
      <c r="B754" s="189"/>
    </row>
    <row r="755">
      <c r="B755" s="189"/>
    </row>
    <row r="756">
      <c r="B756" s="189"/>
    </row>
    <row r="757">
      <c r="B757" s="189"/>
    </row>
    <row r="758">
      <c r="B758" s="189"/>
    </row>
    <row r="759">
      <c r="B759" s="189"/>
    </row>
    <row r="760">
      <c r="B760" s="189"/>
    </row>
    <row r="761">
      <c r="B761" s="189"/>
    </row>
    <row r="762">
      <c r="B762" s="189"/>
    </row>
    <row r="763">
      <c r="B763" s="189"/>
    </row>
    <row r="764">
      <c r="B764" s="189"/>
    </row>
    <row r="765">
      <c r="B765" s="189"/>
    </row>
    <row r="766">
      <c r="B766" s="189"/>
    </row>
    <row r="767">
      <c r="B767" s="189"/>
    </row>
    <row r="768">
      <c r="B768" s="189"/>
    </row>
    <row r="769">
      <c r="B769" s="189"/>
    </row>
    <row r="770">
      <c r="B770" s="189"/>
    </row>
    <row r="771">
      <c r="B771" s="189"/>
    </row>
    <row r="772">
      <c r="B772" s="189"/>
    </row>
    <row r="773">
      <c r="B773" s="189"/>
    </row>
    <row r="774">
      <c r="B774" s="189"/>
    </row>
    <row r="775">
      <c r="B775" s="189"/>
    </row>
    <row r="776">
      <c r="B776" s="189"/>
    </row>
    <row r="777">
      <c r="B777" s="189"/>
    </row>
    <row r="778">
      <c r="B778" s="189"/>
    </row>
    <row r="779">
      <c r="B779" s="189"/>
    </row>
    <row r="780">
      <c r="B780" s="189"/>
    </row>
    <row r="781">
      <c r="B781" s="189"/>
    </row>
    <row r="782">
      <c r="B782" s="189"/>
    </row>
    <row r="783">
      <c r="B783" s="189"/>
    </row>
    <row r="784">
      <c r="B784" s="189"/>
    </row>
    <row r="785">
      <c r="B785" s="189"/>
    </row>
    <row r="786">
      <c r="B786" s="189"/>
    </row>
    <row r="787">
      <c r="B787" s="189"/>
    </row>
    <row r="788">
      <c r="B788" s="189"/>
    </row>
    <row r="789">
      <c r="B789" s="189"/>
    </row>
    <row r="790">
      <c r="B790" s="189"/>
    </row>
    <row r="791">
      <c r="B791" s="189"/>
    </row>
    <row r="792">
      <c r="B792" s="189"/>
    </row>
    <row r="793">
      <c r="B793" s="189"/>
    </row>
    <row r="794">
      <c r="B794" s="189"/>
    </row>
    <row r="795">
      <c r="B795" s="189"/>
    </row>
    <row r="796">
      <c r="B796" s="189"/>
    </row>
    <row r="797">
      <c r="B797" s="189"/>
    </row>
    <row r="798">
      <c r="B798" s="189"/>
    </row>
    <row r="799">
      <c r="B799" s="189"/>
    </row>
    <row r="800">
      <c r="B800" s="189"/>
    </row>
    <row r="801">
      <c r="B801" s="189"/>
    </row>
    <row r="802">
      <c r="B802" s="189"/>
    </row>
    <row r="803">
      <c r="B803" s="189"/>
    </row>
    <row r="804">
      <c r="B804" s="189"/>
    </row>
    <row r="805">
      <c r="B805" s="189"/>
    </row>
    <row r="806">
      <c r="B806" s="189"/>
    </row>
    <row r="807">
      <c r="B807" s="189"/>
    </row>
    <row r="808">
      <c r="B808" s="189"/>
    </row>
    <row r="809">
      <c r="B809" s="189"/>
    </row>
    <row r="810">
      <c r="B810" s="189"/>
    </row>
    <row r="811">
      <c r="B811" s="189"/>
    </row>
    <row r="812">
      <c r="B812" s="189"/>
    </row>
    <row r="813">
      <c r="B813" s="189"/>
    </row>
    <row r="814">
      <c r="B814" s="189"/>
    </row>
    <row r="815">
      <c r="B815" s="189"/>
    </row>
    <row r="816">
      <c r="B816" s="189"/>
    </row>
    <row r="817">
      <c r="B817" s="189"/>
    </row>
    <row r="818">
      <c r="B818" s="189"/>
    </row>
    <row r="819">
      <c r="B819" s="189"/>
    </row>
    <row r="820">
      <c r="B820" s="189"/>
    </row>
    <row r="821">
      <c r="B821" s="189"/>
    </row>
    <row r="822">
      <c r="B822" s="189"/>
    </row>
    <row r="823">
      <c r="B823" s="189"/>
    </row>
    <row r="824">
      <c r="B824" s="189"/>
    </row>
    <row r="825">
      <c r="B825" s="189"/>
    </row>
    <row r="826">
      <c r="B826" s="189"/>
    </row>
    <row r="827">
      <c r="B827" s="189"/>
    </row>
    <row r="828">
      <c r="B828" s="189"/>
    </row>
    <row r="829">
      <c r="B829" s="189"/>
    </row>
    <row r="830">
      <c r="B830" s="189"/>
    </row>
    <row r="831">
      <c r="B831" s="189"/>
    </row>
    <row r="832">
      <c r="B832" s="189"/>
    </row>
    <row r="833">
      <c r="B833" s="189"/>
    </row>
    <row r="834">
      <c r="B834" s="189"/>
    </row>
    <row r="835">
      <c r="B835" s="189"/>
    </row>
    <row r="836">
      <c r="B836" s="189"/>
    </row>
    <row r="837">
      <c r="B837" s="189"/>
    </row>
    <row r="838">
      <c r="B838" s="189"/>
    </row>
    <row r="839">
      <c r="B839" s="189"/>
    </row>
    <row r="840">
      <c r="B840" s="189"/>
    </row>
    <row r="841">
      <c r="B841" s="189"/>
    </row>
    <row r="842">
      <c r="B842" s="189"/>
    </row>
    <row r="843">
      <c r="B843" s="189"/>
    </row>
    <row r="844">
      <c r="B844" s="189"/>
    </row>
    <row r="845">
      <c r="B845" s="189"/>
    </row>
    <row r="846">
      <c r="B846" s="189"/>
    </row>
    <row r="847">
      <c r="B847" s="189"/>
    </row>
    <row r="848">
      <c r="B848" s="189"/>
    </row>
    <row r="849">
      <c r="B849" s="189"/>
    </row>
    <row r="850">
      <c r="B850" s="189"/>
    </row>
    <row r="851">
      <c r="B851" s="189"/>
    </row>
    <row r="852">
      <c r="B852" s="189"/>
    </row>
    <row r="853">
      <c r="B853" s="189"/>
    </row>
    <row r="854">
      <c r="B854" s="189"/>
    </row>
    <row r="855">
      <c r="B855" s="189"/>
    </row>
    <row r="856">
      <c r="B856" s="189"/>
    </row>
    <row r="857">
      <c r="B857" s="189"/>
    </row>
    <row r="858">
      <c r="B858" s="189"/>
    </row>
    <row r="859">
      <c r="B859" s="189"/>
    </row>
    <row r="860">
      <c r="B860" s="189"/>
    </row>
    <row r="861">
      <c r="B861" s="189"/>
    </row>
    <row r="862">
      <c r="B862" s="189"/>
    </row>
    <row r="863">
      <c r="B863" s="189"/>
    </row>
    <row r="864">
      <c r="B864" s="189"/>
    </row>
    <row r="865">
      <c r="B865" s="189"/>
    </row>
    <row r="866">
      <c r="B866" s="189"/>
    </row>
    <row r="867">
      <c r="B867" s="189"/>
    </row>
    <row r="868">
      <c r="B868" s="189"/>
    </row>
    <row r="869">
      <c r="B869" s="189"/>
    </row>
    <row r="870">
      <c r="B870" s="189"/>
    </row>
    <row r="871">
      <c r="B871" s="189"/>
    </row>
    <row r="872">
      <c r="B872" s="189"/>
    </row>
    <row r="873">
      <c r="B873" s="189"/>
    </row>
    <row r="874">
      <c r="B874" s="189"/>
    </row>
    <row r="875">
      <c r="B875" s="189"/>
    </row>
    <row r="876">
      <c r="B876" s="189"/>
    </row>
    <row r="877">
      <c r="B877" s="189"/>
    </row>
    <row r="878">
      <c r="B878" s="189"/>
    </row>
    <row r="879">
      <c r="B879" s="189"/>
    </row>
    <row r="880">
      <c r="B880" s="189"/>
    </row>
    <row r="881">
      <c r="B881" s="189"/>
    </row>
    <row r="882">
      <c r="B882" s="189"/>
    </row>
    <row r="883">
      <c r="B883" s="189"/>
    </row>
    <row r="884">
      <c r="B884" s="189"/>
    </row>
    <row r="885">
      <c r="B885" s="189"/>
    </row>
    <row r="886">
      <c r="B886" s="189"/>
    </row>
    <row r="887">
      <c r="B887" s="189"/>
    </row>
    <row r="888">
      <c r="B888" s="189"/>
    </row>
    <row r="889">
      <c r="B889" s="189"/>
    </row>
    <row r="890">
      <c r="B890" s="189"/>
    </row>
    <row r="891">
      <c r="B891" s="189"/>
    </row>
    <row r="892">
      <c r="B892" s="189"/>
    </row>
    <row r="893">
      <c r="B893" s="189"/>
    </row>
    <row r="894">
      <c r="B894" s="189"/>
    </row>
    <row r="895">
      <c r="B895" s="189"/>
    </row>
    <row r="896">
      <c r="B896" s="189"/>
    </row>
    <row r="897">
      <c r="B897" s="189"/>
    </row>
    <row r="898">
      <c r="B898" s="189"/>
    </row>
    <row r="899">
      <c r="B899" s="189"/>
    </row>
    <row r="900">
      <c r="B900" s="189"/>
    </row>
    <row r="901">
      <c r="B901" s="189"/>
    </row>
    <row r="902">
      <c r="B902" s="189"/>
    </row>
    <row r="903">
      <c r="B903" s="189"/>
    </row>
    <row r="904">
      <c r="B904" s="189"/>
    </row>
    <row r="905">
      <c r="B905" s="189"/>
    </row>
    <row r="906">
      <c r="B906" s="189"/>
    </row>
    <row r="907">
      <c r="B907" s="189"/>
    </row>
    <row r="908">
      <c r="B908" s="189"/>
    </row>
    <row r="909">
      <c r="B909" s="189"/>
    </row>
    <row r="910">
      <c r="B910" s="189"/>
    </row>
    <row r="911">
      <c r="B911" s="189"/>
    </row>
    <row r="912">
      <c r="B912" s="189"/>
    </row>
    <row r="913">
      <c r="B913" s="189"/>
    </row>
    <row r="914">
      <c r="B914" s="189"/>
    </row>
    <row r="915">
      <c r="B915" s="189"/>
    </row>
    <row r="916">
      <c r="B916" s="189"/>
    </row>
    <row r="917">
      <c r="B917" s="189"/>
    </row>
    <row r="918">
      <c r="B918" s="189"/>
    </row>
    <row r="919">
      <c r="B919" s="189"/>
    </row>
    <row r="920">
      <c r="B920" s="189"/>
    </row>
    <row r="921">
      <c r="B921" s="189"/>
    </row>
    <row r="922">
      <c r="B922" s="189"/>
    </row>
    <row r="923">
      <c r="B923" s="189"/>
    </row>
    <row r="924">
      <c r="B924" s="189"/>
    </row>
    <row r="925">
      <c r="B925" s="189"/>
    </row>
    <row r="926">
      <c r="B926" s="189"/>
    </row>
    <row r="927">
      <c r="B927" s="189"/>
    </row>
    <row r="928">
      <c r="B928" s="189"/>
    </row>
    <row r="929">
      <c r="B929" s="189"/>
    </row>
    <row r="930">
      <c r="B930" s="189"/>
    </row>
    <row r="931">
      <c r="B931" s="189"/>
    </row>
    <row r="932">
      <c r="B932" s="189"/>
    </row>
    <row r="933">
      <c r="B933" s="189"/>
    </row>
    <row r="934">
      <c r="B934" s="189"/>
    </row>
    <row r="935">
      <c r="B935" s="189"/>
    </row>
    <row r="936">
      <c r="B936" s="189"/>
    </row>
    <row r="937">
      <c r="B937" s="189"/>
    </row>
    <row r="938">
      <c r="B938" s="189"/>
    </row>
    <row r="939">
      <c r="B939" s="189"/>
    </row>
    <row r="940">
      <c r="B940" s="189"/>
    </row>
    <row r="941">
      <c r="B941" s="189"/>
    </row>
    <row r="942">
      <c r="B942" s="189"/>
    </row>
    <row r="943">
      <c r="B943" s="189"/>
    </row>
    <row r="944">
      <c r="B944" s="189"/>
    </row>
    <row r="945">
      <c r="B945" s="189"/>
    </row>
    <row r="946">
      <c r="B946" s="189"/>
    </row>
    <row r="947">
      <c r="B947" s="189"/>
    </row>
    <row r="948">
      <c r="B948" s="189"/>
    </row>
    <row r="949">
      <c r="B949" s="189"/>
    </row>
    <row r="950">
      <c r="B950" s="189"/>
    </row>
    <row r="951">
      <c r="B951" s="189"/>
    </row>
    <row r="952">
      <c r="B952" s="189"/>
    </row>
    <row r="953">
      <c r="B953" s="189"/>
    </row>
    <row r="954">
      <c r="B954" s="189"/>
    </row>
    <row r="955">
      <c r="B955" s="189"/>
    </row>
    <row r="956">
      <c r="B956" s="189"/>
    </row>
    <row r="957">
      <c r="B957" s="189"/>
    </row>
    <row r="958">
      <c r="B958" s="189"/>
    </row>
    <row r="959">
      <c r="B959" s="189"/>
    </row>
    <row r="960">
      <c r="B960" s="189"/>
    </row>
    <row r="961">
      <c r="B961" s="189"/>
    </row>
    <row r="962">
      <c r="B962" s="189"/>
    </row>
    <row r="963">
      <c r="B963" s="189"/>
    </row>
    <row r="964">
      <c r="B964" s="189"/>
    </row>
    <row r="965">
      <c r="B965" s="189"/>
    </row>
    <row r="966">
      <c r="B966" s="189"/>
    </row>
    <row r="967">
      <c r="B967" s="189"/>
    </row>
    <row r="968">
      <c r="B968" s="189"/>
    </row>
    <row r="969">
      <c r="B969" s="189"/>
    </row>
    <row r="970">
      <c r="B970" s="189"/>
    </row>
    <row r="971">
      <c r="B971" s="189"/>
    </row>
    <row r="972">
      <c r="B972" s="189"/>
    </row>
    <row r="973">
      <c r="B973" s="189"/>
    </row>
    <row r="974">
      <c r="B974" s="189"/>
    </row>
    <row r="975">
      <c r="B975" s="189"/>
    </row>
    <row r="976">
      <c r="B976" s="189"/>
    </row>
    <row r="977">
      <c r="B977" s="189"/>
    </row>
    <row r="978">
      <c r="B978" s="189"/>
    </row>
    <row r="979">
      <c r="B979" s="189"/>
    </row>
    <row r="980">
      <c r="B980" s="189"/>
    </row>
    <row r="981">
      <c r="B981" s="189"/>
    </row>
    <row r="982">
      <c r="B982" s="189"/>
    </row>
    <row r="983">
      <c r="B983" s="189"/>
    </row>
    <row r="984">
      <c r="B984" s="189"/>
    </row>
    <row r="985">
      <c r="B985" s="189"/>
    </row>
    <row r="986">
      <c r="B986" s="189"/>
    </row>
    <row r="987">
      <c r="B987" s="189"/>
    </row>
    <row r="988">
      <c r="B988" s="189"/>
    </row>
    <row r="989">
      <c r="B989" s="189"/>
    </row>
    <row r="990">
      <c r="B990" s="189"/>
    </row>
    <row r="991">
      <c r="B991" s="189"/>
    </row>
    <row r="992">
      <c r="B992" s="189"/>
    </row>
    <row r="993">
      <c r="B993" s="189"/>
    </row>
    <row r="994">
      <c r="B994" s="189"/>
    </row>
    <row r="995">
      <c r="B995" s="189"/>
    </row>
    <row r="996">
      <c r="B996" s="189"/>
    </row>
    <row r="997">
      <c r="B997" s="189"/>
    </row>
    <row r="998">
      <c r="B998" s="189"/>
    </row>
    <row r="999">
      <c r="B999" s="189"/>
    </row>
    <row r="1000">
      <c r="B1000" s="189"/>
    </row>
    <row r="1001">
      <c r="B1001" s="189"/>
    </row>
    <row r="1002">
      <c r="B1002" s="189"/>
    </row>
  </sheetData>
  <mergeCells count="39">
    <mergeCell ref="A2:D2"/>
    <mergeCell ref="A20:D20"/>
    <mergeCell ref="A38:D38"/>
    <mergeCell ref="A57:D57"/>
    <mergeCell ref="A75:D75"/>
    <mergeCell ref="A93:D93"/>
    <mergeCell ref="A111:D111"/>
    <mergeCell ref="A129:D129"/>
    <mergeCell ref="A147:D147"/>
    <mergeCell ref="A165:D165"/>
    <mergeCell ref="A183:D183"/>
    <mergeCell ref="A201:D201"/>
    <mergeCell ref="A219:D219"/>
    <mergeCell ref="A237:D237"/>
    <mergeCell ref="A255:D255"/>
    <mergeCell ref="A273:D273"/>
    <mergeCell ref="A291:D291"/>
    <mergeCell ref="A309:D309"/>
    <mergeCell ref="A327:D327"/>
    <mergeCell ref="A345:D345"/>
    <mergeCell ref="A363:D363"/>
    <mergeCell ref="A381:D381"/>
    <mergeCell ref="A399:D399"/>
    <mergeCell ref="A417:D417"/>
    <mergeCell ref="A435:D435"/>
    <mergeCell ref="A453:D453"/>
    <mergeCell ref="A471:D471"/>
    <mergeCell ref="A489:D489"/>
    <mergeCell ref="A633:D633"/>
    <mergeCell ref="A651:D651"/>
    <mergeCell ref="A669:D669"/>
    <mergeCell ref="A687:D687"/>
    <mergeCell ref="A507:D507"/>
    <mergeCell ref="A525:D525"/>
    <mergeCell ref="A543:D543"/>
    <mergeCell ref="A561:D561"/>
    <mergeCell ref="A579:D579"/>
    <mergeCell ref="A597:D597"/>
    <mergeCell ref="A615:D615"/>
  </mergeCells>
  <conditionalFormatting sqref="A111:N704">
    <cfRule type="cellIs" dxfId="6" priority="1" operator="equal">
      <formula>"Absent"</formula>
    </cfRule>
  </conditionalFormatting>
  <conditionalFormatting sqref="E62:L64 E77:E88 F77:L91 B83:B91 A95:A97 B95:B109 C95:D97 E95:L109 A113:A115 B113:B127 C113:D115 E113:L127 A131:A133 B131:B145 C131:D133 E131:L145 A149:A151 B149:B163 C149:D151 E149:L163 A167:A169 B167:B181 C167:D169 E167:L181 A179:A181 A185:A187 B185:B199 C185:D187 E185:L199 A203:A205 B203:B217 C203:D205 E203:L217 C212:C214 A221:A223 B221:B235 C221:D223 E221:L235 C233:C235 A239:A241 B239:B253 C239:D241 E239:L253 C251:C253 A257:A259 B257:B271 C257:D259 E257:L271 C269:C271 A275:A277 B275:B289 C275:D277 E275:L289 C287:C289 A293:A295 B293:B307 C293:D295 E293:L307 C305:C307 A311:A313 B311:B325 C311:D313 E311:L325 C323:C325 M323:N325 A329:A331 B329:B343 C329:D331 E329:L343 C341:C343 A347:A349 B347:B361 C347:D349 E347:L361 C359:C361 A365:A367 B365:B379 C365:D367 E365:L379 C377:C379 A383:A385 B383:B397 C383:D385 E383:L397 C395:C397 A401:A403 B401:B415 C401:D403 E401:L415 C413:C415 A419:A421 B419:B433 C419:D421 E419:L433 C431:C433 A437:A439 B437:B451 C437:D439 E437:L451 A449:A451 C449:D451 A455:A457 B455:B469 C455:D457 E455:L469 A467:A469 C467:D469 A473:A475 B473:B487 C473:D475 E473:L487 A485:A487 C485:D487 A491:A493 B491:B505 C491:D493 E491:L505 A503:A505 C503:D505 A509:A511 B509:B523 C509:D511 E509:L523 A521:A523 C521:D523 A527:A529 B527:B541 C527:D529 E527:L541 A539:A541 C539:D541 A545:A547 B545:B559 C545:D547 E545:L559 A557:A559 C557:D559 A563:B577 C563:D565 E563:L577 C575:D577 A581:B595 C581:D583 E581:L595 C593:D595 A599:B613 C599:D601 E599:L613 C611:D613 A617:B631 C617:D619 E617:L631 C629:D631 A635:B649 C635:D637 E635:L649 C647:D649 A653:B667 C653:D655 E653:L667 C665:D667 A671:B685 C671:D673 E671:L685 C683:D685 A689:B703 C689:D691 E689:L703 C701:D703">
    <cfRule type="cellIs" dxfId="7" priority="2" operator="equal">
      <formula>"LWOP"</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8" priority="3" operator="equal">
      <formula>"OFF"</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9" priority="4" operator="equal">
      <formula>"A"</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10" priority="5" operator="equal">
      <formula>"LWOP"</formula>
    </cfRule>
  </conditionalFormatting>
  <dataValidations>
    <dataValidation type="list" allowBlank="1" showErrorMessage="1" sqref="E4:L18 E22:L36 E40:L54 E59:L73 E77:L91 E95:L109 E113:L127 E131:L145 E149:L163 E167:L181 E185:L199 E203:L217 E221:L235 E239:L253 E257:L271 E275:L289 E293:L307 E311:L322 E323:M325 E329:L343 E347:L361 E365:L379 E383:L397 E401:L415 E419:L433 E437:L451 E455:L469 E473:L487 E491:L505 E509:L523 E527:L541 E545:L559 E563:L577 E581:L595 E599:L613 E617:L631 E635:L649 E653:L667 E671:L685 E689:L703">
      <formula1>"Yes,No"</formula1>
    </dataValidation>
  </dataValidations>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22"/>
    <hyperlink r:id="rId17" ref="A23"/>
    <hyperlink r:id="rId18" ref="A24"/>
    <hyperlink r:id="rId19" ref="A25"/>
    <hyperlink r:id="rId20" ref="A26"/>
    <hyperlink r:id="rId21" ref="A27"/>
    <hyperlink r:id="rId22" ref="A28"/>
    <hyperlink r:id="rId23" ref="A29"/>
    <hyperlink r:id="rId24" ref="A30"/>
    <hyperlink r:id="rId25" ref="A31"/>
    <hyperlink r:id="rId26" ref="A32"/>
    <hyperlink r:id="rId27" ref="A33"/>
    <hyperlink r:id="rId28" ref="A34"/>
    <hyperlink r:id="rId29" ref="A35"/>
    <hyperlink r:id="rId30" ref="A36"/>
    <hyperlink r:id="rId31" ref="A40"/>
    <hyperlink r:id="rId32" ref="A41"/>
    <hyperlink r:id="rId33" ref="A42"/>
    <hyperlink r:id="rId34" ref="A43"/>
    <hyperlink r:id="rId35" ref="A44"/>
    <hyperlink r:id="rId36" ref="A45"/>
    <hyperlink r:id="rId37" ref="A46"/>
    <hyperlink r:id="rId38" ref="A47"/>
    <hyperlink r:id="rId39" ref="A48"/>
    <hyperlink r:id="rId40" ref="A49"/>
    <hyperlink r:id="rId41" ref="A50"/>
    <hyperlink r:id="rId42" ref="A51"/>
    <hyperlink r:id="rId43" ref="A52"/>
    <hyperlink r:id="rId44" ref="A53"/>
    <hyperlink r:id="rId45" ref="A54"/>
    <hyperlink r:id="rId46" ref="A59"/>
    <hyperlink r:id="rId47" ref="A60"/>
    <hyperlink r:id="rId48" ref="A61"/>
    <hyperlink r:id="rId49" ref="A62"/>
    <hyperlink r:id="rId50" ref="A63"/>
    <hyperlink r:id="rId51" ref="A64"/>
    <hyperlink r:id="rId52" ref="A65"/>
    <hyperlink r:id="rId53" ref="A66"/>
    <hyperlink r:id="rId54" ref="A67"/>
    <hyperlink r:id="rId55" ref="A68"/>
    <hyperlink r:id="rId56" ref="A69"/>
    <hyperlink r:id="rId57" ref="A70"/>
    <hyperlink r:id="rId58" ref="A71"/>
    <hyperlink r:id="rId59" ref="A72"/>
    <hyperlink r:id="rId60" ref="A73"/>
    <hyperlink r:id="rId61" ref="A77"/>
    <hyperlink r:id="rId62" ref="A78"/>
    <hyperlink r:id="rId63" ref="A79"/>
    <hyperlink r:id="rId64" ref="A80"/>
    <hyperlink r:id="rId65" ref="A81"/>
    <hyperlink r:id="rId66" ref="A82"/>
    <hyperlink r:id="rId67" ref="A83"/>
    <hyperlink r:id="rId68" ref="A84"/>
    <hyperlink r:id="rId69" ref="A85"/>
    <hyperlink r:id="rId70" ref="A86"/>
    <hyperlink r:id="rId71" ref="A87"/>
    <hyperlink r:id="rId72" ref="A88"/>
    <hyperlink r:id="rId73" ref="A89"/>
    <hyperlink r:id="rId74" ref="A90"/>
    <hyperlink r:id="rId75" ref="A91"/>
    <hyperlink r:id="rId76" ref="A95"/>
    <hyperlink r:id="rId77" ref="A96"/>
    <hyperlink r:id="rId78" ref="A97"/>
    <hyperlink r:id="rId79" ref="A98"/>
    <hyperlink r:id="rId80" ref="A99"/>
    <hyperlink r:id="rId81" ref="A100"/>
    <hyperlink r:id="rId82" ref="A101"/>
    <hyperlink r:id="rId83" ref="A102"/>
    <hyperlink r:id="rId84" ref="A103"/>
    <hyperlink r:id="rId85" ref="A104"/>
    <hyperlink r:id="rId86" ref="A105"/>
    <hyperlink r:id="rId87" ref="A106"/>
    <hyperlink r:id="rId88" ref="A107"/>
    <hyperlink r:id="rId89" ref="A108"/>
    <hyperlink r:id="rId90" ref="A109"/>
    <hyperlink r:id="rId91" ref="A113"/>
    <hyperlink r:id="rId92" ref="A114"/>
    <hyperlink r:id="rId93" ref="A115"/>
    <hyperlink r:id="rId94" ref="A116"/>
    <hyperlink r:id="rId95" ref="A117"/>
    <hyperlink r:id="rId96" ref="A118"/>
    <hyperlink r:id="rId97" ref="A122"/>
    <hyperlink r:id="rId98" ref="A123"/>
    <hyperlink r:id="rId99" ref="A124"/>
    <hyperlink r:id="rId100" ref="A125"/>
    <hyperlink r:id="rId101" ref="A126"/>
    <hyperlink r:id="rId102" ref="A127"/>
    <hyperlink r:id="rId103" ref="A131"/>
    <hyperlink r:id="rId104" ref="A132"/>
    <hyperlink r:id="rId105" ref="A133"/>
    <hyperlink r:id="rId106" ref="A137"/>
    <hyperlink r:id="rId107" ref="A138"/>
    <hyperlink r:id="rId108" ref="A139"/>
    <hyperlink r:id="rId109" ref="A140"/>
    <hyperlink r:id="rId110" ref="A141"/>
    <hyperlink r:id="rId111" ref="A142"/>
    <hyperlink r:id="rId112" ref="A143"/>
    <hyperlink r:id="rId113" ref="A144"/>
    <hyperlink r:id="rId114" ref="A145"/>
    <hyperlink r:id="rId115" ref="A149"/>
    <hyperlink r:id="rId116" ref="A150"/>
    <hyperlink r:id="rId117" ref="A151"/>
    <hyperlink r:id="rId118" ref="A152"/>
    <hyperlink r:id="rId119" ref="A153"/>
    <hyperlink r:id="rId120" ref="A154"/>
    <hyperlink r:id="rId121" ref="A155"/>
    <hyperlink r:id="rId122" ref="A156"/>
    <hyperlink r:id="rId123" ref="A157"/>
    <hyperlink r:id="rId124" ref="A158"/>
    <hyperlink r:id="rId125" ref="A159"/>
    <hyperlink r:id="rId126" ref="A160"/>
    <hyperlink r:id="rId127" ref="A161"/>
    <hyperlink r:id="rId128" ref="A162"/>
    <hyperlink r:id="rId129" ref="A163"/>
    <hyperlink r:id="rId130" ref="A167"/>
    <hyperlink r:id="rId131" ref="A168"/>
    <hyperlink r:id="rId132" ref="A169"/>
    <hyperlink r:id="rId133" ref="A170"/>
    <hyperlink r:id="rId134" ref="A171"/>
    <hyperlink r:id="rId135" ref="A172"/>
    <hyperlink r:id="rId136" ref="A173"/>
    <hyperlink r:id="rId137" ref="A174"/>
    <hyperlink r:id="rId138" ref="A175"/>
    <hyperlink r:id="rId139" ref="A176"/>
    <hyperlink r:id="rId140" ref="A177"/>
    <hyperlink r:id="rId141" ref="A178"/>
    <hyperlink r:id="rId142" ref="A179"/>
    <hyperlink r:id="rId143" ref="A180"/>
    <hyperlink r:id="rId144" ref="A181"/>
    <hyperlink r:id="rId145" ref="A185"/>
    <hyperlink r:id="rId146" ref="A186"/>
    <hyperlink r:id="rId147" ref="A187"/>
    <hyperlink r:id="rId148" ref="A188"/>
    <hyperlink r:id="rId149" ref="A189"/>
    <hyperlink r:id="rId150" ref="A190"/>
    <hyperlink r:id="rId151" ref="A191"/>
    <hyperlink r:id="rId152" ref="A192"/>
    <hyperlink r:id="rId153" ref="A193"/>
    <hyperlink r:id="rId154" ref="A194"/>
    <hyperlink r:id="rId155" ref="A195"/>
    <hyperlink r:id="rId156" ref="A196"/>
    <hyperlink r:id="rId157" ref="A197"/>
    <hyperlink r:id="rId158" ref="A198"/>
    <hyperlink r:id="rId159" ref="A199"/>
    <hyperlink r:id="rId160" ref="A203"/>
    <hyperlink r:id="rId161" ref="A204"/>
    <hyperlink r:id="rId162" ref="A205"/>
    <hyperlink r:id="rId163" ref="A206"/>
    <hyperlink r:id="rId164" ref="A207"/>
    <hyperlink r:id="rId165" ref="A208"/>
    <hyperlink r:id="rId166" ref="A209"/>
    <hyperlink r:id="rId167" ref="A210"/>
    <hyperlink r:id="rId168" ref="A211"/>
    <hyperlink r:id="rId169" ref="A212"/>
    <hyperlink r:id="rId170" ref="A213"/>
    <hyperlink r:id="rId171" ref="A214"/>
    <hyperlink r:id="rId172" ref="A215"/>
    <hyperlink r:id="rId173" ref="A216"/>
    <hyperlink r:id="rId174" ref="A217"/>
    <hyperlink r:id="rId175" ref="A221"/>
    <hyperlink r:id="rId176" ref="A222"/>
    <hyperlink r:id="rId177" ref="A223"/>
    <hyperlink r:id="rId178" ref="A224"/>
    <hyperlink r:id="rId179" ref="A225"/>
    <hyperlink r:id="rId180" ref="A226"/>
    <hyperlink r:id="rId181" ref="A227"/>
    <hyperlink r:id="rId182" ref="A228"/>
    <hyperlink r:id="rId183" ref="A229"/>
    <hyperlink r:id="rId184" ref="A230"/>
    <hyperlink r:id="rId185" ref="A231"/>
    <hyperlink r:id="rId186" ref="A232"/>
    <hyperlink r:id="rId187" ref="A233"/>
    <hyperlink r:id="rId188" ref="A234"/>
    <hyperlink r:id="rId189" ref="A235"/>
    <hyperlink r:id="rId190" ref="A239"/>
    <hyperlink r:id="rId191" ref="A240"/>
    <hyperlink r:id="rId192" ref="A241"/>
    <hyperlink r:id="rId193" ref="A242"/>
    <hyperlink r:id="rId194" ref="A243"/>
    <hyperlink r:id="rId195" ref="A244"/>
    <hyperlink r:id="rId196" ref="A245"/>
    <hyperlink r:id="rId197" ref="A246"/>
    <hyperlink r:id="rId198" ref="A247"/>
    <hyperlink r:id="rId199" ref="A248"/>
    <hyperlink r:id="rId200" ref="A249"/>
    <hyperlink r:id="rId201" ref="A250"/>
    <hyperlink r:id="rId202" ref="A251"/>
    <hyperlink r:id="rId203" ref="A252"/>
    <hyperlink r:id="rId204" ref="A253"/>
    <hyperlink r:id="rId205" ref="A257"/>
    <hyperlink r:id="rId206" ref="A258"/>
    <hyperlink r:id="rId207" ref="A259"/>
    <hyperlink r:id="rId208" ref="A260"/>
    <hyperlink r:id="rId209" ref="A261"/>
    <hyperlink r:id="rId210" ref="A262"/>
    <hyperlink r:id="rId211" ref="A263"/>
    <hyperlink r:id="rId212" ref="A264"/>
    <hyperlink r:id="rId213" ref="A265"/>
    <hyperlink r:id="rId214" ref="A266"/>
    <hyperlink r:id="rId215" ref="A267"/>
    <hyperlink r:id="rId216" ref="A268"/>
    <hyperlink r:id="rId217" ref="A269"/>
    <hyperlink r:id="rId218" ref="A270"/>
    <hyperlink r:id="rId219" ref="A271"/>
    <hyperlink r:id="rId220" ref="A275"/>
    <hyperlink r:id="rId221" ref="A276"/>
    <hyperlink r:id="rId222" ref="A277"/>
    <hyperlink r:id="rId223" ref="A278"/>
    <hyperlink r:id="rId224" ref="A279"/>
    <hyperlink r:id="rId225" ref="A280"/>
    <hyperlink r:id="rId226" ref="A281"/>
    <hyperlink r:id="rId227" ref="A282"/>
    <hyperlink r:id="rId228" ref="A283"/>
    <hyperlink r:id="rId229" ref="A284"/>
    <hyperlink r:id="rId230" ref="A285"/>
    <hyperlink r:id="rId231" ref="A286"/>
    <hyperlink r:id="rId232" ref="A287"/>
    <hyperlink r:id="rId233" ref="A288"/>
    <hyperlink r:id="rId234" ref="A289"/>
    <hyperlink r:id="rId235" ref="A293"/>
    <hyperlink r:id="rId236" ref="A294"/>
    <hyperlink r:id="rId237" ref="A295"/>
    <hyperlink r:id="rId238" ref="A296"/>
    <hyperlink r:id="rId239" ref="A297"/>
    <hyperlink r:id="rId240" ref="A298"/>
    <hyperlink r:id="rId241" ref="A299"/>
    <hyperlink r:id="rId242" ref="A300"/>
    <hyperlink r:id="rId243" ref="A301"/>
    <hyperlink r:id="rId244" ref="A302"/>
    <hyperlink r:id="rId245" ref="A303"/>
    <hyperlink r:id="rId246" ref="A304"/>
    <hyperlink r:id="rId247" ref="A305"/>
    <hyperlink r:id="rId248" ref="A306"/>
    <hyperlink r:id="rId249" ref="A307"/>
    <hyperlink r:id="rId250" ref="A311"/>
    <hyperlink r:id="rId251" ref="A312"/>
    <hyperlink r:id="rId252" ref="A313"/>
    <hyperlink r:id="rId253" ref="A314"/>
    <hyperlink r:id="rId254" ref="A315"/>
    <hyperlink r:id="rId255" ref="A316"/>
    <hyperlink r:id="rId256" ref="A317"/>
    <hyperlink r:id="rId257" ref="A318"/>
    <hyperlink r:id="rId258" ref="A319"/>
    <hyperlink r:id="rId259" ref="A320"/>
    <hyperlink r:id="rId260" ref="A321"/>
    <hyperlink r:id="rId261" ref="A322"/>
    <hyperlink r:id="rId262" ref="A323"/>
    <hyperlink r:id="rId263" ref="A324"/>
    <hyperlink r:id="rId264" ref="A325"/>
    <hyperlink r:id="rId265" ref="A329"/>
    <hyperlink r:id="rId266" ref="A330"/>
    <hyperlink r:id="rId267" ref="A331"/>
    <hyperlink r:id="rId268" ref="A332"/>
    <hyperlink r:id="rId269" ref="A333"/>
    <hyperlink r:id="rId270" ref="A334"/>
    <hyperlink r:id="rId271" ref="A335"/>
    <hyperlink r:id="rId272" ref="A336"/>
    <hyperlink r:id="rId273" ref="A337"/>
    <hyperlink r:id="rId274" ref="A338"/>
    <hyperlink r:id="rId275" ref="A339"/>
    <hyperlink r:id="rId276" ref="A340"/>
    <hyperlink r:id="rId277" ref="A341"/>
    <hyperlink r:id="rId278" ref="A342"/>
    <hyperlink r:id="rId279" ref="A343"/>
    <hyperlink r:id="rId280" ref="A347"/>
    <hyperlink r:id="rId281" ref="A348"/>
    <hyperlink r:id="rId282" ref="A349"/>
    <hyperlink r:id="rId283" ref="A350"/>
    <hyperlink r:id="rId284" ref="A351"/>
    <hyperlink r:id="rId285" ref="A352"/>
    <hyperlink r:id="rId286" ref="A353"/>
    <hyperlink r:id="rId287" ref="A354"/>
    <hyperlink r:id="rId288" ref="A355"/>
    <hyperlink r:id="rId289" ref="A356"/>
    <hyperlink r:id="rId290" ref="A357"/>
    <hyperlink r:id="rId291" ref="A358"/>
    <hyperlink r:id="rId292" ref="A359"/>
    <hyperlink r:id="rId293" ref="A360"/>
    <hyperlink r:id="rId294" ref="A361"/>
    <hyperlink r:id="rId295" ref="A365"/>
    <hyperlink r:id="rId296" ref="A366"/>
    <hyperlink r:id="rId297" ref="A367"/>
    <hyperlink r:id="rId298" ref="A368"/>
    <hyperlink r:id="rId299" ref="A369"/>
    <hyperlink r:id="rId300" ref="A370"/>
    <hyperlink r:id="rId301" ref="A371"/>
    <hyperlink r:id="rId302" ref="A372"/>
    <hyperlink r:id="rId303" ref="A373"/>
    <hyperlink r:id="rId304" ref="A374"/>
    <hyperlink r:id="rId305" ref="A375"/>
    <hyperlink r:id="rId306" ref="A376"/>
    <hyperlink r:id="rId307" ref="A377"/>
    <hyperlink r:id="rId308" ref="A378"/>
    <hyperlink r:id="rId309" ref="A379"/>
    <hyperlink r:id="rId310" ref="A383"/>
    <hyperlink r:id="rId311" ref="A384"/>
    <hyperlink r:id="rId312" ref="A385"/>
    <hyperlink r:id="rId313" ref="A386"/>
    <hyperlink r:id="rId314" ref="A387"/>
    <hyperlink r:id="rId315" ref="A388"/>
    <hyperlink r:id="rId316" ref="A389"/>
    <hyperlink r:id="rId317" ref="A390"/>
    <hyperlink r:id="rId318" ref="A391"/>
    <hyperlink r:id="rId319" ref="A392"/>
    <hyperlink r:id="rId320" ref="A393"/>
    <hyperlink r:id="rId321" ref="A394"/>
    <hyperlink r:id="rId322" ref="A395"/>
    <hyperlink r:id="rId323" ref="A396"/>
    <hyperlink r:id="rId324" ref="A397"/>
    <hyperlink r:id="rId325" ref="A401"/>
    <hyperlink r:id="rId326" ref="A402"/>
    <hyperlink r:id="rId327" ref="A403"/>
    <hyperlink r:id="rId328" ref="A404"/>
    <hyperlink r:id="rId329" ref="A405"/>
    <hyperlink r:id="rId330" ref="A406"/>
    <hyperlink r:id="rId331" ref="A407"/>
    <hyperlink r:id="rId332" ref="A408"/>
    <hyperlink r:id="rId333" ref="A409"/>
    <hyperlink r:id="rId334" ref="A410"/>
    <hyperlink r:id="rId335" ref="A411"/>
    <hyperlink r:id="rId336" ref="A412"/>
    <hyperlink r:id="rId337" ref="A413"/>
    <hyperlink r:id="rId338" ref="A414"/>
    <hyperlink r:id="rId339" ref="A415"/>
    <hyperlink r:id="rId340" ref="A419"/>
    <hyperlink r:id="rId341" ref="A420"/>
    <hyperlink r:id="rId342" ref="A421"/>
    <hyperlink r:id="rId343" ref="A422"/>
    <hyperlink r:id="rId344" ref="A423"/>
    <hyperlink r:id="rId345" ref="A424"/>
    <hyperlink r:id="rId346" ref="A425"/>
    <hyperlink r:id="rId347" ref="A426"/>
    <hyperlink r:id="rId348" ref="A427"/>
    <hyperlink r:id="rId349" ref="A428"/>
    <hyperlink r:id="rId350" ref="A429"/>
    <hyperlink r:id="rId351" ref="A430"/>
    <hyperlink r:id="rId352" ref="A431"/>
    <hyperlink r:id="rId353" ref="A432"/>
    <hyperlink r:id="rId354" ref="A433"/>
    <hyperlink r:id="rId355" ref="A437"/>
    <hyperlink r:id="rId356" ref="A438"/>
    <hyperlink r:id="rId357" ref="A439"/>
    <hyperlink r:id="rId358" ref="A440"/>
    <hyperlink r:id="rId359" ref="A441"/>
    <hyperlink r:id="rId360" ref="A442"/>
    <hyperlink r:id="rId361" ref="A443"/>
    <hyperlink r:id="rId362" ref="A444"/>
    <hyperlink r:id="rId363" ref="A445"/>
    <hyperlink r:id="rId364" ref="A446"/>
    <hyperlink r:id="rId365" ref="A447"/>
    <hyperlink r:id="rId366" ref="A448"/>
    <hyperlink r:id="rId367" ref="A449"/>
    <hyperlink r:id="rId368" ref="A450"/>
    <hyperlink r:id="rId369" ref="A451"/>
    <hyperlink r:id="rId370" ref="A455"/>
    <hyperlink r:id="rId371" ref="A456"/>
    <hyperlink r:id="rId372" ref="A457"/>
    <hyperlink r:id="rId373" ref="A458"/>
    <hyperlink r:id="rId374" ref="A459"/>
    <hyperlink r:id="rId375" ref="A460"/>
    <hyperlink r:id="rId376" ref="A461"/>
    <hyperlink r:id="rId377" ref="A462"/>
    <hyperlink r:id="rId378" ref="A463"/>
    <hyperlink r:id="rId379" ref="A464"/>
    <hyperlink r:id="rId380" ref="A465"/>
    <hyperlink r:id="rId381" ref="A466"/>
    <hyperlink r:id="rId382" ref="A467"/>
    <hyperlink r:id="rId383" ref="A468"/>
    <hyperlink r:id="rId384" ref="A469"/>
    <hyperlink r:id="rId385" ref="A473"/>
    <hyperlink r:id="rId386" ref="A474"/>
    <hyperlink r:id="rId387" ref="A475"/>
    <hyperlink r:id="rId388" ref="A476"/>
    <hyperlink r:id="rId389" ref="A477"/>
    <hyperlink r:id="rId390" ref="A478"/>
    <hyperlink r:id="rId391" ref="A479"/>
    <hyperlink r:id="rId392" ref="A480"/>
    <hyperlink r:id="rId393" ref="A481"/>
    <hyperlink r:id="rId394" ref="A491"/>
    <hyperlink r:id="rId395" ref="A492"/>
    <hyperlink r:id="rId396" ref="A493"/>
    <hyperlink r:id="rId397" ref="A494"/>
    <hyperlink r:id="rId398" ref="A495"/>
    <hyperlink r:id="rId399" ref="A496"/>
    <hyperlink r:id="rId400" ref="A497"/>
    <hyperlink r:id="rId401" ref="A498"/>
    <hyperlink r:id="rId402" ref="A499"/>
    <hyperlink r:id="rId403" ref="A500"/>
    <hyperlink r:id="rId404" ref="A501"/>
    <hyperlink r:id="rId405" ref="A502"/>
    <hyperlink r:id="rId406" ref="A503"/>
    <hyperlink r:id="rId407" ref="A504"/>
    <hyperlink r:id="rId408" ref="A505"/>
    <hyperlink r:id="rId409" ref="A509"/>
    <hyperlink r:id="rId410" ref="A510"/>
    <hyperlink r:id="rId411" ref="A511"/>
    <hyperlink r:id="rId412" ref="A512"/>
    <hyperlink r:id="rId413" ref="A513"/>
    <hyperlink r:id="rId414" ref="A514"/>
    <hyperlink r:id="rId415" ref="A515"/>
    <hyperlink r:id="rId416" ref="A516"/>
    <hyperlink r:id="rId417" ref="A517"/>
    <hyperlink r:id="rId418" ref="A518"/>
    <hyperlink r:id="rId419" ref="A519"/>
    <hyperlink r:id="rId420" ref="A520"/>
    <hyperlink r:id="rId421" ref="A527"/>
    <hyperlink r:id="rId422" ref="A528"/>
    <hyperlink r:id="rId423" ref="A529"/>
    <hyperlink r:id="rId424" ref="A530"/>
    <hyperlink r:id="rId425" ref="A531"/>
    <hyperlink r:id="rId426" ref="A532"/>
    <hyperlink r:id="rId427" ref="A533"/>
    <hyperlink r:id="rId428" ref="A534"/>
    <hyperlink r:id="rId429" ref="A535"/>
    <hyperlink r:id="rId430" ref="A536"/>
    <hyperlink r:id="rId431" ref="A537"/>
    <hyperlink r:id="rId432" ref="A538"/>
    <hyperlink r:id="rId433" ref="A539"/>
    <hyperlink r:id="rId434" ref="A540"/>
    <hyperlink r:id="rId435" ref="A541"/>
    <hyperlink r:id="rId436" ref="A545"/>
    <hyperlink r:id="rId437" ref="A546"/>
    <hyperlink r:id="rId438" ref="A547"/>
    <hyperlink r:id="rId439" ref="A548"/>
    <hyperlink r:id="rId440" ref="A549"/>
    <hyperlink r:id="rId441" ref="A550"/>
    <hyperlink r:id="rId442" ref="A551"/>
    <hyperlink r:id="rId443" ref="A552"/>
    <hyperlink r:id="rId444" ref="A553"/>
    <hyperlink r:id="rId445" ref="A554"/>
    <hyperlink r:id="rId446" ref="A555"/>
    <hyperlink r:id="rId447" ref="A556"/>
    <hyperlink r:id="rId448" ref="A557"/>
    <hyperlink r:id="rId449" ref="A558"/>
    <hyperlink r:id="rId450" ref="A559"/>
    <hyperlink r:id="rId451" ref="A581"/>
    <hyperlink r:id="rId452" ref="A582"/>
    <hyperlink r:id="rId453" ref="A583"/>
    <hyperlink r:id="rId454" ref="A584"/>
    <hyperlink r:id="rId455" ref="A585"/>
    <hyperlink r:id="rId456" ref="A586"/>
    <hyperlink r:id="rId457" ref="A587"/>
    <hyperlink r:id="rId458" ref="A588"/>
    <hyperlink r:id="rId459" ref="A589"/>
    <hyperlink r:id="rId460" ref="A590"/>
    <hyperlink r:id="rId461" ref="A591"/>
    <hyperlink r:id="rId462" ref="A592"/>
    <hyperlink r:id="rId463" ref="A593"/>
    <hyperlink r:id="rId464" ref="A594"/>
    <hyperlink r:id="rId465" ref="A595"/>
    <hyperlink r:id="rId466" ref="A599"/>
    <hyperlink r:id="rId467" ref="A600"/>
    <hyperlink r:id="rId468" ref="A601"/>
    <hyperlink r:id="rId469" ref="A602"/>
    <hyperlink r:id="rId470" ref="A603"/>
    <hyperlink r:id="rId471" ref="A604"/>
    <hyperlink r:id="rId472" ref="A605"/>
    <hyperlink r:id="rId473" ref="A606"/>
    <hyperlink r:id="rId474" ref="A607"/>
    <hyperlink r:id="rId475" ref="A608"/>
    <hyperlink r:id="rId476" ref="A609"/>
    <hyperlink r:id="rId477" ref="A610"/>
    <hyperlink r:id="rId478" ref="A611"/>
    <hyperlink r:id="rId479" ref="A612"/>
    <hyperlink r:id="rId480" ref="A613"/>
    <hyperlink r:id="rId481" ref="A617"/>
    <hyperlink r:id="rId482" ref="A618"/>
    <hyperlink r:id="rId483" ref="A619"/>
    <hyperlink r:id="rId484" ref="A620"/>
    <hyperlink r:id="rId485" ref="A621"/>
    <hyperlink r:id="rId486" ref="A622"/>
    <hyperlink r:id="rId487" ref="A623"/>
    <hyperlink r:id="rId488" ref="A624"/>
    <hyperlink r:id="rId489" ref="A625"/>
    <hyperlink r:id="rId490" ref="A626"/>
    <hyperlink r:id="rId491" ref="A627"/>
    <hyperlink r:id="rId492" ref="A628"/>
    <hyperlink r:id="rId493" ref="A629"/>
    <hyperlink r:id="rId494" ref="A630"/>
    <hyperlink r:id="rId495" ref="A631"/>
    <hyperlink r:id="rId496" ref="A635"/>
    <hyperlink r:id="rId497" ref="A636"/>
    <hyperlink r:id="rId498" ref="A637"/>
    <hyperlink r:id="rId499" ref="A638"/>
    <hyperlink r:id="rId500" ref="A639"/>
    <hyperlink r:id="rId501" ref="A640"/>
    <hyperlink r:id="rId502" ref="A641"/>
    <hyperlink r:id="rId503" ref="A642"/>
    <hyperlink r:id="rId504" ref="A643"/>
    <hyperlink r:id="rId505" ref="A644"/>
    <hyperlink r:id="rId506" ref="A645"/>
    <hyperlink r:id="rId507" ref="A646"/>
    <hyperlink r:id="rId508" ref="A647"/>
    <hyperlink r:id="rId509" ref="A648"/>
    <hyperlink r:id="rId510" ref="A649"/>
    <hyperlink r:id="rId511" ref="A653"/>
    <hyperlink r:id="rId512" ref="A654"/>
    <hyperlink r:id="rId513" ref="A655"/>
    <hyperlink r:id="rId514" ref="A656"/>
    <hyperlink r:id="rId515" ref="A657"/>
    <hyperlink r:id="rId516" ref="A658"/>
    <hyperlink r:id="rId517" ref="A659"/>
    <hyperlink r:id="rId518" ref="A660"/>
    <hyperlink r:id="rId519" ref="A661"/>
    <hyperlink r:id="rId520" ref="A662"/>
    <hyperlink r:id="rId521" ref="A663"/>
    <hyperlink r:id="rId522" ref="A664"/>
    <hyperlink r:id="rId523" ref="A665"/>
    <hyperlink r:id="rId524" ref="A666"/>
    <hyperlink r:id="rId525" ref="A667"/>
    <hyperlink r:id="rId526" ref="A671"/>
    <hyperlink r:id="rId527" ref="A672"/>
    <hyperlink r:id="rId528" ref="A673"/>
    <hyperlink r:id="rId529" ref="A674"/>
    <hyperlink r:id="rId530" ref="A675"/>
    <hyperlink r:id="rId531" ref="A676"/>
    <hyperlink r:id="rId532" ref="A677"/>
    <hyperlink r:id="rId533" ref="A678"/>
    <hyperlink r:id="rId534" ref="A679"/>
    <hyperlink r:id="rId535" ref="A680"/>
    <hyperlink r:id="rId536" ref="A681"/>
    <hyperlink r:id="rId537" ref="A682"/>
    <hyperlink r:id="rId538" ref="A689"/>
    <hyperlink r:id="rId539" ref="A690"/>
    <hyperlink r:id="rId540" ref="A691"/>
    <hyperlink r:id="rId541" ref="A692"/>
    <hyperlink r:id="rId542" ref="A693"/>
    <hyperlink r:id="rId543" ref="A694"/>
    <hyperlink r:id="rId544" ref="A695"/>
    <hyperlink r:id="rId545" ref="A696"/>
    <hyperlink r:id="rId546" ref="A697"/>
    <hyperlink r:id="rId547" ref="A698"/>
    <hyperlink r:id="rId548" ref="A699"/>
    <hyperlink r:id="rId549" ref="A700"/>
    <hyperlink r:id="rId550" ref="A701"/>
    <hyperlink r:id="rId551" ref="A702"/>
    <hyperlink r:id="rId552" ref="A703"/>
  </hyperlinks>
  <drawing r:id="rId553"/>
  <tableParts count="22">
    <tablePart r:id="rId576"/>
    <tablePart r:id="rId577"/>
    <tablePart r:id="rId578"/>
    <tablePart r:id="rId579"/>
    <tablePart r:id="rId580"/>
    <tablePart r:id="rId581"/>
    <tablePart r:id="rId582"/>
    <tablePart r:id="rId583"/>
    <tablePart r:id="rId584"/>
    <tablePart r:id="rId585"/>
    <tablePart r:id="rId586"/>
    <tablePart r:id="rId587"/>
    <tablePart r:id="rId588"/>
    <tablePart r:id="rId589"/>
    <tablePart r:id="rId590"/>
    <tablePart r:id="rId591"/>
    <tablePart r:id="rId592"/>
    <tablePart r:id="rId593"/>
    <tablePart r:id="rId594"/>
    <tablePart r:id="rId595"/>
    <tablePart r:id="rId596"/>
    <tablePart r:id="rId59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7.75"/>
    <col hidden="1" min="13" max="13" width="12.63"/>
    <col customWidth="1" min="14" max="14" width="157.13"/>
  </cols>
  <sheetData>
    <row r="1" hidden="1" outlineLevel="1">
      <c r="A1" s="206" t="s">
        <v>457</v>
      </c>
      <c r="B1" s="207"/>
      <c r="C1" s="207"/>
      <c r="D1" s="208"/>
      <c r="E1" s="109"/>
      <c r="F1" s="109"/>
      <c r="G1" s="110"/>
      <c r="H1" s="110"/>
      <c r="I1" s="110"/>
      <c r="J1" s="110"/>
      <c r="K1" s="110"/>
      <c r="L1" s="110"/>
      <c r="M1" s="111"/>
      <c r="N1" s="113"/>
    </row>
    <row r="2" hidden="1" outlineLevel="1">
      <c r="A2" s="115" t="s">
        <v>98</v>
      </c>
      <c r="B2" s="115" t="s">
        <v>100</v>
      </c>
      <c r="C2" s="115" t="s">
        <v>102</v>
      </c>
      <c r="D2" s="119" t="s">
        <v>103</v>
      </c>
      <c r="E2" s="275" t="s">
        <v>269</v>
      </c>
      <c r="F2" s="275" t="s">
        <v>272</v>
      </c>
      <c r="G2" s="276" t="s">
        <v>328</v>
      </c>
      <c r="H2" s="121" t="s">
        <v>107</v>
      </c>
      <c r="I2" s="121" t="s">
        <v>108</v>
      </c>
      <c r="J2" s="276" t="s">
        <v>329</v>
      </c>
      <c r="K2" s="121" t="s">
        <v>111</v>
      </c>
      <c r="L2" s="276" t="s">
        <v>274</v>
      </c>
      <c r="M2" s="115" t="s">
        <v>114</v>
      </c>
      <c r="N2" s="119" t="s">
        <v>115</v>
      </c>
    </row>
    <row r="3" hidden="1" outlineLevel="1">
      <c r="A3" s="343" t="s">
        <v>1360</v>
      </c>
      <c r="B3" s="344">
        <v>46021.0</v>
      </c>
      <c r="C3" s="133" t="str">
        <f t="shared" ref="C3:C17" si="1">IF(B3="", "", TEXT(B3, "ddd"))</f>
        <v>Tue</v>
      </c>
      <c r="D3" s="136">
        <f t="shared" ref="D3:D17" si="2">IF(E3="Yes",0.05,0)
+IF(F3="Yes",0.1,0)
+IF(G3="Yes",0.15,0)
+IF(H3="Yes",0.15,0)
+IF(I3="Yes",0.05,0)
+IF(J3="Yes",0.05,0)
+IF(K3="Yes",0.15,0)
+IF(L3="Yes",0.3,0)
</f>
        <v>1</v>
      </c>
      <c r="E3" s="137" t="s">
        <v>129</v>
      </c>
      <c r="F3" s="137" t="s">
        <v>129</v>
      </c>
      <c r="G3" s="137" t="s">
        <v>129</v>
      </c>
      <c r="H3" s="137" t="s">
        <v>129</v>
      </c>
      <c r="I3" s="137" t="s">
        <v>129</v>
      </c>
      <c r="J3" s="137" t="s">
        <v>129</v>
      </c>
      <c r="K3" s="137" t="s">
        <v>129</v>
      </c>
      <c r="L3" s="137" t="s">
        <v>129</v>
      </c>
      <c r="M3" s="141"/>
      <c r="N3" s="143"/>
    </row>
    <row r="4" hidden="1" outlineLevel="1">
      <c r="A4" s="343" t="s">
        <v>1363</v>
      </c>
      <c r="B4" s="344">
        <v>46021.0</v>
      </c>
      <c r="C4" s="133" t="str">
        <f t="shared" si="1"/>
        <v>Tue</v>
      </c>
      <c r="D4" s="136">
        <f t="shared" si="2"/>
        <v>1</v>
      </c>
      <c r="E4" s="137" t="s">
        <v>129</v>
      </c>
      <c r="F4" s="137" t="s">
        <v>129</v>
      </c>
      <c r="G4" s="137" t="s">
        <v>129</v>
      </c>
      <c r="H4" s="137" t="s">
        <v>129</v>
      </c>
      <c r="I4" s="137" t="s">
        <v>129</v>
      </c>
      <c r="J4" s="137" t="s">
        <v>129</v>
      </c>
      <c r="K4" s="137" t="s">
        <v>129</v>
      </c>
      <c r="L4" s="137" t="s">
        <v>129</v>
      </c>
      <c r="M4" s="141"/>
      <c r="N4" s="147"/>
    </row>
    <row r="5" hidden="1" outlineLevel="1">
      <c r="A5" s="343" t="s">
        <v>1364</v>
      </c>
      <c r="B5" s="344">
        <v>46021.0</v>
      </c>
      <c r="C5" s="133" t="str">
        <f t="shared" si="1"/>
        <v>Tue</v>
      </c>
      <c r="D5" s="136">
        <f t="shared" si="2"/>
        <v>1</v>
      </c>
      <c r="E5" s="137" t="s">
        <v>129</v>
      </c>
      <c r="F5" s="137" t="s">
        <v>129</v>
      </c>
      <c r="G5" s="137" t="s">
        <v>129</v>
      </c>
      <c r="H5" s="137" t="s">
        <v>129</v>
      </c>
      <c r="I5" s="137" t="s">
        <v>129</v>
      </c>
      <c r="J5" s="137" t="s">
        <v>129</v>
      </c>
      <c r="K5" s="137" t="s">
        <v>129</v>
      </c>
      <c r="L5" s="137" t="s">
        <v>129</v>
      </c>
      <c r="M5" s="141"/>
      <c r="N5" s="147"/>
    </row>
    <row r="6" hidden="1" outlineLevel="1">
      <c r="A6" s="367" t="s">
        <v>1369</v>
      </c>
      <c r="B6" s="344">
        <v>46022.0</v>
      </c>
      <c r="C6" s="133" t="str">
        <f t="shared" si="1"/>
        <v>Wed</v>
      </c>
      <c r="D6" s="136">
        <f t="shared" si="2"/>
        <v>1</v>
      </c>
      <c r="E6" s="137" t="s">
        <v>129</v>
      </c>
      <c r="F6" s="137" t="s">
        <v>129</v>
      </c>
      <c r="G6" s="137" t="s">
        <v>129</v>
      </c>
      <c r="H6" s="137" t="s">
        <v>129</v>
      </c>
      <c r="I6" s="137" t="s">
        <v>129</v>
      </c>
      <c r="J6" s="137" t="s">
        <v>129</v>
      </c>
      <c r="K6" s="137" t="s">
        <v>129</v>
      </c>
      <c r="L6" s="137" t="s">
        <v>129</v>
      </c>
      <c r="M6" s="141"/>
      <c r="N6" s="143"/>
    </row>
    <row r="7" hidden="1" outlineLevel="1">
      <c r="A7" s="367" t="s">
        <v>1373</v>
      </c>
      <c r="B7" s="344">
        <v>46022.0</v>
      </c>
      <c r="C7" s="133" t="str">
        <f t="shared" si="1"/>
        <v>Wed</v>
      </c>
      <c r="D7" s="136">
        <f t="shared" si="2"/>
        <v>1</v>
      </c>
      <c r="E7" s="137" t="s">
        <v>129</v>
      </c>
      <c r="F7" s="137" t="s">
        <v>129</v>
      </c>
      <c r="G7" s="137" t="s">
        <v>129</v>
      </c>
      <c r="H7" s="137" t="s">
        <v>129</v>
      </c>
      <c r="I7" s="137" t="s">
        <v>129</v>
      </c>
      <c r="J7" s="137" t="s">
        <v>129</v>
      </c>
      <c r="K7" s="137" t="s">
        <v>129</v>
      </c>
      <c r="L7" s="137" t="s">
        <v>129</v>
      </c>
      <c r="M7" s="141"/>
      <c r="N7" s="143"/>
    </row>
    <row r="8" hidden="1" outlineLevel="1">
      <c r="A8" s="367" t="s">
        <v>1375</v>
      </c>
      <c r="B8" s="344">
        <v>46022.0</v>
      </c>
      <c r="C8" s="133" t="str">
        <f t="shared" si="1"/>
        <v>Wed</v>
      </c>
      <c r="D8" s="136">
        <f t="shared" si="2"/>
        <v>1</v>
      </c>
      <c r="E8" s="137" t="s">
        <v>129</v>
      </c>
      <c r="F8" s="137" t="s">
        <v>129</v>
      </c>
      <c r="G8" s="137" t="s">
        <v>129</v>
      </c>
      <c r="H8" s="137" t="s">
        <v>129</v>
      </c>
      <c r="I8" s="137" t="s">
        <v>129</v>
      </c>
      <c r="J8" s="137" t="s">
        <v>129</v>
      </c>
      <c r="K8" s="137" t="s">
        <v>129</v>
      </c>
      <c r="L8" s="137" t="s">
        <v>129</v>
      </c>
      <c r="M8" s="141"/>
      <c r="N8" s="143"/>
    </row>
    <row r="9" hidden="1" outlineLevel="1">
      <c r="A9" s="367" t="s">
        <v>1377</v>
      </c>
      <c r="B9" s="344">
        <v>46023.0</v>
      </c>
      <c r="C9" s="133" t="str">
        <f t="shared" si="1"/>
        <v>Thu</v>
      </c>
      <c r="D9" s="136">
        <f t="shared" si="2"/>
        <v>1</v>
      </c>
      <c r="E9" s="137" t="s">
        <v>129</v>
      </c>
      <c r="F9" s="137" t="s">
        <v>129</v>
      </c>
      <c r="G9" s="137" t="s">
        <v>129</v>
      </c>
      <c r="H9" s="137" t="s">
        <v>129</v>
      </c>
      <c r="I9" s="137" t="s">
        <v>129</v>
      </c>
      <c r="J9" s="137" t="s">
        <v>129</v>
      </c>
      <c r="K9" s="137" t="s">
        <v>129</v>
      </c>
      <c r="L9" s="137" t="s">
        <v>129</v>
      </c>
      <c r="M9" s="141"/>
      <c r="N9" s="143"/>
    </row>
    <row r="10" hidden="1" outlineLevel="1">
      <c r="A10" s="367" t="s">
        <v>1379</v>
      </c>
      <c r="B10" s="344">
        <v>46023.0</v>
      </c>
      <c r="C10" s="133" t="str">
        <f t="shared" si="1"/>
        <v>Thu</v>
      </c>
      <c r="D10" s="136">
        <f t="shared" si="2"/>
        <v>1</v>
      </c>
      <c r="E10" s="137" t="s">
        <v>129</v>
      </c>
      <c r="F10" s="137" t="s">
        <v>129</v>
      </c>
      <c r="G10" s="137" t="s">
        <v>129</v>
      </c>
      <c r="H10" s="137" t="s">
        <v>129</v>
      </c>
      <c r="I10" s="137" t="s">
        <v>129</v>
      </c>
      <c r="J10" s="137" t="s">
        <v>129</v>
      </c>
      <c r="K10" s="137" t="s">
        <v>129</v>
      </c>
      <c r="L10" s="137" t="s">
        <v>129</v>
      </c>
      <c r="M10" s="141"/>
      <c r="N10" s="147"/>
    </row>
    <row r="11" hidden="1" outlineLevel="1">
      <c r="A11" s="367" t="s">
        <v>1381</v>
      </c>
      <c r="B11" s="344">
        <v>46023.0</v>
      </c>
      <c r="C11" s="133" t="str">
        <f t="shared" si="1"/>
        <v>Thu</v>
      </c>
      <c r="D11" s="136">
        <f t="shared" si="2"/>
        <v>1</v>
      </c>
      <c r="E11" s="137" t="s">
        <v>129</v>
      </c>
      <c r="F11" s="137" t="s">
        <v>129</v>
      </c>
      <c r="G11" s="137" t="s">
        <v>129</v>
      </c>
      <c r="H11" s="137" t="s">
        <v>129</v>
      </c>
      <c r="I11" s="137" t="s">
        <v>129</v>
      </c>
      <c r="J11" s="137" t="s">
        <v>129</v>
      </c>
      <c r="K11" s="137" t="s">
        <v>129</v>
      </c>
      <c r="L11" s="137" t="s">
        <v>129</v>
      </c>
      <c r="M11" s="141"/>
      <c r="N11" s="143"/>
    </row>
    <row r="12" hidden="1" outlineLevel="1">
      <c r="A12" s="367" t="s">
        <v>1384</v>
      </c>
      <c r="B12" s="344">
        <v>46025.0</v>
      </c>
      <c r="C12" s="133" t="str">
        <f t="shared" si="1"/>
        <v>Sat</v>
      </c>
      <c r="D12" s="136">
        <f t="shared" si="2"/>
        <v>1</v>
      </c>
      <c r="E12" s="137" t="s">
        <v>129</v>
      </c>
      <c r="F12" s="137" t="s">
        <v>129</v>
      </c>
      <c r="G12" s="137" t="s">
        <v>129</v>
      </c>
      <c r="H12" s="137" t="s">
        <v>129</v>
      </c>
      <c r="I12" s="137" t="s">
        <v>129</v>
      </c>
      <c r="J12" s="137" t="s">
        <v>129</v>
      </c>
      <c r="K12" s="137" t="s">
        <v>129</v>
      </c>
      <c r="L12" s="137" t="s">
        <v>129</v>
      </c>
      <c r="M12" s="141"/>
      <c r="N12" s="143"/>
    </row>
    <row r="13" hidden="1" outlineLevel="1">
      <c r="A13" s="367" t="s">
        <v>1387</v>
      </c>
      <c r="B13" s="344">
        <v>46025.0</v>
      </c>
      <c r="C13" s="133" t="str">
        <f t="shared" si="1"/>
        <v>Sat</v>
      </c>
      <c r="D13" s="136">
        <f t="shared" si="2"/>
        <v>1</v>
      </c>
      <c r="E13" s="137" t="s">
        <v>129</v>
      </c>
      <c r="F13" s="137" t="s">
        <v>129</v>
      </c>
      <c r="G13" s="137" t="s">
        <v>129</v>
      </c>
      <c r="H13" s="137" t="s">
        <v>129</v>
      </c>
      <c r="I13" s="137" t="s">
        <v>129</v>
      </c>
      <c r="J13" s="137" t="s">
        <v>129</v>
      </c>
      <c r="K13" s="137" t="s">
        <v>129</v>
      </c>
      <c r="L13" s="137" t="s">
        <v>129</v>
      </c>
      <c r="M13" s="141"/>
      <c r="N13" s="147"/>
    </row>
    <row r="14" hidden="1" outlineLevel="1">
      <c r="A14" s="367" t="s">
        <v>1388</v>
      </c>
      <c r="B14" s="344">
        <v>46025.0</v>
      </c>
      <c r="C14" s="133" t="str">
        <f t="shared" si="1"/>
        <v>Sat</v>
      </c>
      <c r="D14" s="136">
        <f t="shared" si="2"/>
        <v>1</v>
      </c>
      <c r="E14" s="137" t="s">
        <v>129</v>
      </c>
      <c r="F14" s="137" t="s">
        <v>129</v>
      </c>
      <c r="G14" s="137" t="s">
        <v>129</v>
      </c>
      <c r="H14" s="137" t="s">
        <v>129</v>
      </c>
      <c r="I14" s="137" t="s">
        <v>129</v>
      </c>
      <c r="J14" s="137" t="s">
        <v>129</v>
      </c>
      <c r="K14" s="137" t="s">
        <v>129</v>
      </c>
      <c r="L14" s="137" t="s">
        <v>129</v>
      </c>
      <c r="M14" s="141"/>
      <c r="N14" s="143"/>
    </row>
    <row r="15" hidden="1" outlineLevel="1">
      <c r="A15" s="343" t="s">
        <v>1389</v>
      </c>
      <c r="B15" s="344">
        <v>46026.0</v>
      </c>
      <c r="C15" s="186" t="str">
        <f t="shared" si="1"/>
        <v>Sun</v>
      </c>
      <c r="D15" s="136">
        <f t="shared" si="2"/>
        <v>1</v>
      </c>
      <c r="E15" s="137" t="s">
        <v>129</v>
      </c>
      <c r="F15" s="137" t="s">
        <v>129</v>
      </c>
      <c r="G15" s="137" t="s">
        <v>129</v>
      </c>
      <c r="H15" s="137" t="s">
        <v>129</v>
      </c>
      <c r="I15" s="137" t="s">
        <v>129</v>
      </c>
      <c r="J15" s="137" t="s">
        <v>129</v>
      </c>
      <c r="K15" s="137" t="s">
        <v>129</v>
      </c>
      <c r="L15" s="137" t="s">
        <v>129</v>
      </c>
      <c r="M15" s="141"/>
      <c r="N15" s="143"/>
    </row>
    <row r="16" hidden="1" outlineLevel="1">
      <c r="A16" s="343" t="s">
        <v>1391</v>
      </c>
      <c r="B16" s="344">
        <v>46026.0</v>
      </c>
      <c r="C16" s="186" t="str">
        <f t="shared" si="1"/>
        <v>Sun</v>
      </c>
      <c r="D16" s="136">
        <f t="shared" si="2"/>
        <v>1</v>
      </c>
      <c r="E16" s="137" t="s">
        <v>129</v>
      </c>
      <c r="F16" s="137" t="s">
        <v>129</v>
      </c>
      <c r="G16" s="137" t="s">
        <v>129</v>
      </c>
      <c r="H16" s="137" t="s">
        <v>129</v>
      </c>
      <c r="I16" s="137" t="s">
        <v>129</v>
      </c>
      <c r="J16" s="137" t="s">
        <v>129</v>
      </c>
      <c r="K16" s="137" t="s">
        <v>129</v>
      </c>
      <c r="L16" s="137" t="s">
        <v>129</v>
      </c>
      <c r="M16" s="141"/>
      <c r="N16" s="143"/>
    </row>
    <row r="17" ht="15.0" hidden="1" customHeight="1" outlineLevel="1">
      <c r="A17" s="343" t="s">
        <v>1393</v>
      </c>
      <c r="B17" s="344">
        <v>46026.0</v>
      </c>
      <c r="C17" s="186" t="str">
        <f t="shared" si="1"/>
        <v>Sun</v>
      </c>
      <c r="D17" s="136">
        <f t="shared" si="2"/>
        <v>1</v>
      </c>
      <c r="E17" s="137" t="s">
        <v>129</v>
      </c>
      <c r="F17" s="137" t="s">
        <v>129</v>
      </c>
      <c r="G17" s="137" t="s">
        <v>129</v>
      </c>
      <c r="H17" s="137" t="s">
        <v>129</v>
      </c>
      <c r="I17" s="137" t="s">
        <v>129</v>
      </c>
      <c r="J17" s="137" t="s">
        <v>129</v>
      </c>
      <c r="K17" s="137" t="s">
        <v>129</v>
      </c>
      <c r="L17" s="137" t="s">
        <v>129</v>
      </c>
      <c r="M17" s="141"/>
      <c r="N17" s="147"/>
    </row>
    <row r="18" hidden="1" outlineLevel="1">
      <c r="B18" s="189"/>
      <c r="C18" s="191" t="s">
        <v>194</v>
      </c>
      <c r="D18" s="204">
        <f>AVERAGE(D3:D17)</f>
        <v>1</v>
      </c>
      <c r="E18" s="200"/>
      <c r="L18" s="191" t="s">
        <v>194</v>
      </c>
      <c r="M18" s="204">
        <f>SUM(M3:M17)/75*0.1</f>
        <v>0</v>
      </c>
    </row>
    <row r="19" hidden="1" collapsed="1">
      <c r="A19" s="206" t="s">
        <v>488</v>
      </c>
      <c r="B19" s="207"/>
      <c r="C19" s="207"/>
      <c r="D19" s="208"/>
      <c r="E19" s="109"/>
      <c r="F19" s="109"/>
      <c r="G19" s="110"/>
      <c r="H19" s="110"/>
      <c r="I19" s="110"/>
      <c r="J19" s="110"/>
      <c r="K19" s="110"/>
      <c r="L19" s="110"/>
      <c r="M19" s="111"/>
      <c r="N19" s="113"/>
    </row>
    <row r="20" hidden="1" outlineLevel="1">
      <c r="A20" s="115" t="s">
        <v>98</v>
      </c>
      <c r="B20" s="115" t="s">
        <v>100</v>
      </c>
      <c r="C20" s="115" t="s">
        <v>102</v>
      </c>
      <c r="D20" s="119" t="s">
        <v>103</v>
      </c>
      <c r="E20" s="275" t="s">
        <v>269</v>
      </c>
      <c r="F20" s="275" t="s">
        <v>272</v>
      </c>
      <c r="G20" s="276" t="s">
        <v>328</v>
      </c>
      <c r="H20" s="121" t="s">
        <v>107</v>
      </c>
      <c r="I20" s="121" t="s">
        <v>108</v>
      </c>
      <c r="J20" s="276" t="s">
        <v>329</v>
      </c>
      <c r="K20" s="121" t="s">
        <v>111</v>
      </c>
      <c r="L20" s="276" t="s">
        <v>274</v>
      </c>
      <c r="M20" s="115" t="s">
        <v>114</v>
      </c>
      <c r="N20" s="119" t="s">
        <v>115</v>
      </c>
    </row>
    <row r="21" hidden="1" outlineLevel="1">
      <c r="A21" s="343" t="s">
        <v>664</v>
      </c>
      <c r="B21" s="344">
        <v>46027.0</v>
      </c>
      <c r="C21" s="133" t="str">
        <f t="shared" ref="C21:C35" si="3">IF(B21="", "", TEXT(B21, "ddd"))</f>
        <v>Mon</v>
      </c>
      <c r="D21" s="136">
        <f t="shared" ref="D21:D35" si="4">IF(E21="Yes",0.05,0)
+IF(F21="Yes",0.1,0)
+IF(G21="Yes",0.15,0)
+IF(H21="Yes",0.15,0)
+IF(I21="Yes",0.05,0)
+IF(J21="Yes",0.05,0)
+IF(K21="Yes",0.15,0)
+IF(L21="Yes",0.3,0)
</f>
        <v>0</v>
      </c>
      <c r="E21" s="137" t="s">
        <v>174</v>
      </c>
      <c r="F21" s="137" t="s">
        <v>174</v>
      </c>
      <c r="G21" s="137" t="s">
        <v>174</v>
      </c>
      <c r="H21" s="137" t="s">
        <v>174</v>
      </c>
      <c r="I21" s="137" t="s">
        <v>174</v>
      </c>
      <c r="J21" s="137" t="s">
        <v>174</v>
      </c>
      <c r="K21" s="137" t="s">
        <v>174</v>
      </c>
      <c r="L21" s="137" t="s">
        <v>174</v>
      </c>
      <c r="M21" s="141"/>
      <c r="N21" s="143"/>
    </row>
    <row r="22" hidden="1" outlineLevel="1">
      <c r="A22" s="343" t="s">
        <v>664</v>
      </c>
      <c r="B22" s="344">
        <v>46027.0</v>
      </c>
      <c r="C22" s="133" t="str">
        <f t="shared" si="3"/>
        <v>Mon</v>
      </c>
      <c r="D22" s="136">
        <f t="shared" si="4"/>
        <v>0</v>
      </c>
      <c r="E22" s="137" t="s">
        <v>174</v>
      </c>
      <c r="F22" s="137" t="s">
        <v>174</v>
      </c>
      <c r="G22" s="137" t="s">
        <v>174</v>
      </c>
      <c r="H22" s="137" t="s">
        <v>174</v>
      </c>
      <c r="I22" s="137" t="s">
        <v>174</v>
      </c>
      <c r="J22" s="137" t="s">
        <v>174</v>
      </c>
      <c r="K22" s="137" t="s">
        <v>174</v>
      </c>
      <c r="L22" s="137" t="s">
        <v>174</v>
      </c>
      <c r="M22" s="141"/>
      <c r="N22" s="147"/>
    </row>
    <row r="23" hidden="1" outlineLevel="1">
      <c r="A23" s="343" t="s">
        <v>664</v>
      </c>
      <c r="B23" s="344">
        <v>46027.0</v>
      </c>
      <c r="C23" s="133" t="str">
        <f t="shared" si="3"/>
        <v>Mon</v>
      </c>
      <c r="D23" s="136">
        <f t="shared" si="4"/>
        <v>0</v>
      </c>
      <c r="E23" s="137" t="s">
        <v>174</v>
      </c>
      <c r="F23" s="137" t="s">
        <v>174</v>
      </c>
      <c r="G23" s="137" t="s">
        <v>174</v>
      </c>
      <c r="H23" s="137" t="s">
        <v>174</v>
      </c>
      <c r="I23" s="137" t="s">
        <v>174</v>
      </c>
      <c r="J23" s="137" t="s">
        <v>174</v>
      </c>
      <c r="K23" s="137" t="s">
        <v>174</v>
      </c>
      <c r="L23" s="137" t="s">
        <v>174</v>
      </c>
      <c r="M23" s="141"/>
      <c r="N23" s="147"/>
    </row>
    <row r="24" hidden="1" outlineLevel="1">
      <c r="A24" s="367" t="s">
        <v>1397</v>
      </c>
      <c r="B24" s="344">
        <v>46029.0</v>
      </c>
      <c r="C24" s="133" t="str">
        <f t="shared" si="3"/>
        <v>Wed</v>
      </c>
      <c r="D24" s="136">
        <f t="shared" si="4"/>
        <v>1</v>
      </c>
      <c r="E24" s="137" t="s">
        <v>129</v>
      </c>
      <c r="F24" s="137" t="s">
        <v>129</v>
      </c>
      <c r="G24" s="137" t="s">
        <v>129</v>
      </c>
      <c r="H24" s="137" t="s">
        <v>129</v>
      </c>
      <c r="I24" s="137" t="s">
        <v>129</v>
      </c>
      <c r="J24" s="137" t="s">
        <v>129</v>
      </c>
      <c r="K24" s="137" t="s">
        <v>129</v>
      </c>
      <c r="L24" s="137" t="s">
        <v>129</v>
      </c>
      <c r="M24" s="141"/>
      <c r="N24" s="143"/>
    </row>
    <row r="25" hidden="1" outlineLevel="1">
      <c r="A25" s="367" t="s">
        <v>1398</v>
      </c>
      <c r="B25" s="344">
        <v>46029.0</v>
      </c>
      <c r="C25" s="133" t="str">
        <f t="shared" si="3"/>
        <v>Wed</v>
      </c>
      <c r="D25" s="136">
        <f t="shared" si="4"/>
        <v>1</v>
      </c>
      <c r="E25" s="137" t="s">
        <v>129</v>
      </c>
      <c r="F25" s="137" t="s">
        <v>129</v>
      </c>
      <c r="G25" s="137" t="s">
        <v>129</v>
      </c>
      <c r="H25" s="137" t="s">
        <v>129</v>
      </c>
      <c r="I25" s="137" t="s">
        <v>129</v>
      </c>
      <c r="J25" s="137" t="s">
        <v>129</v>
      </c>
      <c r="K25" s="137" t="s">
        <v>129</v>
      </c>
      <c r="L25" s="137" t="s">
        <v>129</v>
      </c>
      <c r="M25" s="141"/>
      <c r="N25" s="143"/>
    </row>
    <row r="26" hidden="1" outlineLevel="1">
      <c r="A26" s="367" t="s">
        <v>1400</v>
      </c>
      <c r="B26" s="344">
        <v>46029.0</v>
      </c>
      <c r="C26" s="133" t="str">
        <f t="shared" si="3"/>
        <v>Wed</v>
      </c>
      <c r="D26" s="136">
        <f t="shared" si="4"/>
        <v>1</v>
      </c>
      <c r="E26" s="137" t="s">
        <v>129</v>
      </c>
      <c r="F26" s="137" t="s">
        <v>129</v>
      </c>
      <c r="G26" s="137" t="s">
        <v>129</v>
      </c>
      <c r="H26" s="137" t="s">
        <v>129</v>
      </c>
      <c r="I26" s="137" t="s">
        <v>129</v>
      </c>
      <c r="J26" s="137" t="s">
        <v>129</v>
      </c>
      <c r="K26" s="137" t="s">
        <v>129</v>
      </c>
      <c r="L26" s="137" t="s">
        <v>129</v>
      </c>
      <c r="M26" s="141"/>
      <c r="N26" s="143"/>
    </row>
    <row r="27" hidden="1" outlineLevel="1">
      <c r="A27" s="426" t="s">
        <v>1402</v>
      </c>
      <c r="B27" s="344">
        <v>46030.0</v>
      </c>
      <c r="C27" s="133" t="str">
        <f t="shared" si="3"/>
        <v>Thu</v>
      </c>
      <c r="D27" s="136">
        <f t="shared" si="4"/>
        <v>1</v>
      </c>
      <c r="E27" s="137" t="s">
        <v>129</v>
      </c>
      <c r="F27" s="137" t="s">
        <v>129</v>
      </c>
      <c r="G27" s="137" t="s">
        <v>129</v>
      </c>
      <c r="H27" s="137" t="s">
        <v>129</v>
      </c>
      <c r="I27" s="137" t="s">
        <v>129</v>
      </c>
      <c r="J27" s="137" t="s">
        <v>129</v>
      </c>
      <c r="K27" s="137" t="s">
        <v>129</v>
      </c>
      <c r="L27" s="137" t="s">
        <v>129</v>
      </c>
      <c r="M27" s="141"/>
      <c r="N27" s="143"/>
    </row>
    <row r="28" hidden="1" outlineLevel="1">
      <c r="A28" s="367" t="s">
        <v>1403</v>
      </c>
      <c r="B28" s="344">
        <v>46030.0</v>
      </c>
      <c r="C28" s="133" t="str">
        <f t="shared" si="3"/>
        <v>Thu</v>
      </c>
      <c r="D28" s="136">
        <f t="shared" si="4"/>
        <v>1</v>
      </c>
      <c r="E28" s="137" t="s">
        <v>129</v>
      </c>
      <c r="F28" s="137" t="s">
        <v>129</v>
      </c>
      <c r="G28" s="137" t="s">
        <v>129</v>
      </c>
      <c r="H28" s="137" t="s">
        <v>129</v>
      </c>
      <c r="I28" s="137" t="s">
        <v>129</v>
      </c>
      <c r="J28" s="137" t="s">
        <v>129</v>
      </c>
      <c r="K28" s="137" t="s">
        <v>129</v>
      </c>
      <c r="L28" s="137" t="s">
        <v>129</v>
      </c>
      <c r="M28" s="141"/>
      <c r="N28" s="147"/>
    </row>
    <row r="29" hidden="1" outlineLevel="1">
      <c r="A29" s="367" t="s">
        <v>1404</v>
      </c>
      <c r="B29" s="344">
        <v>46030.0</v>
      </c>
      <c r="C29" s="133" t="str">
        <f t="shared" si="3"/>
        <v>Thu</v>
      </c>
      <c r="D29" s="136">
        <f t="shared" si="4"/>
        <v>1</v>
      </c>
      <c r="E29" s="137" t="s">
        <v>129</v>
      </c>
      <c r="F29" s="137" t="s">
        <v>129</v>
      </c>
      <c r="G29" s="137" t="s">
        <v>129</v>
      </c>
      <c r="H29" s="137" t="s">
        <v>129</v>
      </c>
      <c r="I29" s="137" t="s">
        <v>129</v>
      </c>
      <c r="J29" s="137" t="s">
        <v>129</v>
      </c>
      <c r="K29" s="137" t="s">
        <v>129</v>
      </c>
      <c r="L29" s="137" t="s">
        <v>129</v>
      </c>
      <c r="M29" s="141"/>
      <c r="N29" s="143"/>
    </row>
    <row r="30" hidden="1" outlineLevel="1">
      <c r="A30" s="367" t="s">
        <v>1407</v>
      </c>
      <c r="B30" s="344">
        <v>46031.0</v>
      </c>
      <c r="C30" s="133" t="str">
        <f t="shared" si="3"/>
        <v>Fri</v>
      </c>
      <c r="D30" s="136">
        <f t="shared" si="4"/>
        <v>1</v>
      </c>
      <c r="E30" s="137" t="s">
        <v>129</v>
      </c>
      <c r="F30" s="137" t="s">
        <v>129</v>
      </c>
      <c r="G30" s="137" t="s">
        <v>129</v>
      </c>
      <c r="H30" s="137" t="s">
        <v>129</v>
      </c>
      <c r="I30" s="137" t="s">
        <v>129</v>
      </c>
      <c r="J30" s="137" t="s">
        <v>129</v>
      </c>
      <c r="K30" s="137" t="s">
        <v>129</v>
      </c>
      <c r="L30" s="137" t="s">
        <v>129</v>
      </c>
      <c r="M30" s="141"/>
      <c r="N30" s="143"/>
    </row>
    <row r="31" hidden="1" outlineLevel="1">
      <c r="A31" s="367" t="s">
        <v>1409</v>
      </c>
      <c r="B31" s="344">
        <v>46031.0</v>
      </c>
      <c r="C31" s="133" t="str">
        <f t="shared" si="3"/>
        <v>Fri</v>
      </c>
      <c r="D31" s="136">
        <f t="shared" si="4"/>
        <v>1</v>
      </c>
      <c r="E31" s="137" t="s">
        <v>129</v>
      </c>
      <c r="F31" s="137" t="s">
        <v>129</v>
      </c>
      <c r="G31" s="137" t="s">
        <v>129</v>
      </c>
      <c r="H31" s="137" t="s">
        <v>129</v>
      </c>
      <c r="I31" s="137" t="s">
        <v>129</v>
      </c>
      <c r="J31" s="137" t="s">
        <v>129</v>
      </c>
      <c r="K31" s="137" t="s">
        <v>129</v>
      </c>
      <c r="L31" s="137" t="s">
        <v>129</v>
      </c>
      <c r="M31" s="141"/>
      <c r="N31" s="147"/>
    </row>
    <row r="32" hidden="1" outlineLevel="1">
      <c r="A32" s="367" t="s">
        <v>1411</v>
      </c>
      <c r="B32" s="344">
        <v>46031.0</v>
      </c>
      <c r="C32" s="133" t="str">
        <f t="shared" si="3"/>
        <v>Fri</v>
      </c>
      <c r="D32" s="136">
        <f t="shared" si="4"/>
        <v>1</v>
      </c>
      <c r="E32" s="137" t="s">
        <v>129</v>
      </c>
      <c r="F32" s="137" t="s">
        <v>129</v>
      </c>
      <c r="G32" s="137" t="s">
        <v>129</v>
      </c>
      <c r="H32" s="137" t="s">
        <v>129</v>
      </c>
      <c r="I32" s="137" t="s">
        <v>129</v>
      </c>
      <c r="J32" s="137" t="s">
        <v>129</v>
      </c>
      <c r="K32" s="137" t="s">
        <v>129</v>
      </c>
      <c r="L32" s="137" t="s">
        <v>129</v>
      </c>
      <c r="M32" s="141"/>
      <c r="N32" s="143"/>
    </row>
    <row r="33" hidden="1" outlineLevel="1">
      <c r="A33" s="343" t="s">
        <v>1412</v>
      </c>
      <c r="B33" s="344">
        <v>46032.0</v>
      </c>
      <c r="C33" s="186" t="str">
        <f t="shared" si="3"/>
        <v>Sat</v>
      </c>
      <c r="D33" s="136">
        <f t="shared" si="4"/>
        <v>1</v>
      </c>
      <c r="E33" s="137" t="s">
        <v>129</v>
      </c>
      <c r="F33" s="137" t="s">
        <v>129</v>
      </c>
      <c r="G33" s="137" t="s">
        <v>129</v>
      </c>
      <c r="H33" s="137" t="s">
        <v>129</v>
      </c>
      <c r="I33" s="137" t="s">
        <v>129</v>
      </c>
      <c r="J33" s="137" t="s">
        <v>129</v>
      </c>
      <c r="K33" s="137" t="s">
        <v>129</v>
      </c>
      <c r="L33" s="137" t="s">
        <v>129</v>
      </c>
      <c r="M33" s="141"/>
      <c r="N33" s="143"/>
    </row>
    <row r="34" hidden="1" outlineLevel="1">
      <c r="A34" s="343" t="s">
        <v>1414</v>
      </c>
      <c r="B34" s="344">
        <v>46032.0</v>
      </c>
      <c r="C34" s="186" t="str">
        <f t="shared" si="3"/>
        <v>Sat</v>
      </c>
      <c r="D34" s="136">
        <f t="shared" si="4"/>
        <v>1</v>
      </c>
      <c r="E34" s="137" t="s">
        <v>129</v>
      </c>
      <c r="F34" s="137" t="s">
        <v>129</v>
      </c>
      <c r="G34" s="137" t="s">
        <v>129</v>
      </c>
      <c r="H34" s="137" t="s">
        <v>129</v>
      </c>
      <c r="I34" s="137" t="s">
        <v>129</v>
      </c>
      <c r="J34" s="137" t="s">
        <v>129</v>
      </c>
      <c r="K34" s="137" t="s">
        <v>129</v>
      </c>
      <c r="L34" s="137" t="s">
        <v>129</v>
      </c>
      <c r="M34" s="141"/>
      <c r="N34" s="143"/>
    </row>
    <row r="35" ht="15.0" hidden="1" customHeight="1" outlineLevel="1">
      <c r="A35" s="343" t="s">
        <v>1416</v>
      </c>
      <c r="B35" s="344">
        <v>46032.0</v>
      </c>
      <c r="C35" s="186" t="str">
        <f t="shared" si="3"/>
        <v>Sat</v>
      </c>
      <c r="D35" s="136">
        <f t="shared" si="4"/>
        <v>1</v>
      </c>
      <c r="E35" s="137" t="s">
        <v>129</v>
      </c>
      <c r="F35" s="137" t="s">
        <v>129</v>
      </c>
      <c r="G35" s="137" t="s">
        <v>129</v>
      </c>
      <c r="H35" s="137" t="s">
        <v>129</v>
      </c>
      <c r="I35" s="137" t="s">
        <v>129</v>
      </c>
      <c r="J35" s="137" t="s">
        <v>129</v>
      </c>
      <c r="K35" s="137" t="s">
        <v>129</v>
      </c>
      <c r="L35" s="137" t="s">
        <v>129</v>
      </c>
      <c r="M35" s="141"/>
      <c r="N35" s="147"/>
    </row>
    <row r="36" hidden="1" outlineLevel="1">
      <c r="B36" s="189"/>
      <c r="C36" s="191" t="s">
        <v>194</v>
      </c>
      <c r="D36" s="204">
        <f>AVERAGE(D21:D35)</f>
        <v>0.8</v>
      </c>
      <c r="E36" s="200"/>
      <c r="L36" s="191" t="s">
        <v>194</v>
      </c>
      <c r="M36" s="204">
        <f>SUM(M21:M35)/75*0.1</f>
        <v>0</v>
      </c>
    </row>
    <row r="37" hidden="1" collapsed="1">
      <c r="A37" s="206" t="s">
        <v>516</v>
      </c>
      <c r="B37" s="207"/>
      <c r="C37" s="207"/>
      <c r="D37" s="208"/>
      <c r="E37" s="109"/>
      <c r="F37" s="109"/>
      <c r="G37" s="110"/>
      <c r="H37" s="110"/>
      <c r="I37" s="110"/>
      <c r="J37" s="110"/>
      <c r="K37" s="110"/>
      <c r="L37" s="110"/>
      <c r="M37" s="111"/>
      <c r="N37" s="113"/>
    </row>
    <row r="38" hidden="1" outlineLevel="1">
      <c r="A38" s="115" t="s">
        <v>98</v>
      </c>
      <c r="B38" s="115" t="s">
        <v>100</v>
      </c>
      <c r="C38" s="115" t="s">
        <v>102</v>
      </c>
      <c r="D38" s="119" t="s">
        <v>103</v>
      </c>
      <c r="E38" s="275" t="s">
        <v>269</v>
      </c>
      <c r="F38" s="275" t="s">
        <v>272</v>
      </c>
      <c r="G38" s="276" t="s">
        <v>328</v>
      </c>
      <c r="H38" s="121" t="s">
        <v>107</v>
      </c>
      <c r="I38" s="121" t="s">
        <v>108</v>
      </c>
      <c r="J38" s="276" t="s">
        <v>329</v>
      </c>
      <c r="K38" s="121" t="s">
        <v>111</v>
      </c>
      <c r="L38" s="276" t="s">
        <v>274</v>
      </c>
      <c r="M38" s="115" t="s">
        <v>114</v>
      </c>
      <c r="N38" s="119" t="s">
        <v>115</v>
      </c>
    </row>
    <row r="39" hidden="1" outlineLevel="1">
      <c r="A39" s="219" t="s">
        <v>1419</v>
      </c>
      <c r="B39" s="344">
        <v>46034.0</v>
      </c>
      <c r="C39" s="133" t="str">
        <f t="shared" ref="C39:C53" si="5">IF(B39="", "", TEXT(B39, "ddd"))</f>
        <v>Mon</v>
      </c>
      <c r="D39" s="136">
        <f t="shared" ref="D39:D53" si="6">IF(E39="Yes",0.05,0)
+IF(F39="Yes",0.1,0)
+IF(G39="Yes",0.15,0)
+IF(H39="Yes",0.15,0)
+IF(I39="Yes",0.05,0)
+IF(J39="Yes",0.05,0)
+IF(K39="Yes",0.15,0)
+IF(L39="Yes",0.3,0)
</f>
        <v>1</v>
      </c>
      <c r="E39" s="137" t="s">
        <v>129</v>
      </c>
      <c r="F39" s="137" t="s">
        <v>129</v>
      </c>
      <c r="G39" s="137" t="s">
        <v>129</v>
      </c>
      <c r="H39" s="137" t="s">
        <v>129</v>
      </c>
      <c r="I39" s="137" t="s">
        <v>129</v>
      </c>
      <c r="J39" s="137" t="s">
        <v>129</v>
      </c>
      <c r="K39" s="137" t="s">
        <v>129</v>
      </c>
      <c r="L39" s="137" t="s">
        <v>129</v>
      </c>
      <c r="M39" s="141"/>
      <c r="N39" s="143"/>
    </row>
    <row r="40" hidden="1" outlineLevel="1">
      <c r="A40" s="219" t="s">
        <v>1422</v>
      </c>
      <c r="B40" s="344">
        <v>46034.0</v>
      </c>
      <c r="C40" s="133" t="str">
        <f t="shared" si="5"/>
        <v>Mon</v>
      </c>
      <c r="D40" s="136">
        <f t="shared" si="6"/>
        <v>1</v>
      </c>
      <c r="E40" s="137" t="s">
        <v>129</v>
      </c>
      <c r="F40" s="137" t="s">
        <v>129</v>
      </c>
      <c r="G40" s="137" t="s">
        <v>129</v>
      </c>
      <c r="H40" s="137" t="s">
        <v>129</v>
      </c>
      <c r="I40" s="137" t="s">
        <v>129</v>
      </c>
      <c r="J40" s="137" t="s">
        <v>129</v>
      </c>
      <c r="K40" s="137" t="s">
        <v>129</v>
      </c>
      <c r="L40" s="137" t="s">
        <v>129</v>
      </c>
      <c r="M40" s="141"/>
      <c r="N40" s="147"/>
    </row>
    <row r="41" hidden="1" outlineLevel="1">
      <c r="A41" s="219" t="s">
        <v>1424</v>
      </c>
      <c r="B41" s="344">
        <v>46034.0</v>
      </c>
      <c r="C41" s="133" t="str">
        <f t="shared" si="5"/>
        <v>Mon</v>
      </c>
      <c r="D41" s="136">
        <f t="shared" si="6"/>
        <v>1</v>
      </c>
      <c r="E41" s="137" t="s">
        <v>129</v>
      </c>
      <c r="F41" s="137" t="s">
        <v>129</v>
      </c>
      <c r="G41" s="137" t="s">
        <v>129</v>
      </c>
      <c r="H41" s="137" t="s">
        <v>129</v>
      </c>
      <c r="I41" s="137" t="s">
        <v>129</v>
      </c>
      <c r="J41" s="137" t="s">
        <v>129</v>
      </c>
      <c r="K41" s="137" t="s">
        <v>129</v>
      </c>
      <c r="L41" s="137" t="s">
        <v>129</v>
      </c>
      <c r="M41" s="141"/>
      <c r="N41" s="147"/>
    </row>
    <row r="42" hidden="1" outlineLevel="1">
      <c r="A42" s="367" t="s">
        <v>1425</v>
      </c>
      <c r="B42" s="344">
        <v>46036.0</v>
      </c>
      <c r="C42" s="133" t="str">
        <f t="shared" si="5"/>
        <v>Wed</v>
      </c>
      <c r="D42" s="136">
        <f t="shared" si="6"/>
        <v>1</v>
      </c>
      <c r="E42" s="137" t="s">
        <v>129</v>
      </c>
      <c r="F42" s="137" t="s">
        <v>129</v>
      </c>
      <c r="G42" s="137" t="s">
        <v>129</v>
      </c>
      <c r="H42" s="137" t="s">
        <v>129</v>
      </c>
      <c r="I42" s="137" t="s">
        <v>129</v>
      </c>
      <c r="J42" s="137" t="s">
        <v>129</v>
      </c>
      <c r="K42" s="137" t="s">
        <v>129</v>
      </c>
      <c r="L42" s="137" t="s">
        <v>129</v>
      </c>
      <c r="M42" s="141"/>
      <c r="N42" s="143"/>
    </row>
    <row r="43" hidden="1" outlineLevel="1">
      <c r="A43" s="367" t="s">
        <v>1426</v>
      </c>
      <c r="B43" s="344">
        <v>46036.0</v>
      </c>
      <c r="C43" s="133" t="str">
        <f t="shared" si="5"/>
        <v>Wed</v>
      </c>
      <c r="D43" s="136">
        <f t="shared" si="6"/>
        <v>1</v>
      </c>
      <c r="E43" s="137" t="s">
        <v>129</v>
      </c>
      <c r="F43" s="137" t="s">
        <v>129</v>
      </c>
      <c r="G43" s="137" t="s">
        <v>129</v>
      </c>
      <c r="H43" s="137" t="s">
        <v>129</v>
      </c>
      <c r="I43" s="137" t="s">
        <v>129</v>
      </c>
      <c r="J43" s="137" t="s">
        <v>129</v>
      </c>
      <c r="K43" s="137" t="s">
        <v>129</v>
      </c>
      <c r="L43" s="137" t="s">
        <v>129</v>
      </c>
      <c r="M43" s="141"/>
      <c r="N43" s="143"/>
    </row>
    <row r="44" hidden="1" outlineLevel="1">
      <c r="A44" s="367" t="s">
        <v>1427</v>
      </c>
      <c r="B44" s="344">
        <v>46036.0</v>
      </c>
      <c r="C44" s="133" t="str">
        <f t="shared" si="5"/>
        <v>Wed</v>
      </c>
      <c r="D44" s="136">
        <f t="shared" si="6"/>
        <v>1</v>
      </c>
      <c r="E44" s="137" t="s">
        <v>129</v>
      </c>
      <c r="F44" s="137" t="s">
        <v>129</v>
      </c>
      <c r="G44" s="137" t="s">
        <v>129</v>
      </c>
      <c r="H44" s="137" t="s">
        <v>129</v>
      </c>
      <c r="I44" s="137" t="s">
        <v>129</v>
      </c>
      <c r="J44" s="137" t="s">
        <v>129</v>
      </c>
      <c r="K44" s="137" t="s">
        <v>129</v>
      </c>
      <c r="L44" s="137" t="s">
        <v>129</v>
      </c>
      <c r="M44" s="141"/>
      <c r="N44" s="143"/>
    </row>
    <row r="45" hidden="1" outlineLevel="1">
      <c r="A45" s="367" t="s">
        <v>1429</v>
      </c>
      <c r="B45" s="344">
        <v>46037.0</v>
      </c>
      <c r="C45" s="133" t="str">
        <f t="shared" si="5"/>
        <v>Thu</v>
      </c>
      <c r="D45" s="136">
        <f t="shared" si="6"/>
        <v>1</v>
      </c>
      <c r="E45" s="137" t="s">
        <v>129</v>
      </c>
      <c r="F45" s="137" t="s">
        <v>129</v>
      </c>
      <c r="G45" s="137" t="s">
        <v>129</v>
      </c>
      <c r="H45" s="137" t="s">
        <v>129</v>
      </c>
      <c r="I45" s="137" t="s">
        <v>129</v>
      </c>
      <c r="J45" s="137" t="s">
        <v>129</v>
      </c>
      <c r="K45" s="137" t="s">
        <v>129</v>
      </c>
      <c r="L45" s="137" t="s">
        <v>129</v>
      </c>
      <c r="M45" s="141"/>
      <c r="N45" s="143"/>
    </row>
    <row r="46" hidden="1" outlineLevel="1">
      <c r="A46" s="367" t="s">
        <v>1431</v>
      </c>
      <c r="B46" s="344">
        <v>46037.0</v>
      </c>
      <c r="C46" s="133" t="str">
        <f t="shared" si="5"/>
        <v>Thu</v>
      </c>
      <c r="D46" s="136">
        <f t="shared" si="6"/>
        <v>0.85</v>
      </c>
      <c r="E46" s="137" t="s">
        <v>129</v>
      </c>
      <c r="F46" s="137" t="s">
        <v>129</v>
      </c>
      <c r="G46" s="137" t="s">
        <v>129</v>
      </c>
      <c r="H46" s="137" t="s">
        <v>174</v>
      </c>
      <c r="I46" s="137" t="s">
        <v>129</v>
      </c>
      <c r="J46" s="137" t="s">
        <v>129</v>
      </c>
      <c r="K46" s="137" t="s">
        <v>129</v>
      </c>
      <c r="L46" s="137" t="s">
        <v>129</v>
      </c>
      <c r="M46" s="141"/>
      <c r="N46" s="147" t="s">
        <v>1432</v>
      </c>
    </row>
    <row r="47" hidden="1" outlineLevel="1">
      <c r="A47" s="367" t="s">
        <v>1433</v>
      </c>
      <c r="B47" s="344">
        <v>46037.0</v>
      </c>
      <c r="C47" s="133" t="str">
        <f t="shared" si="5"/>
        <v>Thu</v>
      </c>
      <c r="D47" s="136">
        <f t="shared" si="6"/>
        <v>1</v>
      </c>
      <c r="E47" s="137" t="s">
        <v>129</v>
      </c>
      <c r="F47" s="137" t="s">
        <v>129</v>
      </c>
      <c r="G47" s="137" t="s">
        <v>129</v>
      </c>
      <c r="H47" s="137" t="s">
        <v>129</v>
      </c>
      <c r="I47" s="137" t="s">
        <v>129</v>
      </c>
      <c r="J47" s="137" t="s">
        <v>129</v>
      </c>
      <c r="K47" s="137" t="s">
        <v>129</v>
      </c>
      <c r="L47" s="137" t="s">
        <v>129</v>
      </c>
      <c r="M47" s="141"/>
      <c r="N47" s="143"/>
    </row>
    <row r="48" hidden="1" outlineLevel="1">
      <c r="A48" s="219" t="s">
        <v>1434</v>
      </c>
      <c r="B48" s="344">
        <v>46038.0</v>
      </c>
      <c r="C48" s="133" t="str">
        <f t="shared" si="5"/>
        <v>Fri</v>
      </c>
      <c r="D48" s="136">
        <f t="shared" si="6"/>
        <v>1</v>
      </c>
      <c r="E48" s="137" t="s">
        <v>129</v>
      </c>
      <c r="F48" s="137" t="s">
        <v>129</v>
      </c>
      <c r="G48" s="137" t="s">
        <v>129</v>
      </c>
      <c r="H48" s="137" t="s">
        <v>129</v>
      </c>
      <c r="I48" s="137" t="s">
        <v>129</v>
      </c>
      <c r="J48" s="137" t="s">
        <v>129</v>
      </c>
      <c r="K48" s="137" t="s">
        <v>129</v>
      </c>
      <c r="L48" s="137" t="s">
        <v>129</v>
      </c>
      <c r="M48" s="141"/>
      <c r="N48" s="143"/>
    </row>
    <row r="49" hidden="1" outlineLevel="1">
      <c r="A49" s="219" t="s">
        <v>1436</v>
      </c>
      <c r="B49" s="344">
        <v>46038.0</v>
      </c>
      <c r="C49" s="133" t="str">
        <f t="shared" si="5"/>
        <v>Fri</v>
      </c>
      <c r="D49" s="136">
        <f t="shared" si="6"/>
        <v>1</v>
      </c>
      <c r="E49" s="137" t="s">
        <v>129</v>
      </c>
      <c r="F49" s="137" t="s">
        <v>129</v>
      </c>
      <c r="G49" s="137" t="s">
        <v>129</v>
      </c>
      <c r="H49" s="137" t="s">
        <v>129</v>
      </c>
      <c r="I49" s="137" t="s">
        <v>129</v>
      </c>
      <c r="J49" s="137" t="s">
        <v>129</v>
      </c>
      <c r="K49" s="137" t="s">
        <v>129</v>
      </c>
      <c r="L49" s="137" t="s">
        <v>129</v>
      </c>
      <c r="M49" s="141"/>
      <c r="N49" s="147"/>
    </row>
    <row r="50" hidden="1" outlineLevel="1">
      <c r="A50" s="219" t="s">
        <v>1438</v>
      </c>
      <c r="B50" s="344">
        <v>46038.0</v>
      </c>
      <c r="C50" s="133" t="str">
        <f t="shared" si="5"/>
        <v>Fri</v>
      </c>
      <c r="D50" s="136">
        <f t="shared" si="6"/>
        <v>1</v>
      </c>
      <c r="E50" s="137" t="s">
        <v>129</v>
      </c>
      <c r="F50" s="137" t="s">
        <v>129</v>
      </c>
      <c r="G50" s="137" t="s">
        <v>129</v>
      </c>
      <c r="H50" s="137" t="s">
        <v>129</v>
      </c>
      <c r="I50" s="137" t="s">
        <v>129</v>
      </c>
      <c r="J50" s="137" t="s">
        <v>129</v>
      </c>
      <c r="K50" s="137" t="s">
        <v>129</v>
      </c>
      <c r="L50" s="137" t="s">
        <v>129</v>
      </c>
      <c r="M50" s="141"/>
      <c r="N50" s="143"/>
    </row>
    <row r="51" hidden="1" outlineLevel="1">
      <c r="A51" s="219" t="s">
        <v>1439</v>
      </c>
      <c r="B51" s="344">
        <v>46039.0</v>
      </c>
      <c r="C51" s="186" t="str">
        <f t="shared" si="5"/>
        <v>Sat</v>
      </c>
      <c r="D51" s="136">
        <f t="shared" si="6"/>
        <v>1</v>
      </c>
      <c r="E51" s="137" t="s">
        <v>129</v>
      </c>
      <c r="F51" s="137" t="s">
        <v>129</v>
      </c>
      <c r="G51" s="137" t="s">
        <v>129</v>
      </c>
      <c r="H51" s="137" t="s">
        <v>129</v>
      </c>
      <c r="I51" s="137" t="s">
        <v>129</v>
      </c>
      <c r="J51" s="137" t="s">
        <v>129</v>
      </c>
      <c r="K51" s="137" t="s">
        <v>129</v>
      </c>
      <c r="L51" s="137" t="s">
        <v>129</v>
      </c>
      <c r="M51" s="141"/>
      <c r="N51" s="143"/>
    </row>
    <row r="52" hidden="1" outlineLevel="1">
      <c r="A52" s="219" t="s">
        <v>1440</v>
      </c>
      <c r="B52" s="344">
        <v>46039.0</v>
      </c>
      <c r="C52" s="186" t="str">
        <f t="shared" si="5"/>
        <v>Sat</v>
      </c>
      <c r="D52" s="136">
        <f t="shared" si="6"/>
        <v>1</v>
      </c>
      <c r="E52" s="137" t="s">
        <v>129</v>
      </c>
      <c r="F52" s="137" t="s">
        <v>129</v>
      </c>
      <c r="G52" s="137" t="s">
        <v>129</v>
      </c>
      <c r="H52" s="137" t="s">
        <v>129</v>
      </c>
      <c r="I52" s="137" t="s">
        <v>129</v>
      </c>
      <c r="J52" s="137" t="s">
        <v>129</v>
      </c>
      <c r="K52" s="137" t="s">
        <v>129</v>
      </c>
      <c r="L52" s="137" t="s">
        <v>129</v>
      </c>
      <c r="M52" s="141"/>
      <c r="N52" s="143"/>
    </row>
    <row r="53" ht="15.0" hidden="1" customHeight="1" outlineLevel="1">
      <c r="A53" s="219" t="s">
        <v>1443</v>
      </c>
      <c r="B53" s="344">
        <v>46039.0</v>
      </c>
      <c r="C53" s="186" t="str">
        <f t="shared" si="5"/>
        <v>Sat</v>
      </c>
      <c r="D53" s="136">
        <f t="shared" si="6"/>
        <v>1</v>
      </c>
      <c r="E53" s="137" t="s">
        <v>129</v>
      </c>
      <c r="F53" s="137" t="s">
        <v>129</v>
      </c>
      <c r="G53" s="137" t="s">
        <v>129</v>
      </c>
      <c r="H53" s="137" t="s">
        <v>129</v>
      </c>
      <c r="I53" s="137" t="s">
        <v>129</v>
      </c>
      <c r="J53" s="137" t="s">
        <v>129</v>
      </c>
      <c r="K53" s="137" t="s">
        <v>129</v>
      </c>
      <c r="L53" s="137" t="s">
        <v>129</v>
      </c>
      <c r="M53" s="141"/>
      <c r="N53" s="147"/>
    </row>
    <row r="54" hidden="1" outlineLevel="1">
      <c r="B54" s="189"/>
      <c r="C54" s="191" t="s">
        <v>194</v>
      </c>
      <c r="D54" s="204">
        <f>AVERAGE(D39:D53)</f>
        <v>0.99</v>
      </c>
      <c r="E54" s="200"/>
      <c r="L54" s="191" t="s">
        <v>194</v>
      </c>
      <c r="M54" s="204">
        <f>SUM(M39:M53)/75*0.1</f>
        <v>0</v>
      </c>
    </row>
    <row r="55" hidden="1" collapsed="1">
      <c r="A55" s="206" t="s">
        <v>549</v>
      </c>
      <c r="B55" s="207"/>
      <c r="C55" s="207"/>
      <c r="D55" s="208"/>
      <c r="E55" s="109"/>
      <c r="F55" s="109"/>
      <c r="G55" s="110"/>
      <c r="H55" s="110"/>
      <c r="I55" s="110"/>
      <c r="J55" s="110"/>
      <c r="K55" s="110"/>
      <c r="L55" s="110"/>
      <c r="M55" s="111"/>
      <c r="N55" s="113"/>
    </row>
    <row r="56" hidden="1" outlineLevel="1">
      <c r="A56" s="115" t="s">
        <v>98</v>
      </c>
      <c r="B56" s="115" t="s">
        <v>100</v>
      </c>
      <c r="C56" s="115" t="s">
        <v>102</v>
      </c>
      <c r="D56" s="119" t="s">
        <v>103</v>
      </c>
      <c r="E56" s="275" t="s">
        <v>269</v>
      </c>
      <c r="F56" s="275" t="s">
        <v>272</v>
      </c>
      <c r="G56" s="276" t="s">
        <v>328</v>
      </c>
      <c r="H56" s="121" t="s">
        <v>107</v>
      </c>
      <c r="I56" s="121" t="s">
        <v>108</v>
      </c>
      <c r="J56" s="276" t="s">
        <v>329</v>
      </c>
      <c r="K56" s="121" t="s">
        <v>111</v>
      </c>
      <c r="L56" s="276" t="s">
        <v>274</v>
      </c>
      <c r="M56" s="115" t="s">
        <v>114</v>
      </c>
      <c r="N56" s="119" t="s">
        <v>115</v>
      </c>
    </row>
    <row r="57" hidden="1" outlineLevel="1">
      <c r="A57" s="219" t="s">
        <v>1446</v>
      </c>
      <c r="B57" s="344">
        <v>46041.0</v>
      </c>
      <c r="C57" s="133" t="str">
        <f t="shared" ref="C57:C71" si="7">IF(B57="", "", TEXT(B57, "ddd"))</f>
        <v>Mon</v>
      </c>
      <c r="D57" s="136">
        <f t="shared" ref="D57:D71" si="8">IF(E57="Yes",0.05,0)
+IF(F57="Yes",0.1,0)
+IF(G57="Yes",0.15,0)
+IF(H57="Yes",0.15,0)
+IF(I57="Yes",0.05,0)
+IF(J57="Yes",0.05,0)
+IF(K57="Yes",0.15,0)
+IF(L57="Yes",0.3,0)
</f>
        <v>1</v>
      </c>
      <c r="E57" s="137" t="s">
        <v>129</v>
      </c>
      <c r="F57" s="137" t="s">
        <v>129</v>
      </c>
      <c r="G57" s="137" t="s">
        <v>129</v>
      </c>
      <c r="H57" s="137" t="s">
        <v>129</v>
      </c>
      <c r="I57" s="137" t="s">
        <v>129</v>
      </c>
      <c r="J57" s="137" t="s">
        <v>129</v>
      </c>
      <c r="K57" s="137" t="s">
        <v>129</v>
      </c>
      <c r="L57" s="137" t="s">
        <v>129</v>
      </c>
      <c r="M57" s="141"/>
      <c r="N57" s="143"/>
    </row>
    <row r="58" hidden="1" outlineLevel="1">
      <c r="A58" s="219" t="s">
        <v>1447</v>
      </c>
      <c r="B58" s="344">
        <v>46041.0</v>
      </c>
      <c r="C58" s="133" t="str">
        <f t="shared" si="7"/>
        <v>Mon</v>
      </c>
      <c r="D58" s="136">
        <f t="shared" si="8"/>
        <v>1</v>
      </c>
      <c r="E58" s="137" t="s">
        <v>129</v>
      </c>
      <c r="F58" s="137" t="s">
        <v>129</v>
      </c>
      <c r="G58" s="137" t="s">
        <v>129</v>
      </c>
      <c r="H58" s="137" t="s">
        <v>129</v>
      </c>
      <c r="I58" s="137" t="s">
        <v>129</v>
      </c>
      <c r="J58" s="137" t="s">
        <v>129</v>
      </c>
      <c r="K58" s="137" t="s">
        <v>129</v>
      </c>
      <c r="L58" s="137" t="s">
        <v>129</v>
      </c>
      <c r="M58" s="141"/>
      <c r="N58" s="147"/>
    </row>
    <row r="59" hidden="1" outlineLevel="1">
      <c r="A59" s="219" t="s">
        <v>1449</v>
      </c>
      <c r="B59" s="344">
        <v>46041.0</v>
      </c>
      <c r="C59" s="133" t="str">
        <f t="shared" si="7"/>
        <v>Mon</v>
      </c>
      <c r="D59" s="136">
        <f t="shared" si="8"/>
        <v>1</v>
      </c>
      <c r="E59" s="137" t="s">
        <v>129</v>
      </c>
      <c r="F59" s="137" t="s">
        <v>129</v>
      </c>
      <c r="G59" s="137" t="s">
        <v>129</v>
      </c>
      <c r="H59" s="137" t="s">
        <v>129</v>
      </c>
      <c r="I59" s="137" t="s">
        <v>129</v>
      </c>
      <c r="J59" s="137" t="s">
        <v>129</v>
      </c>
      <c r="K59" s="137" t="s">
        <v>129</v>
      </c>
      <c r="L59" s="137" t="s">
        <v>129</v>
      </c>
      <c r="M59" s="141"/>
      <c r="N59" s="147"/>
    </row>
    <row r="60" hidden="1" outlineLevel="1">
      <c r="A60" s="367" t="s">
        <v>1451</v>
      </c>
      <c r="B60" s="344">
        <v>46043.0</v>
      </c>
      <c r="C60" s="133" t="str">
        <f t="shared" si="7"/>
        <v>Wed</v>
      </c>
      <c r="D60" s="136">
        <f t="shared" si="8"/>
        <v>1</v>
      </c>
      <c r="E60" s="137" t="s">
        <v>129</v>
      </c>
      <c r="F60" s="137" t="s">
        <v>129</v>
      </c>
      <c r="G60" s="137" t="s">
        <v>129</v>
      </c>
      <c r="H60" s="137" t="s">
        <v>129</v>
      </c>
      <c r="I60" s="137" t="s">
        <v>129</v>
      </c>
      <c r="J60" s="137" t="s">
        <v>129</v>
      </c>
      <c r="K60" s="137" t="s">
        <v>129</v>
      </c>
      <c r="L60" s="137" t="s">
        <v>129</v>
      </c>
      <c r="M60" s="141"/>
      <c r="N60" s="143"/>
    </row>
    <row r="61" hidden="1" outlineLevel="1">
      <c r="A61" s="367" t="s">
        <v>1453</v>
      </c>
      <c r="B61" s="344">
        <v>46043.0</v>
      </c>
      <c r="C61" s="133" t="str">
        <f t="shared" si="7"/>
        <v>Wed</v>
      </c>
      <c r="D61" s="136">
        <f t="shared" si="8"/>
        <v>1</v>
      </c>
      <c r="E61" s="137" t="s">
        <v>129</v>
      </c>
      <c r="F61" s="137" t="s">
        <v>129</v>
      </c>
      <c r="G61" s="137" t="s">
        <v>129</v>
      </c>
      <c r="H61" s="137" t="s">
        <v>129</v>
      </c>
      <c r="I61" s="137" t="s">
        <v>129</v>
      </c>
      <c r="J61" s="137" t="s">
        <v>129</v>
      </c>
      <c r="K61" s="137" t="s">
        <v>129</v>
      </c>
      <c r="L61" s="137" t="s">
        <v>129</v>
      </c>
      <c r="M61" s="141"/>
      <c r="N61" s="143"/>
    </row>
    <row r="62" hidden="1" outlineLevel="1">
      <c r="A62" s="367" t="s">
        <v>1455</v>
      </c>
      <c r="B62" s="344">
        <v>46043.0</v>
      </c>
      <c r="C62" s="133" t="str">
        <f t="shared" si="7"/>
        <v>Wed</v>
      </c>
      <c r="D62" s="136">
        <f t="shared" si="8"/>
        <v>1</v>
      </c>
      <c r="E62" s="137" t="s">
        <v>129</v>
      </c>
      <c r="F62" s="137" t="s">
        <v>129</v>
      </c>
      <c r="G62" s="137" t="s">
        <v>129</v>
      </c>
      <c r="H62" s="137" t="s">
        <v>129</v>
      </c>
      <c r="I62" s="137" t="s">
        <v>129</v>
      </c>
      <c r="J62" s="137" t="s">
        <v>129</v>
      </c>
      <c r="K62" s="137" t="s">
        <v>129</v>
      </c>
      <c r="L62" s="137" t="s">
        <v>129</v>
      </c>
      <c r="M62" s="141"/>
      <c r="N62" s="143"/>
    </row>
    <row r="63" hidden="1" outlineLevel="1">
      <c r="A63" s="367" t="s">
        <v>1458</v>
      </c>
      <c r="B63" s="344">
        <v>46044.0</v>
      </c>
      <c r="C63" s="133" t="str">
        <f t="shared" si="7"/>
        <v>Thu</v>
      </c>
      <c r="D63" s="136">
        <f t="shared" si="8"/>
        <v>1</v>
      </c>
      <c r="E63" s="137" t="s">
        <v>129</v>
      </c>
      <c r="F63" s="137" t="s">
        <v>129</v>
      </c>
      <c r="G63" s="137" t="s">
        <v>129</v>
      </c>
      <c r="H63" s="137" t="s">
        <v>129</v>
      </c>
      <c r="I63" s="137" t="s">
        <v>129</v>
      </c>
      <c r="J63" s="137" t="s">
        <v>129</v>
      </c>
      <c r="K63" s="137" t="s">
        <v>129</v>
      </c>
      <c r="L63" s="137" t="s">
        <v>129</v>
      </c>
      <c r="M63" s="141"/>
      <c r="N63" s="143"/>
    </row>
    <row r="64" hidden="1" outlineLevel="1">
      <c r="A64" s="367" t="s">
        <v>1460</v>
      </c>
      <c r="B64" s="344">
        <v>46044.0</v>
      </c>
      <c r="C64" s="133" t="str">
        <f t="shared" si="7"/>
        <v>Thu</v>
      </c>
      <c r="D64" s="136">
        <f t="shared" si="8"/>
        <v>1</v>
      </c>
      <c r="E64" s="137" t="s">
        <v>129</v>
      </c>
      <c r="F64" s="137" t="s">
        <v>129</v>
      </c>
      <c r="G64" s="137" t="s">
        <v>129</v>
      </c>
      <c r="H64" s="137" t="s">
        <v>129</v>
      </c>
      <c r="I64" s="137" t="s">
        <v>129</v>
      </c>
      <c r="J64" s="137" t="s">
        <v>129</v>
      </c>
      <c r="K64" s="137" t="s">
        <v>129</v>
      </c>
      <c r="L64" s="137" t="s">
        <v>129</v>
      </c>
      <c r="M64" s="141"/>
      <c r="N64" s="147"/>
    </row>
    <row r="65" hidden="1" outlineLevel="1">
      <c r="A65" s="367" t="s">
        <v>1462</v>
      </c>
      <c r="B65" s="344">
        <v>46044.0</v>
      </c>
      <c r="C65" s="133" t="str">
        <f t="shared" si="7"/>
        <v>Thu</v>
      </c>
      <c r="D65" s="136">
        <f t="shared" si="8"/>
        <v>1</v>
      </c>
      <c r="E65" s="137" t="s">
        <v>129</v>
      </c>
      <c r="F65" s="137" t="s">
        <v>129</v>
      </c>
      <c r="G65" s="137" t="s">
        <v>129</v>
      </c>
      <c r="H65" s="137" t="s">
        <v>129</v>
      </c>
      <c r="I65" s="137" t="s">
        <v>129</v>
      </c>
      <c r="J65" s="137" t="s">
        <v>129</v>
      </c>
      <c r="K65" s="137" t="s">
        <v>129</v>
      </c>
      <c r="L65" s="137" t="s">
        <v>129</v>
      </c>
      <c r="M65" s="141"/>
      <c r="N65" s="143"/>
    </row>
    <row r="66" hidden="1" outlineLevel="1">
      <c r="A66" s="219" t="s">
        <v>1464</v>
      </c>
      <c r="B66" s="344">
        <v>46045.0</v>
      </c>
      <c r="C66" s="133" t="str">
        <f t="shared" si="7"/>
        <v>Fri</v>
      </c>
      <c r="D66" s="136">
        <f t="shared" si="8"/>
        <v>1</v>
      </c>
      <c r="E66" s="137" t="s">
        <v>129</v>
      </c>
      <c r="F66" s="137" t="s">
        <v>129</v>
      </c>
      <c r="G66" s="137" t="s">
        <v>129</v>
      </c>
      <c r="H66" s="137" t="s">
        <v>129</v>
      </c>
      <c r="I66" s="137" t="s">
        <v>129</v>
      </c>
      <c r="J66" s="137" t="s">
        <v>129</v>
      </c>
      <c r="K66" s="137" t="s">
        <v>129</v>
      </c>
      <c r="L66" s="137" t="s">
        <v>129</v>
      </c>
      <c r="M66" s="141"/>
      <c r="N66" s="143"/>
    </row>
    <row r="67" hidden="1" outlineLevel="1">
      <c r="A67" s="219" t="s">
        <v>1466</v>
      </c>
      <c r="B67" s="344">
        <v>46045.0</v>
      </c>
      <c r="C67" s="133" t="str">
        <f t="shared" si="7"/>
        <v>Fri</v>
      </c>
      <c r="D67" s="136">
        <f t="shared" si="8"/>
        <v>1</v>
      </c>
      <c r="E67" s="137" t="s">
        <v>129</v>
      </c>
      <c r="F67" s="137" t="s">
        <v>129</v>
      </c>
      <c r="G67" s="137" t="s">
        <v>129</v>
      </c>
      <c r="H67" s="137" t="s">
        <v>129</v>
      </c>
      <c r="I67" s="137" t="s">
        <v>129</v>
      </c>
      <c r="J67" s="137" t="s">
        <v>129</v>
      </c>
      <c r="K67" s="137" t="s">
        <v>129</v>
      </c>
      <c r="L67" s="137" t="s">
        <v>129</v>
      </c>
      <c r="M67" s="141"/>
      <c r="N67" s="147"/>
    </row>
    <row r="68" hidden="1" outlineLevel="1">
      <c r="A68" s="219" t="s">
        <v>1468</v>
      </c>
      <c r="B68" s="344">
        <v>46045.0</v>
      </c>
      <c r="C68" s="133" t="str">
        <f t="shared" si="7"/>
        <v>Fri</v>
      </c>
      <c r="D68" s="136">
        <f t="shared" si="8"/>
        <v>1</v>
      </c>
      <c r="E68" s="137" t="s">
        <v>129</v>
      </c>
      <c r="F68" s="137" t="s">
        <v>129</v>
      </c>
      <c r="G68" s="137" t="s">
        <v>129</v>
      </c>
      <c r="H68" s="137" t="s">
        <v>129</v>
      </c>
      <c r="I68" s="137" t="s">
        <v>129</v>
      </c>
      <c r="J68" s="137" t="s">
        <v>129</v>
      </c>
      <c r="K68" s="137" t="s">
        <v>129</v>
      </c>
      <c r="L68" s="137" t="s">
        <v>129</v>
      </c>
      <c r="M68" s="141"/>
      <c r="N68" s="143"/>
    </row>
    <row r="69" hidden="1" outlineLevel="1">
      <c r="A69" s="367" t="s">
        <v>1470</v>
      </c>
      <c r="B69" s="344">
        <v>46046.0</v>
      </c>
      <c r="C69" s="186" t="str">
        <f t="shared" si="7"/>
        <v>Sat</v>
      </c>
      <c r="D69" s="136">
        <f t="shared" si="8"/>
        <v>1</v>
      </c>
      <c r="E69" s="137" t="s">
        <v>129</v>
      </c>
      <c r="F69" s="137" t="s">
        <v>129</v>
      </c>
      <c r="G69" s="137" t="s">
        <v>129</v>
      </c>
      <c r="H69" s="137" t="s">
        <v>129</v>
      </c>
      <c r="I69" s="137" t="s">
        <v>129</v>
      </c>
      <c r="J69" s="137" t="s">
        <v>129</v>
      </c>
      <c r="K69" s="137" t="s">
        <v>129</v>
      </c>
      <c r="L69" s="137" t="s">
        <v>129</v>
      </c>
      <c r="M69" s="137" t="s">
        <v>129</v>
      </c>
      <c r="N69" s="143"/>
    </row>
    <row r="70" hidden="1" outlineLevel="1">
      <c r="A70" s="367" t="s">
        <v>1473</v>
      </c>
      <c r="B70" s="344">
        <v>46046.0</v>
      </c>
      <c r="C70" s="186" t="str">
        <f t="shared" si="7"/>
        <v>Sat</v>
      </c>
      <c r="D70" s="136">
        <f t="shared" si="8"/>
        <v>1</v>
      </c>
      <c r="E70" s="137" t="s">
        <v>129</v>
      </c>
      <c r="F70" s="137" t="s">
        <v>129</v>
      </c>
      <c r="G70" s="137" t="s">
        <v>129</v>
      </c>
      <c r="H70" s="137" t="s">
        <v>129</v>
      </c>
      <c r="I70" s="137" t="s">
        <v>129</v>
      </c>
      <c r="J70" s="137" t="s">
        <v>129</v>
      </c>
      <c r="K70" s="137" t="s">
        <v>129</v>
      </c>
      <c r="L70" s="137" t="s">
        <v>129</v>
      </c>
      <c r="M70" s="141"/>
      <c r="N70" s="143"/>
    </row>
    <row r="71" ht="15.0" hidden="1" customHeight="1" outlineLevel="1">
      <c r="A71" s="367" t="s">
        <v>1474</v>
      </c>
      <c r="B71" s="344">
        <v>46046.0</v>
      </c>
      <c r="C71" s="186" t="str">
        <f t="shared" si="7"/>
        <v>Sat</v>
      </c>
      <c r="D71" s="136">
        <f t="shared" si="8"/>
        <v>1</v>
      </c>
      <c r="E71" s="137" t="s">
        <v>129</v>
      </c>
      <c r="F71" s="137" t="s">
        <v>129</v>
      </c>
      <c r="G71" s="137" t="s">
        <v>129</v>
      </c>
      <c r="H71" s="137" t="s">
        <v>129</v>
      </c>
      <c r="I71" s="137" t="s">
        <v>129</v>
      </c>
      <c r="J71" s="137" t="s">
        <v>129</v>
      </c>
      <c r="K71" s="137" t="s">
        <v>129</v>
      </c>
      <c r="L71" s="137" t="s">
        <v>129</v>
      </c>
      <c r="M71" s="141"/>
      <c r="N71" s="147"/>
    </row>
    <row r="72" hidden="1" outlineLevel="1">
      <c r="B72" s="189"/>
      <c r="C72" s="191" t="s">
        <v>194</v>
      </c>
      <c r="D72" s="204">
        <f>AVERAGE(D57:D71)</f>
        <v>1</v>
      </c>
      <c r="E72" s="200"/>
      <c r="L72" s="191" t="s">
        <v>194</v>
      </c>
      <c r="M72" s="204">
        <f>SUM(M57:M71)/75*0.1</f>
        <v>0</v>
      </c>
    </row>
    <row r="73" hidden="1" collapsed="1">
      <c r="A73" s="206" t="s">
        <v>578</v>
      </c>
      <c r="B73" s="207"/>
      <c r="C73" s="207"/>
      <c r="D73" s="208"/>
      <c r="E73" s="109"/>
      <c r="F73" s="109"/>
      <c r="G73" s="110"/>
      <c r="H73" s="110"/>
      <c r="I73" s="110"/>
      <c r="J73" s="110"/>
      <c r="K73" s="110"/>
      <c r="L73" s="110"/>
      <c r="M73" s="111"/>
      <c r="N73" s="113"/>
    </row>
    <row r="74" hidden="1" outlineLevel="1">
      <c r="A74" s="115" t="s">
        <v>98</v>
      </c>
      <c r="B74" s="115" t="s">
        <v>100</v>
      </c>
      <c r="C74" s="115" t="s">
        <v>102</v>
      </c>
      <c r="D74" s="119" t="s">
        <v>103</v>
      </c>
      <c r="E74" s="275" t="s">
        <v>269</v>
      </c>
      <c r="F74" s="275" t="s">
        <v>272</v>
      </c>
      <c r="G74" s="276" t="s">
        <v>328</v>
      </c>
      <c r="H74" s="121" t="s">
        <v>107</v>
      </c>
      <c r="I74" s="121" t="s">
        <v>108</v>
      </c>
      <c r="J74" s="276" t="s">
        <v>329</v>
      </c>
      <c r="K74" s="121" t="s">
        <v>111</v>
      </c>
      <c r="L74" s="276" t="s">
        <v>274</v>
      </c>
      <c r="M74" s="115" t="s">
        <v>114</v>
      </c>
      <c r="N74" s="119" t="s">
        <v>115</v>
      </c>
    </row>
    <row r="75" hidden="1" outlineLevel="1">
      <c r="A75" s="433" t="s">
        <v>1475</v>
      </c>
      <c r="B75" s="344">
        <v>46048.0</v>
      </c>
      <c r="C75" s="133" t="str">
        <f t="shared" ref="C75:C89" si="9">IF(B75="", "", TEXT(B75, "ddd"))</f>
        <v>Mon</v>
      </c>
      <c r="D75" s="136">
        <f t="shared" ref="D75:D89" si="10">IF(E75="Yes",0.05,0)
+IF(F75="Yes",0.1,0)
+IF(G75="Yes",0.15,0)
+IF(H75="Yes",0.15,0)
+IF(I75="Yes",0.05,0)
+IF(J75="Yes",0.05,0)
+IF(K75="Yes",0.15,0)
+IF(L75="Yes",0.3,0)
</f>
        <v>1</v>
      </c>
      <c r="E75" s="137" t="s">
        <v>129</v>
      </c>
      <c r="F75" s="137" t="s">
        <v>129</v>
      </c>
      <c r="G75" s="137" t="s">
        <v>129</v>
      </c>
      <c r="H75" s="137" t="s">
        <v>129</v>
      </c>
      <c r="I75" s="137" t="s">
        <v>129</v>
      </c>
      <c r="J75" s="137" t="s">
        <v>129</v>
      </c>
      <c r="K75" s="137" t="s">
        <v>129</v>
      </c>
      <c r="L75" s="137" t="s">
        <v>129</v>
      </c>
      <c r="M75" s="141"/>
      <c r="N75" s="143"/>
    </row>
    <row r="76" hidden="1" outlineLevel="1">
      <c r="A76" s="433" t="s">
        <v>1476</v>
      </c>
      <c r="B76" s="344">
        <v>46048.0</v>
      </c>
      <c r="C76" s="133" t="str">
        <f t="shared" si="9"/>
        <v>Mon</v>
      </c>
      <c r="D76" s="136">
        <f t="shared" si="10"/>
        <v>1</v>
      </c>
      <c r="E76" s="137" t="s">
        <v>129</v>
      </c>
      <c r="F76" s="137" t="s">
        <v>129</v>
      </c>
      <c r="G76" s="137" t="s">
        <v>129</v>
      </c>
      <c r="H76" s="137" t="s">
        <v>129</v>
      </c>
      <c r="I76" s="137" t="s">
        <v>129</v>
      </c>
      <c r="J76" s="137" t="s">
        <v>129</v>
      </c>
      <c r="K76" s="137" t="s">
        <v>129</v>
      </c>
      <c r="L76" s="137" t="s">
        <v>129</v>
      </c>
      <c r="M76" s="141"/>
      <c r="N76" s="147"/>
    </row>
    <row r="77" hidden="1" outlineLevel="1">
      <c r="A77" s="433" t="s">
        <v>1477</v>
      </c>
      <c r="B77" s="344">
        <v>46048.0</v>
      </c>
      <c r="C77" s="133" t="str">
        <f t="shared" si="9"/>
        <v>Mon</v>
      </c>
      <c r="D77" s="136">
        <f t="shared" si="10"/>
        <v>1</v>
      </c>
      <c r="E77" s="137" t="s">
        <v>129</v>
      </c>
      <c r="F77" s="137" t="s">
        <v>129</v>
      </c>
      <c r="G77" s="137" t="s">
        <v>129</v>
      </c>
      <c r="H77" s="137" t="s">
        <v>129</v>
      </c>
      <c r="I77" s="137" t="s">
        <v>129</v>
      </c>
      <c r="J77" s="137" t="s">
        <v>129</v>
      </c>
      <c r="K77" s="137" t="s">
        <v>129</v>
      </c>
      <c r="L77" s="137" t="s">
        <v>129</v>
      </c>
      <c r="M77" s="141"/>
      <c r="N77" s="147"/>
    </row>
    <row r="78" hidden="1" outlineLevel="1">
      <c r="A78" s="367" t="s">
        <v>1478</v>
      </c>
      <c r="B78" s="344">
        <v>46050.0</v>
      </c>
      <c r="C78" s="133" t="str">
        <f t="shared" si="9"/>
        <v>Wed</v>
      </c>
      <c r="D78" s="136">
        <f t="shared" si="10"/>
        <v>1</v>
      </c>
      <c r="E78" s="137" t="s">
        <v>129</v>
      </c>
      <c r="F78" s="137" t="s">
        <v>129</v>
      </c>
      <c r="G78" s="137" t="s">
        <v>129</v>
      </c>
      <c r="H78" s="137" t="s">
        <v>129</v>
      </c>
      <c r="I78" s="137" t="s">
        <v>129</v>
      </c>
      <c r="J78" s="137" t="s">
        <v>129</v>
      </c>
      <c r="K78" s="137" t="s">
        <v>129</v>
      </c>
      <c r="L78" s="137" t="s">
        <v>129</v>
      </c>
      <c r="M78" s="141"/>
      <c r="N78" s="143"/>
    </row>
    <row r="79" hidden="1" outlineLevel="1">
      <c r="A79" s="367" t="s">
        <v>1479</v>
      </c>
      <c r="B79" s="344">
        <v>46050.0</v>
      </c>
      <c r="C79" s="133" t="str">
        <f t="shared" si="9"/>
        <v>Wed</v>
      </c>
      <c r="D79" s="136">
        <f t="shared" si="10"/>
        <v>0.85</v>
      </c>
      <c r="E79" s="137" t="s">
        <v>129</v>
      </c>
      <c r="F79" s="137" t="s">
        <v>129</v>
      </c>
      <c r="G79" s="15" t="s">
        <v>129</v>
      </c>
      <c r="H79" s="15" t="s">
        <v>174</v>
      </c>
      <c r="I79" s="15" t="s">
        <v>129</v>
      </c>
      <c r="J79" s="15" t="s">
        <v>129</v>
      </c>
      <c r="K79" s="15" t="s">
        <v>129</v>
      </c>
      <c r="L79" s="15" t="s">
        <v>129</v>
      </c>
      <c r="M79" s="141"/>
      <c r="N79" s="147" t="s">
        <v>1480</v>
      </c>
    </row>
    <row r="80" hidden="1" outlineLevel="1">
      <c r="A80" s="367" t="s">
        <v>1481</v>
      </c>
      <c r="B80" s="344">
        <v>46050.0</v>
      </c>
      <c r="C80" s="133" t="str">
        <f t="shared" si="9"/>
        <v>Wed</v>
      </c>
      <c r="D80" s="136">
        <f t="shared" si="10"/>
        <v>1</v>
      </c>
      <c r="E80" s="137" t="s">
        <v>129</v>
      </c>
      <c r="F80" s="137" t="s">
        <v>129</v>
      </c>
      <c r="G80" s="137" t="s">
        <v>129</v>
      </c>
      <c r="H80" s="137" t="s">
        <v>129</v>
      </c>
      <c r="I80" s="137" t="s">
        <v>129</v>
      </c>
      <c r="J80" s="137" t="s">
        <v>129</v>
      </c>
      <c r="K80" s="137" t="s">
        <v>129</v>
      </c>
      <c r="L80" s="137" t="s">
        <v>129</v>
      </c>
      <c r="M80" s="141"/>
      <c r="N80" s="143"/>
    </row>
    <row r="81" hidden="1" outlineLevel="1">
      <c r="A81" s="367" t="s">
        <v>1482</v>
      </c>
      <c r="B81" s="344">
        <v>46051.0</v>
      </c>
      <c r="C81" s="133" t="str">
        <f t="shared" si="9"/>
        <v>Thu</v>
      </c>
      <c r="D81" s="136">
        <f t="shared" si="10"/>
        <v>1</v>
      </c>
      <c r="E81" s="137" t="s">
        <v>129</v>
      </c>
      <c r="F81" s="137" t="s">
        <v>129</v>
      </c>
      <c r="G81" s="137" t="s">
        <v>129</v>
      </c>
      <c r="H81" s="137" t="s">
        <v>129</v>
      </c>
      <c r="I81" s="137" t="s">
        <v>129</v>
      </c>
      <c r="J81" s="137" t="s">
        <v>129</v>
      </c>
      <c r="K81" s="137" t="s">
        <v>129</v>
      </c>
      <c r="L81" s="137" t="s">
        <v>129</v>
      </c>
      <c r="M81" s="141"/>
      <c r="N81" s="143"/>
    </row>
    <row r="82" hidden="1" outlineLevel="1">
      <c r="A82" s="367" t="s">
        <v>1483</v>
      </c>
      <c r="B82" s="344">
        <v>46051.0</v>
      </c>
      <c r="C82" s="133" t="str">
        <f t="shared" si="9"/>
        <v>Thu</v>
      </c>
      <c r="D82" s="136">
        <f t="shared" si="10"/>
        <v>1</v>
      </c>
      <c r="E82" s="137" t="s">
        <v>129</v>
      </c>
      <c r="F82" s="137" t="s">
        <v>129</v>
      </c>
      <c r="G82" s="137" t="s">
        <v>129</v>
      </c>
      <c r="H82" s="137" t="s">
        <v>129</v>
      </c>
      <c r="I82" s="137" t="s">
        <v>129</v>
      </c>
      <c r="J82" s="137" t="s">
        <v>129</v>
      </c>
      <c r="K82" s="137" t="s">
        <v>129</v>
      </c>
      <c r="L82" s="137" t="s">
        <v>129</v>
      </c>
      <c r="M82" s="141"/>
      <c r="N82" s="147"/>
    </row>
    <row r="83" hidden="1" outlineLevel="1">
      <c r="A83" s="367" t="s">
        <v>1484</v>
      </c>
      <c r="B83" s="344">
        <v>46051.0</v>
      </c>
      <c r="C83" s="133" t="str">
        <f t="shared" si="9"/>
        <v>Thu</v>
      </c>
      <c r="D83" s="136">
        <f t="shared" si="10"/>
        <v>1</v>
      </c>
      <c r="E83" s="137" t="s">
        <v>129</v>
      </c>
      <c r="F83" s="137" t="s">
        <v>129</v>
      </c>
      <c r="G83" s="137" t="s">
        <v>129</v>
      </c>
      <c r="H83" s="137" t="s">
        <v>129</v>
      </c>
      <c r="I83" s="137" t="s">
        <v>129</v>
      </c>
      <c r="J83" s="137" t="s">
        <v>129</v>
      </c>
      <c r="K83" s="137" t="s">
        <v>129</v>
      </c>
      <c r="L83" s="137" t="s">
        <v>129</v>
      </c>
      <c r="M83" s="141"/>
      <c r="N83" s="143"/>
    </row>
    <row r="84" hidden="1" outlineLevel="1">
      <c r="A84" s="367" t="s">
        <v>1485</v>
      </c>
      <c r="B84" s="344">
        <v>46052.0</v>
      </c>
      <c r="C84" s="133" t="str">
        <f t="shared" si="9"/>
        <v>Fri</v>
      </c>
      <c r="D84" s="136">
        <f t="shared" si="10"/>
        <v>1</v>
      </c>
      <c r="E84" s="137" t="s">
        <v>129</v>
      </c>
      <c r="F84" s="137" t="s">
        <v>129</v>
      </c>
      <c r="G84" s="137" t="s">
        <v>129</v>
      </c>
      <c r="H84" s="137" t="s">
        <v>129</v>
      </c>
      <c r="I84" s="137" t="s">
        <v>129</v>
      </c>
      <c r="J84" s="137" t="s">
        <v>129</v>
      </c>
      <c r="K84" s="137" t="s">
        <v>129</v>
      </c>
      <c r="L84" s="137" t="s">
        <v>129</v>
      </c>
      <c r="M84" s="141"/>
      <c r="N84" s="147"/>
    </row>
    <row r="85" hidden="1" outlineLevel="1">
      <c r="A85" s="367" t="s">
        <v>1487</v>
      </c>
      <c r="B85" s="344">
        <v>46052.0</v>
      </c>
      <c r="C85" s="133" t="str">
        <f t="shared" si="9"/>
        <v>Fri</v>
      </c>
      <c r="D85" s="136">
        <f t="shared" si="10"/>
        <v>1</v>
      </c>
      <c r="E85" s="137" t="s">
        <v>129</v>
      </c>
      <c r="F85" s="137" t="s">
        <v>129</v>
      </c>
      <c r="G85" s="137" t="s">
        <v>129</v>
      </c>
      <c r="H85" s="137" t="s">
        <v>129</v>
      </c>
      <c r="I85" s="137" t="s">
        <v>129</v>
      </c>
      <c r="J85" s="137" t="s">
        <v>129</v>
      </c>
      <c r="K85" s="137" t="s">
        <v>129</v>
      </c>
      <c r="L85" s="137" t="s">
        <v>129</v>
      </c>
      <c r="M85" s="141"/>
      <c r="N85" s="147"/>
    </row>
    <row r="86" hidden="1" outlineLevel="1">
      <c r="A86" s="367" t="s">
        <v>1488</v>
      </c>
      <c r="B86" s="344">
        <v>46052.0</v>
      </c>
      <c r="C86" s="133" t="str">
        <f t="shared" si="9"/>
        <v>Fri</v>
      </c>
      <c r="D86" s="136">
        <f t="shared" si="10"/>
        <v>1</v>
      </c>
      <c r="E86" s="137" t="s">
        <v>129</v>
      </c>
      <c r="F86" s="137" t="s">
        <v>129</v>
      </c>
      <c r="G86" s="137" t="s">
        <v>129</v>
      </c>
      <c r="H86" s="137" t="s">
        <v>129</v>
      </c>
      <c r="I86" s="137" t="s">
        <v>129</v>
      </c>
      <c r="J86" s="137" t="s">
        <v>129</v>
      </c>
      <c r="K86" s="137" t="s">
        <v>129</v>
      </c>
      <c r="L86" s="137" t="s">
        <v>129</v>
      </c>
      <c r="M86" s="141"/>
      <c r="N86" s="147"/>
    </row>
    <row r="87" hidden="1" outlineLevel="1">
      <c r="A87" s="367" t="s">
        <v>1489</v>
      </c>
      <c r="B87" s="344">
        <v>46053.0</v>
      </c>
      <c r="C87" s="186" t="str">
        <f t="shared" si="9"/>
        <v>Sat</v>
      </c>
      <c r="D87" s="136">
        <f t="shared" si="10"/>
        <v>1</v>
      </c>
      <c r="E87" s="137" t="s">
        <v>129</v>
      </c>
      <c r="F87" s="137" t="s">
        <v>129</v>
      </c>
      <c r="G87" s="137" t="s">
        <v>129</v>
      </c>
      <c r="H87" s="137" t="s">
        <v>129</v>
      </c>
      <c r="I87" s="137" t="s">
        <v>129</v>
      </c>
      <c r="J87" s="137" t="s">
        <v>129</v>
      </c>
      <c r="K87" s="137" t="s">
        <v>129</v>
      </c>
      <c r="L87" s="137" t="s">
        <v>129</v>
      </c>
      <c r="M87" s="141"/>
      <c r="N87" s="143"/>
    </row>
    <row r="88" hidden="1" outlineLevel="1">
      <c r="A88" s="367" t="s">
        <v>1490</v>
      </c>
      <c r="B88" s="344">
        <v>46053.0</v>
      </c>
      <c r="C88" s="186" t="str">
        <f t="shared" si="9"/>
        <v>Sat</v>
      </c>
      <c r="D88" s="136">
        <f t="shared" si="10"/>
        <v>1</v>
      </c>
      <c r="E88" s="137" t="s">
        <v>129</v>
      </c>
      <c r="F88" s="137" t="s">
        <v>129</v>
      </c>
      <c r="G88" s="137" t="s">
        <v>129</v>
      </c>
      <c r="H88" s="137" t="s">
        <v>129</v>
      </c>
      <c r="I88" s="137" t="s">
        <v>129</v>
      </c>
      <c r="J88" s="137" t="s">
        <v>129</v>
      </c>
      <c r="K88" s="137" t="s">
        <v>129</v>
      </c>
      <c r="L88" s="137" t="s">
        <v>129</v>
      </c>
      <c r="M88" s="141"/>
      <c r="N88" s="143"/>
    </row>
    <row r="89" ht="15.0" hidden="1" customHeight="1" outlineLevel="1">
      <c r="A89" s="367" t="s">
        <v>1491</v>
      </c>
      <c r="B89" s="344">
        <v>46053.0</v>
      </c>
      <c r="C89" s="186" t="str">
        <f t="shared" si="9"/>
        <v>Sat</v>
      </c>
      <c r="D89" s="136">
        <f t="shared" si="10"/>
        <v>1</v>
      </c>
      <c r="E89" s="137" t="s">
        <v>129</v>
      </c>
      <c r="F89" s="137" t="s">
        <v>129</v>
      </c>
      <c r="G89" s="137" t="s">
        <v>129</v>
      </c>
      <c r="H89" s="137" t="s">
        <v>129</v>
      </c>
      <c r="I89" s="137" t="s">
        <v>129</v>
      </c>
      <c r="J89" s="137" t="s">
        <v>129</v>
      </c>
      <c r="K89" s="137" t="s">
        <v>129</v>
      </c>
      <c r="L89" s="137" t="s">
        <v>129</v>
      </c>
      <c r="M89" s="141"/>
      <c r="N89" s="147"/>
    </row>
    <row r="90" hidden="1" outlineLevel="1">
      <c r="B90" s="189"/>
      <c r="C90" s="191" t="s">
        <v>194</v>
      </c>
      <c r="D90" s="204">
        <f>AVERAGE(D75:D89)</f>
        <v>0.99</v>
      </c>
      <c r="E90" s="200"/>
      <c r="L90" s="191" t="s">
        <v>194</v>
      </c>
      <c r="M90" s="204">
        <f>SUM(M75:M89)/75*0.1</f>
        <v>0</v>
      </c>
    </row>
    <row r="91" hidden="1" collapsed="1">
      <c r="A91" s="206" t="s">
        <v>613</v>
      </c>
      <c r="B91" s="207"/>
      <c r="C91" s="207"/>
      <c r="D91" s="208"/>
      <c r="E91" s="109"/>
      <c r="F91" s="109"/>
      <c r="G91" s="110"/>
      <c r="H91" s="110"/>
      <c r="I91" s="110"/>
      <c r="J91" s="110"/>
      <c r="K91" s="110"/>
      <c r="L91" s="110"/>
      <c r="M91" s="111"/>
      <c r="N91" s="113"/>
    </row>
    <row r="92" hidden="1" outlineLevel="1">
      <c r="A92" s="115" t="s">
        <v>98</v>
      </c>
      <c r="B92" s="115" t="s">
        <v>100</v>
      </c>
      <c r="C92" s="115" t="s">
        <v>102</v>
      </c>
      <c r="D92" s="119" t="s">
        <v>103</v>
      </c>
      <c r="E92" s="275" t="s">
        <v>269</v>
      </c>
      <c r="F92" s="275" t="s">
        <v>272</v>
      </c>
      <c r="G92" s="276" t="s">
        <v>328</v>
      </c>
      <c r="H92" s="121" t="s">
        <v>107</v>
      </c>
      <c r="I92" s="121" t="s">
        <v>108</v>
      </c>
      <c r="J92" s="276" t="s">
        <v>329</v>
      </c>
      <c r="K92" s="121" t="s">
        <v>111</v>
      </c>
      <c r="L92" s="276" t="s">
        <v>274</v>
      </c>
      <c r="M92" s="115" t="s">
        <v>114</v>
      </c>
      <c r="N92" s="119" t="s">
        <v>115</v>
      </c>
    </row>
    <row r="93" hidden="1" outlineLevel="1">
      <c r="A93" s="426" t="s">
        <v>1493</v>
      </c>
      <c r="B93" s="344">
        <v>46055.0</v>
      </c>
      <c r="C93" s="133" t="str">
        <f t="shared" ref="C93:C107" si="11">IF(B93="", "", TEXT(B93, "ddd"))</f>
        <v>Mon</v>
      </c>
      <c r="D93" s="136">
        <f t="shared" ref="D93:D107" si="12">IF(E93="Yes",0.05,0)
+IF(F93="Yes",0.1,0)
+IF(G93="Yes",0.15,0)
+IF(H93="Yes",0.15,0)
+IF(I93="Yes",0.05,0)
+IF(J93="Yes",0.05,0)
+IF(K93="Yes",0.15,0)
+IF(L93="Yes",0.3,0)
</f>
        <v>0.65</v>
      </c>
      <c r="E93" s="137" t="s">
        <v>129</v>
      </c>
      <c r="F93" s="137" t="s">
        <v>129</v>
      </c>
      <c r="G93" s="137" t="s">
        <v>129</v>
      </c>
      <c r="H93" s="137" t="s">
        <v>174</v>
      </c>
      <c r="I93" s="137" t="s">
        <v>129</v>
      </c>
      <c r="J93" s="137" t="s">
        <v>174</v>
      </c>
      <c r="K93" s="137" t="s">
        <v>174</v>
      </c>
      <c r="L93" s="137" t="s">
        <v>129</v>
      </c>
      <c r="M93" s="141"/>
      <c r="N93" s="147" t="s">
        <v>1495</v>
      </c>
    </row>
    <row r="94" hidden="1" outlineLevel="1">
      <c r="A94" s="426" t="s">
        <v>1496</v>
      </c>
      <c r="B94" s="344">
        <v>46055.0</v>
      </c>
      <c r="C94" s="133" t="str">
        <f t="shared" si="11"/>
        <v>Mon</v>
      </c>
      <c r="D94" s="136">
        <f t="shared" si="12"/>
        <v>1</v>
      </c>
      <c r="E94" s="137" t="s">
        <v>129</v>
      </c>
      <c r="F94" s="137" t="s">
        <v>129</v>
      </c>
      <c r="G94" s="137" t="s">
        <v>129</v>
      </c>
      <c r="H94" s="137" t="s">
        <v>129</v>
      </c>
      <c r="I94" s="137" t="s">
        <v>129</v>
      </c>
      <c r="J94" s="137" t="s">
        <v>129</v>
      </c>
      <c r="K94" s="137" t="s">
        <v>129</v>
      </c>
      <c r="L94" s="137" t="s">
        <v>129</v>
      </c>
      <c r="M94" s="141"/>
      <c r="N94" s="147"/>
    </row>
    <row r="95" hidden="1" outlineLevel="1">
      <c r="A95" s="426" t="s">
        <v>1498</v>
      </c>
      <c r="B95" s="344">
        <v>46055.0</v>
      </c>
      <c r="C95" s="133" t="str">
        <f t="shared" si="11"/>
        <v>Mon</v>
      </c>
      <c r="D95" s="136">
        <f t="shared" si="12"/>
        <v>1</v>
      </c>
      <c r="E95" s="137" t="s">
        <v>129</v>
      </c>
      <c r="F95" s="137" t="s">
        <v>129</v>
      </c>
      <c r="G95" s="137" t="s">
        <v>129</v>
      </c>
      <c r="H95" s="137" t="s">
        <v>129</v>
      </c>
      <c r="I95" s="137" t="s">
        <v>129</v>
      </c>
      <c r="J95" s="137" t="s">
        <v>129</v>
      </c>
      <c r="K95" s="137" t="s">
        <v>129</v>
      </c>
      <c r="L95" s="137" t="s">
        <v>129</v>
      </c>
      <c r="M95" s="141"/>
      <c r="N95" s="147"/>
    </row>
    <row r="96" hidden="1" outlineLevel="1">
      <c r="A96" s="367" t="s">
        <v>1502</v>
      </c>
      <c r="B96" s="344">
        <v>46057.0</v>
      </c>
      <c r="C96" s="133" t="str">
        <f t="shared" si="11"/>
        <v>Wed</v>
      </c>
      <c r="D96" s="136">
        <f t="shared" si="12"/>
        <v>1</v>
      </c>
      <c r="E96" s="137" t="s">
        <v>129</v>
      </c>
      <c r="F96" s="137" t="s">
        <v>129</v>
      </c>
      <c r="G96" s="137" t="s">
        <v>129</v>
      </c>
      <c r="H96" s="137" t="s">
        <v>129</v>
      </c>
      <c r="I96" s="137" t="s">
        <v>129</v>
      </c>
      <c r="J96" s="137" t="s">
        <v>129</v>
      </c>
      <c r="K96" s="137" t="s">
        <v>129</v>
      </c>
      <c r="L96" s="137" t="s">
        <v>129</v>
      </c>
      <c r="M96" s="141"/>
      <c r="N96" s="143"/>
    </row>
    <row r="97" hidden="1" outlineLevel="1">
      <c r="A97" s="367" t="s">
        <v>1504</v>
      </c>
      <c r="B97" s="344">
        <v>46057.0</v>
      </c>
      <c r="C97" s="133" t="str">
        <f t="shared" si="11"/>
        <v>Wed</v>
      </c>
      <c r="D97" s="136">
        <f t="shared" si="12"/>
        <v>1</v>
      </c>
      <c r="E97" s="137" t="s">
        <v>129</v>
      </c>
      <c r="F97" s="137" t="s">
        <v>129</v>
      </c>
      <c r="G97" s="137" t="s">
        <v>129</v>
      </c>
      <c r="H97" s="137" t="s">
        <v>129</v>
      </c>
      <c r="I97" s="137" t="s">
        <v>129</v>
      </c>
      <c r="J97" s="137" t="s">
        <v>129</v>
      </c>
      <c r="K97" s="137" t="s">
        <v>129</v>
      </c>
      <c r="L97" s="137" t="s">
        <v>129</v>
      </c>
      <c r="M97" s="141"/>
      <c r="N97" s="143"/>
    </row>
    <row r="98" hidden="1" outlineLevel="1">
      <c r="A98" s="367" t="s">
        <v>1506</v>
      </c>
      <c r="B98" s="344">
        <v>46057.0</v>
      </c>
      <c r="C98" s="133" t="str">
        <f t="shared" si="11"/>
        <v>Wed</v>
      </c>
      <c r="D98" s="136">
        <f t="shared" si="12"/>
        <v>1</v>
      </c>
      <c r="E98" s="137" t="s">
        <v>129</v>
      </c>
      <c r="F98" s="137" t="s">
        <v>129</v>
      </c>
      <c r="G98" s="137" t="s">
        <v>129</v>
      </c>
      <c r="H98" s="137" t="s">
        <v>129</v>
      </c>
      <c r="I98" s="137" t="s">
        <v>129</v>
      </c>
      <c r="J98" s="137" t="s">
        <v>129</v>
      </c>
      <c r="K98" s="137" t="s">
        <v>129</v>
      </c>
      <c r="L98" s="137" t="s">
        <v>129</v>
      </c>
      <c r="M98" s="141"/>
      <c r="N98" s="143"/>
    </row>
    <row r="99" hidden="1" outlineLevel="1">
      <c r="A99" s="367" t="s">
        <v>1508</v>
      </c>
      <c r="B99" s="344">
        <v>46058.0</v>
      </c>
      <c r="C99" s="133" t="str">
        <f t="shared" si="11"/>
        <v>Thu</v>
      </c>
      <c r="D99" s="136">
        <f t="shared" si="12"/>
        <v>1</v>
      </c>
      <c r="E99" s="137" t="s">
        <v>129</v>
      </c>
      <c r="F99" s="137" t="s">
        <v>129</v>
      </c>
      <c r="G99" s="137" t="s">
        <v>129</v>
      </c>
      <c r="H99" s="137" t="s">
        <v>129</v>
      </c>
      <c r="I99" s="137" t="s">
        <v>129</v>
      </c>
      <c r="J99" s="137" t="s">
        <v>129</v>
      </c>
      <c r="K99" s="137" t="s">
        <v>129</v>
      </c>
      <c r="L99" s="137" t="s">
        <v>129</v>
      </c>
      <c r="M99" s="141"/>
      <c r="N99" s="143"/>
    </row>
    <row r="100" hidden="1" outlineLevel="1">
      <c r="A100" s="367" t="s">
        <v>1510</v>
      </c>
      <c r="B100" s="344">
        <v>46058.0</v>
      </c>
      <c r="C100" s="133" t="str">
        <f t="shared" si="11"/>
        <v>Thu</v>
      </c>
      <c r="D100" s="136">
        <f t="shared" si="12"/>
        <v>1</v>
      </c>
      <c r="E100" s="137" t="s">
        <v>129</v>
      </c>
      <c r="F100" s="137" t="s">
        <v>129</v>
      </c>
      <c r="G100" s="137" t="s">
        <v>129</v>
      </c>
      <c r="H100" s="137" t="s">
        <v>129</v>
      </c>
      <c r="I100" s="137" t="s">
        <v>129</v>
      </c>
      <c r="J100" s="137" t="s">
        <v>129</v>
      </c>
      <c r="K100" s="137" t="s">
        <v>129</v>
      </c>
      <c r="L100" s="137" t="s">
        <v>129</v>
      </c>
      <c r="M100" s="141"/>
      <c r="N100" s="147"/>
    </row>
    <row r="101" hidden="1" outlineLevel="1">
      <c r="A101" s="367" t="s">
        <v>1511</v>
      </c>
      <c r="B101" s="344">
        <v>46058.0</v>
      </c>
      <c r="C101" s="133" t="str">
        <f t="shared" si="11"/>
        <v>Thu</v>
      </c>
      <c r="D101" s="136">
        <f t="shared" si="12"/>
        <v>1</v>
      </c>
      <c r="E101" s="137" t="s">
        <v>129</v>
      </c>
      <c r="F101" s="137" t="s">
        <v>129</v>
      </c>
      <c r="G101" s="137" t="s">
        <v>129</v>
      </c>
      <c r="H101" s="137" t="s">
        <v>129</v>
      </c>
      <c r="I101" s="137" t="s">
        <v>129</v>
      </c>
      <c r="J101" s="137" t="s">
        <v>129</v>
      </c>
      <c r="K101" s="137" t="s">
        <v>129</v>
      </c>
      <c r="L101" s="137" t="s">
        <v>129</v>
      </c>
      <c r="M101" s="141"/>
      <c r="N101" s="143"/>
    </row>
    <row r="102" hidden="1" outlineLevel="1">
      <c r="A102" s="367" t="s">
        <v>1514</v>
      </c>
      <c r="B102" s="344">
        <v>46059.0</v>
      </c>
      <c r="C102" s="133" t="str">
        <f t="shared" si="11"/>
        <v>Fri</v>
      </c>
      <c r="D102" s="136">
        <f t="shared" si="12"/>
        <v>1</v>
      </c>
      <c r="E102" s="137" t="s">
        <v>129</v>
      </c>
      <c r="F102" s="137" t="s">
        <v>129</v>
      </c>
      <c r="G102" s="137" t="s">
        <v>129</v>
      </c>
      <c r="H102" s="137" t="s">
        <v>129</v>
      </c>
      <c r="I102" s="137" t="s">
        <v>129</v>
      </c>
      <c r="J102" s="137" t="s">
        <v>129</v>
      </c>
      <c r="K102" s="137" t="s">
        <v>129</v>
      </c>
      <c r="L102" s="137" t="s">
        <v>129</v>
      </c>
      <c r="M102" s="141"/>
      <c r="N102" s="147"/>
    </row>
    <row r="103" hidden="1" outlineLevel="1">
      <c r="A103" s="367" t="s">
        <v>1515</v>
      </c>
      <c r="B103" s="344">
        <v>46059.0</v>
      </c>
      <c r="C103" s="133" t="str">
        <f t="shared" si="11"/>
        <v>Fri</v>
      </c>
      <c r="D103" s="136">
        <f t="shared" si="12"/>
        <v>1</v>
      </c>
      <c r="E103" s="137" t="s">
        <v>129</v>
      </c>
      <c r="F103" s="137" t="s">
        <v>129</v>
      </c>
      <c r="G103" s="137" t="s">
        <v>129</v>
      </c>
      <c r="H103" s="137" t="s">
        <v>129</v>
      </c>
      <c r="I103" s="137" t="s">
        <v>129</v>
      </c>
      <c r="J103" s="137" t="s">
        <v>129</v>
      </c>
      <c r="K103" s="137" t="s">
        <v>129</v>
      </c>
      <c r="L103" s="137" t="s">
        <v>129</v>
      </c>
      <c r="M103" s="141"/>
      <c r="N103" s="147"/>
    </row>
    <row r="104" hidden="1" outlineLevel="1">
      <c r="A104" s="367" t="s">
        <v>1516</v>
      </c>
      <c r="B104" s="344">
        <v>46059.0</v>
      </c>
      <c r="C104" s="133" t="str">
        <f t="shared" si="11"/>
        <v>Fri</v>
      </c>
      <c r="D104" s="136">
        <f t="shared" si="12"/>
        <v>0.85</v>
      </c>
      <c r="E104" s="137" t="s">
        <v>129</v>
      </c>
      <c r="F104" s="137" t="s">
        <v>129</v>
      </c>
      <c r="G104" s="137" t="s">
        <v>129</v>
      </c>
      <c r="H104" s="137" t="s">
        <v>174</v>
      </c>
      <c r="I104" s="137" t="s">
        <v>129</v>
      </c>
      <c r="J104" s="137" t="s">
        <v>129</v>
      </c>
      <c r="K104" s="137" t="s">
        <v>129</v>
      </c>
      <c r="L104" s="137" t="s">
        <v>129</v>
      </c>
      <c r="M104" s="141"/>
      <c r="N104" s="147" t="s">
        <v>1518</v>
      </c>
    </row>
    <row r="105" hidden="1" outlineLevel="1">
      <c r="A105" s="219" t="s">
        <v>1519</v>
      </c>
      <c r="B105" s="344">
        <v>46060.0</v>
      </c>
      <c r="C105" s="133" t="str">
        <f t="shared" si="11"/>
        <v>Sat</v>
      </c>
      <c r="D105" s="136">
        <f t="shared" si="12"/>
        <v>0.7</v>
      </c>
      <c r="E105" s="137" t="s">
        <v>129</v>
      </c>
      <c r="F105" s="137" t="s">
        <v>129</v>
      </c>
      <c r="G105" s="137" t="s">
        <v>129</v>
      </c>
      <c r="H105" s="137" t="s">
        <v>129</v>
      </c>
      <c r="I105" s="137" t="s">
        <v>129</v>
      </c>
      <c r="J105" s="137" t="s">
        <v>129</v>
      </c>
      <c r="K105" s="137" t="s">
        <v>129</v>
      </c>
      <c r="L105" s="137" t="s">
        <v>174</v>
      </c>
      <c r="M105" s="141"/>
      <c r="N105" s="147" t="s">
        <v>1520</v>
      </c>
    </row>
    <row r="106" hidden="1" outlineLevel="1">
      <c r="A106" s="219" t="s">
        <v>1522</v>
      </c>
      <c r="B106" s="344">
        <v>46060.0</v>
      </c>
      <c r="C106" s="133" t="str">
        <f t="shared" si="11"/>
        <v>Sat</v>
      </c>
      <c r="D106" s="136">
        <f t="shared" si="12"/>
        <v>1</v>
      </c>
      <c r="E106" s="137" t="s">
        <v>129</v>
      </c>
      <c r="F106" s="137" t="s">
        <v>129</v>
      </c>
      <c r="G106" s="137" t="s">
        <v>129</v>
      </c>
      <c r="H106" s="137" t="s">
        <v>129</v>
      </c>
      <c r="I106" s="137" t="s">
        <v>129</v>
      </c>
      <c r="J106" s="137" t="s">
        <v>129</v>
      </c>
      <c r="K106" s="137" t="s">
        <v>129</v>
      </c>
      <c r="L106" s="137" t="s">
        <v>129</v>
      </c>
      <c r="M106" s="141"/>
      <c r="N106" s="143"/>
    </row>
    <row r="107" ht="15.0" hidden="1" customHeight="1" outlineLevel="1">
      <c r="A107" s="219" t="s">
        <v>1524</v>
      </c>
      <c r="B107" s="344">
        <v>46060.0</v>
      </c>
      <c r="C107" s="133" t="str">
        <f t="shared" si="11"/>
        <v>Sat</v>
      </c>
      <c r="D107" s="136">
        <f t="shared" si="12"/>
        <v>1</v>
      </c>
      <c r="E107" s="137" t="s">
        <v>129</v>
      </c>
      <c r="F107" s="137" t="s">
        <v>129</v>
      </c>
      <c r="G107" s="137" t="s">
        <v>129</v>
      </c>
      <c r="H107" s="137" t="s">
        <v>129</v>
      </c>
      <c r="I107" s="137" t="s">
        <v>129</v>
      </c>
      <c r="J107" s="137" t="s">
        <v>129</v>
      </c>
      <c r="K107" s="137" t="s">
        <v>129</v>
      </c>
      <c r="L107" s="137" t="s">
        <v>129</v>
      </c>
      <c r="M107" s="141"/>
      <c r="N107" s="147"/>
    </row>
    <row r="108" hidden="1" outlineLevel="1">
      <c r="B108" s="189"/>
      <c r="C108" s="191" t="s">
        <v>194</v>
      </c>
      <c r="D108" s="204">
        <f>AVERAGE(D93:D107)</f>
        <v>0.9466666667</v>
      </c>
      <c r="E108" s="200"/>
      <c r="L108" s="191" t="s">
        <v>194</v>
      </c>
      <c r="M108" s="204">
        <f>SUM(M93:M107)/75*0.1</f>
        <v>0</v>
      </c>
    </row>
    <row r="109" hidden="1" collapsed="1">
      <c r="A109" s="206" t="s">
        <v>638</v>
      </c>
      <c r="B109" s="207"/>
      <c r="C109" s="207"/>
      <c r="D109" s="208"/>
      <c r="E109" s="109"/>
      <c r="F109" s="109"/>
      <c r="G109" s="110"/>
      <c r="H109" s="110"/>
      <c r="I109" s="110"/>
      <c r="J109" s="110"/>
      <c r="K109" s="110"/>
      <c r="L109" s="110"/>
      <c r="M109" s="111"/>
      <c r="N109" s="113"/>
    </row>
    <row r="110" hidden="1" outlineLevel="1">
      <c r="A110" s="115" t="s">
        <v>98</v>
      </c>
      <c r="B110" s="115" t="s">
        <v>100</v>
      </c>
      <c r="C110" s="115" t="s">
        <v>102</v>
      </c>
      <c r="D110" s="119" t="s">
        <v>103</v>
      </c>
      <c r="E110" s="275" t="s">
        <v>269</v>
      </c>
      <c r="F110" s="275" t="s">
        <v>272</v>
      </c>
      <c r="G110" s="276" t="s">
        <v>328</v>
      </c>
      <c r="H110" s="121" t="s">
        <v>107</v>
      </c>
      <c r="I110" s="121" t="s">
        <v>108</v>
      </c>
      <c r="J110" s="276" t="s">
        <v>329</v>
      </c>
      <c r="K110" s="121" t="s">
        <v>111</v>
      </c>
      <c r="L110" s="276" t="s">
        <v>274</v>
      </c>
      <c r="M110" s="115" t="s">
        <v>114</v>
      </c>
      <c r="N110" s="119" t="s">
        <v>115</v>
      </c>
    </row>
    <row r="111" hidden="1" outlineLevel="1">
      <c r="A111" s="367" t="s">
        <v>1526</v>
      </c>
      <c r="B111" s="344">
        <v>46062.0</v>
      </c>
      <c r="C111" s="133" t="str">
        <f t="shared" ref="C111:C125" si="13">IF(B111="", "", TEXT(B111, "ddd"))</f>
        <v>Mon</v>
      </c>
      <c r="D111" s="136">
        <f t="shared" ref="D111:D125" si="14">IF(E111="Yes",0.05,0)
+IF(F111="Yes",0.1,0)
+IF(G111="Yes",0.15,0)
+IF(H111="Yes",0.15,0)
+IF(I111="Yes",0.05,0)
+IF(J111="Yes",0.05,0)
+IF(K111="Yes",0.15,0)
+IF(L111="Yes",0.3,0)
</f>
        <v>1</v>
      </c>
      <c r="E111" s="137" t="s">
        <v>129</v>
      </c>
      <c r="F111" s="137" t="s">
        <v>129</v>
      </c>
      <c r="G111" s="137" t="s">
        <v>129</v>
      </c>
      <c r="H111" s="137" t="s">
        <v>129</v>
      </c>
      <c r="I111" s="137" t="s">
        <v>129</v>
      </c>
      <c r="J111" s="137" t="s">
        <v>129</v>
      </c>
      <c r="K111" s="137" t="s">
        <v>129</v>
      </c>
      <c r="L111" s="137" t="s">
        <v>129</v>
      </c>
      <c r="M111" s="141"/>
      <c r="N111" s="143"/>
    </row>
    <row r="112" hidden="1" outlineLevel="1">
      <c r="A112" s="367" t="s">
        <v>1527</v>
      </c>
      <c r="B112" s="344">
        <v>46062.0</v>
      </c>
      <c r="C112" s="133" t="str">
        <f t="shared" si="13"/>
        <v>Mon</v>
      </c>
      <c r="D112" s="136">
        <f t="shared" si="14"/>
        <v>1</v>
      </c>
      <c r="E112" s="137" t="s">
        <v>129</v>
      </c>
      <c r="F112" s="137" t="s">
        <v>129</v>
      </c>
      <c r="G112" s="137" t="s">
        <v>129</v>
      </c>
      <c r="H112" s="137" t="s">
        <v>129</v>
      </c>
      <c r="I112" s="137" t="s">
        <v>129</v>
      </c>
      <c r="J112" s="137" t="s">
        <v>129</v>
      </c>
      <c r="K112" s="137" t="s">
        <v>129</v>
      </c>
      <c r="L112" s="137" t="s">
        <v>129</v>
      </c>
      <c r="M112" s="141"/>
      <c r="N112" s="147"/>
    </row>
    <row r="113" hidden="1" outlineLevel="1">
      <c r="A113" s="367" t="s">
        <v>1528</v>
      </c>
      <c r="B113" s="344">
        <v>46062.0</v>
      </c>
      <c r="C113" s="133" t="str">
        <f t="shared" si="13"/>
        <v>Mon</v>
      </c>
      <c r="D113" s="136">
        <f t="shared" si="14"/>
        <v>1</v>
      </c>
      <c r="E113" s="137" t="s">
        <v>129</v>
      </c>
      <c r="F113" s="137" t="s">
        <v>129</v>
      </c>
      <c r="G113" s="137" t="s">
        <v>129</v>
      </c>
      <c r="H113" s="137" t="s">
        <v>129</v>
      </c>
      <c r="I113" s="137" t="s">
        <v>129</v>
      </c>
      <c r="J113" s="137" t="s">
        <v>129</v>
      </c>
      <c r="K113" s="137" t="s">
        <v>129</v>
      </c>
      <c r="L113" s="137" t="s">
        <v>129</v>
      </c>
      <c r="M113" s="141"/>
      <c r="N113" s="147"/>
    </row>
    <row r="114" hidden="1" outlineLevel="1">
      <c r="A114" s="367" t="s">
        <v>1530</v>
      </c>
      <c r="B114" s="344">
        <v>46064.0</v>
      </c>
      <c r="C114" s="133" t="str">
        <f t="shared" si="13"/>
        <v>Wed</v>
      </c>
      <c r="D114" s="136">
        <f t="shared" si="14"/>
        <v>1</v>
      </c>
      <c r="E114" s="137" t="s">
        <v>129</v>
      </c>
      <c r="F114" s="137" t="s">
        <v>129</v>
      </c>
      <c r="G114" s="137" t="s">
        <v>129</v>
      </c>
      <c r="H114" s="137" t="s">
        <v>129</v>
      </c>
      <c r="I114" s="137" t="s">
        <v>129</v>
      </c>
      <c r="J114" s="137" t="s">
        <v>129</v>
      </c>
      <c r="K114" s="137" t="s">
        <v>129</v>
      </c>
      <c r="L114" s="137" t="s">
        <v>129</v>
      </c>
      <c r="M114" s="141"/>
      <c r="N114" s="143"/>
    </row>
    <row r="115" hidden="1" outlineLevel="1">
      <c r="A115" s="367" t="s">
        <v>1531</v>
      </c>
      <c r="B115" s="344">
        <v>46064.0</v>
      </c>
      <c r="C115" s="133" t="str">
        <f t="shared" si="13"/>
        <v>Wed</v>
      </c>
      <c r="D115" s="136">
        <f t="shared" si="14"/>
        <v>1</v>
      </c>
      <c r="E115" s="137" t="s">
        <v>129</v>
      </c>
      <c r="F115" s="137" t="s">
        <v>129</v>
      </c>
      <c r="G115" s="137" t="s">
        <v>129</v>
      </c>
      <c r="H115" s="137" t="s">
        <v>129</v>
      </c>
      <c r="I115" s="137" t="s">
        <v>129</v>
      </c>
      <c r="J115" s="137" t="s">
        <v>129</v>
      </c>
      <c r="K115" s="137" t="s">
        <v>129</v>
      </c>
      <c r="L115" s="137" t="s">
        <v>129</v>
      </c>
      <c r="M115" s="141"/>
      <c r="N115" s="143"/>
    </row>
    <row r="116" hidden="1" outlineLevel="1">
      <c r="A116" s="367" t="s">
        <v>1533</v>
      </c>
      <c r="B116" s="344">
        <v>46064.0</v>
      </c>
      <c r="C116" s="133" t="str">
        <f t="shared" si="13"/>
        <v>Wed</v>
      </c>
      <c r="D116" s="136">
        <f t="shared" si="14"/>
        <v>1</v>
      </c>
      <c r="E116" s="137" t="s">
        <v>129</v>
      </c>
      <c r="F116" s="137" t="s">
        <v>129</v>
      </c>
      <c r="G116" s="137" t="s">
        <v>129</v>
      </c>
      <c r="H116" s="137" t="s">
        <v>129</v>
      </c>
      <c r="I116" s="137" t="s">
        <v>129</v>
      </c>
      <c r="J116" s="137" t="s">
        <v>129</v>
      </c>
      <c r="K116" s="137" t="s">
        <v>129</v>
      </c>
      <c r="L116" s="137" t="s">
        <v>129</v>
      </c>
      <c r="M116" s="141"/>
      <c r="N116" s="143"/>
    </row>
    <row r="117" hidden="1" outlineLevel="1">
      <c r="A117" s="367" t="s">
        <v>1535</v>
      </c>
      <c r="B117" s="344">
        <v>46065.0</v>
      </c>
      <c r="C117" s="133" t="str">
        <f t="shared" si="13"/>
        <v>Thu</v>
      </c>
      <c r="D117" s="136">
        <f t="shared" si="14"/>
        <v>1</v>
      </c>
      <c r="E117" s="137" t="s">
        <v>129</v>
      </c>
      <c r="F117" s="137" t="s">
        <v>129</v>
      </c>
      <c r="G117" s="137" t="s">
        <v>129</v>
      </c>
      <c r="H117" s="137" t="s">
        <v>129</v>
      </c>
      <c r="I117" s="137" t="s">
        <v>129</v>
      </c>
      <c r="J117" s="137" t="s">
        <v>129</v>
      </c>
      <c r="K117" s="137" t="s">
        <v>129</v>
      </c>
      <c r="L117" s="137" t="s">
        <v>129</v>
      </c>
      <c r="M117" s="141"/>
      <c r="N117" s="143"/>
    </row>
    <row r="118" hidden="1" outlineLevel="1">
      <c r="A118" s="367" t="s">
        <v>1537</v>
      </c>
      <c r="B118" s="344">
        <v>46065.0</v>
      </c>
      <c r="C118" s="133" t="str">
        <f t="shared" si="13"/>
        <v>Thu</v>
      </c>
      <c r="D118" s="136">
        <f t="shared" si="14"/>
        <v>1</v>
      </c>
      <c r="E118" s="137" t="s">
        <v>129</v>
      </c>
      <c r="F118" s="137" t="s">
        <v>129</v>
      </c>
      <c r="G118" s="137" t="s">
        <v>129</v>
      </c>
      <c r="H118" s="137" t="s">
        <v>129</v>
      </c>
      <c r="I118" s="137" t="s">
        <v>129</v>
      </c>
      <c r="J118" s="137" t="s">
        <v>129</v>
      </c>
      <c r="K118" s="137" t="s">
        <v>129</v>
      </c>
      <c r="L118" s="137" t="s">
        <v>129</v>
      </c>
      <c r="M118" s="141"/>
      <c r="N118" s="147"/>
    </row>
    <row r="119" hidden="1" outlineLevel="1">
      <c r="A119" s="367" t="s">
        <v>1539</v>
      </c>
      <c r="B119" s="344">
        <v>46065.0</v>
      </c>
      <c r="C119" s="133" t="str">
        <f t="shared" si="13"/>
        <v>Thu</v>
      </c>
      <c r="D119" s="136">
        <f t="shared" si="14"/>
        <v>1</v>
      </c>
      <c r="E119" s="137" t="s">
        <v>129</v>
      </c>
      <c r="F119" s="137" t="s">
        <v>129</v>
      </c>
      <c r="G119" s="137" t="s">
        <v>129</v>
      </c>
      <c r="H119" s="137" t="s">
        <v>129</v>
      </c>
      <c r="I119" s="137" t="s">
        <v>129</v>
      </c>
      <c r="J119" s="137" t="s">
        <v>129</v>
      </c>
      <c r="K119" s="137" t="s">
        <v>129</v>
      </c>
      <c r="L119" s="137" t="s">
        <v>129</v>
      </c>
      <c r="M119" s="141"/>
      <c r="N119" s="143"/>
    </row>
    <row r="120" hidden="1" outlineLevel="1">
      <c r="A120" s="367" t="s">
        <v>1541</v>
      </c>
      <c r="B120" s="344">
        <v>46066.0</v>
      </c>
      <c r="C120" s="133" t="str">
        <f t="shared" si="13"/>
        <v>Fri</v>
      </c>
      <c r="D120" s="136">
        <f t="shared" si="14"/>
        <v>1</v>
      </c>
      <c r="E120" s="137" t="s">
        <v>129</v>
      </c>
      <c r="F120" s="137" t="s">
        <v>129</v>
      </c>
      <c r="G120" s="137" t="s">
        <v>129</v>
      </c>
      <c r="H120" s="137" t="s">
        <v>129</v>
      </c>
      <c r="I120" s="137" t="s">
        <v>129</v>
      </c>
      <c r="J120" s="137" t="s">
        <v>129</v>
      </c>
      <c r="K120" s="137" t="s">
        <v>129</v>
      </c>
      <c r="L120" s="137" t="s">
        <v>129</v>
      </c>
      <c r="M120" s="141"/>
      <c r="N120" s="147"/>
    </row>
    <row r="121" hidden="1" outlineLevel="1">
      <c r="A121" s="367" t="s">
        <v>1543</v>
      </c>
      <c r="B121" s="344">
        <v>46066.0</v>
      </c>
      <c r="C121" s="133" t="str">
        <f t="shared" si="13"/>
        <v>Fri</v>
      </c>
      <c r="D121" s="136">
        <f t="shared" si="14"/>
        <v>1</v>
      </c>
      <c r="E121" s="137" t="s">
        <v>129</v>
      </c>
      <c r="F121" s="137" t="s">
        <v>129</v>
      </c>
      <c r="G121" s="137" t="s">
        <v>129</v>
      </c>
      <c r="H121" s="137" t="s">
        <v>129</v>
      </c>
      <c r="I121" s="137" t="s">
        <v>129</v>
      </c>
      <c r="J121" s="137" t="s">
        <v>129</v>
      </c>
      <c r="K121" s="137" t="s">
        <v>129</v>
      </c>
      <c r="L121" s="137" t="s">
        <v>129</v>
      </c>
      <c r="M121" s="141"/>
      <c r="N121" s="147"/>
    </row>
    <row r="122" hidden="1" outlineLevel="1">
      <c r="A122" s="367" t="s">
        <v>1545</v>
      </c>
      <c r="B122" s="344">
        <v>46066.0</v>
      </c>
      <c r="C122" s="133" t="str">
        <f t="shared" si="13"/>
        <v>Fri</v>
      </c>
      <c r="D122" s="136">
        <f t="shared" si="14"/>
        <v>1</v>
      </c>
      <c r="E122" s="137" t="s">
        <v>129</v>
      </c>
      <c r="F122" s="137" t="s">
        <v>129</v>
      </c>
      <c r="G122" s="137" t="s">
        <v>129</v>
      </c>
      <c r="H122" s="137" t="s">
        <v>129</v>
      </c>
      <c r="I122" s="137" t="s">
        <v>129</v>
      </c>
      <c r="J122" s="137" t="s">
        <v>129</v>
      </c>
      <c r="K122" s="137" t="s">
        <v>129</v>
      </c>
      <c r="L122" s="137" t="s">
        <v>129</v>
      </c>
      <c r="M122" s="141"/>
      <c r="N122" s="147"/>
    </row>
    <row r="123" hidden="1" outlineLevel="1">
      <c r="A123" s="367" t="s">
        <v>1547</v>
      </c>
      <c r="B123" s="344">
        <v>46067.0</v>
      </c>
      <c r="C123" s="133" t="str">
        <f t="shared" si="13"/>
        <v>Sat</v>
      </c>
      <c r="D123" s="136">
        <f t="shared" si="14"/>
        <v>1</v>
      </c>
      <c r="E123" s="137" t="s">
        <v>129</v>
      </c>
      <c r="F123" s="137" t="s">
        <v>129</v>
      </c>
      <c r="G123" s="137" t="s">
        <v>129</v>
      </c>
      <c r="H123" s="137" t="s">
        <v>129</v>
      </c>
      <c r="I123" s="137" t="s">
        <v>129</v>
      </c>
      <c r="J123" s="137" t="s">
        <v>129</v>
      </c>
      <c r="K123" s="137" t="s">
        <v>129</v>
      </c>
      <c r="L123" s="137" t="s">
        <v>129</v>
      </c>
      <c r="M123" s="141"/>
      <c r="N123" s="143"/>
    </row>
    <row r="124" hidden="1" outlineLevel="1">
      <c r="A124" s="367" t="s">
        <v>1549</v>
      </c>
      <c r="B124" s="344">
        <v>46067.0</v>
      </c>
      <c r="C124" s="133" t="str">
        <f t="shared" si="13"/>
        <v>Sat</v>
      </c>
      <c r="D124" s="136">
        <f t="shared" si="14"/>
        <v>1</v>
      </c>
      <c r="E124" s="137" t="s">
        <v>129</v>
      </c>
      <c r="F124" s="137" t="s">
        <v>129</v>
      </c>
      <c r="G124" s="137" t="s">
        <v>129</v>
      </c>
      <c r="H124" s="137" t="s">
        <v>129</v>
      </c>
      <c r="I124" s="137" t="s">
        <v>129</v>
      </c>
      <c r="J124" s="137" t="s">
        <v>129</v>
      </c>
      <c r="K124" s="137" t="s">
        <v>129</v>
      </c>
      <c r="L124" s="137" t="s">
        <v>129</v>
      </c>
      <c r="M124" s="141"/>
      <c r="N124" s="143"/>
    </row>
    <row r="125" ht="15.0" hidden="1" customHeight="1" outlineLevel="1">
      <c r="A125" s="367" t="s">
        <v>1551</v>
      </c>
      <c r="B125" s="344">
        <v>46067.0</v>
      </c>
      <c r="C125" s="133" t="str">
        <f t="shared" si="13"/>
        <v>Sat</v>
      </c>
      <c r="D125" s="136">
        <f t="shared" si="14"/>
        <v>1</v>
      </c>
      <c r="E125" s="137" t="s">
        <v>129</v>
      </c>
      <c r="F125" s="137" t="s">
        <v>129</v>
      </c>
      <c r="G125" s="137" t="s">
        <v>129</v>
      </c>
      <c r="H125" s="137" t="s">
        <v>129</v>
      </c>
      <c r="I125" s="137" t="s">
        <v>129</v>
      </c>
      <c r="J125" s="137" t="s">
        <v>129</v>
      </c>
      <c r="K125" s="137" t="s">
        <v>129</v>
      </c>
      <c r="L125" s="137" t="s">
        <v>129</v>
      </c>
      <c r="M125" s="141"/>
      <c r="N125" s="147"/>
    </row>
    <row r="126" hidden="1" outlineLevel="1">
      <c r="B126" s="189"/>
      <c r="C126" s="191" t="s">
        <v>194</v>
      </c>
      <c r="D126" s="204">
        <f>AVERAGE(D111:D125)</f>
        <v>1</v>
      </c>
      <c r="E126" s="200"/>
      <c r="L126" s="191" t="s">
        <v>194</v>
      </c>
      <c r="M126" s="204">
        <f>SUM(M111:M125)/75*0.1</f>
        <v>0</v>
      </c>
    </row>
    <row r="127" hidden="1" collapsed="1">
      <c r="A127" s="206" t="s">
        <v>670</v>
      </c>
      <c r="B127" s="207"/>
      <c r="C127" s="207"/>
      <c r="D127" s="208"/>
      <c r="E127" s="109"/>
      <c r="F127" s="109"/>
      <c r="G127" s="110"/>
      <c r="H127" s="110"/>
      <c r="I127" s="110"/>
      <c r="J127" s="110"/>
      <c r="K127" s="110"/>
      <c r="L127" s="110"/>
      <c r="M127" s="111"/>
      <c r="N127" s="113"/>
    </row>
    <row r="128" hidden="1" outlineLevel="1">
      <c r="A128" s="373" t="s">
        <v>98</v>
      </c>
      <c r="B128" s="115" t="s">
        <v>100</v>
      </c>
      <c r="C128" s="115" t="s">
        <v>102</v>
      </c>
      <c r="D128" s="119" t="s">
        <v>103</v>
      </c>
      <c r="E128" s="275" t="s">
        <v>269</v>
      </c>
      <c r="F128" s="275" t="s">
        <v>272</v>
      </c>
      <c r="G128" s="276" t="s">
        <v>328</v>
      </c>
      <c r="H128" s="121" t="s">
        <v>107</v>
      </c>
      <c r="I128" s="121" t="s">
        <v>108</v>
      </c>
      <c r="J128" s="276" t="s">
        <v>329</v>
      </c>
      <c r="K128" s="121" t="s">
        <v>111</v>
      </c>
      <c r="L128" s="276" t="s">
        <v>274</v>
      </c>
      <c r="M128" s="115" t="s">
        <v>114</v>
      </c>
      <c r="N128" s="119" t="s">
        <v>115</v>
      </c>
    </row>
    <row r="129" hidden="1" outlineLevel="1">
      <c r="A129" s="367" t="s">
        <v>1554</v>
      </c>
      <c r="B129" s="344">
        <v>46069.0</v>
      </c>
      <c r="C129" s="133" t="str">
        <f t="shared" ref="C129:C143" si="15">IF(B129="", "", TEXT(B129, "ddd"))</f>
        <v>Mon</v>
      </c>
      <c r="D129" s="136">
        <f t="shared" ref="D129:D143" si="16">IF(E129="Yes",0.05,0)
+IF(F129="Yes",0.1,0)
+IF(G129="Yes",0.15,0)
+IF(H129="Yes",0.15,0)
+IF(I129="Yes",0.05,0)
+IF(J129="Yes",0.05,0)
+IF(K129="Yes",0.15,0)
+IF(L129="Yes",0.3,0)
</f>
        <v>1</v>
      </c>
      <c r="E129" s="137" t="s">
        <v>129</v>
      </c>
      <c r="F129" s="137" t="s">
        <v>129</v>
      </c>
      <c r="G129" s="137" t="s">
        <v>129</v>
      </c>
      <c r="H129" s="137" t="s">
        <v>129</v>
      </c>
      <c r="I129" s="137" t="s">
        <v>129</v>
      </c>
      <c r="J129" s="137" t="s">
        <v>129</v>
      </c>
      <c r="K129" s="137" t="s">
        <v>129</v>
      </c>
      <c r="L129" s="137" t="s">
        <v>129</v>
      </c>
      <c r="M129" s="141"/>
      <c r="N129" s="143"/>
    </row>
    <row r="130" hidden="1" outlineLevel="1">
      <c r="A130" s="367" t="s">
        <v>1556</v>
      </c>
      <c r="B130" s="344">
        <v>46069.0</v>
      </c>
      <c r="C130" s="133" t="str">
        <f t="shared" si="15"/>
        <v>Mon</v>
      </c>
      <c r="D130" s="136">
        <f t="shared" si="16"/>
        <v>1</v>
      </c>
      <c r="E130" s="137" t="s">
        <v>129</v>
      </c>
      <c r="F130" s="137" t="s">
        <v>129</v>
      </c>
      <c r="G130" s="137" t="s">
        <v>129</v>
      </c>
      <c r="H130" s="137" t="s">
        <v>129</v>
      </c>
      <c r="I130" s="137" t="s">
        <v>129</v>
      </c>
      <c r="J130" s="137" t="s">
        <v>129</v>
      </c>
      <c r="K130" s="137" t="s">
        <v>129</v>
      </c>
      <c r="L130" s="137" t="s">
        <v>129</v>
      </c>
      <c r="M130" s="141"/>
      <c r="N130" s="147"/>
    </row>
    <row r="131" hidden="1" outlineLevel="1">
      <c r="A131" s="367" t="s">
        <v>1557</v>
      </c>
      <c r="B131" s="344">
        <v>46069.0</v>
      </c>
      <c r="C131" s="133" t="str">
        <f t="shared" si="15"/>
        <v>Mon</v>
      </c>
      <c r="D131" s="136">
        <f t="shared" si="16"/>
        <v>1</v>
      </c>
      <c r="E131" s="137" t="s">
        <v>129</v>
      </c>
      <c r="F131" s="137" t="s">
        <v>129</v>
      </c>
      <c r="G131" s="137" t="s">
        <v>129</v>
      </c>
      <c r="H131" s="137" t="s">
        <v>129</v>
      </c>
      <c r="I131" s="137" t="s">
        <v>129</v>
      </c>
      <c r="J131" s="137" t="s">
        <v>129</v>
      </c>
      <c r="K131" s="137" t="s">
        <v>129</v>
      </c>
      <c r="L131" s="137" t="s">
        <v>129</v>
      </c>
      <c r="M131" s="141"/>
      <c r="N131" s="147"/>
    </row>
    <row r="132" hidden="1" outlineLevel="1">
      <c r="A132" s="367" t="s">
        <v>1559</v>
      </c>
      <c r="B132" s="344">
        <v>46071.0</v>
      </c>
      <c r="C132" s="133" t="str">
        <f t="shared" si="15"/>
        <v>Wed</v>
      </c>
      <c r="D132" s="136">
        <f t="shared" si="16"/>
        <v>1</v>
      </c>
      <c r="E132" s="137" t="s">
        <v>129</v>
      </c>
      <c r="F132" s="137" t="s">
        <v>129</v>
      </c>
      <c r="G132" s="137" t="s">
        <v>129</v>
      </c>
      <c r="H132" s="137" t="s">
        <v>129</v>
      </c>
      <c r="I132" s="137" t="s">
        <v>129</v>
      </c>
      <c r="J132" s="137" t="s">
        <v>129</v>
      </c>
      <c r="K132" s="137" t="s">
        <v>129</v>
      </c>
      <c r="L132" s="137" t="s">
        <v>129</v>
      </c>
      <c r="M132" s="141"/>
      <c r="N132" s="143"/>
    </row>
    <row r="133" hidden="1" outlineLevel="1">
      <c r="A133" s="436" t="s">
        <v>1561</v>
      </c>
      <c r="B133" s="344">
        <v>46071.0</v>
      </c>
      <c r="C133" s="133" t="str">
        <f t="shared" si="15"/>
        <v>Wed</v>
      </c>
      <c r="D133" s="136">
        <f t="shared" si="16"/>
        <v>0.85</v>
      </c>
      <c r="E133" s="137" t="s">
        <v>129</v>
      </c>
      <c r="F133" s="137" t="s">
        <v>129</v>
      </c>
      <c r="G133" s="137" t="s">
        <v>174</v>
      </c>
      <c r="H133" s="137" t="s">
        <v>129</v>
      </c>
      <c r="I133" s="137" t="s">
        <v>129</v>
      </c>
      <c r="J133" s="137" t="s">
        <v>129</v>
      </c>
      <c r="K133" s="137" t="s">
        <v>129</v>
      </c>
      <c r="L133" s="137" t="s">
        <v>129</v>
      </c>
      <c r="M133" s="141"/>
      <c r="N133" s="147" t="s">
        <v>1563</v>
      </c>
    </row>
    <row r="134" hidden="1" outlineLevel="1">
      <c r="A134" s="367" t="s">
        <v>1564</v>
      </c>
      <c r="B134" s="344">
        <v>46071.0</v>
      </c>
      <c r="C134" s="133" t="str">
        <f t="shared" si="15"/>
        <v>Wed</v>
      </c>
      <c r="D134" s="136">
        <f t="shared" si="16"/>
        <v>0.85</v>
      </c>
      <c r="E134" s="137" t="s">
        <v>129</v>
      </c>
      <c r="F134" s="137" t="s">
        <v>129</v>
      </c>
      <c r="G134" s="137" t="s">
        <v>174</v>
      </c>
      <c r="H134" s="137" t="s">
        <v>129</v>
      </c>
      <c r="I134" s="137" t="s">
        <v>129</v>
      </c>
      <c r="J134" s="137" t="s">
        <v>129</v>
      </c>
      <c r="K134" s="137" t="s">
        <v>129</v>
      </c>
      <c r="L134" s="137" t="s">
        <v>129</v>
      </c>
      <c r="M134" s="141"/>
      <c r="N134" s="147" t="s">
        <v>1566</v>
      </c>
    </row>
    <row r="135" hidden="1" outlineLevel="1">
      <c r="A135" s="367" t="s">
        <v>1567</v>
      </c>
      <c r="B135" s="344">
        <v>46072.0</v>
      </c>
      <c r="C135" s="133" t="str">
        <f t="shared" si="15"/>
        <v>Thu</v>
      </c>
      <c r="D135" s="136">
        <f t="shared" si="16"/>
        <v>1</v>
      </c>
      <c r="E135" s="137" t="s">
        <v>129</v>
      </c>
      <c r="F135" s="137" t="s">
        <v>129</v>
      </c>
      <c r="G135" s="137" t="s">
        <v>129</v>
      </c>
      <c r="H135" s="137" t="s">
        <v>129</v>
      </c>
      <c r="I135" s="137" t="s">
        <v>129</v>
      </c>
      <c r="J135" s="137" t="s">
        <v>129</v>
      </c>
      <c r="K135" s="137" t="s">
        <v>129</v>
      </c>
      <c r="L135" s="137" t="s">
        <v>129</v>
      </c>
      <c r="M135" s="141"/>
      <c r="N135" s="143"/>
    </row>
    <row r="136" hidden="1" outlineLevel="1">
      <c r="A136" s="367" t="s">
        <v>1568</v>
      </c>
      <c r="B136" s="344">
        <v>46072.0</v>
      </c>
      <c r="C136" s="133" t="str">
        <f t="shared" si="15"/>
        <v>Thu</v>
      </c>
      <c r="D136" s="136">
        <f t="shared" si="16"/>
        <v>1</v>
      </c>
      <c r="E136" s="137" t="s">
        <v>129</v>
      </c>
      <c r="F136" s="137" t="s">
        <v>129</v>
      </c>
      <c r="G136" s="137" t="s">
        <v>129</v>
      </c>
      <c r="H136" s="137" t="s">
        <v>129</v>
      </c>
      <c r="I136" s="137" t="s">
        <v>129</v>
      </c>
      <c r="J136" s="137" t="s">
        <v>129</v>
      </c>
      <c r="K136" s="137" t="s">
        <v>129</v>
      </c>
      <c r="L136" s="137" t="s">
        <v>129</v>
      </c>
      <c r="M136" s="141"/>
      <c r="N136" s="147"/>
    </row>
    <row r="137" hidden="1" outlineLevel="1">
      <c r="A137" s="367" t="s">
        <v>1569</v>
      </c>
      <c r="B137" s="344">
        <v>46072.0</v>
      </c>
      <c r="C137" s="133" t="str">
        <f t="shared" si="15"/>
        <v>Thu</v>
      </c>
      <c r="D137" s="136">
        <f t="shared" si="16"/>
        <v>1</v>
      </c>
      <c r="E137" s="137" t="s">
        <v>129</v>
      </c>
      <c r="F137" s="137" t="s">
        <v>129</v>
      </c>
      <c r="G137" s="137" t="s">
        <v>129</v>
      </c>
      <c r="H137" s="137" t="s">
        <v>129</v>
      </c>
      <c r="I137" s="137" t="s">
        <v>129</v>
      </c>
      <c r="J137" s="137" t="s">
        <v>129</v>
      </c>
      <c r="K137" s="137" t="s">
        <v>129</v>
      </c>
      <c r="L137" s="137" t="s">
        <v>129</v>
      </c>
      <c r="M137" s="141"/>
      <c r="N137" s="143"/>
    </row>
    <row r="138" hidden="1" outlineLevel="1">
      <c r="A138" s="367" t="s">
        <v>1572</v>
      </c>
      <c r="B138" s="344">
        <v>46073.0</v>
      </c>
      <c r="C138" s="133" t="str">
        <f t="shared" si="15"/>
        <v>Fri</v>
      </c>
      <c r="D138" s="136">
        <f t="shared" si="16"/>
        <v>1</v>
      </c>
      <c r="E138" s="137" t="s">
        <v>129</v>
      </c>
      <c r="F138" s="137" t="s">
        <v>129</v>
      </c>
      <c r="G138" s="137" t="s">
        <v>129</v>
      </c>
      <c r="H138" s="137" t="s">
        <v>129</v>
      </c>
      <c r="I138" s="137" t="s">
        <v>129</v>
      </c>
      <c r="J138" s="137" t="s">
        <v>129</v>
      </c>
      <c r="K138" s="137" t="s">
        <v>129</v>
      </c>
      <c r="L138" s="137" t="s">
        <v>129</v>
      </c>
      <c r="M138" s="141"/>
      <c r="N138" s="147"/>
    </row>
    <row r="139" hidden="1" outlineLevel="1">
      <c r="A139" s="367" t="s">
        <v>1573</v>
      </c>
      <c r="B139" s="344">
        <v>46073.0</v>
      </c>
      <c r="C139" s="133" t="str">
        <f t="shared" si="15"/>
        <v>Fri</v>
      </c>
      <c r="D139" s="136">
        <f t="shared" si="16"/>
        <v>1</v>
      </c>
      <c r="E139" s="137" t="s">
        <v>129</v>
      </c>
      <c r="F139" s="137" t="s">
        <v>129</v>
      </c>
      <c r="G139" s="137" t="s">
        <v>129</v>
      </c>
      <c r="H139" s="137" t="s">
        <v>129</v>
      </c>
      <c r="I139" s="137" t="s">
        <v>129</v>
      </c>
      <c r="J139" s="137" t="s">
        <v>129</v>
      </c>
      <c r="K139" s="137" t="s">
        <v>129</v>
      </c>
      <c r="L139" s="137" t="s">
        <v>129</v>
      </c>
      <c r="M139" s="141"/>
      <c r="N139" s="147"/>
    </row>
    <row r="140" hidden="1" outlineLevel="1">
      <c r="A140" s="367" t="s">
        <v>1575</v>
      </c>
      <c r="B140" s="344">
        <v>46073.0</v>
      </c>
      <c r="C140" s="133" t="str">
        <f t="shared" si="15"/>
        <v>Fri</v>
      </c>
      <c r="D140" s="136">
        <f t="shared" si="16"/>
        <v>1</v>
      </c>
      <c r="E140" s="137" t="s">
        <v>129</v>
      </c>
      <c r="F140" s="137" t="s">
        <v>129</v>
      </c>
      <c r="G140" s="137" t="s">
        <v>129</v>
      </c>
      <c r="H140" s="137" t="s">
        <v>129</v>
      </c>
      <c r="I140" s="137" t="s">
        <v>129</v>
      </c>
      <c r="J140" s="137" t="s">
        <v>129</v>
      </c>
      <c r="K140" s="137" t="s">
        <v>129</v>
      </c>
      <c r="L140" s="137" t="s">
        <v>129</v>
      </c>
      <c r="M140" s="141"/>
      <c r="N140" s="147"/>
    </row>
    <row r="141" hidden="1" outlineLevel="1">
      <c r="A141" s="367" t="s">
        <v>1577</v>
      </c>
      <c r="B141" s="344">
        <v>46074.0</v>
      </c>
      <c r="C141" s="133" t="str">
        <f t="shared" si="15"/>
        <v>Sat</v>
      </c>
      <c r="D141" s="136">
        <f t="shared" si="16"/>
        <v>1</v>
      </c>
      <c r="E141" s="137" t="s">
        <v>129</v>
      </c>
      <c r="F141" s="137" t="s">
        <v>129</v>
      </c>
      <c r="G141" s="137" t="s">
        <v>129</v>
      </c>
      <c r="H141" s="137" t="s">
        <v>129</v>
      </c>
      <c r="I141" s="137" t="s">
        <v>129</v>
      </c>
      <c r="J141" s="137" t="s">
        <v>129</v>
      </c>
      <c r="K141" s="137" t="s">
        <v>129</v>
      </c>
      <c r="L141" s="137" t="s">
        <v>129</v>
      </c>
      <c r="M141" s="141"/>
      <c r="N141" s="143"/>
    </row>
    <row r="142" hidden="1" outlineLevel="1">
      <c r="A142" s="367" t="s">
        <v>1578</v>
      </c>
      <c r="B142" s="344">
        <v>46074.0</v>
      </c>
      <c r="C142" s="133" t="str">
        <f t="shared" si="15"/>
        <v>Sat</v>
      </c>
      <c r="D142" s="136">
        <f t="shared" si="16"/>
        <v>1</v>
      </c>
      <c r="E142" s="137" t="s">
        <v>129</v>
      </c>
      <c r="F142" s="137" t="s">
        <v>129</v>
      </c>
      <c r="G142" s="137" t="s">
        <v>129</v>
      </c>
      <c r="H142" s="137" t="s">
        <v>129</v>
      </c>
      <c r="I142" s="137" t="s">
        <v>129</v>
      </c>
      <c r="J142" s="137" t="s">
        <v>129</v>
      </c>
      <c r="K142" s="137" t="s">
        <v>129</v>
      </c>
      <c r="L142" s="137" t="s">
        <v>129</v>
      </c>
      <c r="M142" s="141"/>
      <c r="N142" s="143"/>
    </row>
    <row r="143" ht="15.0" hidden="1" customHeight="1" outlineLevel="1">
      <c r="A143" s="367" t="s">
        <v>1579</v>
      </c>
      <c r="B143" s="344">
        <v>46074.0</v>
      </c>
      <c r="C143" s="133" t="str">
        <f t="shared" si="15"/>
        <v>Sat</v>
      </c>
      <c r="D143" s="136">
        <f t="shared" si="16"/>
        <v>1</v>
      </c>
      <c r="E143" s="137" t="s">
        <v>129</v>
      </c>
      <c r="F143" s="137" t="s">
        <v>129</v>
      </c>
      <c r="G143" s="137" t="s">
        <v>129</v>
      </c>
      <c r="H143" s="137" t="s">
        <v>129</v>
      </c>
      <c r="I143" s="137" t="s">
        <v>129</v>
      </c>
      <c r="J143" s="137" t="s">
        <v>129</v>
      </c>
      <c r="K143" s="137" t="s">
        <v>129</v>
      </c>
      <c r="L143" s="137" t="s">
        <v>129</v>
      </c>
      <c r="M143" s="141"/>
      <c r="N143" s="147"/>
    </row>
    <row r="144" hidden="1" outlineLevel="1">
      <c r="B144" s="189"/>
      <c r="C144" s="191" t="s">
        <v>194</v>
      </c>
      <c r="D144" s="204">
        <f>AVERAGE(D129:D143)</f>
        <v>0.98</v>
      </c>
      <c r="E144" s="200"/>
      <c r="L144" s="191" t="s">
        <v>194</v>
      </c>
      <c r="M144" s="204">
        <f>SUM(M129:M143)/75*0.1</f>
        <v>0</v>
      </c>
    </row>
    <row r="145" hidden="1" collapsed="1">
      <c r="A145" s="206" t="s">
        <v>705</v>
      </c>
      <c r="B145" s="207"/>
      <c r="C145" s="207"/>
      <c r="D145" s="208"/>
      <c r="E145" s="109"/>
      <c r="F145" s="109"/>
      <c r="G145" s="110"/>
      <c r="H145" s="110"/>
      <c r="I145" s="110"/>
      <c r="J145" s="110"/>
      <c r="K145" s="110"/>
      <c r="L145" s="110"/>
      <c r="M145" s="111"/>
      <c r="N145" s="113"/>
    </row>
    <row r="146" hidden="1" outlineLevel="1">
      <c r="A146" s="115" t="s">
        <v>98</v>
      </c>
      <c r="B146" s="115" t="s">
        <v>100</v>
      </c>
      <c r="C146" s="115" t="s">
        <v>102</v>
      </c>
      <c r="D146" s="119" t="s">
        <v>103</v>
      </c>
      <c r="E146" s="275" t="s">
        <v>269</v>
      </c>
      <c r="F146" s="275" t="s">
        <v>272</v>
      </c>
      <c r="G146" s="276" t="s">
        <v>328</v>
      </c>
      <c r="H146" s="121" t="s">
        <v>107</v>
      </c>
      <c r="I146" s="121" t="s">
        <v>108</v>
      </c>
      <c r="J146" s="276" t="s">
        <v>329</v>
      </c>
      <c r="K146" s="121" t="s">
        <v>111</v>
      </c>
      <c r="L146" s="276" t="s">
        <v>274</v>
      </c>
      <c r="M146" s="115" t="s">
        <v>114</v>
      </c>
      <c r="N146" s="119" t="s">
        <v>115</v>
      </c>
    </row>
    <row r="147" hidden="1" outlineLevel="1">
      <c r="A147" s="367" t="s">
        <v>1582</v>
      </c>
      <c r="B147" s="344">
        <v>46076.0</v>
      </c>
      <c r="C147" s="133" t="str">
        <f t="shared" ref="C147:C161" si="17">IF(B147="", "", TEXT(B147, "ddd"))</f>
        <v>Mon</v>
      </c>
      <c r="D147" s="136">
        <f t="shared" ref="D147:D161" si="18">IF(E147="Yes",0.05,0)
+IF(F147="Yes",0.1,0)
+IF(G147="Yes",0.15,0)
+IF(H147="Yes",0.15,0)
+IF(I147="Yes",0.05,0)
+IF(J147="Yes",0.05,0)
+IF(K147="Yes",0.15,0)
+IF(L147="Yes",0.3,0)
</f>
        <v>1</v>
      </c>
      <c r="E147" s="137" t="s">
        <v>129</v>
      </c>
      <c r="F147" s="137" t="s">
        <v>129</v>
      </c>
      <c r="G147" s="137" t="s">
        <v>129</v>
      </c>
      <c r="H147" s="137" t="s">
        <v>129</v>
      </c>
      <c r="I147" s="137" t="s">
        <v>129</v>
      </c>
      <c r="J147" s="137" t="s">
        <v>129</v>
      </c>
      <c r="K147" s="137" t="s">
        <v>129</v>
      </c>
      <c r="L147" s="137" t="s">
        <v>129</v>
      </c>
      <c r="M147" s="141"/>
      <c r="N147" s="143"/>
    </row>
    <row r="148" hidden="1" outlineLevel="1">
      <c r="A148" s="367" t="s">
        <v>1584</v>
      </c>
      <c r="B148" s="344">
        <v>46076.0</v>
      </c>
      <c r="C148" s="133" t="str">
        <f t="shared" si="17"/>
        <v>Mon</v>
      </c>
      <c r="D148" s="136">
        <f t="shared" si="18"/>
        <v>1</v>
      </c>
      <c r="E148" s="137" t="s">
        <v>129</v>
      </c>
      <c r="F148" s="137" t="s">
        <v>129</v>
      </c>
      <c r="G148" s="137" t="s">
        <v>129</v>
      </c>
      <c r="H148" s="137" t="s">
        <v>129</v>
      </c>
      <c r="I148" s="137" t="s">
        <v>129</v>
      </c>
      <c r="J148" s="137" t="s">
        <v>129</v>
      </c>
      <c r="K148" s="137" t="s">
        <v>129</v>
      </c>
      <c r="L148" s="137" t="s">
        <v>129</v>
      </c>
      <c r="M148" s="141"/>
      <c r="N148" s="147"/>
    </row>
    <row r="149" hidden="1" outlineLevel="1">
      <c r="A149" s="367" t="s">
        <v>1586</v>
      </c>
      <c r="B149" s="344">
        <v>46076.0</v>
      </c>
      <c r="C149" s="133" t="str">
        <f t="shared" si="17"/>
        <v>Mon</v>
      </c>
      <c r="D149" s="136">
        <f t="shared" si="18"/>
        <v>1</v>
      </c>
      <c r="E149" s="137" t="s">
        <v>129</v>
      </c>
      <c r="F149" s="137" t="s">
        <v>129</v>
      </c>
      <c r="G149" s="137" t="s">
        <v>129</v>
      </c>
      <c r="H149" s="137" t="s">
        <v>129</v>
      </c>
      <c r="I149" s="137" t="s">
        <v>129</v>
      </c>
      <c r="J149" s="137" t="s">
        <v>129</v>
      </c>
      <c r="K149" s="137" t="s">
        <v>129</v>
      </c>
      <c r="L149" s="137" t="s">
        <v>129</v>
      </c>
      <c r="M149" s="141"/>
      <c r="N149" s="147"/>
    </row>
    <row r="150" hidden="1" outlineLevel="1">
      <c r="A150" s="367" t="s">
        <v>1588</v>
      </c>
      <c r="B150" s="344">
        <v>46078.0</v>
      </c>
      <c r="C150" s="133" t="str">
        <f t="shared" si="17"/>
        <v>Wed</v>
      </c>
      <c r="D150" s="136">
        <f t="shared" si="18"/>
        <v>1</v>
      </c>
      <c r="E150" s="137" t="s">
        <v>129</v>
      </c>
      <c r="F150" s="137" t="s">
        <v>129</v>
      </c>
      <c r="G150" s="137" t="s">
        <v>129</v>
      </c>
      <c r="H150" s="137" t="s">
        <v>129</v>
      </c>
      <c r="I150" s="137" t="s">
        <v>129</v>
      </c>
      <c r="J150" s="137" t="s">
        <v>129</v>
      </c>
      <c r="K150" s="137" t="s">
        <v>129</v>
      </c>
      <c r="L150" s="137" t="s">
        <v>129</v>
      </c>
      <c r="M150" s="141"/>
      <c r="N150" s="143"/>
    </row>
    <row r="151" hidden="1" outlineLevel="1">
      <c r="A151" s="367" t="s">
        <v>1589</v>
      </c>
      <c r="B151" s="344">
        <v>46078.0</v>
      </c>
      <c r="C151" s="133" t="str">
        <f t="shared" si="17"/>
        <v>Wed</v>
      </c>
      <c r="D151" s="136">
        <f t="shared" si="18"/>
        <v>0.95</v>
      </c>
      <c r="E151" s="137" t="s">
        <v>174</v>
      </c>
      <c r="F151" s="137" t="s">
        <v>129</v>
      </c>
      <c r="G151" s="137" t="s">
        <v>129</v>
      </c>
      <c r="H151" s="137" t="s">
        <v>129</v>
      </c>
      <c r="I151" s="137" t="s">
        <v>129</v>
      </c>
      <c r="J151" s="137" t="s">
        <v>129</v>
      </c>
      <c r="K151" s="137" t="s">
        <v>129</v>
      </c>
      <c r="L151" s="137" t="s">
        <v>129</v>
      </c>
      <c r="M151" s="141"/>
      <c r="N151" s="147" t="s">
        <v>1591</v>
      </c>
    </row>
    <row r="152" hidden="1" outlineLevel="1">
      <c r="A152" s="367" t="s">
        <v>1592</v>
      </c>
      <c r="B152" s="344">
        <v>46078.0</v>
      </c>
      <c r="C152" s="133" t="str">
        <f t="shared" si="17"/>
        <v>Wed</v>
      </c>
      <c r="D152" s="136">
        <f t="shared" si="18"/>
        <v>1</v>
      </c>
      <c r="E152" s="137" t="s">
        <v>129</v>
      </c>
      <c r="F152" s="137" t="s">
        <v>129</v>
      </c>
      <c r="G152" s="137" t="s">
        <v>129</v>
      </c>
      <c r="H152" s="137" t="s">
        <v>129</v>
      </c>
      <c r="I152" s="137" t="s">
        <v>129</v>
      </c>
      <c r="J152" s="137" t="s">
        <v>129</v>
      </c>
      <c r="K152" s="137" t="s">
        <v>129</v>
      </c>
      <c r="L152" s="137" t="s">
        <v>129</v>
      </c>
      <c r="M152" s="141"/>
      <c r="N152" s="143"/>
    </row>
    <row r="153" hidden="1" outlineLevel="1">
      <c r="A153" s="367" t="s">
        <v>1594</v>
      </c>
      <c r="B153" s="344">
        <v>46079.0</v>
      </c>
      <c r="C153" s="133" t="str">
        <f t="shared" si="17"/>
        <v>Thu</v>
      </c>
      <c r="D153" s="136">
        <f t="shared" si="18"/>
        <v>1</v>
      </c>
      <c r="E153" s="137" t="s">
        <v>129</v>
      </c>
      <c r="F153" s="137" t="s">
        <v>129</v>
      </c>
      <c r="G153" s="137" t="s">
        <v>129</v>
      </c>
      <c r="H153" s="137" t="s">
        <v>129</v>
      </c>
      <c r="I153" s="137" t="s">
        <v>129</v>
      </c>
      <c r="J153" s="137" t="s">
        <v>129</v>
      </c>
      <c r="K153" s="137" t="s">
        <v>129</v>
      </c>
      <c r="L153" s="137" t="s">
        <v>129</v>
      </c>
      <c r="M153" s="141"/>
      <c r="N153" s="143"/>
    </row>
    <row r="154" hidden="1" outlineLevel="1">
      <c r="A154" s="367" t="s">
        <v>1596</v>
      </c>
      <c r="B154" s="344">
        <v>46079.0</v>
      </c>
      <c r="C154" s="133" t="str">
        <f t="shared" si="17"/>
        <v>Thu</v>
      </c>
      <c r="D154" s="136">
        <f t="shared" si="18"/>
        <v>1</v>
      </c>
      <c r="E154" s="137" t="s">
        <v>129</v>
      </c>
      <c r="F154" s="137" t="s">
        <v>129</v>
      </c>
      <c r="G154" s="137" t="s">
        <v>129</v>
      </c>
      <c r="H154" s="137" t="s">
        <v>129</v>
      </c>
      <c r="I154" s="137" t="s">
        <v>129</v>
      </c>
      <c r="J154" s="137" t="s">
        <v>129</v>
      </c>
      <c r="K154" s="137" t="s">
        <v>129</v>
      </c>
      <c r="L154" s="137" t="s">
        <v>129</v>
      </c>
      <c r="M154" s="141"/>
      <c r="N154" s="147"/>
    </row>
    <row r="155" hidden="1" outlineLevel="1">
      <c r="A155" s="367" t="s">
        <v>1598</v>
      </c>
      <c r="B155" s="344">
        <v>46079.0</v>
      </c>
      <c r="C155" s="133" t="str">
        <f t="shared" si="17"/>
        <v>Thu</v>
      </c>
      <c r="D155" s="136">
        <f t="shared" si="18"/>
        <v>1</v>
      </c>
      <c r="E155" s="137" t="s">
        <v>129</v>
      </c>
      <c r="F155" s="137" t="s">
        <v>129</v>
      </c>
      <c r="G155" s="137" t="s">
        <v>129</v>
      </c>
      <c r="H155" s="137" t="s">
        <v>129</v>
      </c>
      <c r="I155" s="137" t="s">
        <v>129</v>
      </c>
      <c r="J155" s="137" t="s">
        <v>129</v>
      </c>
      <c r="K155" s="137" t="s">
        <v>129</v>
      </c>
      <c r="L155" s="137" t="s">
        <v>129</v>
      </c>
      <c r="M155" s="141"/>
      <c r="N155" s="143"/>
    </row>
    <row r="156" hidden="1" outlineLevel="1">
      <c r="A156" s="367" t="s">
        <v>1600</v>
      </c>
      <c r="B156" s="344">
        <v>46080.0</v>
      </c>
      <c r="C156" s="133" t="str">
        <f t="shared" si="17"/>
        <v>Fri</v>
      </c>
      <c r="D156" s="136">
        <f t="shared" si="18"/>
        <v>1</v>
      </c>
      <c r="E156" s="137" t="s">
        <v>129</v>
      </c>
      <c r="F156" s="137" t="s">
        <v>129</v>
      </c>
      <c r="G156" s="137" t="s">
        <v>129</v>
      </c>
      <c r="H156" s="137" t="s">
        <v>129</v>
      </c>
      <c r="I156" s="137" t="s">
        <v>129</v>
      </c>
      <c r="J156" s="137" t="s">
        <v>129</v>
      </c>
      <c r="K156" s="137" t="s">
        <v>129</v>
      </c>
      <c r="L156" s="137" t="s">
        <v>129</v>
      </c>
      <c r="M156" s="141"/>
      <c r="N156" s="147"/>
    </row>
    <row r="157" hidden="1" outlineLevel="1">
      <c r="A157" s="367" t="s">
        <v>1604</v>
      </c>
      <c r="B157" s="344">
        <v>46080.0</v>
      </c>
      <c r="C157" s="133" t="str">
        <f t="shared" si="17"/>
        <v>Fri</v>
      </c>
      <c r="D157" s="136">
        <f t="shared" si="18"/>
        <v>1</v>
      </c>
      <c r="E157" s="137" t="s">
        <v>129</v>
      </c>
      <c r="F157" s="137" t="s">
        <v>129</v>
      </c>
      <c r="G157" s="137" t="s">
        <v>129</v>
      </c>
      <c r="H157" s="137" t="s">
        <v>129</v>
      </c>
      <c r="I157" s="137" t="s">
        <v>129</v>
      </c>
      <c r="J157" s="137" t="s">
        <v>129</v>
      </c>
      <c r="K157" s="137" t="s">
        <v>129</v>
      </c>
      <c r="L157" s="137" t="s">
        <v>129</v>
      </c>
      <c r="M157" s="141"/>
      <c r="N157" s="147"/>
    </row>
    <row r="158" hidden="1" outlineLevel="1">
      <c r="A158" s="367" t="s">
        <v>1605</v>
      </c>
      <c r="B158" s="344">
        <v>46080.0</v>
      </c>
      <c r="C158" s="133" t="str">
        <f t="shared" si="17"/>
        <v>Fri</v>
      </c>
      <c r="D158" s="136">
        <f t="shared" si="18"/>
        <v>1</v>
      </c>
      <c r="E158" s="137" t="s">
        <v>129</v>
      </c>
      <c r="F158" s="137" t="s">
        <v>129</v>
      </c>
      <c r="G158" s="137" t="s">
        <v>129</v>
      </c>
      <c r="H158" s="137" t="s">
        <v>129</v>
      </c>
      <c r="I158" s="137" t="s">
        <v>129</v>
      </c>
      <c r="J158" s="137" t="s">
        <v>129</v>
      </c>
      <c r="K158" s="137" t="s">
        <v>129</v>
      </c>
      <c r="L158" s="137" t="s">
        <v>129</v>
      </c>
      <c r="M158" s="141"/>
      <c r="N158" s="147"/>
    </row>
    <row r="159" hidden="1" outlineLevel="1">
      <c r="A159" s="367" t="s">
        <v>1607</v>
      </c>
      <c r="B159" s="344">
        <v>46081.0</v>
      </c>
      <c r="C159" s="133" t="str">
        <f t="shared" si="17"/>
        <v>Sat</v>
      </c>
      <c r="D159" s="136">
        <f t="shared" si="18"/>
        <v>1</v>
      </c>
      <c r="E159" s="137" t="s">
        <v>129</v>
      </c>
      <c r="F159" s="137" t="s">
        <v>129</v>
      </c>
      <c r="G159" s="137" t="s">
        <v>129</v>
      </c>
      <c r="H159" s="137" t="s">
        <v>129</v>
      </c>
      <c r="I159" s="137" t="s">
        <v>129</v>
      </c>
      <c r="J159" s="137" t="s">
        <v>129</v>
      </c>
      <c r="K159" s="137" t="s">
        <v>129</v>
      </c>
      <c r="L159" s="137" t="s">
        <v>129</v>
      </c>
      <c r="M159" s="141"/>
      <c r="N159" s="143"/>
    </row>
    <row r="160" hidden="1" outlineLevel="1">
      <c r="A160" s="367" t="s">
        <v>1608</v>
      </c>
      <c r="B160" s="344">
        <v>46081.0</v>
      </c>
      <c r="C160" s="133" t="str">
        <f t="shared" si="17"/>
        <v>Sat</v>
      </c>
      <c r="D160" s="136">
        <f t="shared" si="18"/>
        <v>1</v>
      </c>
      <c r="E160" s="137" t="s">
        <v>129</v>
      </c>
      <c r="F160" s="137" t="s">
        <v>129</v>
      </c>
      <c r="G160" s="137" t="s">
        <v>129</v>
      </c>
      <c r="H160" s="137" t="s">
        <v>129</v>
      </c>
      <c r="I160" s="137" t="s">
        <v>129</v>
      </c>
      <c r="J160" s="137" t="s">
        <v>129</v>
      </c>
      <c r="K160" s="137" t="s">
        <v>129</v>
      </c>
      <c r="L160" s="137" t="s">
        <v>129</v>
      </c>
      <c r="M160" s="141"/>
      <c r="N160" s="143"/>
    </row>
    <row r="161" ht="15.0" hidden="1" customHeight="1" outlineLevel="1">
      <c r="A161" s="367" t="s">
        <v>1609</v>
      </c>
      <c r="B161" s="344">
        <v>46081.0</v>
      </c>
      <c r="C161" s="133" t="str">
        <f t="shared" si="17"/>
        <v>Sat</v>
      </c>
      <c r="D161" s="136">
        <f t="shared" si="18"/>
        <v>1</v>
      </c>
      <c r="E161" s="137" t="s">
        <v>129</v>
      </c>
      <c r="F161" s="137" t="s">
        <v>129</v>
      </c>
      <c r="G161" s="137" t="s">
        <v>129</v>
      </c>
      <c r="H161" s="137" t="s">
        <v>129</v>
      </c>
      <c r="I161" s="137" t="s">
        <v>129</v>
      </c>
      <c r="J161" s="137" t="s">
        <v>129</v>
      </c>
      <c r="K161" s="137" t="s">
        <v>129</v>
      </c>
      <c r="L161" s="137" t="s">
        <v>129</v>
      </c>
      <c r="M161" s="141"/>
      <c r="N161" s="147"/>
    </row>
    <row r="162" hidden="1" outlineLevel="1">
      <c r="B162" s="189"/>
      <c r="C162" s="191" t="s">
        <v>194</v>
      </c>
      <c r="D162" s="204">
        <f>AVERAGE(D147:D161)</f>
        <v>0.9966666667</v>
      </c>
      <c r="E162" s="200"/>
      <c r="L162" s="191" t="s">
        <v>194</v>
      </c>
      <c r="M162" s="204">
        <f>SUM(M147:M161)/75*0.1</f>
        <v>0</v>
      </c>
    </row>
    <row r="163" hidden="1" collapsed="1">
      <c r="A163" s="206" t="s">
        <v>731</v>
      </c>
      <c r="B163" s="207"/>
      <c r="C163" s="207"/>
      <c r="D163" s="208"/>
      <c r="E163" s="109"/>
      <c r="F163" s="109"/>
      <c r="G163" s="110"/>
      <c r="H163" s="110"/>
      <c r="I163" s="110"/>
      <c r="J163" s="110"/>
      <c r="K163" s="110"/>
      <c r="L163" s="110"/>
      <c r="M163" s="111"/>
      <c r="N163" s="113"/>
    </row>
    <row r="164" hidden="1" outlineLevel="1">
      <c r="A164" s="373" t="s">
        <v>98</v>
      </c>
      <c r="B164" s="115" t="s">
        <v>100</v>
      </c>
      <c r="C164" s="115" t="s">
        <v>102</v>
      </c>
      <c r="D164" s="119" t="s">
        <v>103</v>
      </c>
      <c r="E164" s="275" t="s">
        <v>269</v>
      </c>
      <c r="F164" s="275" t="s">
        <v>272</v>
      </c>
      <c r="G164" s="276" t="s">
        <v>328</v>
      </c>
      <c r="H164" s="121" t="s">
        <v>107</v>
      </c>
      <c r="I164" s="121" t="s">
        <v>108</v>
      </c>
      <c r="J164" s="276" t="s">
        <v>329</v>
      </c>
      <c r="K164" s="121" t="s">
        <v>111</v>
      </c>
      <c r="L164" s="276" t="s">
        <v>274</v>
      </c>
      <c r="M164" s="115" t="s">
        <v>114</v>
      </c>
      <c r="N164" s="119" t="s">
        <v>115</v>
      </c>
    </row>
    <row r="165" hidden="1" outlineLevel="1">
      <c r="A165" s="367" t="s">
        <v>1610</v>
      </c>
      <c r="B165" s="344">
        <v>46083.0</v>
      </c>
      <c r="C165" s="133" t="str">
        <f t="shared" ref="C165:C179" si="19">IF(B165="", "", TEXT(B165, "ddd"))</f>
        <v>Mon</v>
      </c>
      <c r="D165" s="136">
        <f t="shared" ref="D165:D179" si="20">IF(E165="Yes",0.05,0)
+IF(F165="Yes",0.1,0)
+IF(G165="Yes",0.15,0)
+IF(H165="Yes",0.15,0)
+IF(I165="Yes",0.05,0)
+IF(J165="Yes",0.05,0)
+IF(K165="Yes",0.15,0)
+IF(L165="Yes",0.3,0)
</f>
        <v>1</v>
      </c>
      <c r="E165" s="137" t="s">
        <v>129</v>
      </c>
      <c r="F165" s="137" t="s">
        <v>129</v>
      </c>
      <c r="G165" s="137" t="s">
        <v>129</v>
      </c>
      <c r="H165" s="137" t="s">
        <v>129</v>
      </c>
      <c r="I165" s="137" t="s">
        <v>129</v>
      </c>
      <c r="J165" s="137" t="s">
        <v>129</v>
      </c>
      <c r="K165" s="137" t="s">
        <v>129</v>
      </c>
      <c r="L165" s="137" t="s">
        <v>129</v>
      </c>
      <c r="M165" s="141"/>
      <c r="N165" s="143"/>
    </row>
    <row r="166" hidden="1" outlineLevel="1">
      <c r="A166" s="367" t="s">
        <v>1612</v>
      </c>
      <c r="B166" s="344">
        <v>46083.0</v>
      </c>
      <c r="C166" s="133" t="str">
        <f t="shared" si="19"/>
        <v>Mon</v>
      </c>
      <c r="D166" s="136">
        <f t="shared" si="20"/>
        <v>1</v>
      </c>
      <c r="E166" s="137" t="s">
        <v>129</v>
      </c>
      <c r="F166" s="137" t="s">
        <v>129</v>
      </c>
      <c r="G166" s="137" t="s">
        <v>129</v>
      </c>
      <c r="H166" s="137" t="s">
        <v>129</v>
      </c>
      <c r="I166" s="137" t="s">
        <v>129</v>
      </c>
      <c r="J166" s="137" t="s">
        <v>129</v>
      </c>
      <c r="K166" s="137" t="s">
        <v>129</v>
      </c>
      <c r="L166" s="137" t="s">
        <v>129</v>
      </c>
      <c r="M166" s="141"/>
      <c r="N166" s="147"/>
    </row>
    <row r="167" hidden="1" outlineLevel="1">
      <c r="A167" s="367" t="s">
        <v>1613</v>
      </c>
      <c r="B167" s="344">
        <v>46083.0</v>
      </c>
      <c r="C167" s="133" t="str">
        <f t="shared" si="19"/>
        <v>Mon</v>
      </c>
      <c r="D167" s="136">
        <f t="shared" si="20"/>
        <v>1</v>
      </c>
      <c r="E167" s="137" t="s">
        <v>129</v>
      </c>
      <c r="F167" s="137" t="s">
        <v>129</v>
      </c>
      <c r="G167" s="137" t="s">
        <v>129</v>
      </c>
      <c r="H167" s="137" t="s">
        <v>129</v>
      </c>
      <c r="I167" s="137" t="s">
        <v>129</v>
      </c>
      <c r="J167" s="137" t="s">
        <v>129</v>
      </c>
      <c r="K167" s="137" t="s">
        <v>129</v>
      </c>
      <c r="L167" s="137" t="s">
        <v>129</v>
      </c>
      <c r="M167" s="141"/>
      <c r="N167" s="147"/>
    </row>
    <row r="168" hidden="1" outlineLevel="1">
      <c r="A168" s="219" t="s">
        <v>1615</v>
      </c>
      <c r="B168" s="344">
        <v>46085.0</v>
      </c>
      <c r="C168" s="133" t="str">
        <f t="shared" si="19"/>
        <v>Wed</v>
      </c>
      <c r="D168" s="136">
        <f t="shared" si="20"/>
        <v>1</v>
      </c>
      <c r="E168" s="137" t="s">
        <v>129</v>
      </c>
      <c r="F168" s="137" t="s">
        <v>129</v>
      </c>
      <c r="G168" s="137" t="s">
        <v>129</v>
      </c>
      <c r="H168" s="137" t="s">
        <v>129</v>
      </c>
      <c r="I168" s="137" t="s">
        <v>129</v>
      </c>
      <c r="J168" s="137" t="s">
        <v>129</v>
      </c>
      <c r="K168" s="137" t="s">
        <v>129</v>
      </c>
      <c r="L168" s="137" t="s">
        <v>129</v>
      </c>
      <c r="M168" s="141"/>
      <c r="N168" s="143"/>
    </row>
    <row r="169" hidden="1" outlineLevel="1">
      <c r="A169" s="219" t="s">
        <v>1617</v>
      </c>
      <c r="B169" s="344">
        <v>46085.0</v>
      </c>
      <c r="C169" s="133" t="str">
        <f t="shared" si="19"/>
        <v>Wed</v>
      </c>
      <c r="D169" s="136">
        <f t="shared" si="20"/>
        <v>1</v>
      </c>
      <c r="E169" s="137" t="s">
        <v>129</v>
      </c>
      <c r="F169" s="137" t="s">
        <v>129</v>
      </c>
      <c r="G169" s="137" t="s">
        <v>129</v>
      </c>
      <c r="H169" s="137" t="s">
        <v>129</v>
      </c>
      <c r="I169" s="137" t="s">
        <v>129</v>
      </c>
      <c r="J169" s="137" t="s">
        <v>129</v>
      </c>
      <c r="K169" s="137" t="s">
        <v>129</v>
      </c>
      <c r="L169" s="137" t="s">
        <v>129</v>
      </c>
      <c r="M169" s="141"/>
      <c r="N169" s="143"/>
    </row>
    <row r="170" hidden="1" outlineLevel="1">
      <c r="A170" s="380" t="s">
        <v>1618</v>
      </c>
      <c r="B170" s="344">
        <v>46085.0</v>
      </c>
      <c r="C170" s="133" t="str">
        <f t="shared" si="19"/>
        <v>Wed</v>
      </c>
      <c r="D170" s="136">
        <f t="shared" si="20"/>
        <v>1</v>
      </c>
      <c r="E170" s="137" t="s">
        <v>129</v>
      </c>
      <c r="F170" s="137" t="s">
        <v>129</v>
      </c>
      <c r="G170" s="137" t="s">
        <v>129</v>
      </c>
      <c r="H170" s="137" t="s">
        <v>129</v>
      </c>
      <c r="I170" s="137" t="s">
        <v>129</v>
      </c>
      <c r="J170" s="137" t="s">
        <v>129</v>
      </c>
      <c r="K170" s="137" t="s">
        <v>129</v>
      </c>
      <c r="L170" s="137" t="s">
        <v>129</v>
      </c>
      <c r="M170" s="141"/>
      <c r="N170" s="143"/>
    </row>
    <row r="171" hidden="1" outlineLevel="1">
      <c r="A171" s="367" t="s">
        <v>1620</v>
      </c>
      <c r="B171" s="344">
        <v>46086.0</v>
      </c>
      <c r="C171" s="133" t="str">
        <f t="shared" si="19"/>
        <v>Thu</v>
      </c>
      <c r="D171" s="136">
        <f t="shared" si="20"/>
        <v>1</v>
      </c>
      <c r="E171" s="137" t="s">
        <v>129</v>
      </c>
      <c r="F171" s="137" t="s">
        <v>129</v>
      </c>
      <c r="G171" s="137" t="s">
        <v>129</v>
      </c>
      <c r="H171" s="137" t="s">
        <v>129</v>
      </c>
      <c r="I171" s="137" t="s">
        <v>129</v>
      </c>
      <c r="J171" s="137" t="s">
        <v>129</v>
      </c>
      <c r="K171" s="137" t="s">
        <v>129</v>
      </c>
      <c r="L171" s="137" t="s">
        <v>129</v>
      </c>
      <c r="M171" s="141"/>
      <c r="N171" s="143"/>
    </row>
    <row r="172" hidden="1" outlineLevel="1">
      <c r="A172" s="367" t="s">
        <v>1621</v>
      </c>
      <c r="B172" s="344">
        <v>46086.0</v>
      </c>
      <c r="C172" s="133" t="str">
        <f t="shared" si="19"/>
        <v>Thu</v>
      </c>
      <c r="D172" s="136">
        <f t="shared" si="20"/>
        <v>1</v>
      </c>
      <c r="E172" s="137" t="s">
        <v>129</v>
      </c>
      <c r="F172" s="137" t="s">
        <v>129</v>
      </c>
      <c r="G172" s="137" t="s">
        <v>129</v>
      </c>
      <c r="H172" s="137" t="s">
        <v>129</v>
      </c>
      <c r="I172" s="137" t="s">
        <v>129</v>
      </c>
      <c r="J172" s="137" t="s">
        <v>129</v>
      </c>
      <c r="K172" s="137" t="s">
        <v>129</v>
      </c>
      <c r="L172" s="137" t="s">
        <v>129</v>
      </c>
      <c r="M172" s="141"/>
      <c r="N172" s="147"/>
    </row>
    <row r="173" hidden="1" outlineLevel="1">
      <c r="A173" s="367" t="s">
        <v>1623</v>
      </c>
      <c r="B173" s="344">
        <v>46086.0</v>
      </c>
      <c r="C173" s="133" t="str">
        <f t="shared" si="19"/>
        <v>Thu</v>
      </c>
      <c r="D173" s="136">
        <f t="shared" si="20"/>
        <v>1</v>
      </c>
      <c r="E173" s="137" t="s">
        <v>129</v>
      </c>
      <c r="F173" s="137" t="s">
        <v>129</v>
      </c>
      <c r="G173" s="137" t="s">
        <v>129</v>
      </c>
      <c r="H173" s="137" t="s">
        <v>129</v>
      </c>
      <c r="I173" s="137" t="s">
        <v>129</v>
      </c>
      <c r="J173" s="137" t="s">
        <v>129</v>
      </c>
      <c r="K173" s="137" t="s">
        <v>129</v>
      </c>
      <c r="L173" s="137" t="s">
        <v>129</v>
      </c>
      <c r="M173" s="141"/>
      <c r="N173" s="143"/>
    </row>
    <row r="174" hidden="1" outlineLevel="1">
      <c r="A174" s="367" t="s">
        <v>1624</v>
      </c>
      <c r="B174" s="344">
        <v>46087.0</v>
      </c>
      <c r="C174" s="133" t="str">
        <f t="shared" si="19"/>
        <v>Fri</v>
      </c>
      <c r="D174" s="136">
        <f t="shared" si="20"/>
        <v>1</v>
      </c>
      <c r="E174" s="137" t="s">
        <v>129</v>
      </c>
      <c r="F174" s="137" t="s">
        <v>129</v>
      </c>
      <c r="G174" s="137" t="s">
        <v>129</v>
      </c>
      <c r="H174" s="137" t="s">
        <v>129</v>
      </c>
      <c r="I174" s="137" t="s">
        <v>129</v>
      </c>
      <c r="J174" s="137" t="s">
        <v>129</v>
      </c>
      <c r="K174" s="137" t="s">
        <v>129</v>
      </c>
      <c r="L174" s="137" t="s">
        <v>129</v>
      </c>
      <c r="M174" s="141"/>
      <c r="N174" s="147"/>
    </row>
    <row r="175" hidden="1" outlineLevel="1">
      <c r="A175" s="367" t="s">
        <v>1626</v>
      </c>
      <c r="B175" s="344">
        <v>46087.0</v>
      </c>
      <c r="C175" s="133" t="str">
        <f t="shared" si="19"/>
        <v>Fri</v>
      </c>
      <c r="D175" s="136">
        <f t="shared" si="20"/>
        <v>1</v>
      </c>
      <c r="E175" s="137" t="s">
        <v>129</v>
      </c>
      <c r="F175" s="137" t="s">
        <v>129</v>
      </c>
      <c r="G175" s="137" t="s">
        <v>129</v>
      </c>
      <c r="H175" s="137" t="s">
        <v>129</v>
      </c>
      <c r="I175" s="137" t="s">
        <v>129</v>
      </c>
      <c r="J175" s="137" t="s">
        <v>129</v>
      </c>
      <c r="K175" s="137" t="s">
        <v>129</v>
      </c>
      <c r="L175" s="137" t="s">
        <v>129</v>
      </c>
      <c r="M175" s="141"/>
      <c r="N175" s="147"/>
    </row>
    <row r="176" hidden="1" outlineLevel="1">
      <c r="A176" s="438" t="s">
        <v>1629</v>
      </c>
      <c r="B176" s="344">
        <v>46087.0</v>
      </c>
      <c r="C176" s="133" t="str">
        <f t="shared" si="19"/>
        <v>Fri</v>
      </c>
      <c r="D176" s="136">
        <f t="shared" si="20"/>
        <v>0.3</v>
      </c>
      <c r="E176" s="137" t="s">
        <v>129</v>
      </c>
      <c r="F176" s="137" t="s">
        <v>129</v>
      </c>
      <c r="G176" s="137" t="s">
        <v>129</v>
      </c>
      <c r="H176" s="137" t="s">
        <v>174</v>
      </c>
      <c r="I176" s="137" t="s">
        <v>174</v>
      </c>
      <c r="J176" s="137" t="s">
        <v>174</v>
      </c>
      <c r="K176" s="137" t="s">
        <v>174</v>
      </c>
      <c r="L176" s="137" t="s">
        <v>174</v>
      </c>
      <c r="M176" s="141"/>
      <c r="N176" s="147" t="s">
        <v>1631</v>
      </c>
    </row>
    <row r="177" hidden="1" outlineLevel="1">
      <c r="A177" s="367" t="s">
        <v>1632</v>
      </c>
      <c r="B177" s="344">
        <v>46088.0</v>
      </c>
      <c r="C177" s="133" t="str">
        <f t="shared" si="19"/>
        <v>Sat</v>
      </c>
      <c r="D177" s="136">
        <f t="shared" si="20"/>
        <v>1</v>
      </c>
      <c r="E177" s="137" t="s">
        <v>129</v>
      </c>
      <c r="F177" s="137" t="s">
        <v>129</v>
      </c>
      <c r="G177" s="137" t="s">
        <v>129</v>
      </c>
      <c r="H177" s="137" t="s">
        <v>129</v>
      </c>
      <c r="I177" s="137" t="s">
        <v>129</v>
      </c>
      <c r="J177" s="137" t="s">
        <v>129</v>
      </c>
      <c r="K177" s="137" t="s">
        <v>129</v>
      </c>
      <c r="L177" s="137" t="s">
        <v>129</v>
      </c>
      <c r="M177" s="141"/>
      <c r="N177" s="143"/>
    </row>
    <row r="178" hidden="1" outlineLevel="1">
      <c r="A178" s="367" t="s">
        <v>1633</v>
      </c>
      <c r="B178" s="344">
        <v>46088.0</v>
      </c>
      <c r="C178" s="133" t="str">
        <f t="shared" si="19"/>
        <v>Sat</v>
      </c>
      <c r="D178" s="136">
        <f t="shared" si="20"/>
        <v>1</v>
      </c>
      <c r="E178" s="137" t="s">
        <v>129</v>
      </c>
      <c r="F178" s="137" t="s">
        <v>129</v>
      </c>
      <c r="G178" s="137" t="s">
        <v>129</v>
      </c>
      <c r="H178" s="137" t="s">
        <v>129</v>
      </c>
      <c r="I178" s="137" t="s">
        <v>129</v>
      </c>
      <c r="J178" s="137" t="s">
        <v>129</v>
      </c>
      <c r="K178" s="137" t="s">
        <v>129</v>
      </c>
      <c r="L178" s="137" t="s">
        <v>129</v>
      </c>
      <c r="M178" s="141"/>
      <c r="N178" s="143"/>
    </row>
    <row r="179" ht="15.0" hidden="1" customHeight="1" outlineLevel="1">
      <c r="A179" s="367" t="s">
        <v>1634</v>
      </c>
      <c r="B179" s="344">
        <v>46088.0</v>
      </c>
      <c r="C179" s="133" t="str">
        <f t="shared" si="19"/>
        <v>Sat</v>
      </c>
      <c r="D179" s="136">
        <f t="shared" si="20"/>
        <v>1</v>
      </c>
      <c r="E179" s="137" t="s">
        <v>129</v>
      </c>
      <c r="F179" s="137" t="s">
        <v>129</v>
      </c>
      <c r="G179" s="137" t="s">
        <v>129</v>
      </c>
      <c r="H179" s="137" t="s">
        <v>129</v>
      </c>
      <c r="I179" s="137" t="s">
        <v>129</v>
      </c>
      <c r="J179" s="137" t="s">
        <v>129</v>
      </c>
      <c r="K179" s="137" t="s">
        <v>129</v>
      </c>
      <c r="L179" s="137" t="s">
        <v>129</v>
      </c>
      <c r="M179" s="141"/>
      <c r="N179" s="147"/>
    </row>
    <row r="180" hidden="1" outlineLevel="1">
      <c r="B180" s="189"/>
      <c r="C180" s="191" t="s">
        <v>194</v>
      </c>
      <c r="D180" s="204">
        <f>AVERAGE(D165:D179)</f>
        <v>0.9533333333</v>
      </c>
      <c r="E180" s="200"/>
      <c r="L180" s="191" t="s">
        <v>194</v>
      </c>
      <c r="M180" s="204">
        <f>SUM(M165:M179)/75*0.1</f>
        <v>0</v>
      </c>
    </row>
    <row r="181" hidden="1" collapsed="1">
      <c r="A181" s="206" t="s">
        <v>766</v>
      </c>
      <c r="B181" s="207"/>
      <c r="C181" s="207"/>
      <c r="D181" s="208"/>
      <c r="E181" s="109"/>
      <c r="F181" s="109"/>
      <c r="G181" s="110"/>
      <c r="H181" s="110"/>
      <c r="I181" s="110"/>
      <c r="J181" s="110"/>
      <c r="K181" s="110"/>
      <c r="L181" s="110"/>
      <c r="M181" s="111"/>
      <c r="N181" s="113"/>
    </row>
    <row r="182" hidden="1" outlineLevel="1">
      <c r="A182" s="373" t="s">
        <v>98</v>
      </c>
      <c r="B182" s="115" t="s">
        <v>100</v>
      </c>
      <c r="C182" s="115" t="s">
        <v>102</v>
      </c>
      <c r="D182" s="119" t="s">
        <v>103</v>
      </c>
      <c r="E182" s="275" t="s">
        <v>269</v>
      </c>
      <c r="F182" s="275" t="s">
        <v>272</v>
      </c>
      <c r="G182" s="276" t="s">
        <v>328</v>
      </c>
      <c r="H182" s="121" t="s">
        <v>107</v>
      </c>
      <c r="I182" s="121" t="s">
        <v>108</v>
      </c>
      <c r="J182" s="276" t="s">
        <v>329</v>
      </c>
      <c r="K182" s="121" t="s">
        <v>111</v>
      </c>
      <c r="L182" s="276" t="s">
        <v>274</v>
      </c>
      <c r="M182" s="115" t="s">
        <v>114</v>
      </c>
      <c r="N182" s="119" t="s">
        <v>115</v>
      </c>
    </row>
    <row r="183" hidden="1" outlineLevel="1">
      <c r="A183" s="438" t="s">
        <v>1637</v>
      </c>
      <c r="B183" s="344">
        <v>46090.0</v>
      </c>
      <c r="C183" s="133" t="str">
        <f t="shared" ref="C183:C197" si="21">IF(B183="", "", TEXT(B183, "ddd"))</f>
        <v>Mon</v>
      </c>
      <c r="D183" s="136">
        <f t="shared" ref="D183:D197" si="22">IF(E183="Yes",0.05,0)
+IF(F183="Yes",0.1,0)
+IF(G183="Yes",0.15,0)
+IF(H183="Yes",0.15,0)
+IF(I183="Yes",0.05,0)
+IF(J183="Yes",0.05,0)
+IF(K183="Yes",0.15,0)
+IF(L183="Yes",0.3,0)
</f>
        <v>1</v>
      </c>
      <c r="E183" s="137" t="s">
        <v>129</v>
      </c>
      <c r="F183" s="137" t="s">
        <v>129</v>
      </c>
      <c r="G183" s="137" t="s">
        <v>129</v>
      </c>
      <c r="H183" s="137" t="s">
        <v>129</v>
      </c>
      <c r="I183" s="137" t="s">
        <v>129</v>
      </c>
      <c r="J183" s="137" t="s">
        <v>129</v>
      </c>
      <c r="K183" s="137" t="s">
        <v>129</v>
      </c>
      <c r="L183" s="137" t="s">
        <v>129</v>
      </c>
      <c r="M183" s="141"/>
      <c r="N183" s="143"/>
    </row>
    <row r="184" hidden="1" outlineLevel="1">
      <c r="A184" s="367" t="s">
        <v>1638</v>
      </c>
      <c r="B184" s="344">
        <v>46090.0</v>
      </c>
      <c r="C184" s="133" t="str">
        <f t="shared" si="21"/>
        <v>Mon</v>
      </c>
      <c r="D184" s="136">
        <f t="shared" si="22"/>
        <v>1</v>
      </c>
      <c r="E184" s="137" t="s">
        <v>129</v>
      </c>
      <c r="F184" s="137" t="s">
        <v>129</v>
      </c>
      <c r="G184" s="137" t="s">
        <v>129</v>
      </c>
      <c r="H184" s="137" t="s">
        <v>129</v>
      </c>
      <c r="I184" s="137" t="s">
        <v>129</v>
      </c>
      <c r="J184" s="137" t="s">
        <v>129</v>
      </c>
      <c r="K184" s="137" t="s">
        <v>129</v>
      </c>
      <c r="L184" s="137" t="s">
        <v>129</v>
      </c>
      <c r="M184" s="141"/>
      <c r="N184" s="147"/>
    </row>
    <row r="185" hidden="1" outlineLevel="1">
      <c r="A185" s="367" t="s">
        <v>1639</v>
      </c>
      <c r="B185" s="344">
        <v>46090.0</v>
      </c>
      <c r="C185" s="133" t="str">
        <f t="shared" si="21"/>
        <v>Mon</v>
      </c>
      <c r="D185" s="136">
        <f t="shared" si="22"/>
        <v>0</v>
      </c>
      <c r="E185" s="137" t="s">
        <v>174</v>
      </c>
      <c r="F185" s="137" t="s">
        <v>174</v>
      </c>
      <c r="G185" s="137" t="s">
        <v>174</v>
      </c>
      <c r="H185" s="137" t="s">
        <v>174</v>
      </c>
      <c r="I185" s="137" t="s">
        <v>174</v>
      </c>
      <c r="J185" s="137" t="s">
        <v>174</v>
      </c>
      <c r="K185" s="137" t="s">
        <v>174</v>
      </c>
      <c r="L185" s="137" t="s">
        <v>174</v>
      </c>
      <c r="M185" s="141"/>
      <c r="N185" s="147" t="s">
        <v>1640</v>
      </c>
    </row>
    <row r="186" hidden="1" outlineLevel="1">
      <c r="A186" s="367" t="s">
        <v>1641</v>
      </c>
      <c r="B186" s="344">
        <v>46092.0</v>
      </c>
      <c r="C186" s="133" t="str">
        <f t="shared" si="21"/>
        <v>Wed</v>
      </c>
      <c r="D186" s="136">
        <f t="shared" si="22"/>
        <v>1</v>
      </c>
      <c r="E186" s="137" t="s">
        <v>129</v>
      </c>
      <c r="F186" s="137" t="s">
        <v>129</v>
      </c>
      <c r="G186" s="137" t="s">
        <v>129</v>
      </c>
      <c r="H186" s="137" t="s">
        <v>129</v>
      </c>
      <c r="I186" s="137" t="s">
        <v>129</v>
      </c>
      <c r="J186" s="137" t="s">
        <v>129</v>
      </c>
      <c r="K186" s="137" t="s">
        <v>129</v>
      </c>
      <c r="L186" s="137" t="s">
        <v>129</v>
      </c>
      <c r="M186" s="141"/>
      <c r="N186" s="143"/>
    </row>
    <row r="187" hidden="1" outlineLevel="1">
      <c r="A187" s="367" t="s">
        <v>1643</v>
      </c>
      <c r="B187" s="344">
        <v>46092.0</v>
      </c>
      <c r="C187" s="133" t="str">
        <f t="shared" si="21"/>
        <v>Wed</v>
      </c>
      <c r="D187" s="136">
        <f t="shared" si="22"/>
        <v>1</v>
      </c>
      <c r="E187" s="137" t="s">
        <v>129</v>
      </c>
      <c r="F187" s="137" t="s">
        <v>129</v>
      </c>
      <c r="G187" s="137" t="s">
        <v>129</v>
      </c>
      <c r="H187" s="137" t="s">
        <v>129</v>
      </c>
      <c r="I187" s="137" t="s">
        <v>129</v>
      </c>
      <c r="J187" s="137" t="s">
        <v>129</v>
      </c>
      <c r="K187" s="137" t="s">
        <v>129</v>
      </c>
      <c r="L187" s="137" t="s">
        <v>129</v>
      </c>
      <c r="M187" s="141"/>
      <c r="N187" s="143"/>
    </row>
    <row r="188" hidden="1" outlineLevel="1">
      <c r="A188" s="367" t="s">
        <v>1645</v>
      </c>
      <c r="B188" s="344">
        <v>46092.0</v>
      </c>
      <c r="C188" s="133" t="str">
        <f t="shared" si="21"/>
        <v>Wed</v>
      </c>
      <c r="D188" s="136">
        <f t="shared" si="22"/>
        <v>1</v>
      </c>
      <c r="E188" s="137" t="s">
        <v>129</v>
      </c>
      <c r="F188" s="137" t="s">
        <v>129</v>
      </c>
      <c r="G188" s="137" t="s">
        <v>129</v>
      </c>
      <c r="H188" s="137" t="s">
        <v>129</v>
      </c>
      <c r="I188" s="137" t="s">
        <v>129</v>
      </c>
      <c r="J188" s="137" t="s">
        <v>129</v>
      </c>
      <c r="K188" s="137" t="s">
        <v>129</v>
      </c>
      <c r="L188" s="137" t="s">
        <v>129</v>
      </c>
      <c r="M188" s="141"/>
      <c r="N188" s="143"/>
    </row>
    <row r="189" hidden="1" outlineLevel="1">
      <c r="A189" s="367" t="s">
        <v>1647</v>
      </c>
      <c r="B189" s="344">
        <v>46093.0</v>
      </c>
      <c r="C189" s="133" t="str">
        <f t="shared" si="21"/>
        <v>Thu</v>
      </c>
      <c r="D189" s="136">
        <f t="shared" si="22"/>
        <v>1</v>
      </c>
      <c r="E189" s="137" t="s">
        <v>129</v>
      </c>
      <c r="F189" s="137" t="s">
        <v>129</v>
      </c>
      <c r="G189" s="137" t="s">
        <v>129</v>
      </c>
      <c r="H189" s="137" t="s">
        <v>129</v>
      </c>
      <c r="I189" s="137" t="s">
        <v>129</v>
      </c>
      <c r="J189" s="137" t="s">
        <v>129</v>
      </c>
      <c r="K189" s="137" t="s">
        <v>129</v>
      </c>
      <c r="L189" s="137" t="s">
        <v>129</v>
      </c>
      <c r="M189" s="141"/>
      <c r="N189" s="143"/>
    </row>
    <row r="190" hidden="1" outlineLevel="1">
      <c r="A190" s="367" t="s">
        <v>1648</v>
      </c>
      <c r="B190" s="344">
        <v>46093.0</v>
      </c>
      <c r="C190" s="133" t="str">
        <f t="shared" si="21"/>
        <v>Thu</v>
      </c>
      <c r="D190" s="136">
        <f t="shared" si="22"/>
        <v>1</v>
      </c>
      <c r="E190" s="137" t="s">
        <v>129</v>
      </c>
      <c r="F190" s="137" t="s">
        <v>129</v>
      </c>
      <c r="G190" s="137" t="s">
        <v>129</v>
      </c>
      <c r="H190" s="137" t="s">
        <v>129</v>
      </c>
      <c r="I190" s="137" t="s">
        <v>129</v>
      </c>
      <c r="J190" s="137" t="s">
        <v>129</v>
      </c>
      <c r="K190" s="137" t="s">
        <v>129</v>
      </c>
      <c r="L190" s="137" t="s">
        <v>129</v>
      </c>
      <c r="M190" s="141"/>
      <c r="N190" s="147"/>
    </row>
    <row r="191" hidden="1" outlineLevel="1">
      <c r="A191" s="367" t="s">
        <v>1649</v>
      </c>
      <c r="B191" s="344">
        <v>46093.0</v>
      </c>
      <c r="C191" s="133" t="str">
        <f t="shared" si="21"/>
        <v>Thu</v>
      </c>
      <c r="D191" s="136">
        <f t="shared" si="22"/>
        <v>1</v>
      </c>
      <c r="E191" s="137" t="s">
        <v>129</v>
      </c>
      <c r="F191" s="137" t="s">
        <v>129</v>
      </c>
      <c r="G191" s="137" t="s">
        <v>129</v>
      </c>
      <c r="H191" s="137" t="s">
        <v>129</v>
      </c>
      <c r="I191" s="137" t="s">
        <v>129</v>
      </c>
      <c r="J191" s="137" t="s">
        <v>129</v>
      </c>
      <c r="K191" s="137" t="s">
        <v>129</v>
      </c>
      <c r="L191" s="137" t="s">
        <v>129</v>
      </c>
      <c r="M191" s="141"/>
      <c r="N191" s="143"/>
    </row>
    <row r="192" hidden="1" outlineLevel="1">
      <c r="A192" s="367" t="s">
        <v>1650</v>
      </c>
      <c r="B192" s="344">
        <v>46094.0</v>
      </c>
      <c r="C192" s="133" t="str">
        <f t="shared" si="21"/>
        <v>Fri</v>
      </c>
      <c r="D192" s="136">
        <f t="shared" si="22"/>
        <v>1</v>
      </c>
      <c r="E192" s="137" t="s">
        <v>129</v>
      </c>
      <c r="F192" s="137" t="s">
        <v>129</v>
      </c>
      <c r="G192" s="137" t="s">
        <v>129</v>
      </c>
      <c r="H192" s="137" t="s">
        <v>129</v>
      </c>
      <c r="I192" s="137" t="s">
        <v>129</v>
      </c>
      <c r="J192" s="137" t="s">
        <v>129</v>
      </c>
      <c r="K192" s="137" t="s">
        <v>129</v>
      </c>
      <c r="L192" s="137" t="s">
        <v>129</v>
      </c>
      <c r="M192" s="141"/>
      <c r="N192" s="147"/>
    </row>
    <row r="193" hidden="1" outlineLevel="1">
      <c r="A193" s="367" t="s">
        <v>1652</v>
      </c>
      <c r="B193" s="344">
        <v>46094.0</v>
      </c>
      <c r="C193" s="133" t="str">
        <f t="shared" si="21"/>
        <v>Fri</v>
      </c>
      <c r="D193" s="136">
        <f t="shared" si="22"/>
        <v>1</v>
      </c>
      <c r="E193" s="137" t="s">
        <v>129</v>
      </c>
      <c r="F193" s="137" t="s">
        <v>129</v>
      </c>
      <c r="G193" s="137" t="s">
        <v>129</v>
      </c>
      <c r="H193" s="137" t="s">
        <v>129</v>
      </c>
      <c r="I193" s="137" t="s">
        <v>129</v>
      </c>
      <c r="J193" s="137" t="s">
        <v>129</v>
      </c>
      <c r="K193" s="137" t="s">
        <v>129</v>
      </c>
      <c r="L193" s="137" t="s">
        <v>129</v>
      </c>
      <c r="M193" s="141"/>
      <c r="N193" s="147"/>
    </row>
    <row r="194" hidden="1" outlineLevel="1">
      <c r="A194" s="367" t="s">
        <v>1654</v>
      </c>
      <c r="B194" s="344">
        <v>46094.0</v>
      </c>
      <c r="C194" s="133" t="str">
        <f t="shared" si="21"/>
        <v>Fri</v>
      </c>
      <c r="D194" s="136">
        <f t="shared" si="22"/>
        <v>1</v>
      </c>
      <c r="E194" s="137" t="s">
        <v>129</v>
      </c>
      <c r="F194" s="137" t="s">
        <v>129</v>
      </c>
      <c r="G194" s="137" t="s">
        <v>129</v>
      </c>
      <c r="H194" s="137" t="s">
        <v>129</v>
      </c>
      <c r="I194" s="137" t="s">
        <v>129</v>
      </c>
      <c r="J194" s="137" t="s">
        <v>129</v>
      </c>
      <c r="K194" s="137" t="s">
        <v>129</v>
      </c>
      <c r="L194" s="137" t="s">
        <v>129</v>
      </c>
      <c r="M194" s="141"/>
      <c r="N194" s="147"/>
    </row>
    <row r="195" hidden="1" outlineLevel="1">
      <c r="A195" s="367" t="s">
        <v>1658</v>
      </c>
      <c r="B195" s="344">
        <v>46095.0</v>
      </c>
      <c r="C195" s="133" t="str">
        <f t="shared" si="21"/>
        <v>Sat</v>
      </c>
      <c r="D195" s="136">
        <f t="shared" si="22"/>
        <v>1</v>
      </c>
      <c r="E195" s="137" t="s">
        <v>129</v>
      </c>
      <c r="F195" s="137" t="s">
        <v>129</v>
      </c>
      <c r="G195" s="137" t="s">
        <v>129</v>
      </c>
      <c r="H195" s="137" t="s">
        <v>129</v>
      </c>
      <c r="I195" s="137" t="s">
        <v>129</v>
      </c>
      <c r="J195" s="137" t="s">
        <v>129</v>
      </c>
      <c r="K195" s="137" t="s">
        <v>129</v>
      </c>
      <c r="L195" s="137" t="s">
        <v>129</v>
      </c>
      <c r="M195" s="141"/>
      <c r="N195" s="143"/>
    </row>
    <row r="196" hidden="1" outlineLevel="1">
      <c r="A196" s="367" t="s">
        <v>1659</v>
      </c>
      <c r="B196" s="344">
        <v>46095.0</v>
      </c>
      <c r="C196" s="133" t="str">
        <f t="shared" si="21"/>
        <v>Sat</v>
      </c>
      <c r="D196" s="136">
        <f t="shared" si="22"/>
        <v>0.7</v>
      </c>
      <c r="E196" s="137" t="s">
        <v>129</v>
      </c>
      <c r="F196" s="137" t="s">
        <v>129</v>
      </c>
      <c r="G196" s="137" t="s">
        <v>129</v>
      </c>
      <c r="H196" s="137" t="s">
        <v>129</v>
      </c>
      <c r="I196" s="137" t="s">
        <v>129</v>
      </c>
      <c r="J196" s="137" t="s">
        <v>129</v>
      </c>
      <c r="K196" s="137" t="s">
        <v>129</v>
      </c>
      <c r="L196" s="137" t="s">
        <v>174</v>
      </c>
      <c r="M196" s="141"/>
      <c r="N196" s="147" t="s">
        <v>1661</v>
      </c>
    </row>
    <row r="197" ht="15.0" hidden="1" customHeight="1" outlineLevel="1">
      <c r="A197" s="367" t="s">
        <v>1662</v>
      </c>
      <c r="B197" s="344">
        <v>46095.0</v>
      </c>
      <c r="C197" s="133" t="str">
        <f t="shared" si="21"/>
        <v>Sat</v>
      </c>
      <c r="D197" s="136">
        <f t="shared" si="22"/>
        <v>1</v>
      </c>
      <c r="E197" s="137" t="s">
        <v>129</v>
      </c>
      <c r="F197" s="137" t="s">
        <v>129</v>
      </c>
      <c r="G197" s="137" t="s">
        <v>129</v>
      </c>
      <c r="H197" s="137" t="s">
        <v>129</v>
      </c>
      <c r="I197" s="137" t="s">
        <v>129</v>
      </c>
      <c r="J197" s="137" t="s">
        <v>129</v>
      </c>
      <c r="K197" s="137" t="s">
        <v>129</v>
      </c>
      <c r="L197" s="137" t="s">
        <v>129</v>
      </c>
      <c r="M197" s="141"/>
      <c r="N197" s="147"/>
    </row>
    <row r="198" hidden="1" outlineLevel="1">
      <c r="B198" s="189"/>
      <c r="C198" s="191" t="s">
        <v>194</v>
      </c>
      <c r="D198" s="204">
        <f>AVERAGE(D183:D197)</f>
        <v>0.9133333333</v>
      </c>
      <c r="E198" s="200"/>
      <c r="L198" s="191" t="s">
        <v>194</v>
      </c>
      <c r="M198" s="204">
        <f>SUM(M183:M197)/75*0.1</f>
        <v>0</v>
      </c>
    </row>
    <row r="199" hidden="1" collapsed="1">
      <c r="A199" s="206" t="s">
        <v>792</v>
      </c>
      <c r="B199" s="207"/>
      <c r="C199" s="207"/>
      <c r="D199" s="208"/>
      <c r="E199" s="109"/>
      <c r="F199" s="109"/>
      <c r="G199" s="110"/>
      <c r="H199" s="110"/>
      <c r="I199" s="110"/>
      <c r="J199" s="110"/>
      <c r="K199" s="110"/>
      <c r="L199" s="110"/>
      <c r="M199" s="111"/>
      <c r="N199" s="113"/>
    </row>
    <row r="200" hidden="1" outlineLevel="1">
      <c r="A200" s="373" t="s">
        <v>98</v>
      </c>
      <c r="B200" s="115" t="s">
        <v>100</v>
      </c>
      <c r="C200" s="115" t="s">
        <v>102</v>
      </c>
      <c r="D200" s="119" t="s">
        <v>103</v>
      </c>
      <c r="E200" s="275" t="s">
        <v>269</v>
      </c>
      <c r="F200" s="275" t="s">
        <v>272</v>
      </c>
      <c r="G200" s="276" t="s">
        <v>328</v>
      </c>
      <c r="H200" s="121" t="s">
        <v>107</v>
      </c>
      <c r="I200" s="121" t="s">
        <v>108</v>
      </c>
      <c r="J200" s="276" t="s">
        <v>329</v>
      </c>
      <c r="K200" s="121" t="s">
        <v>111</v>
      </c>
      <c r="L200" s="276" t="s">
        <v>274</v>
      </c>
      <c r="M200" s="115" t="s">
        <v>114</v>
      </c>
      <c r="N200" s="119" t="s">
        <v>115</v>
      </c>
    </row>
    <row r="201" hidden="1" outlineLevel="1">
      <c r="A201" s="367" t="s">
        <v>1663</v>
      </c>
      <c r="B201" s="344">
        <v>46097.0</v>
      </c>
      <c r="C201" s="133" t="str">
        <f t="shared" ref="C201:C215" si="23">IF(B201="", "", TEXT(B201, "ddd"))</f>
        <v>Mon</v>
      </c>
      <c r="D201" s="136">
        <f t="shared" ref="D201:D215" si="24">IF(E201="Yes",0.05,0)
+IF(F201="Yes",0.1,0)
+IF(G201="Yes",0.15,0)
+IF(H201="Yes",0.15,0)
+IF(I201="Yes",0.05,0)
+IF(J201="Yes",0.05,0)
+IF(K201="Yes",0.15,0)
+IF(L201="Yes",0.3,0)
</f>
        <v>1</v>
      </c>
      <c r="E201" s="137" t="s">
        <v>129</v>
      </c>
      <c r="F201" s="137" t="s">
        <v>129</v>
      </c>
      <c r="G201" s="137" t="s">
        <v>129</v>
      </c>
      <c r="H201" s="137" t="s">
        <v>129</v>
      </c>
      <c r="I201" s="137" t="s">
        <v>129</v>
      </c>
      <c r="J201" s="137" t="s">
        <v>129</v>
      </c>
      <c r="K201" s="137" t="s">
        <v>129</v>
      </c>
      <c r="L201" s="137" t="s">
        <v>129</v>
      </c>
      <c r="M201" s="141"/>
      <c r="N201" s="143"/>
    </row>
    <row r="202" hidden="1" outlineLevel="1">
      <c r="A202" s="367" t="s">
        <v>1665</v>
      </c>
      <c r="B202" s="344">
        <v>46097.0</v>
      </c>
      <c r="C202" s="133" t="str">
        <f t="shared" si="23"/>
        <v>Mon</v>
      </c>
      <c r="D202" s="136">
        <f t="shared" si="24"/>
        <v>1</v>
      </c>
      <c r="E202" s="137" t="s">
        <v>129</v>
      </c>
      <c r="F202" s="137" t="s">
        <v>129</v>
      </c>
      <c r="G202" s="137" t="s">
        <v>129</v>
      </c>
      <c r="H202" s="137" t="s">
        <v>129</v>
      </c>
      <c r="I202" s="137" t="s">
        <v>129</v>
      </c>
      <c r="J202" s="137" t="s">
        <v>129</v>
      </c>
      <c r="K202" s="137" t="s">
        <v>129</v>
      </c>
      <c r="L202" s="137" t="s">
        <v>129</v>
      </c>
      <c r="M202" s="141"/>
      <c r="N202" s="147"/>
    </row>
    <row r="203" hidden="1" outlineLevel="1">
      <c r="A203" s="367" t="s">
        <v>1666</v>
      </c>
      <c r="B203" s="344">
        <v>46097.0</v>
      </c>
      <c r="C203" s="133" t="str">
        <f t="shared" si="23"/>
        <v>Mon</v>
      </c>
      <c r="D203" s="136">
        <f t="shared" si="24"/>
        <v>1</v>
      </c>
      <c r="E203" s="137" t="s">
        <v>129</v>
      </c>
      <c r="F203" s="137" t="s">
        <v>129</v>
      </c>
      <c r="G203" s="137" t="s">
        <v>129</v>
      </c>
      <c r="H203" s="137" t="s">
        <v>129</v>
      </c>
      <c r="I203" s="137" t="s">
        <v>129</v>
      </c>
      <c r="J203" s="137" t="s">
        <v>129</v>
      </c>
      <c r="K203" s="137" t="s">
        <v>129</v>
      </c>
      <c r="L203" s="137" t="s">
        <v>129</v>
      </c>
      <c r="M203" s="141"/>
      <c r="N203" s="147"/>
    </row>
    <row r="204" hidden="1" outlineLevel="1">
      <c r="A204" s="367" t="s">
        <v>1667</v>
      </c>
      <c r="B204" s="344">
        <v>46099.0</v>
      </c>
      <c r="C204" s="133" t="str">
        <f t="shared" si="23"/>
        <v>Wed</v>
      </c>
      <c r="D204" s="136">
        <f t="shared" si="24"/>
        <v>1</v>
      </c>
      <c r="E204" s="137" t="s">
        <v>129</v>
      </c>
      <c r="F204" s="137" t="s">
        <v>129</v>
      </c>
      <c r="G204" s="137" t="s">
        <v>129</v>
      </c>
      <c r="H204" s="137" t="s">
        <v>129</v>
      </c>
      <c r="I204" s="137" t="s">
        <v>129</v>
      </c>
      <c r="J204" s="137" t="s">
        <v>129</v>
      </c>
      <c r="K204" s="137" t="s">
        <v>129</v>
      </c>
      <c r="L204" s="137" t="s">
        <v>129</v>
      </c>
      <c r="M204" s="141"/>
      <c r="N204" s="143"/>
    </row>
    <row r="205" hidden="1" outlineLevel="1">
      <c r="A205" s="367" t="s">
        <v>1669</v>
      </c>
      <c r="B205" s="344">
        <v>46099.0</v>
      </c>
      <c r="C205" s="133" t="str">
        <f t="shared" si="23"/>
        <v>Wed</v>
      </c>
      <c r="D205" s="136">
        <f t="shared" si="24"/>
        <v>1</v>
      </c>
      <c r="E205" s="137" t="s">
        <v>129</v>
      </c>
      <c r="F205" s="137" t="s">
        <v>129</v>
      </c>
      <c r="G205" s="137" t="s">
        <v>129</v>
      </c>
      <c r="H205" s="137" t="s">
        <v>129</v>
      </c>
      <c r="I205" s="137" t="s">
        <v>129</v>
      </c>
      <c r="J205" s="137" t="s">
        <v>129</v>
      </c>
      <c r="K205" s="137" t="s">
        <v>129</v>
      </c>
      <c r="L205" s="137" t="s">
        <v>129</v>
      </c>
      <c r="M205" s="141"/>
      <c r="N205" s="143"/>
    </row>
    <row r="206" hidden="1" outlineLevel="1">
      <c r="A206" s="367" t="s">
        <v>1670</v>
      </c>
      <c r="B206" s="344">
        <v>46099.0</v>
      </c>
      <c r="C206" s="133" t="str">
        <f t="shared" si="23"/>
        <v>Wed</v>
      </c>
      <c r="D206" s="136">
        <f t="shared" si="24"/>
        <v>1</v>
      </c>
      <c r="E206" s="137" t="s">
        <v>129</v>
      </c>
      <c r="F206" s="137" t="s">
        <v>129</v>
      </c>
      <c r="G206" s="137" t="s">
        <v>129</v>
      </c>
      <c r="H206" s="137" t="s">
        <v>129</v>
      </c>
      <c r="I206" s="137" t="s">
        <v>129</v>
      </c>
      <c r="J206" s="137" t="s">
        <v>129</v>
      </c>
      <c r="K206" s="137" t="s">
        <v>129</v>
      </c>
      <c r="L206" s="137" t="s">
        <v>129</v>
      </c>
      <c r="M206" s="141"/>
      <c r="N206" s="143"/>
    </row>
    <row r="207" hidden="1" outlineLevel="1">
      <c r="A207" s="367" t="s">
        <v>1673</v>
      </c>
      <c r="B207" s="344">
        <v>46100.0</v>
      </c>
      <c r="C207" s="133" t="str">
        <f t="shared" si="23"/>
        <v>Thu</v>
      </c>
      <c r="D207" s="136">
        <f t="shared" si="24"/>
        <v>1</v>
      </c>
      <c r="E207" s="137" t="s">
        <v>129</v>
      </c>
      <c r="F207" s="137" t="s">
        <v>129</v>
      </c>
      <c r="G207" s="137" t="s">
        <v>129</v>
      </c>
      <c r="H207" s="137" t="s">
        <v>129</v>
      </c>
      <c r="I207" s="137" t="s">
        <v>129</v>
      </c>
      <c r="J207" s="137" t="s">
        <v>129</v>
      </c>
      <c r="K207" s="137" t="s">
        <v>129</v>
      </c>
      <c r="L207" s="137" t="s">
        <v>129</v>
      </c>
      <c r="M207" s="141"/>
      <c r="N207" s="143"/>
    </row>
    <row r="208" hidden="1" outlineLevel="1">
      <c r="A208" s="367" t="s">
        <v>1675</v>
      </c>
      <c r="B208" s="344">
        <v>46100.0</v>
      </c>
      <c r="C208" s="133" t="str">
        <f t="shared" si="23"/>
        <v>Thu</v>
      </c>
      <c r="D208" s="136">
        <f t="shared" si="24"/>
        <v>1</v>
      </c>
      <c r="E208" s="137" t="s">
        <v>129</v>
      </c>
      <c r="F208" s="137" t="s">
        <v>129</v>
      </c>
      <c r="G208" s="137" t="s">
        <v>129</v>
      </c>
      <c r="H208" s="137" t="s">
        <v>129</v>
      </c>
      <c r="I208" s="137" t="s">
        <v>129</v>
      </c>
      <c r="J208" s="137" t="s">
        <v>129</v>
      </c>
      <c r="K208" s="137" t="s">
        <v>129</v>
      </c>
      <c r="L208" s="137" t="s">
        <v>129</v>
      </c>
      <c r="M208" s="141"/>
      <c r="N208" s="147"/>
    </row>
    <row r="209" hidden="1" outlineLevel="1">
      <c r="A209" s="367" t="s">
        <v>1677</v>
      </c>
      <c r="B209" s="344">
        <v>46100.0</v>
      </c>
      <c r="C209" s="133" t="str">
        <f t="shared" si="23"/>
        <v>Thu</v>
      </c>
      <c r="D209" s="136">
        <f t="shared" si="24"/>
        <v>1</v>
      </c>
      <c r="E209" s="137" t="s">
        <v>129</v>
      </c>
      <c r="F209" s="137" t="s">
        <v>129</v>
      </c>
      <c r="G209" s="137" t="s">
        <v>129</v>
      </c>
      <c r="H209" s="137" t="s">
        <v>129</v>
      </c>
      <c r="I209" s="137" t="s">
        <v>129</v>
      </c>
      <c r="J209" s="137" t="s">
        <v>129</v>
      </c>
      <c r="K209" s="137" t="s">
        <v>129</v>
      </c>
      <c r="L209" s="137" t="s">
        <v>129</v>
      </c>
      <c r="M209" s="141"/>
      <c r="N209" s="143"/>
    </row>
    <row r="210" hidden="1" outlineLevel="1">
      <c r="A210" s="367" t="s">
        <v>1679</v>
      </c>
      <c r="B210" s="344">
        <v>46101.0</v>
      </c>
      <c r="C210" s="133" t="str">
        <f t="shared" si="23"/>
        <v>Fri</v>
      </c>
      <c r="D210" s="136">
        <f t="shared" si="24"/>
        <v>1</v>
      </c>
      <c r="E210" s="137" t="s">
        <v>129</v>
      </c>
      <c r="F210" s="137" t="s">
        <v>129</v>
      </c>
      <c r="G210" s="137" t="s">
        <v>129</v>
      </c>
      <c r="H210" s="137" t="s">
        <v>129</v>
      </c>
      <c r="I210" s="137" t="s">
        <v>129</v>
      </c>
      <c r="J210" s="137" t="s">
        <v>129</v>
      </c>
      <c r="K210" s="137" t="s">
        <v>129</v>
      </c>
      <c r="L210" s="137" t="s">
        <v>129</v>
      </c>
      <c r="M210" s="141"/>
      <c r="N210" s="147"/>
    </row>
    <row r="211" hidden="1" outlineLevel="1">
      <c r="A211" s="367" t="s">
        <v>1681</v>
      </c>
      <c r="B211" s="344">
        <v>46101.0</v>
      </c>
      <c r="C211" s="133" t="str">
        <f t="shared" si="23"/>
        <v>Fri</v>
      </c>
      <c r="D211" s="136">
        <f t="shared" si="24"/>
        <v>1</v>
      </c>
      <c r="E211" s="137" t="s">
        <v>129</v>
      </c>
      <c r="F211" s="137" t="s">
        <v>129</v>
      </c>
      <c r="G211" s="137" t="s">
        <v>129</v>
      </c>
      <c r="H211" s="137" t="s">
        <v>129</v>
      </c>
      <c r="I211" s="137" t="s">
        <v>129</v>
      </c>
      <c r="J211" s="137" t="s">
        <v>129</v>
      </c>
      <c r="K211" s="137" t="s">
        <v>129</v>
      </c>
      <c r="L211" s="137" t="s">
        <v>129</v>
      </c>
      <c r="M211" s="141"/>
      <c r="N211" s="147"/>
    </row>
    <row r="212" hidden="1" outlineLevel="1">
      <c r="A212" s="367" t="s">
        <v>1682</v>
      </c>
      <c r="B212" s="344">
        <v>46101.0</v>
      </c>
      <c r="C212" s="133" t="str">
        <f t="shared" si="23"/>
        <v>Fri</v>
      </c>
      <c r="D212" s="136">
        <f t="shared" si="24"/>
        <v>1</v>
      </c>
      <c r="E212" s="137" t="s">
        <v>129</v>
      </c>
      <c r="F212" s="137" t="s">
        <v>129</v>
      </c>
      <c r="G212" s="137" t="s">
        <v>129</v>
      </c>
      <c r="H212" s="137" t="s">
        <v>129</v>
      </c>
      <c r="I212" s="137" t="s">
        <v>129</v>
      </c>
      <c r="J212" s="137" t="s">
        <v>129</v>
      </c>
      <c r="K212" s="137" t="s">
        <v>129</v>
      </c>
      <c r="L212" s="137" t="s">
        <v>129</v>
      </c>
      <c r="M212" s="141"/>
      <c r="N212" s="147"/>
    </row>
    <row r="213" hidden="1" outlineLevel="1">
      <c r="A213" s="219" t="s">
        <v>1683</v>
      </c>
      <c r="B213" s="344">
        <v>46102.0</v>
      </c>
      <c r="C213" s="133" t="str">
        <f t="shared" si="23"/>
        <v>Sat</v>
      </c>
      <c r="D213" s="136">
        <f t="shared" si="24"/>
        <v>0.7</v>
      </c>
      <c r="E213" s="137" t="s">
        <v>129</v>
      </c>
      <c r="F213" s="137" t="s">
        <v>129</v>
      </c>
      <c r="G213" s="137" t="s">
        <v>129</v>
      </c>
      <c r="H213" s="137" t="s">
        <v>129</v>
      </c>
      <c r="I213" s="137" t="s">
        <v>129</v>
      </c>
      <c r="J213" s="137" t="s">
        <v>129</v>
      </c>
      <c r="K213" s="137" t="s">
        <v>129</v>
      </c>
      <c r="L213" s="137" t="s">
        <v>174</v>
      </c>
      <c r="M213" s="141"/>
      <c r="N213" s="147" t="s">
        <v>1684</v>
      </c>
    </row>
    <row r="214" hidden="1" outlineLevel="1">
      <c r="A214" s="219" t="s">
        <v>1685</v>
      </c>
      <c r="B214" s="344">
        <v>46102.0</v>
      </c>
      <c r="C214" s="133" t="str">
        <f t="shared" si="23"/>
        <v>Sat</v>
      </c>
      <c r="D214" s="136">
        <f t="shared" si="24"/>
        <v>1</v>
      </c>
      <c r="E214" s="137" t="s">
        <v>129</v>
      </c>
      <c r="F214" s="137" t="s">
        <v>129</v>
      </c>
      <c r="G214" s="137" t="s">
        <v>129</v>
      </c>
      <c r="H214" s="137" t="s">
        <v>129</v>
      </c>
      <c r="I214" s="137" t="s">
        <v>129</v>
      </c>
      <c r="J214" s="137" t="s">
        <v>129</v>
      </c>
      <c r="K214" s="137" t="s">
        <v>129</v>
      </c>
      <c r="L214" s="137" t="s">
        <v>129</v>
      </c>
      <c r="M214" s="141"/>
      <c r="N214" s="143"/>
    </row>
    <row r="215" ht="15.0" hidden="1" customHeight="1" outlineLevel="1">
      <c r="A215" s="219" t="s">
        <v>1687</v>
      </c>
      <c r="B215" s="344">
        <v>46102.0</v>
      </c>
      <c r="C215" s="133" t="str">
        <f t="shared" si="23"/>
        <v>Sat</v>
      </c>
      <c r="D215" s="136">
        <f t="shared" si="24"/>
        <v>1</v>
      </c>
      <c r="E215" s="137" t="s">
        <v>129</v>
      </c>
      <c r="F215" s="137" t="s">
        <v>129</v>
      </c>
      <c r="G215" s="137" t="s">
        <v>129</v>
      </c>
      <c r="H215" s="137" t="s">
        <v>129</v>
      </c>
      <c r="I215" s="137" t="s">
        <v>129</v>
      </c>
      <c r="J215" s="137" t="s">
        <v>129</v>
      </c>
      <c r="K215" s="137" t="s">
        <v>129</v>
      </c>
      <c r="L215" s="137" t="s">
        <v>129</v>
      </c>
      <c r="M215" s="141"/>
      <c r="N215" s="147"/>
    </row>
    <row r="216" hidden="1" outlineLevel="1">
      <c r="B216" s="189"/>
      <c r="C216" s="191" t="s">
        <v>194</v>
      </c>
      <c r="D216" s="204">
        <f>AVERAGE(D201:D215)</f>
        <v>0.98</v>
      </c>
      <c r="E216" s="200"/>
      <c r="L216" s="191" t="s">
        <v>194</v>
      </c>
      <c r="M216" s="204">
        <f>SUM(M201:M215)/75*0.1</f>
        <v>0</v>
      </c>
    </row>
    <row r="217" hidden="1" collapsed="1">
      <c r="A217" s="206" t="s">
        <v>831</v>
      </c>
      <c r="B217" s="207"/>
      <c r="C217" s="207"/>
      <c r="D217" s="208"/>
      <c r="E217" s="109"/>
      <c r="F217" s="109"/>
      <c r="G217" s="110"/>
      <c r="H217" s="110"/>
      <c r="I217" s="110"/>
      <c r="J217" s="110"/>
      <c r="K217" s="110"/>
      <c r="L217" s="110"/>
      <c r="M217" s="111"/>
      <c r="N217" s="113"/>
    </row>
    <row r="218" hidden="1" outlineLevel="1">
      <c r="A218" s="373" t="s">
        <v>98</v>
      </c>
      <c r="B218" s="115" t="s">
        <v>100</v>
      </c>
      <c r="C218" s="115" t="s">
        <v>102</v>
      </c>
      <c r="D218" s="119" t="s">
        <v>103</v>
      </c>
      <c r="E218" s="275" t="s">
        <v>269</v>
      </c>
      <c r="F218" s="275" t="s">
        <v>272</v>
      </c>
      <c r="G218" s="276" t="s">
        <v>328</v>
      </c>
      <c r="H218" s="121" t="s">
        <v>107</v>
      </c>
      <c r="I218" s="121" t="s">
        <v>108</v>
      </c>
      <c r="J218" s="276" t="s">
        <v>329</v>
      </c>
      <c r="K218" s="121" t="s">
        <v>111</v>
      </c>
      <c r="L218" s="276" t="s">
        <v>274</v>
      </c>
      <c r="M218" s="115" t="s">
        <v>114</v>
      </c>
      <c r="N218" s="119" t="s">
        <v>115</v>
      </c>
    </row>
    <row r="219" hidden="1" outlineLevel="1">
      <c r="A219" s="367" t="s">
        <v>1690</v>
      </c>
      <c r="B219" s="344">
        <v>46104.0</v>
      </c>
      <c r="C219" s="133" t="str">
        <f t="shared" ref="C219:C233" si="25">IF(B219="", "", TEXT(B219, "ddd"))</f>
        <v>Mon</v>
      </c>
      <c r="D219" s="136">
        <f t="shared" ref="D219:D233" si="26">IF(E219="Yes",0.05,0)
+IF(F219="Yes",0.1,0)
+IF(G219="Yes",0.15,0)
+IF(H219="Yes",0.15,0)
+IF(I219="Yes",0.05,0)
+IF(J219="Yes",0.05,0)
+IF(K219="Yes",0.15,0)
+IF(L219="Yes",0.3,0)
</f>
        <v>1</v>
      </c>
      <c r="E219" s="137" t="s">
        <v>129</v>
      </c>
      <c r="F219" s="137" t="s">
        <v>129</v>
      </c>
      <c r="G219" s="137" t="s">
        <v>129</v>
      </c>
      <c r="H219" s="137" t="s">
        <v>129</v>
      </c>
      <c r="I219" s="137" t="s">
        <v>129</v>
      </c>
      <c r="J219" s="137" t="s">
        <v>129</v>
      </c>
      <c r="K219" s="137" t="s">
        <v>129</v>
      </c>
      <c r="L219" s="137" t="s">
        <v>129</v>
      </c>
      <c r="M219" s="141"/>
      <c r="N219" s="143"/>
    </row>
    <row r="220" hidden="1" outlineLevel="1">
      <c r="A220" s="367" t="s">
        <v>1693</v>
      </c>
      <c r="B220" s="344">
        <v>46104.0</v>
      </c>
      <c r="C220" s="133" t="str">
        <f t="shared" si="25"/>
        <v>Mon</v>
      </c>
      <c r="D220" s="136">
        <f t="shared" si="26"/>
        <v>1</v>
      </c>
      <c r="E220" s="137" t="s">
        <v>129</v>
      </c>
      <c r="F220" s="137" t="s">
        <v>129</v>
      </c>
      <c r="G220" s="137" t="s">
        <v>129</v>
      </c>
      <c r="H220" s="137" t="s">
        <v>129</v>
      </c>
      <c r="I220" s="137" t="s">
        <v>129</v>
      </c>
      <c r="J220" s="137" t="s">
        <v>129</v>
      </c>
      <c r="K220" s="137" t="s">
        <v>129</v>
      </c>
      <c r="L220" s="137" t="s">
        <v>129</v>
      </c>
      <c r="M220" s="141"/>
      <c r="N220" s="147"/>
    </row>
    <row r="221" hidden="1" outlineLevel="1">
      <c r="A221" s="367" t="s">
        <v>1695</v>
      </c>
      <c r="B221" s="344">
        <v>46104.0</v>
      </c>
      <c r="C221" s="133" t="str">
        <f t="shared" si="25"/>
        <v>Mon</v>
      </c>
      <c r="D221" s="136">
        <f t="shared" si="26"/>
        <v>1</v>
      </c>
      <c r="E221" s="137" t="s">
        <v>129</v>
      </c>
      <c r="F221" s="137" t="s">
        <v>129</v>
      </c>
      <c r="G221" s="137" t="s">
        <v>129</v>
      </c>
      <c r="H221" s="137" t="s">
        <v>129</v>
      </c>
      <c r="I221" s="137" t="s">
        <v>129</v>
      </c>
      <c r="J221" s="137" t="s">
        <v>129</v>
      </c>
      <c r="K221" s="137" t="s">
        <v>129</v>
      </c>
      <c r="L221" s="137" t="s">
        <v>129</v>
      </c>
      <c r="M221" s="141"/>
      <c r="N221" s="147"/>
    </row>
    <row r="222" hidden="1" outlineLevel="1">
      <c r="A222" s="367" t="s">
        <v>1696</v>
      </c>
      <c r="B222" s="344">
        <v>46106.0</v>
      </c>
      <c r="C222" s="133" t="str">
        <f t="shared" si="25"/>
        <v>Wed</v>
      </c>
      <c r="D222" s="136">
        <f t="shared" si="26"/>
        <v>1</v>
      </c>
      <c r="E222" s="137" t="s">
        <v>129</v>
      </c>
      <c r="F222" s="137" t="s">
        <v>129</v>
      </c>
      <c r="G222" s="137" t="s">
        <v>129</v>
      </c>
      <c r="H222" s="137" t="s">
        <v>129</v>
      </c>
      <c r="I222" s="137" t="s">
        <v>129</v>
      </c>
      <c r="J222" s="137" t="s">
        <v>129</v>
      </c>
      <c r="K222" s="137" t="s">
        <v>129</v>
      </c>
      <c r="L222" s="137" t="s">
        <v>129</v>
      </c>
      <c r="M222" s="141"/>
      <c r="N222" s="143"/>
    </row>
    <row r="223" hidden="1" outlineLevel="1">
      <c r="A223" s="367" t="s">
        <v>1698</v>
      </c>
      <c r="B223" s="344">
        <v>46106.0</v>
      </c>
      <c r="C223" s="133" t="str">
        <f t="shared" si="25"/>
        <v>Wed</v>
      </c>
      <c r="D223" s="136">
        <f t="shared" si="26"/>
        <v>1</v>
      </c>
      <c r="E223" s="137" t="s">
        <v>129</v>
      </c>
      <c r="F223" s="137" t="s">
        <v>129</v>
      </c>
      <c r="G223" s="137" t="s">
        <v>129</v>
      </c>
      <c r="H223" s="137" t="s">
        <v>129</v>
      </c>
      <c r="I223" s="137" t="s">
        <v>129</v>
      </c>
      <c r="J223" s="137" t="s">
        <v>129</v>
      </c>
      <c r="K223" s="137" t="s">
        <v>129</v>
      </c>
      <c r="L223" s="137" t="s">
        <v>129</v>
      </c>
      <c r="M223" s="141"/>
      <c r="N223" s="143"/>
    </row>
    <row r="224" hidden="1" outlineLevel="1">
      <c r="A224" s="367" t="s">
        <v>1700</v>
      </c>
      <c r="B224" s="344">
        <v>46106.0</v>
      </c>
      <c r="C224" s="133" t="str">
        <f t="shared" si="25"/>
        <v>Wed</v>
      </c>
      <c r="D224" s="136">
        <f t="shared" si="26"/>
        <v>1</v>
      </c>
      <c r="E224" s="137" t="s">
        <v>129</v>
      </c>
      <c r="F224" s="137" t="s">
        <v>129</v>
      </c>
      <c r="G224" s="137" t="s">
        <v>129</v>
      </c>
      <c r="H224" s="137" t="s">
        <v>129</v>
      </c>
      <c r="I224" s="137" t="s">
        <v>129</v>
      </c>
      <c r="J224" s="137" t="s">
        <v>129</v>
      </c>
      <c r="K224" s="137" t="s">
        <v>129</v>
      </c>
      <c r="L224" s="137" t="s">
        <v>129</v>
      </c>
      <c r="M224" s="141"/>
      <c r="N224" s="143"/>
    </row>
    <row r="225" hidden="1" outlineLevel="1">
      <c r="A225" s="367" t="s">
        <v>1701</v>
      </c>
      <c r="B225" s="344">
        <v>46107.0</v>
      </c>
      <c r="C225" s="133" t="str">
        <f t="shared" si="25"/>
        <v>Thu</v>
      </c>
      <c r="D225" s="136">
        <f t="shared" si="26"/>
        <v>1</v>
      </c>
      <c r="E225" s="137" t="s">
        <v>129</v>
      </c>
      <c r="F225" s="137" t="s">
        <v>129</v>
      </c>
      <c r="G225" s="137" t="s">
        <v>129</v>
      </c>
      <c r="H225" s="137" t="s">
        <v>129</v>
      </c>
      <c r="I225" s="137" t="s">
        <v>129</v>
      </c>
      <c r="J225" s="137" t="s">
        <v>129</v>
      </c>
      <c r="K225" s="137" t="s">
        <v>129</v>
      </c>
      <c r="L225" s="137" t="s">
        <v>129</v>
      </c>
      <c r="M225" s="141"/>
      <c r="N225" s="143"/>
    </row>
    <row r="226" hidden="1" outlineLevel="1">
      <c r="A226" s="367" t="s">
        <v>1702</v>
      </c>
      <c r="B226" s="344">
        <v>46107.0</v>
      </c>
      <c r="C226" s="133" t="str">
        <f t="shared" si="25"/>
        <v>Thu</v>
      </c>
      <c r="D226" s="136">
        <f t="shared" si="26"/>
        <v>1</v>
      </c>
      <c r="E226" s="137" t="s">
        <v>129</v>
      </c>
      <c r="F226" s="137" t="s">
        <v>129</v>
      </c>
      <c r="G226" s="137" t="s">
        <v>129</v>
      </c>
      <c r="H226" s="137" t="s">
        <v>129</v>
      </c>
      <c r="I226" s="137" t="s">
        <v>129</v>
      </c>
      <c r="J226" s="137" t="s">
        <v>129</v>
      </c>
      <c r="K226" s="137" t="s">
        <v>129</v>
      </c>
      <c r="L226" s="137" t="s">
        <v>129</v>
      </c>
      <c r="M226" s="141"/>
      <c r="N226" s="147"/>
    </row>
    <row r="227" hidden="1" outlineLevel="1">
      <c r="A227" s="367" t="s">
        <v>1703</v>
      </c>
      <c r="B227" s="344">
        <v>46107.0</v>
      </c>
      <c r="C227" s="133" t="str">
        <f t="shared" si="25"/>
        <v>Thu</v>
      </c>
      <c r="D227" s="136">
        <f t="shared" si="26"/>
        <v>1</v>
      </c>
      <c r="E227" s="137" t="s">
        <v>129</v>
      </c>
      <c r="F227" s="137" t="s">
        <v>129</v>
      </c>
      <c r="G227" s="137" t="s">
        <v>129</v>
      </c>
      <c r="H227" s="137" t="s">
        <v>129</v>
      </c>
      <c r="I227" s="137" t="s">
        <v>129</v>
      </c>
      <c r="J227" s="137" t="s">
        <v>129</v>
      </c>
      <c r="K227" s="137" t="s">
        <v>129</v>
      </c>
      <c r="L227" s="137" t="s">
        <v>129</v>
      </c>
      <c r="M227" s="141"/>
      <c r="N227" s="143"/>
    </row>
    <row r="228" hidden="1" outlineLevel="1">
      <c r="A228" s="367" t="s">
        <v>1706</v>
      </c>
      <c r="B228" s="344">
        <v>46108.0</v>
      </c>
      <c r="C228" s="133" t="str">
        <f t="shared" si="25"/>
        <v>Fri</v>
      </c>
      <c r="D228" s="136">
        <f t="shared" si="26"/>
        <v>1</v>
      </c>
      <c r="E228" s="137" t="s">
        <v>129</v>
      </c>
      <c r="F228" s="137" t="s">
        <v>129</v>
      </c>
      <c r="G228" s="137" t="s">
        <v>129</v>
      </c>
      <c r="H228" s="137" t="s">
        <v>129</v>
      </c>
      <c r="I228" s="137" t="s">
        <v>129</v>
      </c>
      <c r="J228" s="137" t="s">
        <v>129</v>
      </c>
      <c r="K228" s="137" t="s">
        <v>129</v>
      </c>
      <c r="L228" s="137" t="s">
        <v>129</v>
      </c>
      <c r="M228" s="141"/>
      <c r="N228" s="147"/>
    </row>
    <row r="229" hidden="1" outlineLevel="1">
      <c r="A229" s="426" t="s">
        <v>1708</v>
      </c>
      <c r="B229" s="344">
        <v>46108.0</v>
      </c>
      <c r="C229" s="133" t="str">
        <f t="shared" si="25"/>
        <v>Fri</v>
      </c>
      <c r="D229" s="136">
        <f t="shared" si="26"/>
        <v>1</v>
      </c>
      <c r="E229" s="137" t="s">
        <v>129</v>
      </c>
      <c r="F229" s="137" t="s">
        <v>129</v>
      </c>
      <c r="G229" s="137" t="s">
        <v>129</v>
      </c>
      <c r="H229" s="137" t="s">
        <v>129</v>
      </c>
      <c r="I229" s="137" t="s">
        <v>129</v>
      </c>
      <c r="J229" s="137" t="s">
        <v>129</v>
      </c>
      <c r="K229" s="137" t="s">
        <v>129</v>
      </c>
      <c r="L229" s="137" t="s">
        <v>129</v>
      </c>
      <c r="M229" s="141"/>
      <c r="N229" s="147"/>
    </row>
    <row r="230" hidden="1" outlineLevel="1">
      <c r="A230" s="367" t="s">
        <v>1710</v>
      </c>
      <c r="B230" s="344">
        <v>46108.0</v>
      </c>
      <c r="C230" s="133" t="str">
        <f t="shared" si="25"/>
        <v>Fri</v>
      </c>
      <c r="D230" s="136">
        <f t="shared" si="26"/>
        <v>1</v>
      </c>
      <c r="E230" s="137" t="s">
        <v>129</v>
      </c>
      <c r="F230" s="137" t="s">
        <v>129</v>
      </c>
      <c r="G230" s="137" t="s">
        <v>129</v>
      </c>
      <c r="H230" s="137" t="s">
        <v>129</v>
      </c>
      <c r="I230" s="137" t="s">
        <v>129</v>
      </c>
      <c r="J230" s="137" t="s">
        <v>129</v>
      </c>
      <c r="K230" s="137" t="s">
        <v>129</v>
      </c>
      <c r="L230" s="137" t="s">
        <v>129</v>
      </c>
      <c r="M230" s="141"/>
      <c r="N230" s="147"/>
    </row>
    <row r="231" hidden="1" outlineLevel="1">
      <c r="A231" s="367" t="s">
        <v>1711</v>
      </c>
      <c r="B231" s="344">
        <v>46109.0</v>
      </c>
      <c r="C231" s="133" t="str">
        <f t="shared" si="25"/>
        <v>Sat</v>
      </c>
      <c r="D231" s="136">
        <f t="shared" si="26"/>
        <v>1</v>
      </c>
      <c r="E231" s="137" t="s">
        <v>129</v>
      </c>
      <c r="F231" s="137" t="s">
        <v>129</v>
      </c>
      <c r="G231" s="137" t="s">
        <v>129</v>
      </c>
      <c r="H231" s="137" t="s">
        <v>129</v>
      </c>
      <c r="I231" s="137" t="s">
        <v>129</v>
      </c>
      <c r="J231" s="137" t="s">
        <v>129</v>
      </c>
      <c r="K231" s="137" t="s">
        <v>129</v>
      </c>
      <c r="L231" s="137" t="s">
        <v>129</v>
      </c>
      <c r="M231" s="141"/>
      <c r="N231" s="143"/>
    </row>
    <row r="232" hidden="1" outlineLevel="1">
      <c r="A232" s="367" t="s">
        <v>1713</v>
      </c>
      <c r="B232" s="344">
        <v>46109.0</v>
      </c>
      <c r="C232" s="133" t="str">
        <f t="shared" si="25"/>
        <v>Sat</v>
      </c>
      <c r="D232" s="136">
        <f t="shared" si="26"/>
        <v>1</v>
      </c>
      <c r="E232" s="137" t="s">
        <v>129</v>
      </c>
      <c r="F232" s="137" t="s">
        <v>129</v>
      </c>
      <c r="G232" s="137" t="s">
        <v>129</v>
      </c>
      <c r="H232" s="137" t="s">
        <v>129</v>
      </c>
      <c r="I232" s="137" t="s">
        <v>129</v>
      </c>
      <c r="J232" s="137" t="s">
        <v>129</v>
      </c>
      <c r="K232" s="137" t="s">
        <v>129</v>
      </c>
      <c r="L232" s="137" t="s">
        <v>129</v>
      </c>
      <c r="M232" s="141"/>
      <c r="N232" s="143"/>
    </row>
    <row r="233" ht="15.0" hidden="1" customHeight="1" outlineLevel="1">
      <c r="A233" s="367" t="s">
        <v>1715</v>
      </c>
      <c r="B233" s="344">
        <v>46109.0</v>
      </c>
      <c r="C233" s="133" t="str">
        <f t="shared" si="25"/>
        <v>Sat</v>
      </c>
      <c r="D233" s="136">
        <f t="shared" si="26"/>
        <v>1</v>
      </c>
      <c r="E233" s="137" t="s">
        <v>129</v>
      </c>
      <c r="F233" s="137" t="s">
        <v>129</v>
      </c>
      <c r="G233" s="137" t="s">
        <v>129</v>
      </c>
      <c r="H233" s="137" t="s">
        <v>129</v>
      </c>
      <c r="I233" s="137" t="s">
        <v>129</v>
      </c>
      <c r="J233" s="137" t="s">
        <v>129</v>
      </c>
      <c r="K233" s="137" t="s">
        <v>129</v>
      </c>
      <c r="L233" s="137" t="s">
        <v>129</v>
      </c>
      <c r="M233" s="141"/>
      <c r="N233" s="147"/>
    </row>
    <row r="234" hidden="1" outlineLevel="1">
      <c r="B234" s="189"/>
      <c r="C234" s="191" t="s">
        <v>194</v>
      </c>
      <c r="D234" s="204">
        <f>AVERAGE(D219:D233)</f>
        <v>1</v>
      </c>
      <c r="E234" s="200"/>
      <c r="L234" s="191" t="s">
        <v>194</v>
      </c>
      <c r="M234" s="204">
        <f>SUM(M219:M233)/75*0.1</f>
        <v>0</v>
      </c>
    </row>
    <row r="235" hidden="1" collapsed="1">
      <c r="A235" s="206" t="s">
        <v>858</v>
      </c>
      <c r="B235" s="207"/>
      <c r="C235" s="207"/>
      <c r="D235" s="208"/>
      <c r="E235" s="109"/>
      <c r="F235" s="109"/>
      <c r="G235" s="110"/>
      <c r="H235" s="110"/>
      <c r="I235" s="110"/>
      <c r="J235" s="110"/>
      <c r="K235" s="110"/>
      <c r="L235" s="110"/>
      <c r="M235" s="111"/>
      <c r="N235" s="113"/>
    </row>
    <row r="236" hidden="1" outlineLevel="1">
      <c r="A236" s="373" t="s">
        <v>98</v>
      </c>
      <c r="B236" s="115" t="s">
        <v>100</v>
      </c>
      <c r="C236" s="115" t="s">
        <v>102</v>
      </c>
      <c r="D236" s="119" t="s">
        <v>103</v>
      </c>
      <c r="E236" s="275" t="s">
        <v>269</v>
      </c>
      <c r="F236" s="275" t="s">
        <v>272</v>
      </c>
      <c r="G236" s="276" t="s">
        <v>328</v>
      </c>
      <c r="H236" s="121" t="s">
        <v>107</v>
      </c>
      <c r="I236" s="121" t="s">
        <v>108</v>
      </c>
      <c r="J236" s="276" t="s">
        <v>329</v>
      </c>
      <c r="K236" s="121" t="s">
        <v>111</v>
      </c>
      <c r="L236" s="276" t="s">
        <v>274</v>
      </c>
      <c r="M236" s="115" t="s">
        <v>114</v>
      </c>
      <c r="N236" s="119" t="s">
        <v>115</v>
      </c>
    </row>
    <row r="237" hidden="1" outlineLevel="1">
      <c r="A237" s="367" t="s">
        <v>1718</v>
      </c>
      <c r="B237" s="344">
        <v>46113.0</v>
      </c>
      <c r="C237" s="133" t="str">
        <f t="shared" ref="C237:C251" si="27">IF(B237="", "", TEXT(B237, "ddd"))</f>
        <v>Wed</v>
      </c>
      <c r="D237" s="136">
        <f t="shared" ref="D237:D251" si="28">IF(E237="Yes",0.05,0)
+IF(F237="Yes",0.1,0)
+IF(G237="Yes",0.15,0)
+IF(H237="Yes",0.15,0)
+IF(I237="Yes",0.05,0)
+IF(J237="Yes",0.05,0)
+IF(K237="Yes",0.15,0)
+IF(L237="Yes",0.3,0)
</f>
        <v>1</v>
      </c>
      <c r="E237" s="137" t="s">
        <v>129</v>
      </c>
      <c r="F237" s="137" t="s">
        <v>129</v>
      </c>
      <c r="G237" s="137" t="s">
        <v>129</v>
      </c>
      <c r="H237" s="137" t="s">
        <v>129</v>
      </c>
      <c r="I237" s="137" t="s">
        <v>129</v>
      </c>
      <c r="J237" s="137" t="s">
        <v>129</v>
      </c>
      <c r="K237" s="137" t="s">
        <v>129</v>
      </c>
      <c r="L237" s="137" t="s">
        <v>129</v>
      </c>
      <c r="M237" s="141"/>
      <c r="N237" s="143"/>
    </row>
    <row r="238" hidden="1" outlineLevel="1">
      <c r="A238" s="367" t="s">
        <v>1720</v>
      </c>
      <c r="B238" s="344">
        <v>46113.0</v>
      </c>
      <c r="C238" s="133" t="str">
        <f t="shared" si="27"/>
        <v>Wed</v>
      </c>
      <c r="D238" s="136">
        <f t="shared" si="28"/>
        <v>1</v>
      </c>
      <c r="E238" s="137" t="s">
        <v>129</v>
      </c>
      <c r="F238" s="137" t="s">
        <v>129</v>
      </c>
      <c r="G238" s="137" t="s">
        <v>129</v>
      </c>
      <c r="H238" s="137" t="s">
        <v>129</v>
      </c>
      <c r="I238" s="137" t="s">
        <v>129</v>
      </c>
      <c r="J238" s="137" t="s">
        <v>129</v>
      </c>
      <c r="K238" s="137" t="s">
        <v>129</v>
      </c>
      <c r="L238" s="137" t="s">
        <v>129</v>
      </c>
      <c r="M238" s="141"/>
      <c r="N238" s="147"/>
    </row>
    <row r="239" hidden="1" outlineLevel="1">
      <c r="A239" s="426" t="s">
        <v>1722</v>
      </c>
      <c r="B239" s="344">
        <v>46113.0</v>
      </c>
      <c r="C239" s="133" t="str">
        <f t="shared" si="27"/>
        <v>Wed</v>
      </c>
      <c r="D239" s="136">
        <f t="shared" si="28"/>
        <v>1</v>
      </c>
      <c r="E239" s="137" t="s">
        <v>129</v>
      </c>
      <c r="F239" s="137" t="s">
        <v>129</v>
      </c>
      <c r="G239" s="137" t="s">
        <v>129</v>
      </c>
      <c r="H239" s="137" t="s">
        <v>129</v>
      </c>
      <c r="I239" s="137" t="s">
        <v>129</v>
      </c>
      <c r="J239" s="137" t="s">
        <v>129</v>
      </c>
      <c r="K239" s="137" t="s">
        <v>129</v>
      </c>
      <c r="L239" s="137" t="s">
        <v>129</v>
      </c>
      <c r="M239" s="141"/>
      <c r="N239" s="147"/>
    </row>
    <row r="240" hidden="1" outlineLevel="1">
      <c r="A240" s="367" t="s">
        <v>1724</v>
      </c>
      <c r="B240" s="344">
        <v>46114.0</v>
      </c>
      <c r="C240" s="133" t="str">
        <f t="shared" si="27"/>
        <v>Thu</v>
      </c>
      <c r="D240" s="136">
        <f t="shared" si="28"/>
        <v>1</v>
      </c>
      <c r="E240" s="137" t="s">
        <v>129</v>
      </c>
      <c r="F240" s="137" t="s">
        <v>129</v>
      </c>
      <c r="G240" s="137" t="s">
        <v>129</v>
      </c>
      <c r="H240" s="137" t="s">
        <v>129</v>
      </c>
      <c r="I240" s="137" t="s">
        <v>129</v>
      </c>
      <c r="J240" s="137" t="s">
        <v>129</v>
      </c>
      <c r="K240" s="137" t="s">
        <v>129</v>
      </c>
      <c r="L240" s="137" t="s">
        <v>129</v>
      </c>
      <c r="M240" s="141"/>
      <c r="N240" s="143"/>
    </row>
    <row r="241" hidden="1" outlineLevel="1">
      <c r="A241" s="367" t="s">
        <v>1727</v>
      </c>
      <c r="B241" s="344">
        <v>46114.0</v>
      </c>
      <c r="C241" s="133" t="str">
        <f t="shared" si="27"/>
        <v>Thu</v>
      </c>
      <c r="D241" s="136">
        <f t="shared" si="28"/>
        <v>1</v>
      </c>
      <c r="E241" s="137" t="s">
        <v>129</v>
      </c>
      <c r="F241" s="137" t="s">
        <v>129</v>
      </c>
      <c r="G241" s="137" t="s">
        <v>129</v>
      </c>
      <c r="H241" s="137" t="s">
        <v>129</v>
      </c>
      <c r="I241" s="137" t="s">
        <v>129</v>
      </c>
      <c r="J241" s="137" t="s">
        <v>129</v>
      </c>
      <c r="K241" s="137" t="s">
        <v>129</v>
      </c>
      <c r="L241" s="137" t="s">
        <v>129</v>
      </c>
      <c r="M241" s="141"/>
      <c r="N241" s="143"/>
    </row>
    <row r="242" hidden="1" outlineLevel="1">
      <c r="A242" s="367" t="s">
        <v>1729</v>
      </c>
      <c r="B242" s="344">
        <v>46114.0</v>
      </c>
      <c r="C242" s="133" t="str">
        <f t="shared" si="27"/>
        <v>Thu</v>
      </c>
      <c r="D242" s="136">
        <f t="shared" si="28"/>
        <v>1</v>
      </c>
      <c r="E242" s="137" t="s">
        <v>129</v>
      </c>
      <c r="F242" s="137" t="s">
        <v>129</v>
      </c>
      <c r="G242" s="137" t="s">
        <v>129</v>
      </c>
      <c r="H242" s="137" t="s">
        <v>129</v>
      </c>
      <c r="I242" s="137" t="s">
        <v>129</v>
      </c>
      <c r="J242" s="137" t="s">
        <v>129</v>
      </c>
      <c r="K242" s="137" t="s">
        <v>129</v>
      </c>
      <c r="L242" s="137" t="s">
        <v>129</v>
      </c>
      <c r="M242" s="141"/>
      <c r="N242" s="143"/>
    </row>
    <row r="243" hidden="1" outlineLevel="1">
      <c r="A243" s="367" t="s">
        <v>1730</v>
      </c>
      <c r="B243" s="344">
        <v>46115.0</v>
      </c>
      <c r="C243" s="133" t="str">
        <f t="shared" si="27"/>
        <v>Fri</v>
      </c>
      <c r="D243" s="136">
        <f t="shared" si="28"/>
        <v>1</v>
      </c>
      <c r="E243" s="137" t="s">
        <v>129</v>
      </c>
      <c r="F243" s="137" t="s">
        <v>129</v>
      </c>
      <c r="G243" s="137" t="s">
        <v>129</v>
      </c>
      <c r="H243" s="137" t="s">
        <v>129</v>
      </c>
      <c r="I243" s="137" t="s">
        <v>129</v>
      </c>
      <c r="J243" s="137" t="s">
        <v>129</v>
      </c>
      <c r="K243" s="137" t="s">
        <v>129</v>
      </c>
      <c r="L243" s="137" t="s">
        <v>129</v>
      </c>
      <c r="M243" s="141"/>
      <c r="N243" s="143"/>
    </row>
    <row r="244" hidden="1" outlineLevel="1">
      <c r="A244" s="367" t="s">
        <v>1731</v>
      </c>
      <c r="B244" s="344">
        <v>46115.0</v>
      </c>
      <c r="C244" s="133" t="str">
        <f t="shared" si="27"/>
        <v>Fri</v>
      </c>
      <c r="D244" s="136">
        <f t="shared" si="28"/>
        <v>1</v>
      </c>
      <c r="E244" s="137" t="s">
        <v>129</v>
      </c>
      <c r="F244" s="137" t="s">
        <v>129</v>
      </c>
      <c r="G244" s="137" t="s">
        <v>129</v>
      </c>
      <c r="H244" s="137" t="s">
        <v>129</v>
      </c>
      <c r="I244" s="137" t="s">
        <v>129</v>
      </c>
      <c r="J244" s="137" t="s">
        <v>129</v>
      </c>
      <c r="K244" s="137" t="s">
        <v>129</v>
      </c>
      <c r="L244" s="137" t="s">
        <v>129</v>
      </c>
      <c r="M244" s="141"/>
      <c r="N244" s="147"/>
    </row>
    <row r="245" hidden="1" outlineLevel="1">
      <c r="A245" s="367" t="s">
        <v>1732</v>
      </c>
      <c r="B245" s="344">
        <v>46115.0</v>
      </c>
      <c r="C245" s="133" t="str">
        <f t="shared" si="27"/>
        <v>Fri</v>
      </c>
      <c r="D245" s="136">
        <f t="shared" si="28"/>
        <v>1</v>
      </c>
      <c r="E245" s="137" t="s">
        <v>129</v>
      </c>
      <c r="F245" s="137" t="s">
        <v>129</v>
      </c>
      <c r="G245" s="137" t="s">
        <v>129</v>
      </c>
      <c r="H245" s="137" t="s">
        <v>129</v>
      </c>
      <c r="I245" s="137" t="s">
        <v>129</v>
      </c>
      <c r="J245" s="137" t="s">
        <v>129</v>
      </c>
      <c r="K245" s="137" t="s">
        <v>129</v>
      </c>
      <c r="L245" s="137" t="s">
        <v>129</v>
      </c>
      <c r="M245" s="141"/>
      <c r="N245" s="143"/>
    </row>
    <row r="246" hidden="1" outlineLevel="1">
      <c r="A246" s="367" t="s">
        <v>1734</v>
      </c>
      <c r="B246" s="344">
        <v>46116.0</v>
      </c>
      <c r="C246" s="133" t="str">
        <f t="shared" si="27"/>
        <v>Sat</v>
      </c>
      <c r="D246" s="136">
        <f t="shared" si="28"/>
        <v>1</v>
      </c>
      <c r="E246" s="137" t="s">
        <v>129</v>
      </c>
      <c r="F246" s="137" t="s">
        <v>129</v>
      </c>
      <c r="G246" s="137" t="s">
        <v>129</v>
      </c>
      <c r="H246" s="137" t="s">
        <v>129</v>
      </c>
      <c r="I246" s="137" t="s">
        <v>129</v>
      </c>
      <c r="J246" s="137" t="s">
        <v>129</v>
      </c>
      <c r="K246" s="137" t="s">
        <v>129</v>
      </c>
      <c r="L246" s="137" t="s">
        <v>129</v>
      </c>
      <c r="M246" s="141"/>
      <c r="N246" s="147"/>
    </row>
    <row r="247" hidden="1" outlineLevel="1">
      <c r="A247" s="367" t="s">
        <v>1736</v>
      </c>
      <c r="B247" s="344">
        <v>46116.0</v>
      </c>
      <c r="C247" s="133" t="str">
        <f t="shared" si="27"/>
        <v>Sat</v>
      </c>
      <c r="D247" s="136">
        <f t="shared" si="28"/>
        <v>1</v>
      </c>
      <c r="E247" s="137" t="s">
        <v>129</v>
      </c>
      <c r="F247" s="137" t="s">
        <v>129</v>
      </c>
      <c r="G247" s="137" t="s">
        <v>129</v>
      </c>
      <c r="H247" s="137" t="s">
        <v>129</v>
      </c>
      <c r="I247" s="137" t="s">
        <v>129</v>
      </c>
      <c r="J247" s="137" t="s">
        <v>129</v>
      </c>
      <c r="K247" s="137" t="s">
        <v>129</v>
      </c>
      <c r="L247" s="137" t="s">
        <v>129</v>
      </c>
      <c r="M247" s="141"/>
      <c r="N247" s="147"/>
    </row>
    <row r="248" hidden="1" outlineLevel="1">
      <c r="A248" s="367" t="s">
        <v>1738</v>
      </c>
      <c r="B248" s="344">
        <v>46116.0</v>
      </c>
      <c r="C248" s="133" t="str">
        <f t="shared" si="27"/>
        <v>Sat</v>
      </c>
      <c r="D248" s="136">
        <f t="shared" si="28"/>
        <v>1</v>
      </c>
      <c r="E248" s="137" t="s">
        <v>129</v>
      </c>
      <c r="F248" s="137" t="s">
        <v>129</v>
      </c>
      <c r="G248" s="137" t="s">
        <v>129</v>
      </c>
      <c r="H248" s="137" t="s">
        <v>129</v>
      </c>
      <c r="I248" s="137" t="s">
        <v>129</v>
      </c>
      <c r="J248" s="137" t="s">
        <v>129</v>
      </c>
      <c r="K248" s="137" t="s">
        <v>129</v>
      </c>
      <c r="L248" s="137" t="s">
        <v>129</v>
      </c>
      <c r="M248" s="141"/>
      <c r="N248" s="147"/>
    </row>
    <row r="249" hidden="1" outlineLevel="1">
      <c r="A249" s="367" t="s">
        <v>1740</v>
      </c>
      <c r="B249" s="344">
        <v>46117.0</v>
      </c>
      <c r="C249" s="133" t="str">
        <f t="shared" si="27"/>
        <v>Sun</v>
      </c>
      <c r="D249" s="136">
        <f t="shared" si="28"/>
        <v>1</v>
      </c>
      <c r="E249" s="137" t="s">
        <v>129</v>
      </c>
      <c r="F249" s="137" t="s">
        <v>129</v>
      </c>
      <c r="G249" s="137" t="s">
        <v>129</v>
      </c>
      <c r="H249" s="137" t="s">
        <v>129</v>
      </c>
      <c r="I249" s="137" t="s">
        <v>129</v>
      </c>
      <c r="J249" s="137" t="s">
        <v>129</v>
      </c>
      <c r="K249" s="137" t="s">
        <v>129</v>
      </c>
      <c r="L249" s="137" t="s">
        <v>129</v>
      </c>
      <c r="M249" s="141"/>
      <c r="N249" s="143"/>
    </row>
    <row r="250" hidden="1" outlineLevel="1">
      <c r="A250" s="367" t="s">
        <v>1742</v>
      </c>
      <c r="B250" s="344">
        <v>46117.0</v>
      </c>
      <c r="C250" s="133" t="str">
        <f t="shared" si="27"/>
        <v>Sun</v>
      </c>
      <c r="D250" s="136">
        <f t="shared" si="28"/>
        <v>1</v>
      </c>
      <c r="E250" s="137" t="s">
        <v>129</v>
      </c>
      <c r="F250" s="137" t="s">
        <v>129</v>
      </c>
      <c r="G250" s="137" t="s">
        <v>129</v>
      </c>
      <c r="H250" s="137" t="s">
        <v>129</v>
      </c>
      <c r="I250" s="137" t="s">
        <v>129</v>
      </c>
      <c r="J250" s="137" t="s">
        <v>129</v>
      </c>
      <c r="K250" s="137" t="s">
        <v>129</v>
      </c>
      <c r="L250" s="137" t="s">
        <v>129</v>
      </c>
      <c r="M250" s="141"/>
      <c r="N250" s="143"/>
    </row>
    <row r="251" ht="15.0" hidden="1" customHeight="1" outlineLevel="1">
      <c r="A251" s="367" t="s">
        <v>1743</v>
      </c>
      <c r="B251" s="344">
        <v>46117.0</v>
      </c>
      <c r="C251" s="133" t="str">
        <f t="shared" si="27"/>
        <v>Sun</v>
      </c>
      <c r="D251" s="136">
        <f t="shared" si="28"/>
        <v>0.55</v>
      </c>
      <c r="E251" s="137" t="s">
        <v>129</v>
      </c>
      <c r="F251" s="137" t="s">
        <v>129</v>
      </c>
      <c r="G251" s="137" t="s">
        <v>129</v>
      </c>
      <c r="H251" s="137" t="s">
        <v>129</v>
      </c>
      <c r="I251" s="137" t="s">
        <v>129</v>
      </c>
      <c r="J251" s="137" t="s">
        <v>129</v>
      </c>
      <c r="K251" s="137" t="s">
        <v>174</v>
      </c>
      <c r="L251" s="137" t="s">
        <v>174</v>
      </c>
      <c r="M251" s="141"/>
      <c r="N251" s="147" t="s">
        <v>1744</v>
      </c>
    </row>
    <row r="252" hidden="1" outlineLevel="1">
      <c r="B252" s="189"/>
      <c r="C252" s="191" t="s">
        <v>194</v>
      </c>
      <c r="D252" s="204">
        <f>AVERAGE(D237:D251)</f>
        <v>0.97</v>
      </c>
      <c r="E252" s="200"/>
      <c r="L252" s="191" t="s">
        <v>194</v>
      </c>
      <c r="M252" s="204">
        <f>SUM(M237:M251)/75*0.1</f>
        <v>0</v>
      </c>
    </row>
    <row r="253" hidden="1" collapsed="1">
      <c r="A253" s="206" t="s">
        <v>886</v>
      </c>
      <c r="B253" s="207"/>
      <c r="C253" s="207"/>
      <c r="D253" s="208"/>
      <c r="E253" s="109"/>
      <c r="F253" s="109"/>
      <c r="G253" s="110"/>
      <c r="H253" s="110"/>
      <c r="I253" s="110"/>
      <c r="J253" s="110"/>
      <c r="K253" s="110"/>
      <c r="L253" s="110"/>
      <c r="M253" s="111"/>
      <c r="N253" s="113"/>
    </row>
    <row r="254" hidden="1" outlineLevel="1">
      <c r="A254" s="373" t="s">
        <v>98</v>
      </c>
      <c r="B254" s="115" t="s">
        <v>100</v>
      </c>
      <c r="C254" s="115" t="s">
        <v>102</v>
      </c>
      <c r="D254" s="119" t="s">
        <v>103</v>
      </c>
      <c r="E254" s="275" t="s">
        <v>269</v>
      </c>
      <c r="F254" s="275" t="s">
        <v>272</v>
      </c>
      <c r="G254" s="276" t="s">
        <v>328</v>
      </c>
      <c r="H254" s="121" t="s">
        <v>107</v>
      </c>
      <c r="I254" s="121" t="s">
        <v>108</v>
      </c>
      <c r="J254" s="276" t="s">
        <v>329</v>
      </c>
      <c r="K254" s="121" t="s">
        <v>111</v>
      </c>
      <c r="L254" s="276" t="s">
        <v>274</v>
      </c>
      <c r="M254" s="115" t="s">
        <v>114</v>
      </c>
      <c r="N254" s="119" t="s">
        <v>115</v>
      </c>
    </row>
    <row r="255" hidden="1" outlineLevel="1">
      <c r="A255" s="367" t="s">
        <v>1746</v>
      </c>
      <c r="B255" s="344">
        <v>46118.0</v>
      </c>
      <c r="C255" s="133" t="str">
        <f t="shared" ref="C255:C269" si="29">IF(B255="", "", TEXT(B255, "ddd"))</f>
        <v>Mon</v>
      </c>
      <c r="D255" s="136">
        <f t="shared" ref="D255:D269" si="30">IF(E255="Yes",0.05,0)
+IF(F255="Yes",0.1,0)
+IF(G255="Yes",0.15,0)
+IF(H255="Yes",0.15,0)
+IF(I255="Yes",0.05,0)
+IF(J255="Yes",0.05,0)
+IF(K255="Yes",0.15,0)
+IF(L255="Yes",0.3,0)
</f>
        <v>1</v>
      </c>
      <c r="E255" s="137" t="s">
        <v>129</v>
      </c>
      <c r="F255" s="137" t="s">
        <v>129</v>
      </c>
      <c r="G255" s="137" t="s">
        <v>129</v>
      </c>
      <c r="H255" s="137" t="s">
        <v>129</v>
      </c>
      <c r="I255" s="137" t="s">
        <v>129</v>
      </c>
      <c r="J255" s="137" t="s">
        <v>129</v>
      </c>
      <c r="K255" s="137" t="s">
        <v>129</v>
      </c>
      <c r="L255" s="137" t="s">
        <v>129</v>
      </c>
      <c r="M255" s="141"/>
      <c r="N255" s="143"/>
    </row>
    <row r="256" hidden="1" outlineLevel="1">
      <c r="A256" s="367" t="s">
        <v>1748</v>
      </c>
      <c r="B256" s="344">
        <v>46118.0</v>
      </c>
      <c r="C256" s="133" t="str">
        <f t="shared" si="29"/>
        <v>Mon</v>
      </c>
      <c r="D256" s="136">
        <f t="shared" si="30"/>
        <v>1</v>
      </c>
      <c r="E256" s="137" t="s">
        <v>129</v>
      </c>
      <c r="F256" s="137" t="s">
        <v>129</v>
      </c>
      <c r="G256" s="137" t="s">
        <v>129</v>
      </c>
      <c r="H256" s="137" t="s">
        <v>129</v>
      </c>
      <c r="I256" s="137" t="s">
        <v>129</v>
      </c>
      <c r="J256" s="137" t="s">
        <v>129</v>
      </c>
      <c r="K256" s="137" t="s">
        <v>129</v>
      </c>
      <c r="L256" s="137" t="s">
        <v>129</v>
      </c>
      <c r="M256" s="141"/>
      <c r="N256" s="147"/>
    </row>
    <row r="257" hidden="1" outlineLevel="1">
      <c r="A257" s="367" t="s">
        <v>1749</v>
      </c>
      <c r="B257" s="344">
        <v>46118.0</v>
      </c>
      <c r="C257" s="133" t="str">
        <f t="shared" si="29"/>
        <v>Mon</v>
      </c>
      <c r="D257" s="136">
        <f t="shared" si="30"/>
        <v>1</v>
      </c>
      <c r="E257" s="137" t="s">
        <v>129</v>
      </c>
      <c r="F257" s="137" t="s">
        <v>129</v>
      </c>
      <c r="G257" s="137" t="s">
        <v>129</v>
      </c>
      <c r="H257" s="137" t="s">
        <v>129</v>
      </c>
      <c r="I257" s="137" t="s">
        <v>129</v>
      </c>
      <c r="J257" s="137" t="s">
        <v>129</v>
      </c>
      <c r="K257" s="137" t="s">
        <v>129</v>
      </c>
      <c r="L257" s="137" t="s">
        <v>129</v>
      </c>
      <c r="M257" s="141"/>
      <c r="N257" s="147"/>
    </row>
    <row r="258" hidden="1" outlineLevel="1">
      <c r="A258" s="367" t="s">
        <v>1750</v>
      </c>
      <c r="B258" s="344">
        <v>46120.0</v>
      </c>
      <c r="C258" s="133" t="str">
        <f t="shared" si="29"/>
        <v>Wed</v>
      </c>
      <c r="D258" s="136">
        <f t="shared" si="30"/>
        <v>1</v>
      </c>
      <c r="E258" s="137" t="s">
        <v>129</v>
      </c>
      <c r="F258" s="137" t="s">
        <v>129</v>
      </c>
      <c r="G258" s="137" t="s">
        <v>129</v>
      </c>
      <c r="H258" s="137" t="s">
        <v>129</v>
      </c>
      <c r="I258" s="137" t="s">
        <v>129</v>
      </c>
      <c r="J258" s="137" t="s">
        <v>129</v>
      </c>
      <c r="K258" s="137" t="s">
        <v>129</v>
      </c>
      <c r="L258" s="137" t="s">
        <v>129</v>
      </c>
      <c r="M258" s="141"/>
      <c r="N258" s="143"/>
    </row>
    <row r="259" hidden="1" outlineLevel="1">
      <c r="A259" s="367" t="s">
        <v>1751</v>
      </c>
      <c r="B259" s="344">
        <v>46120.0</v>
      </c>
      <c r="C259" s="133" t="str">
        <f t="shared" si="29"/>
        <v>Wed</v>
      </c>
      <c r="D259" s="136">
        <f t="shared" si="30"/>
        <v>1</v>
      </c>
      <c r="E259" s="137" t="s">
        <v>129</v>
      </c>
      <c r="F259" s="137" t="s">
        <v>129</v>
      </c>
      <c r="G259" s="137" t="s">
        <v>129</v>
      </c>
      <c r="H259" s="137" t="s">
        <v>129</v>
      </c>
      <c r="I259" s="137" t="s">
        <v>129</v>
      </c>
      <c r="J259" s="137" t="s">
        <v>129</v>
      </c>
      <c r="K259" s="137" t="s">
        <v>129</v>
      </c>
      <c r="L259" s="137" t="s">
        <v>129</v>
      </c>
      <c r="M259" s="141"/>
      <c r="N259" s="143"/>
    </row>
    <row r="260" hidden="1" outlineLevel="1">
      <c r="A260" s="367" t="s">
        <v>1753</v>
      </c>
      <c r="B260" s="344">
        <v>46120.0</v>
      </c>
      <c r="C260" s="133" t="str">
        <f t="shared" si="29"/>
        <v>Wed</v>
      </c>
      <c r="D260" s="136">
        <f t="shared" si="30"/>
        <v>1</v>
      </c>
      <c r="E260" s="137" t="s">
        <v>129</v>
      </c>
      <c r="F260" s="137" t="s">
        <v>129</v>
      </c>
      <c r="G260" s="137" t="s">
        <v>129</v>
      </c>
      <c r="H260" s="137" t="s">
        <v>129</v>
      </c>
      <c r="I260" s="137" t="s">
        <v>129</v>
      </c>
      <c r="J260" s="137" t="s">
        <v>129</v>
      </c>
      <c r="K260" s="137" t="s">
        <v>129</v>
      </c>
      <c r="L260" s="137" t="s">
        <v>129</v>
      </c>
      <c r="M260" s="141"/>
      <c r="N260" s="143"/>
    </row>
    <row r="261" hidden="1" outlineLevel="1">
      <c r="A261" s="367" t="s">
        <v>1755</v>
      </c>
      <c r="B261" s="344">
        <v>46121.0</v>
      </c>
      <c r="C261" s="133" t="str">
        <f t="shared" si="29"/>
        <v>Thu</v>
      </c>
      <c r="D261" s="136">
        <f t="shared" si="30"/>
        <v>1</v>
      </c>
      <c r="E261" s="137" t="s">
        <v>129</v>
      </c>
      <c r="F261" s="137" t="s">
        <v>129</v>
      </c>
      <c r="G261" s="137" t="s">
        <v>129</v>
      </c>
      <c r="H261" s="137" t="s">
        <v>129</v>
      </c>
      <c r="I261" s="137" t="s">
        <v>129</v>
      </c>
      <c r="J261" s="137" t="s">
        <v>129</v>
      </c>
      <c r="K261" s="137" t="s">
        <v>129</v>
      </c>
      <c r="L261" s="137" t="s">
        <v>129</v>
      </c>
      <c r="M261" s="141"/>
      <c r="N261" s="143"/>
    </row>
    <row r="262" hidden="1" outlineLevel="1">
      <c r="A262" s="367" t="s">
        <v>1756</v>
      </c>
      <c r="B262" s="344">
        <v>46121.0</v>
      </c>
      <c r="C262" s="133" t="str">
        <f t="shared" si="29"/>
        <v>Thu</v>
      </c>
      <c r="D262" s="136">
        <f t="shared" si="30"/>
        <v>1</v>
      </c>
      <c r="E262" s="137" t="s">
        <v>129</v>
      </c>
      <c r="F262" s="137" t="s">
        <v>129</v>
      </c>
      <c r="G262" s="137" t="s">
        <v>129</v>
      </c>
      <c r="H262" s="137" t="s">
        <v>129</v>
      </c>
      <c r="I262" s="137" t="s">
        <v>129</v>
      </c>
      <c r="J262" s="137" t="s">
        <v>129</v>
      </c>
      <c r="K262" s="137" t="s">
        <v>129</v>
      </c>
      <c r="L262" s="137" t="s">
        <v>129</v>
      </c>
      <c r="M262" s="141"/>
      <c r="N262" s="147"/>
    </row>
    <row r="263" hidden="1" outlineLevel="1">
      <c r="A263" s="367" t="s">
        <v>1758</v>
      </c>
      <c r="B263" s="344">
        <v>46121.0</v>
      </c>
      <c r="C263" s="133" t="str">
        <f t="shared" si="29"/>
        <v>Thu</v>
      </c>
      <c r="D263" s="136">
        <f t="shared" si="30"/>
        <v>1</v>
      </c>
      <c r="E263" s="137" t="s">
        <v>129</v>
      </c>
      <c r="F263" s="137" t="s">
        <v>129</v>
      </c>
      <c r="G263" s="137" t="s">
        <v>129</v>
      </c>
      <c r="H263" s="137" t="s">
        <v>129</v>
      </c>
      <c r="I263" s="137" t="s">
        <v>129</v>
      </c>
      <c r="J263" s="137" t="s">
        <v>129</v>
      </c>
      <c r="K263" s="137" t="s">
        <v>129</v>
      </c>
      <c r="L263" s="137" t="s">
        <v>129</v>
      </c>
      <c r="M263" s="141"/>
      <c r="N263" s="143"/>
    </row>
    <row r="264" hidden="1" outlineLevel="1">
      <c r="A264" s="219" t="s">
        <v>1760</v>
      </c>
      <c r="B264" s="344">
        <v>46123.0</v>
      </c>
      <c r="C264" s="133" t="str">
        <f t="shared" si="29"/>
        <v>Sat</v>
      </c>
      <c r="D264" s="136">
        <f t="shared" si="30"/>
        <v>1</v>
      </c>
      <c r="E264" s="137" t="s">
        <v>129</v>
      </c>
      <c r="F264" s="137" t="s">
        <v>129</v>
      </c>
      <c r="G264" s="137" t="s">
        <v>129</v>
      </c>
      <c r="H264" s="137" t="s">
        <v>129</v>
      </c>
      <c r="I264" s="137" t="s">
        <v>129</v>
      </c>
      <c r="J264" s="137" t="s">
        <v>129</v>
      </c>
      <c r="K264" s="137" t="s">
        <v>129</v>
      </c>
      <c r="L264" s="137" t="s">
        <v>129</v>
      </c>
      <c r="M264" s="141"/>
      <c r="N264" s="147"/>
    </row>
    <row r="265" hidden="1" outlineLevel="1">
      <c r="A265" s="219" t="s">
        <v>1762</v>
      </c>
      <c r="B265" s="344">
        <v>46123.0</v>
      </c>
      <c r="C265" s="133" t="str">
        <f t="shared" si="29"/>
        <v>Sat</v>
      </c>
      <c r="D265" s="136">
        <f t="shared" si="30"/>
        <v>1</v>
      </c>
      <c r="E265" s="137" t="s">
        <v>129</v>
      </c>
      <c r="F265" s="137" t="s">
        <v>129</v>
      </c>
      <c r="G265" s="137" t="s">
        <v>129</v>
      </c>
      <c r="H265" s="137" t="s">
        <v>129</v>
      </c>
      <c r="I265" s="137" t="s">
        <v>129</v>
      </c>
      <c r="J265" s="137" t="s">
        <v>129</v>
      </c>
      <c r="K265" s="137" t="s">
        <v>129</v>
      </c>
      <c r="L265" s="137" t="s">
        <v>129</v>
      </c>
      <c r="M265" s="141"/>
      <c r="N265" s="147"/>
    </row>
    <row r="266" hidden="1" outlineLevel="1">
      <c r="A266" s="219" t="s">
        <v>1763</v>
      </c>
      <c r="B266" s="344">
        <v>46123.0</v>
      </c>
      <c r="C266" s="133" t="str">
        <f t="shared" si="29"/>
        <v>Sat</v>
      </c>
      <c r="D266" s="136">
        <f t="shared" si="30"/>
        <v>1</v>
      </c>
      <c r="E266" s="137" t="s">
        <v>129</v>
      </c>
      <c r="F266" s="137" t="s">
        <v>129</v>
      </c>
      <c r="G266" s="137" t="s">
        <v>129</v>
      </c>
      <c r="H266" s="137" t="s">
        <v>129</v>
      </c>
      <c r="I266" s="137" t="s">
        <v>129</v>
      </c>
      <c r="J266" s="137" t="s">
        <v>129</v>
      </c>
      <c r="K266" s="137" t="s">
        <v>129</v>
      </c>
      <c r="L266" s="137" t="s">
        <v>129</v>
      </c>
      <c r="M266" s="141"/>
      <c r="N266" s="147"/>
    </row>
    <row r="267" hidden="1" outlineLevel="1">
      <c r="A267" s="219" t="s">
        <v>1765</v>
      </c>
      <c r="B267" s="344">
        <v>46124.0</v>
      </c>
      <c r="C267" s="133" t="str">
        <f t="shared" si="29"/>
        <v>Sun</v>
      </c>
      <c r="D267" s="136">
        <f t="shared" si="30"/>
        <v>1</v>
      </c>
      <c r="E267" s="137" t="s">
        <v>129</v>
      </c>
      <c r="F267" s="137" t="s">
        <v>129</v>
      </c>
      <c r="G267" s="137" t="s">
        <v>129</v>
      </c>
      <c r="H267" s="137" t="s">
        <v>129</v>
      </c>
      <c r="I267" s="137" t="s">
        <v>129</v>
      </c>
      <c r="J267" s="137" t="s">
        <v>129</v>
      </c>
      <c r="K267" s="137" t="s">
        <v>129</v>
      </c>
      <c r="L267" s="137" t="s">
        <v>129</v>
      </c>
      <c r="M267" s="141"/>
      <c r="N267" s="143"/>
    </row>
    <row r="268" hidden="1" outlineLevel="1">
      <c r="A268" s="219" t="s">
        <v>1766</v>
      </c>
      <c r="B268" s="344">
        <v>46124.0</v>
      </c>
      <c r="C268" s="133" t="str">
        <f t="shared" si="29"/>
        <v>Sun</v>
      </c>
      <c r="D268" s="136">
        <f t="shared" si="30"/>
        <v>1</v>
      </c>
      <c r="E268" s="137" t="s">
        <v>129</v>
      </c>
      <c r="F268" s="137" t="s">
        <v>129</v>
      </c>
      <c r="G268" s="137" t="s">
        <v>129</v>
      </c>
      <c r="H268" s="137" t="s">
        <v>129</v>
      </c>
      <c r="I268" s="137" t="s">
        <v>129</v>
      </c>
      <c r="J268" s="137" t="s">
        <v>129</v>
      </c>
      <c r="K268" s="137" t="s">
        <v>129</v>
      </c>
      <c r="L268" s="137" t="s">
        <v>129</v>
      </c>
      <c r="M268" s="141"/>
      <c r="N268" s="143"/>
    </row>
    <row r="269" ht="15.0" hidden="1" customHeight="1" outlineLevel="1">
      <c r="A269" s="219" t="s">
        <v>1768</v>
      </c>
      <c r="B269" s="344">
        <v>46124.0</v>
      </c>
      <c r="C269" s="133" t="str">
        <f t="shared" si="29"/>
        <v>Sun</v>
      </c>
      <c r="D269" s="136">
        <f t="shared" si="30"/>
        <v>1</v>
      </c>
      <c r="E269" s="137" t="s">
        <v>129</v>
      </c>
      <c r="F269" s="137" t="s">
        <v>129</v>
      </c>
      <c r="G269" s="137" t="s">
        <v>129</v>
      </c>
      <c r="H269" s="137" t="s">
        <v>129</v>
      </c>
      <c r="I269" s="137" t="s">
        <v>129</v>
      </c>
      <c r="J269" s="137" t="s">
        <v>129</v>
      </c>
      <c r="K269" s="137" t="s">
        <v>129</v>
      </c>
      <c r="L269" s="137" t="s">
        <v>129</v>
      </c>
      <c r="M269" s="141"/>
      <c r="N269" s="147"/>
    </row>
    <row r="270" hidden="1" outlineLevel="1">
      <c r="B270" s="189"/>
      <c r="C270" s="191" t="s">
        <v>194</v>
      </c>
      <c r="D270" s="204">
        <f>AVERAGE(D255:D269)</f>
        <v>1</v>
      </c>
      <c r="E270" s="200"/>
      <c r="L270" s="191" t="s">
        <v>194</v>
      </c>
      <c r="M270" s="204">
        <f>SUM(M255:M269)/75*0.1</f>
        <v>0</v>
      </c>
    </row>
    <row r="271" hidden="1" collapsed="1">
      <c r="A271" s="206" t="s">
        <v>917</v>
      </c>
      <c r="B271" s="207"/>
      <c r="C271" s="207"/>
      <c r="D271" s="208"/>
      <c r="E271" s="109"/>
      <c r="F271" s="109"/>
      <c r="G271" s="110"/>
      <c r="H271" s="110"/>
      <c r="I271" s="110"/>
      <c r="J271" s="110"/>
      <c r="K271" s="110"/>
      <c r="L271" s="110"/>
      <c r="M271" s="111"/>
      <c r="N271" s="113"/>
    </row>
    <row r="272" hidden="1" outlineLevel="1">
      <c r="A272" s="373" t="s">
        <v>98</v>
      </c>
      <c r="B272" s="115" t="s">
        <v>100</v>
      </c>
      <c r="C272" s="115" t="s">
        <v>102</v>
      </c>
      <c r="D272" s="119" t="s">
        <v>103</v>
      </c>
      <c r="E272" s="275" t="s">
        <v>269</v>
      </c>
      <c r="F272" s="275" t="s">
        <v>272</v>
      </c>
      <c r="G272" s="276" t="s">
        <v>328</v>
      </c>
      <c r="H272" s="121" t="s">
        <v>107</v>
      </c>
      <c r="I272" s="121" t="s">
        <v>108</v>
      </c>
      <c r="J272" s="276" t="s">
        <v>329</v>
      </c>
      <c r="K272" s="121" t="s">
        <v>111</v>
      </c>
      <c r="L272" s="276" t="s">
        <v>274</v>
      </c>
      <c r="M272" s="115" t="s">
        <v>114</v>
      </c>
      <c r="N272" s="119" t="s">
        <v>115</v>
      </c>
    </row>
    <row r="273" hidden="1" outlineLevel="1">
      <c r="A273" s="367" t="s">
        <v>1771</v>
      </c>
      <c r="B273" s="344">
        <v>46125.0</v>
      </c>
      <c r="C273" s="133" t="str">
        <f t="shared" ref="C273:C287" si="31">IF(B273="", "", TEXT(B273, "ddd"))</f>
        <v>Mon</v>
      </c>
      <c r="D273" s="381">
        <f t="shared" ref="D273:D287" si="32">IF(E273="Yes",0.05,0)
+IF(F273="Yes",0.1,0)
+IF(G273="Yes",0.15,0)
+IF(H273="Yes",0.15,0)
+IF(I273="Yes",0.05,0)
+IF(J273="Yes",0.05,0)
+IF(K273="Yes",0.15,0)
+IF(L273="Yes",0.3,0)
</f>
        <v>1</v>
      </c>
      <c r="E273" s="382" t="s">
        <v>129</v>
      </c>
      <c r="F273" s="137" t="s">
        <v>129</v>
      </c>
      <c r="G273" s="137" t="s">
        <v>129</v>
      </c>
      <c r="H273" s="137" t="s">
        <v>129</v>
      </c>
      <c r="I273" s="137" t="s">
        <v>129</v>
      </c>
      <c r="J273" s="137" t="s">
        <v>129</v>
      </c>
      <c r="K273" s="137" t="s">
        <v>129</v>
      </c>
      <c r="L273" s="137" t="s">
        <v>129</v>
      </c>
      <c r="M273" s="141"/>
      <c r="N273" s="143"/>
    </row>
    <row r="274" hidden="1" outlineLevel="1">
      <c r="A274" s="367" t="s">
        <v>1774</v>
      </c>
      <c r="B274" s="344">
        <v>46125.0</v>
      </c>
      <c r="C274" s="133" t="str">
        <f t="shared" si="31"/>
        <v>Mon</v>
      </c>
      <c r="D274" s="383">
        <f t="shared" si="32"/>
        <v>1</v>
      </c>
      <c r="E274" s="147" t="s">
        <v>129</v>
      </c>
      <c r="F274" s="137" t="s">
        <v>129</v>
      </c>
      <c r="G274" s="137" t="s">
        <v>129</v>
      </c>
      <c r="H274" s="137" t="s">
        <v>129</v>
      </c>
      <c r="I274" s="137" t="s">
        <v>129</v>
      </c>
      <c r="J274" s="137" t="s">
        <v>129</v>
      </c>
      <c r="K274" s="137" t="s">
        <v>129</v>
      </c>
      <c r="L274" s="137" t="s">
        <v>129</v>
      </c>
      <c r="M274" s="141"/>
      <c r="N274" s="147"/>
    </row>
    <row r="275" hidden="1" outlineLevel="1">
      <c r="A275" s="367" t="s">
        <v>1776</v>
      </c>
      <c r="B275" s="344">
        <v>46125.0</v>
      </c>
      <c r="C275" s="133" t="str">
        <f t="shared" si="31"/>
        <v>Mon</v>
      </c>
      <c r="D275" s="381">
        <f t="shared" si="32"/>
        <v>1</v>
      </c>
      <c r="E275" s="382" t="s">
        <v>129</v>
      </c>
      <c r="F275" s="137" t="s">
        <v>129</v>
      </c>
      <c r="G275" s="137" t="s">
        <v>129</v>
      </c>
      <c r="H275" s="137" t="s">
        <v>129</v>
      </c>
      <c r="I275" s="137" t="s">
        <v>129</v>
      </c>
      <c r="J275" s="137" t="s">
        <v>129</v>
      </c>
      <c r="K275" s="137" t="s">
        <v>129</v>
      </c>
      <c r="L275" s="137" t="s">
        <v>129</v>
      </c>
      <c r="M275" s="141"/>
      <c r="N275" s="147"/>
    </row>
    <row r="276" hidden="1" outlineLevel="1">
      <c r="A276" s="219" t="s">
        <v>1778</v>
      </c>
      <c r="B276" s="344">
        <v>46126.0</v>
      </c>
      <c r="C276" s="133" t="str">
        <f t="shared" si="31"/>
        <v>Tue</v>
      </c>
      <c r="D276" s="383">
        <f t="shared" si="32"/>
        <v>1</v>
      </c>
      <c r="E276" s="147" t="s">
        <v>129</v>
      </c>
      <c r="F276" s="137" t="s">
        <v>129</v>
      </c>
      <c r="G276" s="137" t="s">
        <v>129</v>
      </c>
      <c r="H276" s="137" t="s">
        <v>129</v>
      </c>
      <c r="I276" s="137" t="s">
        <v>129</v>
      </c>
      <c r="J276" s="137" t="s">
        <v>129</v>
      </c>
      <c r="K276" s="137" t="s">
        <v>129</v>
      </c>
      <c r="L276" s="137" t="s">
        <v>129</v>
      </c>
      <c r="M276" s="141"/>
      <c r="N276" s="143"/>
    </row>
    <row r="277" hidden="1" outlineLevel="1">
      <c r="A277" s="219" t="s">
        <v>1779</v>
      </c>
      <c r="B277" s="344">
        <v>46126.0</v>
      </c>
      <c r="C277" s="133" t="str">
        <f t="shared" si="31"/>
        <v>Tue</v>
      </c>
      <c r="D277" s="381">
        <f t="shared" si="32"/>
        <v>1</v>
      </c>
      <c r="E277" s="382" t="s">
        <v>129</v>
      </c>
      <c r="F277" s="137" t="s">
        <v>129</v>
      </c>
      <c r="G277" s="137" t="s">
        <v>129</v>
      </c>
      <c r="H277" s="137" t="s">
        <v>129</v>
      </c>
      <c r="I277" s="137" t="s">
        <v>129</v>
      </c>
      <c r="J277" s="137" t="s">
        <v>129</v>
      </c>
      <c r="K277" s="137" t="s">
        <v>129</v>
      </c>
      <c r="L277" s="137" t="s">
        <v>129</v>
      </c>
      <c r="M277" s="141"/>
      <c r="N277" s="143"/>
    </row>
    <row r="278" hidden="1" outlineLevel="1">
      <c r="A278" s="219" t="s">
        <v>1780</v>
      </c>
      <c r="B278" s="344">
        <v>46126.0</v>
      </c>
      <c r="C278" s="133" t="str">
        <f t="shared" si="31"/>
        <v>Tue</v>
      </c>
      <c r="D278" s="383">
        <f t="shared" si="32"/>
        <v>1</v>
      </c>
      <c r="E278" s="147" t="s">
        <v>129</v>
      </c>
      <c r="F278" s="137" t="s">
        <v>129</v>
      </c>
      <c r="G278" s="137" t="s">
        <v>129</v>
      </c>
      <c r="H278" s="137" t="s">
        <v>129</v>
      </c>
      <c r="I278" s="137" t="s">
        <v>129</v>
      </c>
      <c r="J278" s="137" t="s">
        <v>129</v>
      </c>
      <c r="K278" s="137" t="s">
        <v>129</v>
      </c>
      <c r="L278" s="137" t="s">
        <v>129</v>
      </c>
      <c r="M278" s="141"/>
      <c r="N278" s="143"/>
    </row>
    <row r="279" hidden="1" outlineLevel="1">
      <c r="A279" s="367" t="s">
        <v>1781</v>
      </c>
      <c r="B279" s="344">
        <v>46128.0</v>
      </c>
      <c r="C279" s="133" t="str">
        <f t="shared" si="31"/>
        <v>Thu</v>
      </c>
      <c r="D279" s="381">
        <f t="shared" si="32"/>
        <v>1</v>
      </c>
      <c r="E279" s="382" t="s">
        <v>129</v>
      </c>
      <c r="F279" s="137" t="s">
        <v>129</v>
      </c>
      <c r="G279" s="137" t="s">
        <v>129</v>
      </c>
      <c r="H279" s="137" t="s">
        <v>129</v>
      </c>
      <c r="I279" s="137" t="s">
        <v>129</v>
      </c>
      <c r="J279" s="137" t="s">
        <v>129</v>
      </c>
      <c r="K279" s="137" t="s">
        <v>129</v>
      </c>
      <c r="L279" s="137" t="s">
        <v>129</v>
      </c>
      <c r="M279" s="141"/>
      <c r="N279" s="143"/>
    </row>
    <row r="280" hidden="1" outlineLevel="1">
      <c r="A280" s="367" t="s">
        <v>1782</v>
      </c>
      <c r="B280" s="344">
        <v>46128.0</v>
      </c>
      <c r="C280" s="133" t="str">
        <f t="shared" si="31"/>
        <v>Thu</v>
      </c>
      <c r="D280" s="383">
        <f t="shared" si="32"/>
        <v>1</v>
      </c>
      <c r="E280" s="147" t="s">
        <v>129</v>
      </c>
      <c r="F280" s="137" t="s">
        <v>129</v>
      </c>
      <c r="G280" s="137" t="s">
        <v>129</v>
      </c>
      <c r="H280" s="137" t="s">
        <v>129</v>
      </c>
      <c r="I280" s="137" t="s">
        <v>129</v>
      </c>
      <c r="J280" s="137" t="s">
        <v>129</v>
      </c>
      <c r="K280" s="137" t="s">
        <v>129</v>
      </c>
      <c r="L280" s="137" t="s">
        <v>129</v>
      </c>
      <c r="M280" s="141"/>
      <c r="N280" s="147"/>
    </row>
    <row r="281" hidden="1" outlineLevel="1">
      <c r="A281" s="367" t="s">
        <v>1783</v>
      </c>
      <c r="B281" s="344">
        <v>46128.0</v>
      </c>
      <c r="C281" s="133" t="str">
        <f t="shared" si="31"/>
        <v>Thu</v>
      </c>
      <c r="D281" s="381">
        <f t="shared" si="32"/>
        <v>1</v>
      </c>
      <c r="E281" s="382" t="s">
        <v>129</v>
      </c>
      <c r="F281" s="137" t="s">
        <v>129</v>
      </c>
      <c r="G281" s="137" t="s">
        <v>129</v>
      </c>
      <c r="H281" s="137" t="s">
        <v>129</v>
      </c>
      <c r="I281" s="137" t="s">
        <v>129</v>
      </c>
      <c r="J281" s="137" t="s">
        <v>129</v>
      </c>
      <c r="K281" s="137" t="s">
        <v>129</v>
      </c>
      <c r="L281" s="137" t="s">
        <v>129</v>
      </c>
      <c r="M281" s="141"/>
      <c r="N281" s="143"/>
    </row>
    <row r="282" hidden="1" outlineLevel="1">
      <c r="A282" s="438" t="s">
        <v>1784</v>
      </c>
      <c r="B282" s="344">
        <v>46129.0</v>
      </c>
      <c r="C282" s="133" t="str">
        <f t="shared" si="31"/>
        <v>Fri</v>
      </c>
      <c r="D282" s="383">
        <f t="shared" si="32"/>
        <v>1</v>
      </c>
      <c r="E282" s="147" t="s">
        <v>129</v>
      </c>
      <c r="F282" s="137" t="s">
        <v>129</v>
      </c>
      <c r="G282" s="137" t="s">
        <v>129</v>
      </c>
      <c r="H282" s="137" t="s">
        <v>129</v>
      </c>
      <c r="I282" s="137" t="s">
        <v>129</v>
      </c>
      <c r="J282" s="137" t="s">
        <v>129</v>
      </c>
      <c r="K282" s="137" t="s">
        <v>129</v>
      </c>
      <c r="L282" s="137" t="s">
        <v>129</v>
      </c>
      <c r="M282" s="141"/>
      <c r="N282" s="147"/>
    </row>
    <row r="283" hidden="1" outlineLevel="1">
      <c r="A283" s="367" t="s">
        <v>1785</v>
      </c>
      <c r="B283" s="344">
        <v>46129.0</v>
      </c>
      <c r="C283" s="133" t="str">
        <f t="shared" si="31"/>
        <v>Fri</v>
      </c>
      <c r="D283" s="381">
        <f t="shared" si="32"/>
        <v>1</v>
      </c>
      <c r="E283" s="382" t="s">
        <v>129</v>
      </c>
      <c r="F283" s="137" t="s">
        <v>129</v>
      </c>
      <c r="G283" s="137" t="s">
        <v>129</v>
      </c>
      <c r="H283" s="137" t="s">
        <v>129</v>
      </c>
      <c r="I283" s="137" t="s">
        <v>129</v>
      </c>
      <c r="J283" s="137" t="s">
        <v>129</v>
      </c>
      <c r="K283" s="137" t="s">
        <v>129</v>
      </c>
      <c r="L283" s="137" t="s">
        <v>129</v>
      </c>
      <c r="M283" s="141"/>
      <c r="N283" s="147"/>
    </row>
    <row r="284" hidden="1" outlineLevel="1">
      <c r="A284" s="367" t="s">
        <v>1786</v>
      </c>
      <c r="B284" s="344">
        <v>46129.0</v>
      </c>
      <c r="C284" s="133" t="str">
        <f t="shared" si="31"/>
        <v>Fri</v>
      </c>
      <c r="D284" s="383">
        <f t="shared" si="32"/>
        <v>1</v>
      </c>
      <c r="E284" s="147" t="s">
        <v>129</v>
      </c>
      <c r="F284" s="137" t="s">
        <v>129</v>
      </c>
      <c r="G284" s="137" t="s">
        <v>129</v>
      </c>
      <c r="H284" s="137" t="s">
        <v>129</v>
      </c>
      <c r="I284" s="137" t="s">
        <v>129</v>
      </c>
      <c r="J284" s="137" t="s">
        <v>129</v>
      </c>
      <c r="K284" s="137" t="s">
        <v>129</v>
      </c>
      <c r="L284" s="137" t="s">
        <v>129</v>
      </c>
      <c r="M284" s="141"/>
      <c r="N284" s="147"/>
    </row>
    <row r="285" hidden="1" outlineLevel="1">
      <c r="A285" s="367" t="s">
        <v>1787</v>
      </c>
      <c r="B285" s="344">
        <v>46130.0</v>
      </c>
      <c r="C285" s="133" t="str">
        <f t="shared" si="31"/>
        <v>Sat</v>
      </c>
      <c r="D285" s="381">
        <f t="shared" si="32"/>
        <v>1</v>
      </c>
      <c r="E285" s="382" t="s">
        <v>129</v>
      </c>
      <c r="F285" s="137" t="s">
        <v>129</v>
      </c>
      <c r="G285" s="137" t="s">
        <v>129</v>
      </c>
      <c r="H285" s="137" t="s">
        <v>129</v>
      </c>
      <c r="I285" s="137" t="s">
        <v>129</v>
      </c>
      <c r="J285" s="137" t="s">
        <v>129</v>
      </c>
      <c r="K285" s="137" t="s">
        <v>129</v>
      </c>
      <c r="L285" s="137" t="s">
        <v>129</v>
      </c>
      <c r="M285" s="141"/>
      <c r="N285" s="143"/>
    </row>
    <row r="286" hidden="1" outlineLevel="1">
      <c r="A286" s="367" t="s">
        <v>1788</v>
      </c>
      <c r="B286" s="344">
        <v>46130.0</v>
      </c>
      <c r="C286" s="133" t="str">
        <f t="shared" si="31"/>
        <v>Sat</v>
      </c>
      <c r="D286" s="383">
        <f t="shared" si="32"/>
        <v>1</v>
      </c>
      <c r="E286" s="147" t="s">
        <v>129</v>
      </c>
      <c r="F286" s="137" t="s">
        <v>129</v>
      </c>
      <c r="G286" s="137" t="s">
        <v>129</v>
      </c>
      <c r="H286" s="137" t="s">
        <v>129</v>
      </c>
      <c r="I286" s="137" t="s">
        <v>129</v>
      </c>
      <c r="J286" s="137" t="s">
        <v>129</v>
      </c>
      <c r="K286" s="137" t="s">
        <v>129</v>
      </c>
      <c r="L286" s="137" t="s">
        <v>129</v>
      </c>
      <c r="M286" s="141"/>
      <c r="N286" s="143"/>
    </row>
    <row r="287" ht="15.0" hidden="1" customHeight="1" outlineLevel="1">
      <c r="A287" s="367" t="s">
        <v>1789</v>
      </c>
      <c r="B287" s="344">
        <v>46130.0</v>
      </c>
      <c r="C287" s="133" t="str">
        <f t="shared" si="31"/>
        <v>Sat</v>
      </c>
      <c r="D287" s="381">
        <f t="shared" si="32"/>
        <v>1</v>
      </c>
      <c r="E287" s="382" t="s">
        <v>129</v>
      </c>
      <c r="F287" s="137" t="s">
        <v>129</v>
      </c>
      <c r="G287" s="137" t="s">
        <v>129</v>
      </c>
      <c r="H287" s="137" t="s">
        <v>129</v>
      </c>
      <c r="I287" s="137" t="s">
        <v>129</v>
      </c>
      <c r="J287" s="137" t="s">
        <v>129</v>
      </c>
      <c r="K287" s="137" t="s">
        <v>129</v>
      </c>
      <c r="L287" s="137" t="s">
        <v>129</v>
      </c>
      <c r="M287" s="141"/>
      <c r="N287" s="147"/>
    </row>
    <row r="288" hidden="1" outlineLevel="1">
      <c r="B288" s="189"/>
      <c r="C288" s="191" t="s">
        <v>194</v>
      </c>
      <c r="D288" s="204">
        <f>AVERAGE(D273:D287)</f>
        <v>1</v>
      </c>
      <c r="E288" s="384"/>
      <c r="L288" s="191" t="s">
        <v>194</v>
      </c>
      <c r="M288" s="204">
        <f>SUM(M273:M287)/75*0.1</f>
        <v>0</v>
      </c>
    </row>
    <row r="289" hidden="1" collapsed="1">
      <c r="A289" s="206" t="s">
        <v>946</v>
      </c>
      <c r="B289" s="207"/>
      <c r="C289" s="207"/>
      <c r="D289" s="385"/>
      <c r="E289" s="109"/>
      <c r="F289" s="109"/>
      <c r="G289" s="110"/>
      <c r="H289" s="110"/>
      <c r="I289" s="110"/>
      <c r="J289" s="110"/>
      <c r="K289" s="110"/>
      <c r="L289" s="110"/>
      <c r="M289" s="111"/>
      <c r="N289" s="113"/>
    </row>
    <row r="290" hidden="1" outlineLevel="1">
      <c r="A290" s="373" t="s">
        <v>98</v>
      </c>
      <c r="B290" s="115" t="s">
        <v>100</v>
      </c>
      <c r="C290" s="115" t="s">
        <v>102</v>
      </c>
      <c r="D290" s="119" t="s">
        <v>103</v>
      </c>
      <c r="E290" s="275" t="s">
        <v>269</v>
      </c>
      <c r="F290" s="275" t="s">
        <v>272</v>
      </c>
      <c r="G290" s="276" t="s">
        <v>328</v>
      </c>
      <c r="H290" s="121" t="s">
        <v>107</v>
      </c>
      <c r="I290" s="121" t="s">
        <v>108</v>
      </c>
      <c r="J290" s="276" t="s">
        <v>329</v>
      </c>
      <c r="K290" s="121" t="s">
        <v>111</v>
      </c>
      <c r="L290" s="276" t="s">
        <v>274</v>
      </c>
      <c r="M290" s="115" t="s">
        <v>114</v>
      </c>
      <c r="N290" s="119" t="s">
        <v>115</v>
      </c>
    </row>
    <row r="291" hidden="1" outlineLevel="1">
      <c r="A291" s="433" t="s">
        <v>1791</v>
      </c>
      <c r="B291" s="344">
        <v>46132.0</v>
      </c>
      <c r="C291" s="133" t="str">
        <f t="shared" ref="C291:C305" si="33">IF(B291="", "", TEXT(B291, "ddd"))</f>
        <v>Mon</v>
      </c>
      <c r="D291" s="381">
        <f t="shared" ref="D291:D305" si="34">IF(E291="Yes",0.05,0)
+IF(F291="Yes",0.1,0)
+IF(G291="Yes",0.15,0)
+IF(H291="Yes",0.15,0)
+IF(I291="Yes",0.05,0)
+IF(J291="Yes",0.05,0)
+IF(K291="Yes",0.15,0)
+IF(L291="Yes",0.3,0)
</f>
        <v>1</v>
      </c>
      <c r="E291" s="382" t="s">
        <v>129</v>
      </c>
      <c r="F291" s="137" t="s">
        <v>129</v>
      </c>
      <c r="G291" s="137" t="s">
        <v>129</v>
      </c>
      <c r="H291" s="137" t="s">
        <v>129</v>
      </c>
      <c r="I291" s="137" t="s">
        <v>129</v>
      </c>
      <c r="J291" s="137" t="s">
        <v>129</v>
      </c>
      <c r="K291" s="137" t="s">
        <v>129</v>
      </c>
      <c r="L291" s="137" t="s">
        <v>129</v>
      </c>
      <c r="M291" s="141"/>
      <c r="N291" s="143"/>
    </row>
    <row r="292" hidden="1" outlineLevel="1">
      <c r="A292" s="433" t="s">
        <v>1792</v>
      </c>
      <c r="B292" s="344">
        <v>46132.0</v>
      </c>
      <c r="C292" s="133" t="str">
        <f t="shared" si="33"/>
        <v>Mon</v>
      </c>
      <c r="D292" s="383">
        <f t="shared" si="34"/>
        <v>1</v>
      </c>
      <c r="E292" s="147" t="s">
        <v>129</v>
      </c>
      <c r="F292" s="137" t="s">
        <v>129</v>
      </c>
      <c r="G292" s="137" t="s">
        <v>129</v>
      </c>
      <c r="H292" s="137" t="s">
        <v>129</v>
      </c>
      <c r="I292" s="137" t="s">
        <v>129</v>
      </c>
      <c r="J292" s="137" t="s">
        <v>129</v>
      </c>
      <c r="K292" s="137" t="s">
        <v>129</v>
      </c>
      <c r="L292" s="137" t="s">
        <v>129</v>
      </c>
      <c r="M292" s="141"/>
      <c r="N292" s="147"/>
    </row>
    <row r="293" hidden="1" outlineLevel="1">
      <c r="A293" s="433" t="s">
        <v>1793</v>
      </c>
      <c r="B293" s="344">
        <v>46132.0</v>
      </c>
      <c r="C293" s="133" t="str">
        <f t="shared" si="33"/>
        <v>Mon</v>
      </c>
      <c r="D293" s="381">
        <f t="shared" si="34"/>
        <v>1</v>
      </c>
      <c r="E293" s="382" t="s">
        <v>129</v>
      </c>
      <c r="F293" s="137" t="s">
        <v>129</v>
      </c>
      <c r="G293" s="137" t="s">
        <v>129</v>
      </c>
      <c r="H293" s="137" t="s">
        <v>129</v>
      </c>
      <c r="I293" s="137" t="s">
        <v>129</v>
      </c>
      <c r="J293" s="137" t="s">
        <v>129</v>
      </c>
      <c r="K293" s="137" t="s">
        <v>129</v>
      </c>
      <c r="L293" s="137" t="s">
        <v>129</v>
      </c>
      <c r="M293" s="141"/>
      <c r="N293" s="147"/>
    </row>
    <row r="294" hidden="1" outlineLevel="1">
      <c r="A294" s="389" t="s">
        <v>1794</v>
      </c>
      <c r="B294" s="344">
        <v>46133.0</v>
      </c>
      <c r="C294" s="133" t="str">
        <f t="shared" si="33"/>
        <v>Tue</v>
      </c>
      <c r="D294" s="383">
        <f t="shared" si="34"/>
        <v>1</v>
      </c>
      <c r="E294" s="147" t="s">
        <v>129</v>
      </c>
      <c r="F294" s="137" t="s">
        <v>129</v>
      </c>
      <c r="G294" s="137" t="s">
        <v>129</v>
      </c>
      <c r="H294" s="137" t="s">
        <v>129</v>
      </c>
      <c r="I294" s="137" t="s">
        <v>129</v>
      </c>
      <c r="J294" s="137" t="s">
        <v>129</v>
      </c>
      <c r="K294" s="137" t="s">
        <v>129</v>
      </c>
      <c r="L294" s="137" t="s">
        <v>129</v>
      </c>
      <c r="M294" s="141"/>
      <c r="N294" s="143"/>
    </row>
    <row r="295" hidden="1" outlineLevel="1">
      <c r="A295" s="388" t="s">
        <v>1795</v>
      </c>
      <c r="B295" s="344">
        <v>46133.0</v>
      </c>
      <c r="C295" s="133" t="str">
        <f t="shared" si="33"/>
        <v>Tue</v>
      </c>
      <c r="D295" s="381">
        <f t="shared" si="34"/>
        <v>1</v>
      </c>
      <c r="E295" s="382" t="s">
        <v>129</v>
      </c>
      <c r="F295" s="137" t="s">
        <v>129</v>
      </c>
      <c r="G295" s="137" t="s">
        <v>129</v>
      </c>
      <c r="H295" s="137" t="s">
        <v>129</v>
      </c>
      <c r="I295" s="137" t="s">
        <v>129</v>
      </c>
      <c r="J295" s="137" t="s">
        <v>129</v>
      </c>
      <c r="K295" s="137" t="s">
        <v>129</v>
      </c>
      <c r="L295" s="137" t="s">
        <v>129</v>
      </c>
      <c r="M295" s="141"/>
      <c r="N295" s="143"/>
    </row>
    <row r="296" hidden="1" outlineLevel="1">
      <c r="A296" s="389" t="s">
        <v>1796</v>
      </c>
      <c r="B296" s="344">
        <v>46133.0</v>
      </c>
      <c r="C296" s="133" t="str">
        <f t="shared" si="33"/>
        <v>Tue</v>
      </c>
      <c r="D296" s="383">
        <f t="shared" si="34"/>
        <v>1</v>
      </c>
      <c r="E296" s="147" t="s">
        <v>129</v>
      </c>
      <c r="F296" s="137" t="s">
        <v>129</v>
      </c>
      <c r="G296" s="137" t="s">
        <v>129</v>
      </c>
      <c r="H296" s="137" t="s">
        <v>129</v>
      </c>
      <c r="I296" s="137" t="s">
        <v>129</v>
      </c>
      <c r="J296" s="137" t="s">
        <v>129</v>
      </c>
      <c r="K296" s="137" t="s">
        <v>129</v>
      </c>
      <c r="L296" s="137" t="s">
        <v>129</v>
      </c>
      <c r="M296" s="141"/>
      <c r="N296" s="143"/>
    </row>
    <row r="297" hidden="1" outlineLevel="1">
      <c r="A297" s="461" t="s">
        <v>1797</v>
      </c>
      <c r="B297" s="344">
        <v>46134.0</v>
      </c>
      <c r="C297" s="133" t="str">
        <f t="shared" si="33"/>
        <v>Wed</v>
      </c>
      <c r="D297" s="381">
        <f t="shared" si="34"/>
        <v>1</v>
      </c>
      <c r="E297" s="382" t="s">
        <v>129</v>
      </c>
      <c r="F297" s="137" t="s">
        <v>129</v>
      </c>
      <c r="G297" s="137" t="s">
        <v>129</v>
      </c>
      <c r="H297" s="137" t="s">
        <v>129</v>
      </c>
      <c r="I297" s="137" t="s">
        <v>129</v>
      </c>
      <c r="J297" s="137" t="s">
        <v>129</v>
      </c>
      <c r="K297" s="137" t="s">
        <v>129</v>
      </c>
      <c r="L297" s="137" t="s">
        <v>129</v>
      </c>
      <c r="M297" s="141"/>
      <c r="N297" s="143"/>
    </row>
    <row r="298" hidden="1" outlineLevel="1">
      <c r="A298" s="390" t="s">
        <v>1799</v>
      </c>
      <c r="B298" s="344">
        <v>46134.0</v>
      </c>
      <c r="C298" s="133" t="str">
        <f t="shared" si="33"/>
        <v>Wed</v>
      </c>
      <c r="D298" s="383">
        <f t="shared" si="34"/>
        <v>1</v>
      </c>
      <c r="E298" s="147" t="s">
        <v>129</v>
      </c>
      <c r="F298" s="137" t="s">
        <v>129</v>
      </c>
      <c r="G298" s="137" t="s">
        <v>129</v>
      </c>
      <c r="H298" s="137" t="s">
        <v>129</v>
      </c>
      <c r="I298" s="137" t="s">
        <v>129</v>
      </c>
      <c r="J298" s="137" t="s">
        <v>129</v>
      </c>
      <c r="K298" s="137" t="s">
        <v>129</v>
      </c>
      <c r="L298" s="137" t="s">
        <v>129</v>
      </c>
      <c r="M298" s="141"/>
      <c r="N298" s="147"/>
    </row>
    <row r="299" hidden="1" outlineLevel="1">
      <c r="A299" s="391" t="s">
        <v>1800</v>
      </c>
      <c r="B299" s="344">
        <v>46134.0</v>
      </c>
      <c r="C299" s="133" t="str">
        <f t="shared" si="33"/>
        <v>Wed</v>
      </c>
      <c r="D299" s="381">
        <f t="shared" si="34"/>
        <v>1</v>
      </c>
      <c r="E299" s="382" t="s">
        <v>129</v>
      </c>
      <c r="F299" s="137" t="s">
        <v>129</v>
      </c>
      <c r="G299" s="137" t="s">
        <v>129</v>
      </c>
      <c r="H299" s="137" t="s">
        <v>129</v>
      </c>
      <c r="I299" s="137" t="s">
        <v>129</v>
      </c>
      <c r="J299" s="137" t="s">
        <v>129</v>
      </c>
      <c r="K299" s="137" t="s">
        <v>129</v>
      </c>
      <c r="L299" s="137" t="s">
        <v>129</v>
      </c>
      <c r="M299" s="141"/>
      <c r="N299" s="143"/>
    </row>
    <row r="300" hidden="1" outlineLevel="1">
      <c r="A300" s="219" t="s">
        <v>1801</v>
      </c>
      <c r="B300" s="344">
        <v>46136.0</v>
      </c>
      <c r="C300" s="133" t="str">
        <f t="shared" si="33"/>
        <v>Fri</v>
      </c>
      <c r="D300" s="383">
        <f t="shared" si="34"/>
        <v>1</v>
      </c>
      <c r="E300" s="147" t="s">
        <v>129</v>
      </c>
      <c r="F300" s="137" t="s">
        <v>129</v>
      </c>
      <c r="G300" s="137" t="s">
        <v>129</v>
      </c>
      <c r="H300" s="137" t="s">
        <v>129</v>
      </c>
      <c r="I300" s="137" t="s">
        <v>129</v>
      </c>
      <c r="J300" s="137" t="s">
        <v>129</v>
      </c>
      <c r="K300" s="137" t="s">
        <v>129</v>
      </c>
      <c r="L300" s="137" t="s">
        <v>129</v>
      </c>
      <c r="M300" s="141"/>
      <c r="N300" s="147"/>
    </row>
    <row r="301" hidden="1" outlineLevel="1">
      <c r="A301" s="219" t="s">
        <v>1802</v>
      </c>
      <c r="B301" s="344">
        <v>46136.0</v>
      </c>
      <c r="C301" s="133" t="str">
        <f t="shared" si="33"/>
        <v>Fri</v>
      </c>
      <c r="D301" s="381">
        <f t="shared" si="34"/>
        <v>1</v>
      </c>
      <c r="E301" s="382" t="s">
        <v>129</v>
      </c>
      <c r="F301" s="137" t="s">
        <v>129</v>
      </c>
      <c r="G301" s="137" t="s">
        <v>129</v>
      </c>
      <c r="H301" s="137" t="s">
        <v>129</v>
      </c>
      <c r="I301" s="137" t="s">
        <v>129</v>
      </c>
      <c r="J301" s="137" t="s">
        <v>129</v>
      </c>
      <c r="K301" s="137" t="s">
        <v>129</v>
      </c>
      <c r="L301" s="137" t="s">
        <v>129</v>
      </c>
      <c r="M301" s="141"/>
      <c r="N301" s="147"/>
    </row>
    <row r="302" hidden="1" outlineLevel="1">
      <c r="A302" s="219" t="s">
        <v>1803</v>
      </c>
      <c r="B302" s="344">
        <v>46136.0</v>
      </c>
      <c r="C302" s="133" t="str">
        <f t="shared" si="33"/>
        <v>Fri</v>
      </c>
      <c r="D302" s="383">
        <f t="shared" si="34"/>
        <v>1</v>
      </c>
      <c r="E302" s="147" t="s">
        <v>129</v>
      </c>
      <c r="F302" s="137" t="s">
        <v>129</v>
      </c>
      <c r="G302" s="137" t="s">
        <v>129</v>
      </c>
      <c r="H302" s="137" t="s">
        <v>129</v>
      </c>
      <c r="I302" s="137" t="s">
        <v>129</v>
      </c>
      <c r="J302" s="137" t="s">
        <v>129</v>
      </c>
      <c r="K302" s="137" t="s">
        <v>129</v>
      </c>
      <c r="L302" s="137" t="s">
        <v>129</v>
      </c>
      <c r="M302" s="141"/>
      <c r="N302" s="147"/>
    </row>
    <row r="303" hidden="1" outlineLevel="1">
      <c r="A303" s="367" t="s">
        <v>1805</v>
      </c>
      <c r="B303" s="344">
        <v>46137.0</v>
      </c>
      <c r="C303" s="133" t="str">
        <f t="shared" si="33"/>
        <v>Sat</v>
      </c>
      <c r="D303" s="381">
        <f t="shared" si="34"/>
        <v>1</v>
      </c>
      <c r="E303" s="382" t="s">
        <v>129</v>
      </c>
      <c r="F303" s="137" t="s">
        <v>129</v>
      </c>
      <c r="G303" s="137" t="s">
        <v>129</v>
      </c>
      <c r="H303" s="137" t="s">
        <v>129</v>
      </c>
      <c r="I303" s="137" t="s">
        <v>129</v>
      </c>
      <c r="J303" s="137" t="s">
        <v>129</v>
      </c>
      <c r="K303" s="137" t="s">
        <v>129</v>
      </c>
      <c r="L303" s="137" t="s">
        <v>129</v>
      </c>
      <c r="M303" s="141"/>
      <c r="N303" s="143"/>
    </row>
    <row r="304" hidden="1" outlineLevel="1">
      <c r="A304" s="367" t="s">
        <v>1806</v>
      </c>
      <c r="B304" s="344">
        <v>46137.0</v>
      </c>
      <c r="C304" s="133" t="str">
        <f t="shared" si="33"/>
        <v>Sat</v>
      </c>
      <c r="D304" s="383">
        <f t="shared" si="34"/>
        <v>1</v>
      </c>
      <c r="E304" s="147" t="s">
        <v>129</v>
      </c>
      <c r="F304" s="137" t="s">
        <v>129</v>
      </c>
      <c r="G304" s="137" t="s">
        <v>129</v>
      </c>
      <c r="H304" s="137" t="s">
        <v>129</v>
      </c>
      <c r="I304" s="137" t="s">
        <v>129</v>
      </c>
      <c r="J304" s="137" t="s">
        <v>129</v>
      </c>
      <c r="K304" s="137" t="s">
        <v>129</v>
      </c>
      <c r="L304" s="137" t="s">
        <v>129</v>
      </c>
      <c r="M304" s="141"/>
      <c r="N304" s="143"/>
    </row>
    <row r="305" ht="15.0" hidden="1" customHeight="1" outlineLevel="1">
      <c r="A305" s="367" t="s">
        <v>1806</v>
      </c>
      <c r="B305" s="344">
        <v>46137.0</v>
      </c>
      <c r="C305" s="133" t="str">
        <f t="shared" si="33"/>
        <v>Sat</v>
      </c>
      <c r="D305" s="381">
        <f t="shared" si="34"/>
        <v>1</v>
      </c>
      <c r="E305" s="382" t="s">
        <v>129</v>
      </c>
      <c r="F305" s="137" t="s">
        <v>129</v>
      </c>
      <c r="G305" s="137" t="s">
        <v>129</v>
      </c>
      <c r="H305" s="137" t="s">
        <v>129</v>
      </c>
      <c r="I305" s="137" t="s">
        <v>129</v>
      </c>
      <c r="J305" s="137" t="s">
        <v>129</v>
      </c>
      <c r="K305" s="137" t="s">
        <v>129</v>
      </c>
      <c r="L305" s="137" t="s">
        <v>129</v>
      </c>
      <c r="M305" s="141"/>
      <c r="N305" s="147"/>
    </row>
    <row r="306" hidden="1" outlineLevel="1">
      <c r="B306" s="189"/>
      <c r="C306" s="191" t="s">
        <v>194</v>
      </c>
      <c r="D306" s="204">
        <f>AVERAGE(D291:D305)</f>
        <v>1</v>
      </c>
      <c r="E306" s="384"/>
      <c r="L306" s="191" t="s">
        <v>194</v>
      </c>
      <c r="M306" s="204">
        <f>SUM(M291:M305)/75*0.1</f>
        <v>0</v>
      </c>
    </row>
    <row r="307" hidden="1" collapsed="1">
      <c r="A307" s="206" t="s">
        <v>978</v>
      </c>
      <c r="B307" s="207"/>
      <c r="C307" s="207"/>
      <c r="D307" s="385"/>
      <c r="E307" s="109"/>
      <c r="F307" s="109"/>
      <c r="G307" s="110"/>
      <c r="H307" s="110"/>
      <c r="I307" s="110"/>
      <c r="J307" s="110"/>
      <c r="K307" s="110"/>
      <c r="L307" s="110"/>
      <c r="M307" s="111"/>
      <c r="N307" s="113"/>
    </row>
    <row r="308" hidden="1" outlineLevel="1">
      <c r="A308" s="373" t="s">
        <v>98</v>
      </c>
      <c r="B308" s="115" t="s">
        <v>100</v>
      </c>
      <c r="C308" s="115" t="s">
        <v>102</v>
      </c>
      <c r="D308" s="119" t="s">
        <v>103</v>
      </c>
      <c r="E308" s="275" t="s">
        <v>269</v>
      </c>
      <c r="F308" s="275" t="s">
        <v>272</v>
      </c>
      <c r="G308" s="276" t="s">
        <v>328</v>
      </c>
      <c r="H308" s="121" t="s">
        <v>107</v>
      </c>
      <c r="I308" s="121" t="s">
        <v>108</v>
      </c>
      <c r="J308" s="276" t="s">
        <v>329</v>
      </c>
      <c r="K308" s="121" t="s">
        <v>111</v>
      </c>
      <c r="L308" s="276" t="s">
        <v>274</v>
      </c>
      <c r="M308" s="115" t="s">
        <v>114</v>
      </c>
      <c r="N308" s="119" t="s">
        <v>115</v>
      </c>
    </row>
    <row r="309" hidden="1" outlineLevel="1">
      <c r="A309" s="433" t="s">
        <v>1810</v>
      </c>
      <c r="B309" s="344">
        <v>46139.0</v>
      </c>
      <c r="C309" s="133" t="str">
        <f t="shared" ref="C309:C323" si="35">IF(B309="", "", TEXT(B309, "ddd"))</f>
        <v>Mon</v>
      </c>
      <c r="D309" s="381">
        <f t="shared" ref="D309:D323" si="36">IF(E309="Yes",0.05,0)
+IF(F309="Yes",0.1,0)
+IF(G309="Yes",0.15,0)
+IF(H309="Yes",0.15,0)
+IF(I309="Yes",0.05,0)
+IF(J309="Yes",0.05,0)
+IF(K309="Yes",0.15,0)
+IF(L309="Yes",0.3,0)
</f>
        <v>1</v>
      </c>
      <c r="E309" s="382" t="s">
        <v>129</v>
      </c>
      <c r="F309" s="137" t="s">
        <v>129</v>
      </c>
      <c r="G309" s="137" t="s">
        <v>129</v>
      </c>
      <c r="H309" s="137" t="s">
        <v>129</v>
      </c>
      <c r="I309" s="137" t="s">
        <v>129</v>
      </c>
      <c r="J309" s="137" t="s">
        <v>129</v>
      </c>
      <c r="K309" s="137" t="s">
        <v>129</v>
      </c>
      <c r="L309" s="137" t="s">
        <v>129</v>
      </c>
      <c r="M309" s="141"/>
      <c r="N309" s="143"/>
    </row>
    <row r="310" hidden="1" outlineLevel="1">
      <c r="A310" s="433" t="s">
        <v>1814</v>
      </c>
      <c r="B310" s="344">
        <v>46139.0</v>
      </c>
      <c r="C310" s="133" t="str">
        <f t="shared" si="35"/>
        <v>Mon</v>
      </c>
      <c r="D310" s="383">
        <f t="shared" si="36"/>
        <v>1</v>
      </c>
      <c r="E310" s="147" t="s">
        <v>129</v>
      </c>
      <c r="F310" s="137" t="s">
        <v>129</v>
      </c>
      <c r="G310" s="137" t="s">
        <v>129</v>
      </c>
      <c r="H310" s="137" t="s">
        <v>129</v>
      </c>
      <c r="I310" s="137" t="s">
        <v>129</v>
      </c>
      <c r="J310" s="137" t="s">
        <v>129</v>
      </c>
      <c r="K310" s="137" t="s">
        <v>129</v>
      </c>
      <c r="L310" s="137" t="s">
        <v>129</v>
      </c>
      <c r="M310" s="141"/>
      <c r="N310" s="147"/>
    </row>
    <row r="311" hidden="1" outlineLevel="1">
      <c r="A311" s="433" t="s">
        <v>1816</v>
      </c>
      <c r="B311" s="344">
        <v>46139.0</v>
      </c>
      <c r="C311" s="133" t="str">
        <f t="shared" si="35"/>
        <v>Mon</v>
      </c>
      <c r="D311" s="381">
        <f t="shared" si="36"/>
        <v>1</v>
      </c>
      <c r="E311" s="382" t="s">
        <v>129</v>
      </c>
      <c r="F311" s="137" t="s">
        <v>129</v>
      </c>
      <c r="G311" s="137" t="s">
        <v>129</v>
      </c>
      <c r="H311" s="137" t="s">
        <v>129</v>
      </c>
      <c r="I311" s="137" t="s">
        <v>129</v>
      </c>
      <c r="J311" s="137" t="s">
        <v>129</v>
      </c>
      <c r="K311" s="137" t="s">
        <v>129</v>
      </c>
      <c r="L311" s="137" t="s">
        <v>129</v>
      </c>
      <c r="M311" s="141"/>
      <c r="N311" s="147"/>
    </row>
    <row r="312" hidden="1" outlineLevel="1">
      <c r="A312" s="433" t="s">
        <v>1819</v>
      </c>
      <c r="B312" s="344">
        <v>46140.0</v>
      </c>
      <c r="C312" s="133" t="str">
        <f t="shared" si="35"/>
        <v>Tue</v>
      </c>
      <c r="D312" s="383">
        <f t="shared" si="36"/>
        <v>1</v>
      </c>
      <c r="E312" s="147" t="s">
        <v>129</v>
      </c>
      <c r="F312" s="137" t="s">
        <v>129</v>
      </c>
      <c r="G312" s="137" t="s">
        <v>129</v>
      </c>
      <c r="H312" s="137" t="s">
        <v>129</v>
      </c>
      <c r="I312" s="137" t="s">
        <v>129</v>
      </c>
      <c r="J312" s="137" t="s">
        <v>129</v>
      </c>
      <c r="K312" s="137" t="s">
        <v>129</v>
      </c>
      <c r="L312" s="137" t="s">
        <v>129</v>
      </c>
      <c r="M312" s="141"/>
      <c r="N312" s="143"/>
    </row>
    <row r="313" hidden="1" outlineLevel="1">
      <c r="A313" s="433" t="s">
        <v>1819</v>
      </c>
      <c r="B313" s="344">
        <v>46140.0</v>
      </c>
      <c r="C313" s="133" t="str">
        <f t="shared" si="35"/>
        <v>Tue</v>
      </c>
      <c r="D313" s="381">
        <f t="shared" si="36"/>
        <v>1</v>
      </c>
      <c r="E313" s="382" t="s">
        <v>129</v>
      </c>
      <c r="F313" s="137" t="s">
        <v>129</v>
      </c>
      <c r="G313" s="137" t="s">
        <v>129</v>
      </c>
      <c r="H313" s="137" t="s">
        <v>129</v>
      </c>
      <c r="I313" s="137" t="s">
        <v>129</v>
      </c>
      <c r="J313" s="137" t="s">
        <v>129</v>
      </c>
      <c r="K313" s="137" t="s">
        <v>129</v>
      </c>
      <c r="L313" s="137" t="s">
        <v>129</v>
      </c>
      <c r="M313" s="141"/>
      <c r="N313" s="143"/>
    </row>
    <row r="314" hidden="1" outlineLevel="1">
      <c r="A314" s="433" t="s">
        <v>1819</v>
      </c>
      <c r="B314" s="344">
        <v>46140.0</v>
      </c>
      <c r="C314" s="133" t="str">
        <f t="shared" si="35"/>
        <v>Tue</v>
      </c>
      <c r="D314" s="383">
        <f t="shared" si="36"/>
        <v>1</v>
      </c>
      <c r="E314" s="147" t="s">
        <v>129</v>
      </c>
      <c r="F314" s="137" t="s">
        <v>129</v>
      </c>
      <c r="G314" s="137" t="s">
        <v>129</v>
      </c>
      <c r="H314" s="137" t="s">
        <v>129</v>
      </c>
      <c r="I314" s="137" t="s">
        <v>129</v>
      </c>
      <c r="J314" s="137" t="s">
        <v>129</v>
      </c>
      <c r="K314" s="137" t="s">
        <v>129</v>
      </c>
      <c r="L314" s="137" t="s">
        <v>129</v>
      </c>
      <c r="M314" s="141"/>
      <c r="N314" s="143"/>
    </row>
    <row r="315" hidden="1" outlineLevel="1">
      <c r="A315" s="394" t="s">
        <v>1821</v>
      </c>
      <c r="B315" s="344">
        <v>46141.0</v>
      </c>
      <c r="C315" s="133" t="str">
        <f t="shared" si="35"/>
        <v>Wed</v>
      </c>
      <c r="D315" s="381">
        <f t="shared" si="36"/>
        <v>1</v>
      </c>
      <c r="E315" s="382" t="s">
        <v>129</v>
      </c>
      <c r="F315" s="137" t="s">
        <v>129</v>
      </c>
      <c r="G315" s="137" t="s">
        <v>129</v>
      </c>
      <c r="H315" s="137" t="s">
        <v>129</v>
      </c>
      <c r="I315" s="137" t="s">
        <v>129</v>
      </c>
      <c r="J315" s="137" t="s">
        <v>129</v>
      </c>
      <c r="K315" s="137" t="s">
        <v>129</v>
      </c>
      <c r="L315" s="137" t="s">
        <v>129</v>
      </c>
      <c r="M315" s="141"/>
      <c r="N315" s="143"/>
    </row>
    <row r="316" hidden="1" outlineLevel="1">
      <c r="A316" s="394" t="s">
        <v>1822</v>
      </c>
      <c r="B316" s="344">
        <v>46141.0</v>
      </c>
      <c r="C316" s="133" t="str">
        <f t="shared" si="35"/>
        <v>Wed</v>
      </c>
      <c r="D316" s="383">
        <f t="shared" si="36"/>
        <v>1</v>
      </c>
      <c r="E316" s="147" t="s">
        <v>129</v>
      </c>
      <c r="F316" s="137" t="s">
        <v>129</v>
      </c>
      <c r="G316" s="137" t="s">
        <v>129</v>
      </c>
      <c r="H316" s="137" t="s">
        <v>129</v>
      </c>
      <c r="I316" s="137" t="s">
        <v>129</v>
      </c>
      <c r="J316" s="137" t="s">
        <v>129</v>
      </c>
      <c r="K316" s="137" t="s">
        <v>129</v>
      </c>
      <c r="L316" s="137" t="s">
        <v>129</v>
      </c>
      <c r="M316" s="141"/>
      <c r="N316" s="147"/>
    </row>
    <row r="317" hidden="1" outlineLevel="1">
      <c r="A317" s="393" t="s">
        <v>1823</v>
      </c>
      <c r="B317" s="344">
        <v>46141.0</v>
      </c>
      <c r="C317" s="133" t="str">
        <f t="shared" si="35"/>
        <v>Wed</v>
      </c>
      <c r="D317" s="381">
        <f t="shared" si="36"/>
        <v>1</v>
      </c>
      <c r="E317" s="382" t="s">
        <v>129</v>
      </c>
      <c r="F317" s="137" t="s">
        <v>129</v>
      </c>
      <c r="G317" s="137" t="s">
        <v>129</v>
      </c>
      <c r="H317" s="137" t="s">
        <v>129</v>
      </c>
      <c r="I317" s="137" t="s">
        <v>129</v>
      </c>
      <c r="J317" s="137" t="s">
        <v>129</v>
      </c>
      <c r="K317" s="137" t="s">
        <v>129</v>
      </c>
      <c r="L317" s="137" t="s">
        <v>129</v>
      </c>
      <c r="M317" s="141"/>
      <c r="N317" s="143"/>
    </row>
    <row r="318" hidden="1" outlineLevel="1">
      <c r="A318" s="394" t="s">
        <v>1825</v>
      </c>
      <c r="B318" s="344">
        <v>46143.0</v>
      </c>
      <c r="C318" s="133" t="str">
        <f t="shared" si="35"/>
        <v>Fri</v>
      </c>
      <c r="D318" s="383">
        <f t="shared" si="36"/>
        <v>1</v>
      </c>
      <c r="E318" s="147" t="s">
        <v>129</v>
      </c>
      <c r="F318" s="137" t="s">
        <v>129</v>
      </c>
      <c r="G318" s="137" t="s">
        <v>129</v>
      </c>
      <c r="H318" s="137" t="s">
        <v>129</v>
      </c>
      <c r="I318" s="137" t="s">
        <v>129</v>
      </c>
      <c r="J318" s="137" t="s">
        <v>129</v>
      </c>
      <c r="K318" s="137" t="s">
        <v>129</v>
      </c>
      <c r="L318" s="137" t="s">
        <v>129</v>
      </c>
      <c r="M318" s="141"/>
      <c r="N318" s="147"/>
    </row>
    <row r="319" hidden="1" outlineLevel="1">
      <c r="A319" s="394" t="s">
        <v>1827</v>
      </c>
      <c r="B319" s="344">
        <v>46143.0</v>
      </c>
      <c r="C319" s="133" t="str">
        <f t="shared" si="35"/>
        <v>Fri</v>
      </c>
      <c r="D319" s="381">
        <f t="shared" si="36"/>
        <v>1</v>
      </c>
      <c r="E319" s="382" t="s">
        <v>129</v>
      </c>
      <c r="F319" s="137" t="s">
        <v>129</v>
      </c>
      <c r="G319" s="137" t="s">
        <v>129</v>
      </c>
      <c r="H319" s="137" t="s">
        <v>129</v>
      </c>
      <c r="I319" s="137" t="s">
        <v>129</v>
      </c>
      <c r="J319" s="137" t="s">
        <v>129</v>
      </c>
      <c r="K319" s="137" t="s">
        <v>129</v>
      </c>
      <c r="L319" s="137" t="s">
        <v>129</v>
      </c>
      <c r="M319" s="141"/>
      <c r="N319" s="147"/>
    </row>
    <row r="320" hidden="1" outlineLevel="1">
      <c r="A320" s="393" t="s">
        <v>1829</v>
      </c>
      <c r="B320" s="344">
        <v>46143.0</v>
      </c>
      <c r="C320" s="133" t="str">
        <f t="shared" si="35"/>
        <v>Fri</v>
      </c>
      <c r="D320" s="383">
        <f t="shared" si="36"/>
        <v>1</v>
      </c>
      <c r="E320" s="147" t="s">
        <v>129</v>
      </c>
      <c r="F320" s="137" t="s">
        <v>129</v>
      </c>
      <c r="G320" s="137" t="s">
        <v>129</v>
      </c>
      <c r="H320" s="137" t="s">
        <v>129</v>
      </c>
      <c r="I320" s="137" t="s">
        <v>129</v>
      </c>
      <c r="J320" s="137" t="s">
        <v>129</v>
      </c>
      <c r="K320" s="137" t="s">
        <v>129</v>
      </c>
      <c r="L320" s="137" t="s">
        <v>129</v>
      </c>
      <c r="M320" s="141"/>
      <c r="N320" s="147"/>
    </row>
    <row r="321" hidden="1" outlineLevel="1">
      <c r="A321" s="394" t="s">
        <v>1831</v>
      </c>
      <c r="B321" s="344">
        <v>46144.0</v>
      </c>
      <c r="C321" s="133" t="str">
        <f t="shared" si="35"/>
        <v>Sat</v>
      </c>
      <c r="D321" s="381">
        <f t="shared" si="36"/>
        <v>1</v>
      </c>
      <c r="E321" s="382" t="s">
        <v>129</v>
      </c>
      <c r="F321" s="137" t="s">
        <v>129</v>
      </c>
      <c r="G321" s="137" t="s">
        <v>129</v>
      </c>
      <c r="H321" s="137" t="s">
        <v>129</v>
      </c>
      <c r="I321" s="137" t="s">
        <v>129</v>
      </c>
      <c r="J321" s="137" t="s">
        <v>129</v>
      </c>
      <c r="K321" s="137" t="s">
        <v>129</v>
      </c>
      <c r="L321" s="137" t="s">
        <v>129</v>
      </c>
      <c r="M321" s="141"/>
      <c r="N321" s="143"/>
    </row>
    <row r="322" hidden="1" outlineLevel="1">
      <c r="A322" s="393" t="s">
        <v>1833</v>
      </c>
      <c r="B322" s="344">
        <v>46144.0</v>
      </c>
      <c r="C322" s="133" t="str">
        <f t="shared" si="35"/>
        <v>Sat</v>
      </c>
      <c r="D322" s="383">
        <f t="shared" si="36"/>
        <v>1</v>
      </c>
      <c r="E322" s="147" t="s">
        <v>129</v>
      </c>
      <c r="F322" s="137" t="s">
        <v>129</v>
      </c>
      <c r="G322" s="137" t="s">
        <v>129</v>
      </c>
      <c r="H322" s="137" t="s">
        <v>129</v>
      </c>
      <c r="I322" s="137" t="s">
        <v>129</v>
      </c>
      <c r="J322" s="137" t="s">
        <v>129</v>
      </c>
      <c r="K322" s="137" t="s">
        <v>129</v>
      </c>
      <c r="L322" s="137" t="s">
        <v>129</v>
      </c>
      <c r="M322" s="141"/>
      <c r="N322" s="143"/>
    </row>
    <row r="323" ht="15.0" hidden="1" customHeight="1" outlineLevel="1">
      <c r="A323" s="394" t="s">
        <v>1835</v>
      </c>
      <c r="B323" s="344">
        <v>46144.0</v>
      </c>
      <c r="C323" s="133" t="str">
        <f t="shared" si="35"/>
        <v>Sat</v>
      </c>
      <c r="D323" s="381">
        <f t="shared" si="36"/>
        <v>1</v>
      </c>
      <c r="E323" s="382" t="s">
        <v>129</v>
      </c>
      <c r="F323" s="137" t="s">
        <v>129</v>
      </c>
      <c r="G323" s="137" t="s">
        <v>129</v>
      </c>
      <c r="H323" s="137" t="s">
        <v>129</v>
      </c>
      <c r="I323" s="137" t="s">
        <v>129</v>
      </c>
      <c r="J323" s="137" t="s">
        <v>129</v>
      </c>
      <c r="K323" s="137" t="s">
        <v>129</v>
      </c>
      <c r="L323" s="137" t="s">
        <v>129</v>
      </c>
      <c r="M323" s="141"/>
      <c r="N323" s="147"/>
    </row>
    <row r="324" hidden="1" outlineLevel="1">
      <c r="B324" s="189"/>
      <c r="C324" s="191" t="s">
        <v>194</v>
      </c>
      <c r="D324" s="204">
        <f>AVERAGE(D309:D323)</f>
        <v>1</v>
      </c>
      <c r="E324" s="384"/>
      <c r="L324" s="191" t="s">
        <v>194</v>
      </c>
      <c r="M324" s="204">
        <f>SUM(M309:M323)/75*0.1</f>
        <v>0</v>
      </c>
    </row>
    <row r="325" hidden="1" collapsed="1">
      <c r="A325" s="206" t="s">
        <v>1006</v>
      </c>
      <c r="B325" s="207"/>
      <c r="C325" s="207"/>
      <c r="D325" s="385"/>
      <c r="E325" s="109"/>
      <c r="F325" s="109"/>
      <c r="G325" s="110"/>
      <c r="H325" s="110"/>
      <c r="I325" s="110"/>
      <c r="J325" s="110"/>
      <c r="K325" s="110"/>
      <c r="L325" s="110"/>
      <c r="M325" s="111"/>
      <c r="N325" s="113"/>
    </row>
    <row r="326" hidden="1" outlineLevel="1">
      <c r="A326" s="373" t="s">
        <v>98</v>
      </c>
      <c r="B326" s="115" t="s">
        <v>100</v>
      </c>
      <c r="C326" s="115" t="s">
        <v>102</v>
      </c>
      <c r="D326" s="119" t="s">
        <v>103</v>
      </c>
      <c r="E326" s="275" t="s">
        <v>269</v>
      </c>
      <c r="F326" s="275" t="s">
        <v>272</v>
      </c>
      <c r="G326" s="276" t="s">
        <v>328</v>
      </c>
      <c r="H326" s="121" t="s">
        <v>107</v>
      </c>
      <c r="I326" s="121" t="s">
        <v>108</v>
      </c>
      <c r="J326" s="276" t="s">
        <v>329</v>
      </c>
      <c r="K326" s="121" t="s">
        <v>111</v>
      </c>
      <c r="L326" s="276" t="s">
        <v>274</v>
      </c>
      <c r="M326" s="115" t="s">
        <v>114</v>
      </c>
      <c r="N326" s="119" t="s">
        <v>115</v>
      </c>
    </row>
    <row r="327" hidden="1" outlineLevel="1">
      <c r="A327" s="390" t="s">
        <v>1840</v>
      </c>
      <c r="B327" s="344">
        <v>46146.0</v>
      </c>
      <c r="C327" s="133" t="str">
        <f t="shared" ref="C327:C341" si="37">IF(B327="", "", TEXT(B327, "ddd"))</f>
        <v>Mon</v>
      </c>
      <c r="D327" s="381">
        <f t="shared" ref="D327:D341" si="38">IF(E327="Yes",0.05,0)
+IF(F327="Yes",0.1,0)
+IF(G327="Yes",0.15,0)
+IF(H327="Yes",0.15,0)
+IF(I327="Yes",0.05,0)
+IF(J327="Yes",0.05,0)
+IF(K327="Yes",0.15,0)
+IF(L327="Yes",0.3,0)
</f>
        <v>1</v>
      </c>
      <c r="E327" s="382" t="s">
        <v>129</v>
      </c>
      <c r="F327" s="137" t="s">
        <v>129</v>
      </c>
      <c r="G327" s="137" t="s">
        <v>129</v>
      </c>
      <c r="H327" s="137" t="s">
        <v>129</v>
      </c>
      <c r="I327" s="137" t="s">
        <v>129</v>
      </c>
      <c r="J327" s="137" t="s">
        <v>129</v>
      </c>
      <c r="K327" s="137" t="s">
        <v>129</v>
      </c>
      <c r="L327" s="137" t="s">
        <v>129</v>
      </c>
      <c r="M327" s="141"/>
      <c r="N327" s="143"/>
    </row>
    <row r="328" hidden="1" outlineLevel="1">
      <c r="A328" s="390" t="s">
        <v>1843</v>
      </c>
      <c r="B328" s="344">
        <v>46146.0</v>
      </c>
      <c r="C328" s="133" t="str">
        <f t="shared" si="37"/>
        <v>Mon</v>
      </c>
      <c r="D328" s="383">
        <f t="shared" si="38"/>
        <v>1</v>
      </c>
      <c r="E328" s="147" t="s">
        <v>129</v>
      </c>
      <c r="F328" s="137" t="s">
        <v>129</v>
      </c>
      <c r="G328" s="137" t="s">
        <v>129</v>
      </c>
      <c r="H328" s="137" t="s">
        <v>129</v>
      </c>
      <c r="I328" s="137" t="s">
        <v>129</v>
      </c>
      <c r="J328" s="137" t="s">
        <v>129</v>
      </c>
      <c r="K328" s="137" t="s">
        <v>129</v>
      </c>
      <c r="L328" s="137" t="s">
        <v>129</v>
      </c>
      <c r="M328" s="141"/>
      <c r="N328" s="147"/>
    </row>
    <row r="329" hidden="1" outlineLevel="1">
      <c r="A329" s="390" t="s">
        <v>1845</v>
      </c>
      <c r="B329" s="344">
        <v>46146.0</v>
      </c>
      <c r="C329" s="133" t="str">
        <f t="shared" si="37"/>
        <v>Mon</v>
      </c>
      <c r="D329" s="381">
        <f t="shared" si="38"/>
        <v>1</v>
      </c>
      <c r="E329" s="382" t="s">
        <v>129</v>
      </c>
      <c r="F329" s="137" t="s">
        <v>129</v>
      </c>
      <c r="G329" s="137" t="s">
        <v>129</v>
      </c>
      <c r="H329" s="137" t="s">
        <v>129</v>
      </c>
      <c r="I329" s="137" t="s">
        <v>129</v>
      </c>
      <c r="J329" s="137" t="s">
        <v>129</v>
      </c>
      <c r="K329" s="137" t="s">
        <v>129</v>
      </c>
      <c r="L329" s="137" t="s">
        <v>129</v>
      </c>
      <c r="M329" s="141"/>
      <c r="N329" s="147"/>
    </row>
    <row r="330" hidden="1" outlineLevel="1">
      <c r="A330" s="390" t="s">
        <v>1848</v>
      </c>
      <c r="B330" s="344">
        <v>46147.0</v>
      </c>
      <c r="C330" s="133" t="str">
        <f t="shared" si="37"/>
        <v>Tue</v>
      </c>
      <c r="D330" s="383">
        <f t="shared" si="38"/>
        <v>1</v>
      </c>
      <c r="E330" s="147" t="s">
        <v>129</v>
      </c>
      <c r="F330" s="137" t="s">
        <v>129</v>
      </c>
      <c r="G330" s="137" t="s">
        <v>129</v>
      </c>
      <c r="H330" s="137" t="s">
        <v>129</v>
      </c>
      <c r="I330" s="137" t="s">
        <v>129</v>
      </c>
      <c r="J330" s="137" t="s">
        <v>129</v>
      </c>
      <c r="K330" s="137" t="s">
        <v>129</v>
      </c>
      <c r="L330" s="137" t="s">
        <v>129</v>
      </c>
      <c r="M330" s="141"/>
      <c r="N330" s="143"/>
    </row>
    <row r="331" hidden="1" outlineLevel="1">
      <c r="A331" s="390" t="s">
        <v>1849</v>
      </c>
      <c r="B331" s="344">
        <v>46147.0</v>
      </c>
      <c r="C331" s="133" t="str">
        <f t="shared" si="37"/>
        <v>Tue</v>
      </c>
      <c r="D331" s="381">
        <f t="shared" si="38"/>
        <v>1</v>
      </c>
      <c r="E331" s="382" t="s">
        <v>129</v>
      </c>
      <c r="F331" s="137" t="s">
        <v>129</v>
      </c>
      <c r="G331" s="137" t="s">
        <v>129</v>
      </c>
      <c r="H331" s="137" t="s">
        <v>129</v>
      </c>
      <c r="I331" s="137" t="s">
        <v>129</v>
      </c>
      <c r="J331" s="137" t="s">
        <v>129</v>
      </c>
      <c r="K331" s="137" t="s">
        <v>129</v>
      </c>
      <c r="L331" s="137" t="s">
        <v>129</v>
      </c>
      <c r="M331" s="141"/>
      <c r="N331" s="143"/>
    </row>
    <row r="332" hidden="1" outlineLevel="1">
      <c r="A332" s="391" t="s">
        <v>1852</v>
      </c>
      <c r="B332" s="344">
        <v>46147.0</v>
      </c>
      <c r="C332" s="133" t="str">
        <f t="shared" si="37"/>
        <v>Tue</v>
      </c>
      <c r="D332" s="383">
        <f t="shared" si="38"/>
        <v>1</v>
      </c>
      <c r="E332" s="147" t="s">
        <v>129</v>
      </c>
      <c r="F332" s="137" t="s">
        <v>129</v>
      </c>
      <c r="G332" s="137" t="s">
        <v>129</v>
      </c>
      <c r="H332" s="137" t="s">
        <v>129</v>
      </c>
      <c r="I332" s="137" t="s">
        <v>129</v>
      </c>
      <c r="J332" s="137" t="s">
        <v>129</v>
      </c>
      <c r="K332" s="137" t="s">
        <v>129</v>
      </c>
      <c r="L332" s="137" t="s">
        <v>129</v>
      </c>
      <c r="M332" s="141"/>
      <c r="N332" s="143"/>
    </row>
    <row r="333" hidden="1" outlineLevel="1">
      <c r="A333" s="394" t="s">
        <v>1854</v>
      </c>
      <c r="B333" s="344">
        <v>46149.0</v>
      </c>
      <c r="C333" s="133" t="str">
        <f t="shared" si="37"/>
        <v>Thu</v>
      </c>
      <c r="D333" s="381">
        <f t="shared" si="38"/>
        <v>1</v>
      </c>
      <c r="E333" s="382" t="s">
        <v>129</v>
      </c>
      <c r="F333" s="137" t="s">
        <v>129</v>
      </c>
      <c r="G333" s="137" t="s">
        <v>129</v>
      </c>
      <c r="H333" s="137" t="s">
        <v>129</v>
      </c>
      <c r="I333" s="137" t="s">
        <v>129</v>
      </c>
      <c r="J333" s="137" t="s">
        <v>129</v>
      </c>
      <c r="K333" s="137" t="s">
        <v>129</v>
      </c>
      <c r="L333" s="137" t="s">
        <v>129</v>
      </c>
      <c r="M333" s="141"/>
      <c r="N333" s="143"/>
    </row>
    <row r="334" hidden="1" outlineLevel="1">
      <c r="A334" s="394" t="s">
        <v>1856</v>
      </c>
      <c r="B334" s="344">
        <v>46149.0</v>
      </c>
      <c r="C334" s="133" t="str">
        <f t="shared" si="37"/>
        <v>Thu</v>
      </c>
      <c r="D334" s="383">
        <f t="shared" si="38"/>
        <v>1</v>
      </c>
      <c r="E334" s="147" t="s">
        <v>129</v>
      </c>
      <c r="F334" s="137" t="s">
        <v>129</v>
      </c>
      <c r="G334" s="137" t="s">
        <v>129</v>
      </c>
      <c r="H334" s="137" t="s">
        <v>129</v>
      </c>
      <c r="I334" s="137" t="s">
        <v>129</v>
      </c>
      <c r="J334" s="137" t="s">
        <v>129</v>
      </c>
      <c r="K334" s="137" t="s">
        <v>129</v>
      </c>
      <c r="L334" s="137" t="s">
        <v>129</v>
      </c>
      <c r="M334" s="141"/>
      <c r="N334" s="147"/>
    </row>
    <row r="335" hidden="1" outlineLevel="1">
      <c r="A335" s="394" t="s">
        <v>1860</v>
      </c>
      <c r="B335" s="344">
        <v>46149.0</v>
      </c>
      <c r="C335" s="133" t="str">
        <f t="shared" si="37"/>
        <v>Thu</v>
      </c>
      <c r="D335" s="381">
        <f t="shared" si="38"/>
        <v>1</v>
      </c>
      <c r="E335" s="382" t="s">
        <v>129</v>
      </c>
      <c r="F335" s="137" t="s">
        <v>129</v>
      </c>
      <c r="G335" s="137" t="s">
        <v>129</v>
      </c>
      <c r="H335" s="137" t="s">
        <v>129</v>
      </c>
      <c r="I335" s="137" t="s">
        <v>129</v>
      </c>
      <c r="J335" s="137" t="s">
        <v>129</v>
      </c>
      <c r="K335" s="137" t="s">
        <v>129</v>
      </c>
      <c r="L335" s="137" t="s">
        <v>129</v>
      </c>
      <c r="M335" s="141"/>
      <c r="N335" s="143"/>
    </row>
    <row r="336" hidden="1" outlineLevel="1">
      <c r="A336" s="393" t="s">
        <v>1862</v>
      </c>
      <c r="B336" s="344">
        <v>46150.0</v>
      </c>
      <c r="C336" s="133" t="str">
        <f t="shared" si="37"/>
        <v>Fri</v>
      </c>
      <c r="D336" s="383">
        <f t="shared" si="38"/>
        <v>1</v>
      </c>
      <c r="E336" s="147" t="s">
        <v>129</v>
      </c>
      <c r="F336" s="137" t="s">
        <v>129</v>
      </c>
      <c r="G336" s="137" t="s">
        <v>129</v>
      </c>
      <c r="H336" s="137" t="s">
        <v>129</v>
      </c>
      <c r="I336" s="137" t="s">
        <v>129</v>
      </c>
      <c r="J336" s="137" t="s">
        <v>129</v>
      </c>
      <c r="K336" s="137" t="s">
        <v>129</v>
      </c>
      <c r="L336" s="137" t="s">
        <v>129</v>
      </c>
      <c r="M336" s="141"/>
      <c r="N336" s="147"/>
    </row>
    <row r="337" hidden="1" outlineLevel="1">
      <c r="A337" s="394" t="s">
        <v>1864</v>
      </c>
      <c r="B337" s="344">
        <v>46150.0</v>
      </c>
      <c r="C337" s="133" t="str">
        <f t="shared" si="37"/>
        <v>Fri</v>
      </c>
      <c r="D337" s="381">
        <f t="shared" si="38"/>
        <v>1</v>
      </c>
      <c r="E337" s="382" t="s">
        <v>129</v>
      </c>
      <c r="F337" s="137" t="s">
        <v>129</v>
      </c>
      <c r="G337" s="137" t="s">
        <v>129</v>
      </c>
      <c r="H337" s="137" t="s">
        <v>129</v>
      </c>
      <c r="I337" s="137" t="s">
        <v>129</v>
      </c>
      <c r="J337" s="137" t="s">
        <v>129</v>
      </c>
      <c r="K337" s="137" t="s">
        <v>129</v>
      </c>
      <c r="L337" s="137" t="s">
        <v>129</v>
      </c>
      <c r="M337" s="141"/>
      <c r="N337" s="147"/>
    </row>
    <row r="338" hidden="1" outlineLevel="1">
      <c r="A338" s="393" t="s">
        <v>1866</v>
      </c>
      <c r="B338" s="344">
        <v>46150.0</v>
      </c>
      <c r="C338" s="133" t="str">
        <f t="shared" si="37"/>
        <v>Fri</v>
      </c>
      <c r="D338" s="383">
        <f t="shared" si="38"/>
        <v>1</v>
      </c>
      <c r="E338" s="147" t="s">
        <v>129</v>
      </c>
      <c r="F338" s="137" t="s">
        <v>129</v>
      </c>
      <c r="G338" s="137" t="s">
        <v>129</v>
      </c>
      <c r="H338" s="137" t="s">
        <v>129</v>
      </c>
      <c r="I338" s="137" t="s">
        <v>129</v>
      </c>
      <c r="J338" s="137" t="s">
        <v>129</v>
      </c>
      <c r="K338" s="137" t="s">
        <v>129</v>
      </c>
      <c r="L338" s="137" t="s">
        <v>129</v>
      </c>
      <c r="M338" s="141"/>
      <c r="N338" s="147"/>
    </row>
    <row r="339" hidden="1" outlineLevel="1">
      <c r="A339" s="391" t="s">
        <v>1868</v>
      </c>
      <c r="B339" s="344">
        <v>46151.0</v>
      </c>
      <c r="C339" s="133" t="str">
        <f t="shared" si="37"/>
        <v>Sat</v>
      </c>
      <c r="D339" s="381">
        <f t="shared" si="38"/>
        <v>1</v>
      </c>
      <c r="E339" s="382" t="s">
        <v>129</v>
      </c>
      <c r="F339" s="137" t="s">
        <v>129</v>
      </c>
      <c r="G339" s="137" t="s">
        <v>129</v>
      </c>
      <c r="H339" s="137" t="s">
        <v>129</v>
      </c>
      <c r="I339" s="137" t="s">
        <v>129</v>
      </c>
      <c r="J339" s="137" t="s">
        <v>129</v>
      </c>
      <c r="K339" s="137" t="s">
        <v>129</v>
      </c>
      <c r="L339" s="137" t="s">
        <v>129</v>
      </c>
      <c r="M339" s="141"/>
      <c r="N339" s="143"/>
    </row>
    <row r="340" hidden="1" outlineLevel="1">
      <c r="A340" s="391" t="s">
        <v>1871</v>
      </c>
      <c r="B340" s="344">
        <v>46151.0</v>
      </c>
      <c r="C340" s="133" t="str">
        <f t="shared" si="37"/>
        <v>Sat</v>
      </c>
      <c r="D340" s="383">
        <f t="shared" si="38"/>
        <v>1</v>
      </c>
      <c r="E340" s="147" t="s">
        <v>129</v>
      </c>
      <c r="F340" s="137" t="s">
        <v>129</v>
      </c>
      <c r="G340" s="137" t="s">
        <v>129</v>
      </c>
      <c r="H340" s="137" t="s">
        <v>129</v>
      </c>
      <c r="I340" s="137" t="s">
        <v>129</v>
      </c>
      <c r="J340" s="137" t="s">
        <v>129</v>
      </c>
      <c r="K340" s="137" t="s">
        <v>129</v>
      </c>
      <c r="L340" s="137" t="s">
        <v>129</v>
      </c>
      <c r="M340" s="141"/>
      <c r="N340" s="143"/>
    </row>
    <row r="341" ht="15.0" hidden="1" customHeight="1" outlineLevel="1">
      <c r="A341" s="390" t="s">
        <v>1868</v>
      </c>
      <c r="B341" s="344">
        <v>46151.0</v>
      </c>
      <c r="C341" s="133" t="str">
        <f t="shared" si="37"/>
        <v>Sat</v>
      </c>
      <c r="D341" s="381">
        <f t="shared" si="38"/>
        <v>1</v>
      </c>
      <c r="E341" s="382" t="s">
        <v>129</v>
      </c>
      <c r="F341" s="137" t="s">
        <v>129</v>
      </c>
      <c r="G341" s="137" t="s">
        <v>129</v>
      </c>
      <c r="H341" s="137" t="s">
        <v>129</v>
      </c>
      <c r="I341" s="137" t="s">
        <v>129</v>
      </c>
      <c r="J341" s="137" t="s">
        <v>129</v>
      </c>
      <c r="K341" s="137" t="s">
        <v>129</v>
      </c>
      <c r="L341" s="137" t="s">
        <v>129</v>
      </c>
      <c r="M341" s="141"/>
      <c r="N341" s="147"/>
    </row>
    <row r="342" hidden="1" outlineLevel="1">
      <c r="B342" s="189"/>
      <c r="C342" s="191" t="s">
        <v>194</v>
      </c>
      <c r="D342" s="204">
        <f>AVERAGE(D327:D341)</f>
        <v>1</v>
      </c>
      <c r="E342" s="384"/>
      <c r="L342" s="191" t="s">
        <v>194</v>
      </c>
      <c r="M342" s="204">
        <f>SUM(M327:M341)/75*0.1</f>
        <v>0</v>
      </c>
    </row>
    <row r="343" hidden="1" collapsed="1">
      <c r="A343" s="206" t="s">
        <v>1036</v>
      </c>
      <c r="B343" s="207"/>
      <c r="C343" s="207"/>
      <c r="D343" s="385"/>
      <c r="E343" s="109"/>
      <c r="F343" s="109"/>
      <c r="G343" s="110"/>
      <c r="H343" s="110"/>
      <c r="I343" s="110"/>
      <c r="J343" s="110"/>
      <c r="K343" s="110"/>
      <c r="L343" s="110"/>
      <c r="M343" s="111"/>
      <c r="N343" s="113"/>
    </row>
    <row r="344" hidden="1" outlineLevel="1">
      <c r="A344" s="373" t="s">
        <v>98</v>
      </c>
      <c r="B344" s="115" t="s">
        <v>100</v>
      </c>
      <c r="C344" s="115" t="s">
        <v>102</v>
      </c>
      <c r="D344" s="119" t="s">
        <v>103</v>
      </c>
      <c r="E344" s="275" t="s">
        <v>269</v>
      </c>
      <c r="F344" s="275" t="s">
        <v>272</v>
      </c>
      <c r="G344" s="276" t="s">
        <v>328</v>
      </c>
      <c r="H344" s="121" t="s">
        <v>107</v>
      </c>
      <c r="I344" s="121" t="s">
        <v>108</v>
      </c>
      <c r="J344" s="276" t="s">
        <v>329</v>
      </c>
      <c r="K344" s="121" t="s">
        <v>111</v>
      </c>
      <c r="L344" s="276" t="s">
        <v>274</v>
      </c>
      <c r="M344" s="115" t="s">
        <v>114</v>
      </c>
      <c r="N344" s="119" t="s">
        <v>115</v>
      </c>
    </row>
    <row r="345" hidden="1" outlineLevel="1">
      <c r="A345" s="391" t="s">
        <v>1877</v>
      </c>
      <c r="B345" s="344">
        <v>46153.0</v>
      </c>
      <c r="C345" s="133" t="str">
        <f t="shared" ref="C345:C359" si="39">IF(B345="", "", TEXT(B345, "ddd"))</f>
        <v>Mon</v>
      </c>
      <c r="D345" s="381">
        <f t="shared" ref="D345:D359" si="40">IF(E345="Yes",0.05,0)
+IF(F345="Yes",0.1,0)
+IF(G345="Yes",0.15,0)
+IF(H345="Yes",0.15,0)
+IF(I345="Yes",0.05,0)
+IF(J345="Yes",0.05,0)
+IF(K345="Yes",0.15,0)
+IF(L345="Yes",0.3,0)
</f>
        <v>1</v>
      </c>
      <c r="E345" s="382" t="s">
        <v>129</v>
      </c>
      <c r="F345" s="137" t="s">
        <v>129</v>
      </c>
      <c r="G345" s="137" t="s">
        <v>129</v>
      </c>
      <c r="H345" s="137" t="s">
        <v>129</v>
      </c>
      <c r="I345" s="137" t="s">
        <v>129</v>
      </c>
      <c r="J345" s="137" t="s">
        <v>129</v>
      </c>
      <c r="K345" s="137" t="s">
        <v>129</v>
      </c>
      <c r="L345" s="137" t="s">
        <v>129</v>
      </c>
      <c r="M345" s="141"/>
      <c r="N345" s="143"/>
    </row>
    <row r="346" hidden="1" outlineLevel="1">
      <c r="A346" s="390" t="s">
        <v>1882</v>
      </c>
      <c r="B346" s="344">
        <v>46153.0</v>
      </c>
      <c r="C346" s="133" t="str">
        <f t="shared" si="39"/>
        <v>Mon</v>
      </c>
      <c r="D346" s="383">
        <f t="shared" si="40"/>
        <v>1</v>
      </c>
      <c r="E346" s="147" t="s">
        <v>129</v>
      </c>
      <c r="F346" s="137" t="s">
        <v>129</v>
      </c>
      <c r="G346" s="137" t="s">
        <v>129</v>
      </c>
      <c r="H346" s="137" t="s">
        <v>129</v>
      </c>
      <c r="I346" s="137" t="s">
        <v>129</v>
      </c>
      <c r="J346" s="137" t="s">
        <v>129</v>
      </c>
      <c r="K346" s="137" t="s">
        <v>129</v>
      </c>
      <c r="L346" s="137" t="s">
        <v>129</v>
      </c>
      <c r="M346" s="141"/>
      <c r="N346" s="147"/>
    </row>
    <row r="347" hidden="1" outlineLevel="1">
      <c r="A347" s="390" t="s">
        <v>1883</v>
      </c>
      <c r="B347" s="344">
        <v>46153.0</v>
      </c>
      <c r="C347" s="133" t="str">
        <f t="shared" si="39"/>
        <v>Mon</v>
      </c>
      <c r="D347" s="381">
        <f t="shared" si="40"/>
        <v>1</v>
      </c>
      <c r="E347" s="382" t="s">
        <v>129</v>
      </c>
      <c r="F347" s="137" t="s">
        <v>129</v>
      </c>
      <c r="G347" s="137" t="s">
        <v>129</v>
      </c>
      <c r="H347" s="137" t="s">
        <v>129</v>
      </c>
      <c r="I347" s="137" t="s">
        <v>129</v>
      </c>
      <c r="J347" s="137" t="s">
        <v>129</v>
      </c>
      <c r="K347" s="137" t="s">
        <v>129</v>
      </c>
      <c r="L347" s="137" t="s">
        <v>129</v>
      </c>
      <c r="M347" s="141"/>
      <c r="N347" s="147"/>
    </row>
    <row r="348" hidden="1" outlineLevel="1">
      <c r="A348" s="390" t="s">
        <v>1885</v>
      </c>
      <c r="B348" s="344">
        <v>46154.0</v>
      </c>
      <c r="C348" s="133" t="str">
        <f t="shared" si="39"/>
        <v>Tue</v>
      </c>
      <c r="D348" s="383">
        <f t="shared" si="40"/>
        <v>1</v>
      </c>
      <c r="E348" s="147" t="s">
        <v>129</v>
      </c>
      <c r="F348" s="137" t="s">
        <v>129</v>
      </c>
      <c r="G348" s="137" t="s">
        <v>129</v>
      </c>
      <c r="H348" s="137" t="s">
        <v>129</v>
      </c>
      <c r="I348" s="137" t="s">
        <v>129</v>
      </c>
      <c r="J348" s="137" t="s">
        <v>129</v>
      </c>
      <c r="K348" s="137" t="s">
        <v>129</v>
      </c>
      <c r="L348" s="137" t="s">
        <v>129</v>
      </c>
      <c r="M348" s="141"/>
      <c r="N348" s="143"/>
    </row>
    <row r="349" hidden="1" outlineLevel="1">
      <c r="A349" s="391" t="s">
        <v>1888</v>
      </c>
      <c r="B349" s="344">
        <v>46154.0</v>
      </c>
      <c r="C349" s="133" t="str">
        <f t="shared" si="39"/>
        <v>Tue</v>
      </c>
      <c r="D349" s="381">
        <f t="shared" si="40"/>
        <v>1</v>
      </c>
      <c r="E349" s="382" t="s">
        <v>129</v>
      </c>
      <c r="F349" s="137" t="s">
        <v>129</v>
      </c>
      <c r="G349" s="137" t="s">
        <v>129</v>
      </c>
      <c r="H349" s="137" t="s">
        <v>129</v>
      </c>
      <c r="I349" s="137" t="s">
        <v>129</v>
      </c>
      <c r="J349" s="137" t="s">
        <v>129</v>
      </c>
      <c r="K349" s="137" t="s">
        <v>129</v>
      </c>
      <c r="L349" s="137" t="s">
        <v>129</v>
      </c>
      <c r="M349" s="141"/>
      <c r="N349" s="143"/>
    </row>
    <row r="350" hidden="1" outlineLevel="1">
      <c r="A350" s="390" t="s">
        <v>1890</v>
      </c>
      <c r="B350" s="344">
        <v>46154.0</v>
      </c>
      <c r="C350" s="133" t="str">
        <f t="shared" si="39"/>
        <v>Tue</v>
      </c>
      <c r="D350" s="383">
        <f t="shared" si="40"/>
        <v>1</v>
      </c>
      <c r="E350" s="147" t="s">
        <v>129</v>
      </c>
      <c r="F350" s="137" t="s">
        <v>129</v>
      </c>
      <c r="G350" s="137" t="s">
        <v>129</v>
      </c>
      <c r="H350" s="137" t="s">
        <v>129</v>
      </c>
      <c r="I350" s="137" t="s">
        <v>129</v>
      </c>
      <c r="J350" s="137" t="s">
        <v>129</v>
      </c>
      <c r="K350" s="137" t="s">
        <v>129</v>
      </c>
      <c r="L350" s="137" t="s">
        <v>129</v>
      </c>
      <c r="M350" s="141"/>
      <c r="N350" s="143"/>
    </row>
    <row r="351" hidden="1" outlineLevel="1">
      <c r="A351" s="390" t="s">
        <v>1891</v>
      </c>
      <c r="B351" s="344">
        <v>46155.0</v>
      </c>
      <c r="C351" s="133" t="str">
        <f t="shared" si="39"/>
        <v>Wed</v>
      </c>
      <c r="D351" s="381">
        <f t="shared" si="40"/>
        <v>1</v>
      </c>
      <c r="E351" s="382" t="s">
        <v>129</v>
      </c>
      <c r="F351" s="137" t="s">
        <v>129</v>
      </c>
      <c r="G351" s="137" t="s">
        <v>129</v>
      </c>
      <c r="H351" s="137" t="s">
        <v>129</v>
      </c>
      <c r="I351" s="137" t="s">
        <v>129</v>
      </c>
      <c r="J351" s="137" t="s">
        <v>129</v>
      </c>
      <c r="K351" s="137" t="s">
        <v>129</v>
      </c>
      <c r="L351" s="137" t="s">
        <v>129</v>
      </c>
      <c r="M351" s="141"/>
      <c r="N351" s="143"/>
    </row>
    <row r="352" hidden="1" outlineLevel="1">
      <c r="A352" s="391" t="s">
        <v>1893</v>
      </c>
      <c r="B352" s="344">
        <v>46155.0</v>
      </c>
      <c r="C352" s="133" t="str">
        <f t="shared" si="39"/>
        <v>Wed</v>
      </c>
      <c r="D352" s="383">
        <f t="shared" si="40"/>
        <v>1</v>
      </c>
      <c r="E352" s="147" t="s">
        <v>129</v>
      </c>
      <c r="F352" s="137" t="s">
        <v>129</v>
      </c>
      <c r="G352" s="137" t="s">
        <v>129</v>
      </c>
      <c r="H352" s="137" t="s">
        <v>129</v>
      </c>
      <c r="I352" s="137" t="s">
        <v>129</v>
      </c>
      <c r="J352" s="137" t="s">
        <v>129</v>
      </c>
      <c r="K352" s="137" t="s">
        <v>129</v>
      </c>
      <c r="L352" s="137" t="s">
        <v>129</v>
      </c>
      <c r="M352" s="141"/>
      <c r="N352" s="147"/>
    </row>
    <row r="353" hidden="1" outlineLevel="1">
      <c r="A353" s="390" t="s">
        <v>1894</v>
      </c>
      <c r="B353" s="344">
        <v>46155.0</v>
      </c>
      <c r="C353" s="133" t="str">
        <f t="shared" si="39"/>
        <v>Wed</v>
      </c>
      <c r="D353" s="381">
        <f t="shared" si="40"/>
        <v>1</v>
      </c>
      <c r="E353" s="382" t="s">
        <v>129</v>
      </c>
      <c r="F353" s="137" t="s">
        <v>129</v>
      </c>
      <c r="G353" s="137" t="s">
        <v>129</v>
      </c>
      <c r="H353" s="137" t="s">
        <v>129</v>
      </c>
      <c r="I353" s="137" t="s">
        <v>129</v>
      </c>
      <c r="J353" s="137" t="s">
        <v>129</v>
      </c>
      <c r="K353" s="137" t="s">
        <v>129</v>
      </c>
      <c r="L353" s="137" t="s">
        <v>129</v>
      </c>
      <c r="M353" s="141"/>
      <c r="N353" s="143"/>
    </row>
    <row r="354" hidden="1" outlineLevel="1">
      <c r="A354" s="391" t="s">
        <v>1897</v>
      </c>
      <c r="B354" s="344">
        <v>46156.0</v>
      </c>
      <c r="C354" s="133" t="str">
        <f t="shared" si="39"/>
        <v>Thu</v>
      </c>
      <c r="D354" s="383">
        <f t="shared" si="40"/>
        <v>1</v>
      </c>
      <c r="E354" s="147" t="s">
        <v>129</v>
      </c>
      <c r="F354" s="137" t="s">
        <v>129</v>
      </c>
      <c r="G354" s="137" t="s">
        <v>129</v>
      </c>
      <c r="H354" s="137" t="s">
        <v>129</v>
      </c>
      <c r="I354" s="137" t="s">
        <v>129</v>
      </c>
      <c r="J354" s="137" t="s">
        <v>129</v>
      </c>
      <c r="K354" s="137" t="s">
        <v>129</v>
      </c>
      <c r="L354" s="137" t="s">
        <v>129</v>
      </c>
      <c r="M354" s="141"/>
      <c r="N354" s="147"/>
    </row>
    <row r="355" hidden="1" outlineLevel="1">
      <c r="A355" s="391" t="s">
        <v>1899</v>
      </c>
      <c r="B355" s="344">
        <v>46156.0</v>
      </c>
      <c r="C355" s="133" t="str">
        <f t="shared" si="39"/>
        <v>Thu</v>
      </c>
      <c r="D355" s="381">
        <f t="shared" si="40"/>
        <v>1</v>
      </c>
      <c r="E355" s="382" t="s">
        <v>129</v>
      </c>
      <c r="F355" s="137" t="s">
        <v>129</v>
      </c>
      <c r="G355" s="137" t="s">
        <v>129</v>
      </c>
      <c r="H355" s="137" t="s">
        <v>129</v>
      </c>
      <c r="I355" s="137" t="s">
        <v>129</v>
      </c>
      <c r="J355" s="137" t="s">
        <v>129</v>
      </c>
      <c r="K355" s="137" t="s">
        <v>129</v>
      </c>
      <c r="L355" s="137" t="s">
        <v>129</v>
      </c>
      <c r="M355" s="141"/>
      <c r="N355" s="147"/>
    </row>
    <row r="356" hidden="1" outlineLevel="1">
      <c r="A356" s="390" t="s">
        <v>1900</v>
      </c>
      <c r="B356" s="344">
        <v>46156.0</v>
      </c>
      <c r="C356" s="133" t="str">
        <f t="shared" si="39"/>
        <v>Thu</v>
      </c>
      <c r="D356" s="383">
        <f t="shared" si="40"/>
        <v>1</v>
      </c>
      <c r="E356" s="147" t="s">
        <v>129</v>
      </c>
      <c r="F356" s="137" t="s">
        <v>129</v>
      </c>
      <c r="G356" s="137" t="s">
        <v>129</v>
      </c>
      <c r="H356" s="137" t="s">
        <v>129</v>
      </c>
      <c r="I356" s="137" t="s">
        <v>129</v>
      </c>
      <c r="J356" s="137" t="s">
        <v>129</v>
      </c>
      <c r="K356" s="137" t="s">
        <v>129</v>
      </c>
      <c r="L356" s="137" t="s">
        <v>129</v>
      </c>
      <c r="M356" s="141"/>
      <c r="N356" s="147"/>
    </row>
    <row r="357" hidden="1" outlineLevel="1">
      <c r="A357" s="394" t="s">
        <v>1901</v>
      </c>
      <c r="B357" s="344">
        <v>46159.0</v>
      </c>
      <c r="C357" s="133" t="str">
        <f t="shared" si="39"/>
        <v>Sun</v>
      </c>
      <c r="D357" s="381">
        <f t="shared" si="40"/>
        <v>1</v>
      </c>
      <c r="E357" s="382" t="s">
        <v>129</v>
      </c>
      <c r="F357" s="137" t="s">
        <v>129</v>
      </c>
      <c r="G357" s="137" t="s">
        <v>129</v>
      </c>
      <c r="H357" s="137" t="s">
        <v>129</v>
      </c>
      <c r="I357" s="137" t="s">
        <v>129</v>
      </c>
      <c r="J357" s="137" t="s">
        <v>129</v>
      </c>
      <c r="K357" s="137" t="s">
        <v>129</v>
      </c>
      <c r="L357" s="137" t="s">
        <v>129</v>
      </c>
      <c r="M357" s="141"/>
      <c r="N357" s="143"/>
    </row>
    <row r="358" hidden="1" outlineLevel="1">
      <c r="A358" s="393" t="s">
        <v>1903</v>
      </c>
      <c r="B358" s="344">
        <v>46159.0</v>
      </c>
      <c r="C358" s="133" t="str">
        <f t="shared" si="39"/>
        <v>Sun</v>
      </c>
      <c r="D358" s="383">
        <f t="shared" si="40"/>
        <v>1</v>
      </c>
      <c r="E358" s="147" t="s">
        <v>129</v>
      </c>
      <c r="F358" s="137" t="s">
        <v>129</v>
      </c>
      <c r="G358" s="137" t="s">
        <v>129</v>
      </c>
      <c r="H358" s="137" t="s">
        <v>129</v>
      </c>
      <c r="I358" s="137" t="s">
        <v>129</v>
      </c>
      <c r="J358" s="137" t="s">
        <v>129</v>
      </c>
      <c r="K358" s="137" t="s">
        <v>129</v>
      </c>
      <c r="L358" s="137" t="s">
        <v>129</v>
      </c>
      <c r="M358" s="141"/>
      <c r="N358" s="143"/>
    </row>
    <row r="359" ht="15.0" hidden="1" customHeight="1" outlineLevel="1">
      <c r="A359" s="393" t="s">
        <v>1906</v>
      </c>
      <c r="B359" s="344">
        <v>46159.0</v>
      </c>
      <c r="C359" s="133" t="str">
        <f t="shared" si="39"/>
        <v>Sun</v>
      </c>
      <c r="D359" s="381">
        <f t="shared" si="40"/>
        <v>1</v>
      </c>
      <c r="E359" s="382" t="s">
        <v>129</v>
      </c>
      <c r="F359" s="137" t="s">
        <v>129</v>
      </c>
      <c r="G359" s="137" t="s">
        <v>129</v>
      </c>
      <c r="H359" s="137" t="s">
        <v>129</v>
      </c>
      <c r="I359" s="137" t="s">
        <v>129</v>
      </c>
      <c r="J359" s="137" t="s">
        <v>129</v>
      </c>
      <c r="K359" s="137" t="s">
        <v>129</v>
      </c>
      <c r="L359" s="137" t="s">
        <v>129</v>
      </c>
      <c r="M359" s="141"/>
      <c r="N359" s="147"/>
    </row>
    <row r="360" hidden="1" outlineLevel="1">
      <c r="B360" s="189"/>
      <c r="C360" s="191" t="s">
        <v>194</v>
      </c>
      <c r="D360" s="204">
        <f>AVERAGE(D345:D359)</f>
        <v>1</v>
      </c>
      <c r="E360" s="384"/>
      <c r="L360" s="191" t="s">
        <v>194</v>
      </c>
      <c r="M360" s="204">
        <f>SUM(M345:M359)/75*0.1</f>
        <v>0</v>
      </c>
    </row>
    <row r="361" hidden="1" collapsed="1">
      <c r="A361" s="206" t="s">
        <v>1057</v>
      </c>
      <c r="B361" s="207"/>
      <c r="C361" s="207"/>
      <c r="D361" s="385"/>
      <c r="E361" s="109"/>
      <c r="F361" s="109"/>
      <c r="G361" s="110"/>
      <c r="H361" s="110"/>
      <c r="I361" s="110"/>
      <c r="J361" s="110"/>
      <c r="K361" s="110"/>
      <c r="L361" s="110"/>
      <c r="M361" s="111"/>
      <c r="N361" s="113"/>
    </row>
    <row r="362" hidden="1" outlineLevel="1">
      <c r="A362" s="373" t="s">
        <v>98</v>
      </c>
      <c r="B362" s="115" t="s">
        <v>100</v>
      </c>
      <c r="C362" s="115" t="s">
        <v>102</v>
      </c>
      <c r="D362" s="119" t="s">
        <v>103</v>
      </c>
      <c r="E362" s="275" t="s">
        <v>269</v>
      </c>
      <c r="F362" s="275" t="s">
        <v>272</v>
      </c>
      <c r="G362" s="276" t="s">
        <v>328</v>
      </c>
      <c r="H362" s="121" t="s">
        <v>107</v>
      </c>
      <c r="I362" s="121" t="s">
        <v>108</v>
      </c>
      <c r="J362" s="276" t="s">
        <v>329</v>
      </c>
      <c r="K362" s="121" t="s">
        <v>111</v>
      </c>
      <c r="L362" s="276" t="s">
        <v>274</v>
      </c>
      <c r="M362" s="115" t="s">
        <v>114</v>
      </c>
      <c r="N362" s="119" t="s">
        <v>115</v>
      </c>
    </row>
    <row r="363" hidden="1" outlineLevel="1">
      <c r="A363" s="394" t="s">
        <v>1910</v>
      </c>
      <c r="B363" s="344">
        <v>46160.0</v>
      </c>
      <c r="C363" s="133" t="str">
        <f t="shared" ref="C363:C377" si="41">IF(B363="", "", TEXT(B363, "ddd"))</f>
        <v>Mon</v>
      </c>
      <c r="D363" s="381">
        <f t="shared" ref="D363:D377" si="42">IF(E363="Yes",0.05,0)
+IF(F363="Yes",0.1,0)
+IF(G363="Yes",0.15,0)
+IF(H363="Yes",0.15,0)
+IF(I363="Yes",0.05,0)
+IF(J363="Yes",0.05,0)
+IF(K363="Yes",0.15,0)
+IF(L363="Yes",0.3,0)
</f>
        <v>1</v>
      </c>
      <c r="E363" s="382" t="s">
        <v>129</v>
      </c>
      <c r="F363" s="137" t="s">
        <v>129</v>
      </c>
      <c r="G363" s="137" t="s">
        <v>129</v>
      </c>
      <c r="H363" s="137" t="s">
        <v>129</v>
      </c>
      <c r="I363" s="137" t="s">
        <v>129</v>
      </c>
      <c r="J363" s="137" t="s">
        <v>129</v>
      </c>
      <c r="K363" s="137" t="s">
        <v>129</v>
      </c>
      <c r="L363" s="137" t="s">
        <v>129</v>
      </c>
      <c r="M363" s="141"/>
      <c r="N363" s="143"/>
    </row>
    <row r="364" hidden="1" outlineLevel="1">
      <c r="A364" s="393" t="s">
        <v>1913</v>
      </c>
      <c r="B364" s="344">
        <v>46160.0</v>
      </c>
      <c r="C364" s="133" t="str">
        <f t="shared" si="41"/>
        <v>Mon</v>
      </c>
      <c r="D364" s="383">
        <f t="shared" si="42"/>
        <v>1</v>
      </c>
      <c r="E364" s="147" t="s">
        <v>129</v>
      </c>
      <c r="F364" s="137" t="s">
        <v>129</v>
      </c>
      <c r="G364" s="137" t="s">
        <v>129</v>
      </c>
      <c r="H364" s="137" t="s">
        <v>129</v>
      </c>
      <c r="I364" s="137" t="s">
        <v>129</v>
      </c>
      <c r="J364" s="137" t="s">
        <v>129</v>
      </c>
      <c r="K364" s="137" t="s">
        <v>129</v>
      </c>
      <c r="L364" s="137" t="s">
        <v>129</v>
      </c>
      <c r="M364" s="141"/>
      <c r="N364" s="147"/>
    </row>
    <row r="365" hidden="1" outlineLevel="1">
      <c r="A365" s="393" t="s">
        <v>1915</v>
      </c>
      <c r="B365" s="344">
        <v>46160.0</v>
      </c>
      <c r="C365" s="133" t="str">
        <f t="shared" si="41"/>
        <v>Mon</v>
      </c>
      <c r="D365" s="381">
        <f t="shared" si="42"/>
        <v>1</v>
      </c>
      <c r="E365" s="382" t="s">
        <v>129</v>
      </c>
      <c r="F365" s="137" t="s">
        <v>129</v>
      </c>
      <c r="G365" s="137" t="s">
        <v>129</v>
      </c>
      <c r="H365" s="137" t="s">
        <v>129</v>
      </c>
      <c r="I365" s="137" t="s">
        <v>129</v>
      </c>
      <c r="J365" s="137" t="s">
        <v>129</v>
      </c>
      <c r="K365" s="137" t="s">
        <v>129</v>
      </c>
      <c r="L365" s="137" t="s">
        <v>129</v>
      </c>
      <c r="M365" s="141"/>
      <c r="N365" s="147"/>
    </row>
    <row r="366" hidden="1" outlineLevel="1">
      <c r="A366" s="393" t="s">
        <v>1918</v>
      </c>
      <c r="B366" s="344">
        <v>46161.0</v>
      </c>
      <c r="C366" s="133" t="str">
        <f t="shared" si="41"/>
        <v>Tue</v>
      </c>
      <c r="D366" s="383">
        <f t="shared" si="42"/>
        <v>1</v>
      </c>
      <c r="E366" s="147" t="s">
        <v>129</v>
      </c>
      <c r="F366" s="137" t="s">
        <v>129</v>
      </c>
      <c r="G366" s="137" t="s">
        <v>129</v>
      </c>
      <c r="H366" s="137" t="s">
        <v>129</v>
      </c>
      <c r="I366" s="137" t="s">
        <v>129</v>
      </c>
      <c r="J366" s="137" t="s">
        <v>129</v>
      </c>
      <c r="K366" s="137" t="s">
        <v>129</v>
      </c>
      <c r="L366" s="137" t="s">
        <v>129</v>
      </c>
      <c r="M366" s="141"/>
      <c r="N366" s="143"/>
    </row>
    <row r="367" hidden="1" outlineLevel="1">
      <c r="A367" s="394" t="s">
        <v>1921</v>
      </c>
      <c r="B367" s="344">
        <v>46161.0</v>
      </c>
      <c r="C367" s="133" t="str">
        <f t="shared" si="41"/>
        <v>Tue</v>
      </c>
      <c r="D367" s="381">
        <f t="shared" si="42"/>
        <v>1</v>
      </c>
      <c r="E367" s="382" t="s">
        <v>129</v>
      </c>
      <c r="F367" s="137" t="s">
        <v>129</v>
      </c>
      <c r="G367" s="137" t="s">
        <v>129</v>
      </c>
      <c r="H367" s="137" t="s">
        <v>129</v>
      </c>
      <c r="I367" s="137" t="s">
        <v>129</v>
      </c>
      <c r="J367" s="137" t="s">
        <v>129</v>
      </c>
      <c r="K367" s="137" t="s">
        <v>129</v>
      </c>
      <c r="L367" s="137" t="s">
        <v>129</v>
      </c>
      <c r="M367" s="141"/>
      <c r="N367" s="143"/>
    </row>
    <row r="368" hidden="1" outlineLevel="1">
      <c r="A368" s="394" t="s">
        <v>1922</v>
      </c>
      <c r="B368" s="344">
        <v>46161.0</v>
      </c>
      <c r="C368" s="133" t="str">
        <f t="shared" si="41"/>
        <v>Tue</v>
      </c>
      <c r="D368" s="383">
        <f t="shared" si="42"/>
        <v>1</v>
      </c>
      <c r="E368" s="147" t="s">
        <v>129</v>
      </c>
      <c r="F368" s="137" t="s">
        <v>129</v>
      </c>
      <c r="G368" s="137" t="s">
        <v>129</v>
      </c>
      <c r="H368" s="137" t="s">
        <v>129</v>
      </c>
      <c r="I368" s="137" t="s">
        <v>129</v>
      </c>
      <c r="J368" s="137" t="s">
        <v>129</v>
      </c>
      <c r="K368" s="137" t="s">
        <v>129</v>
      </c>
      <c r="L368" s="137" t="s">
        <v>129</v>
      </c>
      <c r="M368" s="141"/>
      <c r="N368" s="143"/>
    </row>
    <row r="369" hidden="1" outlineLevel="1">
      <c r="A369" s="411" t="s">
        <v>1925</v>
      </c>
      <c r="B369" s="344">
        <v>46163.0</v>
      </c>
      <c r="C369" s="133" t="str">
        <f t="shared" si="41"/>
        <v>Thu</v>
      </c>
      <c r="D369" s="381">
        <f t="shared" si="42"/>
        <v>1</v>
      </c>
      <c r="E369" s="382" t="s">
        <v>129</v>
      </c>
      <c r="F369" s="137" t="s">
        <v>129</v>
      </c>
      <c r="G369" s="137" t="s">
        <v>129</v>
      </c>
      <c r="H369" s="137" t="s">
        <v>129</v>
      </c>
      <c r="I369" s="137" t="s">
        <v>129</v>
      </c>
      <c r="J369" s="137" t="s">
        <v>129</v>
      </c>
      <c r="K369" s="137" t="s">
        <v>129</v>
      </c>
      <c r="L369" s="137" t="s">
        <v>129</v>
      </c>
      <c r="M369" s="141"/>
      <c r="N369" s="143"/>
    </row>
    <row r="370" hidden="1" outlineLevel="1">
      <c r="A370" s="411" t="s">
        <v>1928</v>
      </c>
      <c r="B370" s="344">
        <v>46163.0</v>
      </c>
      <c r="C370" s="133" t="str">
        <f t="shared" si="41"/>
        <v>Thu</v>
      </c>
      <c r="D370" s="383">
        <f t="shared" si="42"/>
        <v>1</v>
      </c>
      <c r="E370" s="147" t="s">
        <v>129</v>
      </c>
      <c r="F370" s="137" t="s">
        <v>129</v>
      </c>
      <c r="G370" s="137" t="s">
        <v>129</v>
      </c>
      <c r="H370" s="137" t="s">
        <v>129</v>
      </c>
      <c r="I370" s="137" t="s">
        <v>129</v>
      </c>
      <c r="J370" s="137" t="s">
        <v>129</v>
      </c>
      <c r="K370" s="137" t="s">
        <v>129</v>
      </c>
      <c r="L370" s="137" t="s">
        <v>129</v>
      </c>
      <c r="M370" s="141"/>
      <c r="N370" s="147"/>
    </row>
    <row r="371" hidden="1" outlineLevel="1">
      <c r="A371" s="411" t="s">
        <v>1931</v>
      </c>
      <c r="B371" s="344">
        <v>46163.0</v>
      </c>
      <c r="C371" s="133" t="str">
        <f t="shared" si="41"/>
        <v>Thu</v>
      </c>
      <c r="D371" s="381">
        <f t="shared" si="42"/>
        <v>1</v>
      </c>
      <c r="E371" s="382" t="s">
        <v>129</v>
      </c>
      <c r="F371" s="137" t="s">
        <v>129</v>
      </c>
      <c r="G371" s="137" t="s">
        <v>129</v>
      </c>
      <c r="H371" s="137" t="s">
        <v>129</v>
      </c>
      <c r="I371" s="137" t="s">
        <v>129</v>
      </c>
      <c r="J371" s="137" t="s">
        <v>129</v>
      </c>
      <c r="K371" s="137" t="s">
        <v>129</v>
      </c>
      <c r="L371" s="137" t="s">
        <v>129</v>
      </c>
      <c r="M371" s="141"/>
      <c r="N371" s="143"/>
    </row>
    <row r="372" hidden="1" outlineLevel="1">
      <c r="A372" s="467" t="s">
        <v>1932</v>
      </c>
      <c r="B372" s="344">
        <v>46164.0</v>
      </c>
      <c r="C372" s="133" t="str">
        <f t="shared" si="41"/>
        <v>Fri</v>
      </c>
      <c r="D372" s="383">
        <f t="shared" si="42"/>
        <v>1</v>
      </c>
      <c r="E372" s="147" t="s">
        <v>129</v>
      </c>
      <c r="F372" s="137" t="s">
        <v>129</v>
      </c>
      <c r="G372" s="137" t="s">
        <v>129</v>
      </c>
      <c r="H372" s="137" t="s">
        <v>129</v>
      </c>
      <c r="I372" s="137" t="s">
        <v>129</v>
      </c>
      <c r="J372" s="137" t="s">
        <v>129</v>
      </c>
      <c r="K372" s="137" t="s">
        <v>129</v>
      </c>
      <c r="L372" s="137" t="s">
        <v>129</v>
      </c>
      <c r="M372" s="141"/>
      <c r="N372" s="147"/>
    </row>
    <row r="373" hidden="1" outlineLevel="1">
      <c r="A373" s="411" t="s">
        <v>1934</v>
      </c>
      <c r="B373" s="344">
        <v>46164.0</v>
      </c>
      <c r="C373" s="133" t="str">
        <f t="shared" si="41"/>
        <v>Fri</v>
      </c>
      <c r="D373" s="381">
        <f t="shared" si="42"/>
        <v>1</v>
      </c>
      <c r="E373" s="382" t="s">
        <v>129</v>
      </c>
      <c r="F373" s="137" t="s">
        <v>129</v>
      </c>
      <c r="G373" s="137" t="s">
        <v>129</v>
      </c>
      <c r="H373" s="137" t="s">
        <v>129</v>
      </c>
      <c r="I373" s="137" t="s">
        <v>129</v>
      </c>
      <c r="J373" s="137" t="s">
        <v>129</v>
      </c>
      <c r="K373" s="137" t="s">
        <v>129</v>
      </c>
      <c r="L373" s="137" t="s">
        <v>129</v>
      </c>
      <c r="M373" s="141"/>
      <c r="N373" s="147"/>
    </row>
    <row r="374" hidden="1" outlineLevel="1">
      <c r="A374" s="467" t="s">
        <v>1936</v>
      </c>
      <c r="B374" s="344">
        <v>46164.0</v>
      </c>
      <c r="C374" s="133" t="str">
        <f t="shared" si="41"/>
        <v>Fri</v>
      </c>
      <c r="D374" s="383">
        <f t="shared" si="42"/>
        <v>1</v>
      </c>
      <c r="E374" s="147" t="s">
        <v>129</v>
      </c>
      <c r="F374" s="137" t="s">
        <v>129</v>
      </c>
      <c r="G374" s="137" t="s">
        <v>129</v>
      </c>
      <c r="H374" s="137" t="s">
        <v>129</v>
      </c>
      <c r="I374" s="137" t="s">
        <v>129</v>
      </c>
      <c r="J374" s="137" t="s">
        <v>129</v>
      </c>
      <c r="K374" s="137" t="s">
        <v>129</v>
      </c>
      <c r="L374" s="137" t="s">
        <v>129</v>
      </c>
      <c r="M374" s="141"/>
      <c r="N374" s="147"/>
    </row>
    <row r="375" hidden="1" outlineLevel="1">
      <c r="A375" s="411" t="s">
        <v>1938</v>
      </c>
      <c r="B375" s="344">
        <v>46165.0</v>
      </c>
      <c r="C375" s="133" t="str">
        <f t="shared" si="41"/>
        <v>Sat</v>
      </c>
      <c r="D375" s="381">
        <f t="shared" si="42"/>
        <v>1</v>
      </c>
      <c r="E375" s="382" t="s">
        <v>129</v>
      </c>
      <c r="F375" s="137" t="s">
        <v>129</v>
      </c>
      <c r="G375" s="137" t="s">
        <v>129</v>
      </c>
      <c r="H375" s="137" t="s">
        <v>129</v>
      </c>
      <c r="I375" s="137" t="s">
        <v>129</v>
      </c>
      <c r="J375" s="137" t="s">
        <v>129</v>
      </c>
      <c r="K375" s="137" t="s">
        <v>129</v>
      </c>
      <c r="L375" s="137" t="s">
        <v>129</v>
      </c>
      <c r="M375" s="141"/>
      <c r="N375" s="143"/>
    </row>
    <row r="376" hidden="1" outlineLevel="1">
      <c r="A376" s="467" t="s">
        <v>1939</v>
      </c>
      <c r="B376" s="344">
        <v>46165.0</v>
      </c>
      <c r="C376" s="133" t="str">
        <f t="shared" si="41"/>
        <v>Sat</v>
      </c>
      <c r="D376" s="383">
        <f t="shared" si="42"/>
        <v>1</v>
      </c>
      <c r="E376" s="147" t="s">
        <v>129</v>
      </c>
      <c r="F376" s="137" t="s">
        <v>129</v>
      </c>
      <c r="G376" s="137" t="s">
        <v>129</v>
      </c>
      <c r="H376" s="137" t="s">
        <v>129</v>
      </c>
      <c r="I376" s="137" t="s">
        <v>129</v>
      </c>
      <c r="J376" s="137" t="s">
        <v>129</v>
      </c>
      <c r="K376" s="137" t="s">
        <v>129</v>
      </c>
      <c r="L376" s="137" t="s">
        <v>129</v>
      </c>
      <c r="M376" s="141"/>
      <c r="N376" s="143"/>
    </row>
    <row r="377" ht="15.0" hidden="1" customHeight="1" outlineLevel="1">
      <c r="A377" s="467" t="s">
        <v>1941</v>
      </c>
      <c r="B377" s="344">
        <v>46165.0</v>
      </c>
      <c r="C377" s="133" t="str">
        <f t="shared" si="41"/>
        <v>Sat</v>
      </c>
      <c r="D377" s="381">
        <f t="shared" si="42"/>
        <v>1</v>
      </c>
      <c r="E377" s="382" t="s">
        <v>129</v>
      </c>
      <c r="F377" s="137" t="s">
        <v>129</v>
      </c>
      <c r="G377" s="137" t="s">
        <v>129</v>
      </c>
      <c r="H377" s="137" t="s">
        <v>129</v>
      </c>
      <c r="I377" s="137" t="s">
        <v>129</v>
      </c>
      <c r="J377" s="137" t="s">
        <v>129</v>
      </c>
      <c r="K377" s="137" t="s">
        <v>129</v>
      </c>
      <c r="L377" s="137" t="s">
        <v>129</v>
      </c>
      <c r="M377" s="141"/>
      <c r="N377" s="147"/>
    </row>
    <row r="378" hidden="1" outlineLevel="1">
      <c r="B378" s="189"/>
      <c r="C378" s="191" t="s">
        <v>194</v>
      </c>
      <c r="D378" s="204">
        <f>AVERAGE(D363:D377)</f>
        <v>1</v>
      </c>
      <c r="E378" s="384"/>
      <c r="L378" s="191" t="s">
        <v>194</v>
      </c>
      <c r="M378" s="204">
        <f>SUM(M363:M377)/75*0.1</f>
        <v>0</v>
      </c>
    </row>
    <row r="379" hidden="1" collapsed="1">
      <c r="A379" s="206" t="s">
        <v>1084</v>
      </c>
      <c r="B379" s="207"/>
      <c r="C379" s="207"/>
      <c r="D379" s="385"/>
      <c r="E379" s="109"/>
      <c r="F379" s="109"/>
      <c r="G379" s="110"/>
      <c r="H379" s="110"/>
      <c r="I379" s="110"/>
      <c r="J379" s="110"/>
      <c r="K379" s="110"/>
      <c r="L379" s="110"/>
      <c r="M379" s="111"/>
      <c r="N379" s="113"/>
    </row>
    <row r="380" hidden="1" outlineLevel="1">
      <c r="A380" s="373" t="s">
        <v>98</v>
      </c>
      <c r="B380" s="115" t="s">
        <v>100</v>
      </c>
      <c r="C380" s="115" t="s">
        <v>102</v>
      </c>
      <c r="D380" s="119" t="s">
        <v>103</v>
      </c>
      <c r="E380" s="275" t="s">
        <v>269</v>
      </c>
      <c r="F380" s="275" t="s">
        <v>272</v>
      </c>
      <c r="G380" s="276" t="s">
        <v>328</v>
      </c>
      <c r="H380" s="121" t="s">
        <v>107</v>
      </c>
      <c r="I380" s="121" t="s">
        <v>108</v>
      </c>
      <c r="J380" s="276" t="s">
        <v>329</v>
      </c>
      <c r="K380" s="121" t="s">
        <v>111</v>
      </c>
      <c r="L380" s="276" t="s">
        <v>274</v>
      </c>
      <c r="M380" s="115" t="s">
        <v>114</v>
      </c>
      <c r="N380" s="119" t="s">
        <v>115</v>
      </c>
    </row>
    <row r="381" hidden="1" outlineLevel="1">
      <c r="A381" s="433" t="s">
        <v>1942</v>
      </c>
      <c r="B381" s="344">
        <v>46167.0</v>
      </c>
      <c r="C381" s="133" t="str">
        <f t="shared" ref="C381:C395" si="43">IF(B381="", "", TEXT(B381, "ddd"))</f>
        <v>Mon</v>
      </c>
      <c r="D381" s="381">
        <f t="shared" ref="D381:D395" si="44">IF(E381="Yes",0.05,0)
+IF(F381="Yes",0.1,0)
+IF(G381="Yes",0.15,0)
+IF(H381="Yes",0.15,0)
+IF(I381="Yes",0.05,0)
+IF(J381="Yes",0.05,0)
+IF(K381="Yes",0.15,0)
+IF(L381="Yes",0.3,0)
</f>
        <v>1</v>
      </c>
      <c r="E381" s="382" t="s">
        <v>129</v>
      </c>
      <c r="F381" s="137" t="s">
        <v>129</v>
      </c>
      <c r="G381" s="137" t="s">
        <v>129</v>
      </c>
      <c r="H381" s="137" t="s">
        <v>129</v>
      </c>
      <c r="I381" s="137" t="s">
        <v>129</v>
      </c>
      <c r="J381" s="137" t="s">
        <v>129</v>
      </c>
      <c r="K381" s="137" t="s">
        <v>129</v>
      </c>
      <c r="L381" s="137" t="s">
        <v>129</v>
      </c>
      <c r="M381" s="141"/>
      <c r="N381" s="143"/>
    </row>
    <row r="382" hidden="1" outlineLevel="1">
      <c r="A382" s="433" t="s">
        <v>1944</v>
      </c>
      <c r="B382" s="344">
        <v>46167.0</v>
      </c>
      <c r="C382" s="133" t="str">
        <f t="shared" si="43"/>
        <v>Mon</v>
      </c>
      <c r="D382" s="383">
        <f t="shared" si="44"/>
        <v>1</v>
      </c>
      <c r="E382" s="147" t="s">
        <v>129</v>
      </c>
      <c r="F382" s="137" t="s">
        <v>129</v>
      </c>
      <c r="G382" s="137" t="s">
        <v>129</v>
      </c>
      <c r="H382" s="137" t="s">
        <v>129</v>
      </c>
      <c r="I382" s="137" t="s">
        <v>129</v>
      </c>
      <c r="J382" s="137" t="s">
        <v>129</v>
      </c>
      <c r="K382" s="137" t="s">
        <v>129</v>
      </c>
      <c r="L382" s="137" t="s">
        <v>129</v>
      </c>
      <c r="M382" s="141"/>
      <c r="N382" s="147"/>
    </row>
    <row r="383" hidden="1" outlineLevel="1">
      <c r="A383" s="433" t="s">
        <v>1945</v>
      </c>
      <c r="B383" s="344">
        <v>46167.0</v>
      </c>
      <c r="C383" s="133" t="str">
        <f t="shared" si="43"/>
        <v>Mon</v>
      </c>
      <c r="D383" s="381">
        <f t="shared" si="44"/>
        <v>1</v>
      </c>
      <c r="E383" s="382" t="s">
        <v>129</v>
      </c>
      <c r="F383" s="137" t="s">
        <v>129</v>
      </c>
      <c r="G383" s="137" t="s">
        <v>129</v>
      </c>
      <c r="H383" s="137" t="s">
        <v>129</v>
      </c>
      <c r="I383" s="137" t="s">
        <v>129</v>
      </c>
      <c r="J383" s="137" t="s">
        <v>129</v>
      </c>
      <c r="K383" s="137" t="s">
        <v>129</v>
      </c>
      <c r="L383" s="137" t="s">
        <v>129</v>
      </c>
      <c r="M383" s="141"/>
      <c r="N383" s="147"/>
    </row>
    <row r="384" hidden="1" outlineLevel="1">
      <c r="A384" s="433" t="s">
        <v>1948</v>
      </c>
      <c r="B384" s="344">
        <v>46168.0</v>
      </c>
      <c r="C384" s="133" t="str">
        <f t="shared" si="43"/>
        <v>Tue</v>
      </c>
      <c r="D384" s="383">
        <f t="shared" si="44"/>
        <v>1</v>
      </c>
      <c r="E384" s="147" t="s">
        <v>129</v>
      </c>
      <c r="F384" s="137" t="s">
        <v>129</v>
      </c>
      <c r="G384" s="137" t="s">
        <v>129</v>
      </c>
      <c r="H384" s="137" t="s">
        <v>129</v>
      </c>
      <c r="I384" s="137" t="s">
        <v>129</v>
      </c>
      <c r="J384" s="137" t="s">
        <v>129</v>
      </c>
      <c r="K384" s="137" t="s">
        <v>129</v>
      </c>
      <c r="L384" s="137" t="s">
        <v>129</v>
      </c>
      <c r="M384" s="141"/>
      <c r="N384" s="143"/>
    </row>
    <row r="385" hidden="1" outlineLevel="1">
      <c r="A385" s="433" t="s">
        <v>1949</v>
      </c>
      <c r="B385" s="344">
        <v>46168.0</v>
      </c>
      <c r="C385" s="133" t="str">
        <f t="shared" si="43"/>
        <v>Tue</v>
      </c>
      <c r="D385" s="381">
        <f t="shared" si="44"/>
        <v>1</v>
      </c>
      <c r="E385" s="382" t="s">
        <v>129</v>
      </c>
      <c r="F385" s="137" t="s">
        <v>129</v>
      </c>
      <c r="G385" s="137" t="s">
        <v>129</v>
      </c>
      <c r="H385" s="137" t="s">
        <v>129</v>
      </c>
      <c r="I385" s="137" t="s">
        <v>129</v>
      </c>
      <c r="J385" s="137" t="s">
        <v>129</v>
      </c>
      <c r="K385" s="137" t="s">
        <v>129</v>
      </c>
      <c r="L385" s="137" t="s">
        <v>129</v>
      </c>
      <c r="M385" s="141"/>
      <c r="N385" s="143"/>
    </row>
    <row r="386" hidden="1" outlineLevel="1">
      <c r="A386" s="433" t="s">
        <v>1952</v>
      </c>
      <c r="B386" s="344">
        <v>46168.0</v>
      </c>
      <c r="C386" s="133" t="str">
        <f t="shared" si="43"/>
        <v>Tue</v>
      </c>
      <c r="D386" s="383">
        <f t="shared" si="44"/>
        <v>1</v>
      </c>
      <c r="E386" s="147" t="s">
        <v>129</v>
      </c>
      <c r="F386" s="137" t="s">
        <v>129</v>
      </c>
      <c r="G386" s="137" t="s">
        <v>129</v>
      </c>
      <c r="H386" s="137" t="s">
        <v>129</v>
      </c>
      <c r="I386" s="137" t="s">
        <v>129</v>
      </c>
      <c r="J386" s="137" t="s">
        <v>129</v>
      </c>
      <c r="K386" s="137" t="s">
        <v>129</v>
      </c>
      <c r="L386" s="137" t="s">
        <v>129</v>
      </c>
      <c r="M386" s="141"/>
      <c r="N386" s="143"/>
    </row>
    <row r="387" hidden="1" outlineLevel="1">
      <c r="A387" s="433" t="s">
        <v>1955</v>
      </c>
      <c r="B387" s="344">
        <v>46170.0</v>
      </c>
      <c r="C387" s="133" t="str">
        <f t="shared" si="43"/>
        <v>Thu</v>
      </c>
      <c r="D387" s="381">
        <f t="shared" si="44"/>
        <v>1</v>
      </c>
      <c r="E387" s="382" t="s">
        <v>129</v>
      </c>
      <c r="F387" s="137" t="s">
        <v>129</v>
      </c>
      <c r="G387" s="137" t="s">
        <v>129</v>
      </c>
      <c r="H387" s="137" t="s">
        <v>129</v>
      </c>
      <c r="I387" s="137" t="s">
        <v>129</v>
      </c>
      <c r="J387" s="137" t="s">
        <v>129</v>
      </c>
      <c r="K387" s="137" t="s">
        <v>129</v>
      </c>
      <c r="L387" s="137" t="s">
        <v>129</v>
      </c>
      <c r="M387" s="141"/>
      <c r="N387" s="143"/>
    </row>
    <row r="388" hidden="1" outlineLevel="1">
      <c r="A388" s="433" t="s">
        <v>1957</v>
      </c>
      <c r="B388" s="344">
        <v>46170.0</v>
      </c>
      <c r="C388" s="133" t="str">
        <f t="shared" si="43"/>
        <v>Thu</v>
      </c>
      <c r="D388" s="383">
        <f t="shared" si="44"/>
        <v>1</v>
      </c>
      <c r="E388" s="147" t="s">
        <v>129</v>
      </c>
      <c r="F388" s="137" t="s">
        <v>129</v>
      </c>
      <c r="G388" s="137" t="s">
        <v>129</v>
      </c>
      <c r="H388" s="137" t="s">
        <v>129</v>
      </c>
      <c r="I388" s="137" t="s">
        <v>129</v>
      </c>
      <c r="J388" s="137" t="s">
        <v>129</v>
      </c>
      <c r="K388" s="137" t="s">
        <v>129</v>
      </c>
      <c r="L388" s="137" t="s">
        <v>129</v>
      </c>
      <c r="M388" s="141"/>
      <c r="N388" s="147"/>
    </row>
    <row r="389" hidden="1" outlineLevel="1">
      <c r="A389" s="433" t="s">
        <v>1958</v>
      </c>
      <c r="B389" s="344">
        <v>46170.0</v>
      </c>
      <c r="C389" s="133" t="str">
        <f t="shared" si="43"/>
        <v>Thu</v>
      </c>
      <c r="D389" s="381">
        <f t="shared" si="44"/>
        <v>1</v>
      </c>
      <c r="E389" s="382" t="s">
        <v>129</v>
      </c>
      <c r="F389" s="137" t="s">
        <v>129</v>
      </c>
      <c r="G389" s="137" t="s">
        <v>129</v>
      </c>
      <c r="H389" s="137" t="s">
        <v>129</v>
      </c>
      <c r="I389" s="137" t="s">
        <v>129</v>
      </c>
      <c r="J389" s="137" t="s">
        <v>129</v>
      </c>
      <c r="K389" s="137" t="s">
        <v>129</v>
      </c>
      <c r="L389" s="137" t="s">
        <v>129</v>
      </c>
      <c r="M389" s="141"/>
      <c r="N389" s="143"/>
    </row>
    <row r="390" hidden="1" outlineLevel="1">
      <c r="A390" s="433" t="s">
        <v>1961</v>
      </c>
      <c r="B390" s="344">
        <v>46171.0</v>
      </c>
      <c r="C390" s="133" t="str">
        <f t="shared" si="43"/>
        <v>Fri</v>
      </c>
      <c r="D390" s="383">
        <f t="shared" si="44"/>
        <v>1</v>
      </c>
      <c r="E390" s="147" t="s">
        <v>129</v>
      </c>
      <c r="F390" s="137" t="s">
        <v>129</v>
      </c>
      <c r="G390" s="137" t="s">
        <v>129</v>
      </c>
      <c r="H390" s="137" t="s">
        <v>129</v>
      </c>
      <c r="I390" s="137" t="s">
        <v>129</v>
      </c>
      <c r="J390" s="137" t="s">
        <v>129</v>
      </c>
      <c r="K390" s="137" t="s">
        <v>129</v>
      </c>
      <c r="L390" s="137" t="s">
        <v>129</v>
      </c>
      <c r="M390" s="141"/>
      <c r="N390" s="147"/>
    </row>
    <row r="391" hidden="1" outlineLevel="1">
      <c r="A391" s="433" t="s">
        <v>1963</v>
      </c>
      <c r="B391" s="344">
        <v>46171.0</v>
      </c>
      <c r="C391" s="133" t="str">
        <f t="shared" si="43"/>
        <v>Fri</v>
      </c>
      <c r="D391" s="381">
        <f t="shared" si="44"/>
        <v>1</v>
      </c>
      <c r="E391" s="382" t="s">
        <v>129</v>
      </c>
      <c r="F391" s="137" t="s">
        <v>129</v>
      </c>
      <c r="G391" s="137" t="s">
        <v>129</v>
      </c>
      <c r="H391" s="137" t="s">
        <v>129</v>
      </c>
      <c r="I391" s="137" t="s">
        <v>129</v>
      </c>
      <c r="J391" s="137" t="s">
        <v>129</v>
      </c>
      <c r="K391" s="137" t="s">
        <v>129</v>
      </c>
      <c r="L391" s="137" t="s">
        <v>129</v>
      </c>
      <c r="M391" s="141"/>
      <c r="N391" s="147"/>
    </row>
    <row r="392" hidden="1" outlineLevel="1">
      <c r="A392" s="433" t="s">
        <v>1966</v>
      </c>
      <c r="B392" s="344">
        <v>46171.0</v>
      </c>
      <c r="C392" s="133" t="str">
        <f t="shared" si="43"/>
        <v>Fri</v>
      </c>
      <c r="D392" s="383">
        <f t="shared" si="44"/>
        <v>1</v>
      </c>
      <c r="E392" s="147" t="s">
        <v>129</v>
      </c>
      <c r="F392" s="137" t="s">
        <v>129</v>
      </c>
      <c r="G392" s="137" t="s">
        <v>129</v>
      </c>
      <c r="H392" s="137" t="s">
        <v>129</v>
      </c>
      <c r="I392" s="137" t="s">
        <v>129</v>
      </c>
      <c r="J392" s="137" t="s">
        <v>129</v>
      </c>
      <c r="K392" s="137" t="s">
        <v>129</v>
      </c>
      <c r="L392" s="137" t="s">
        <v>129</v>
      </c>
      <c r="M392" s="141"/>
      <c r="N392" s="147"/>
    </row>
    <row r="393" hidden="1" outlineLevel="1">
      <c r="A393" s="433" t="s">
        <v>1969</v>
      </c>
      <c r="B393" s="344">
        <v>46172.0</v>
      </c>
      <c r="C393" s="133" t="str">
        <f t="shared" si="43"/>
        <v>Sat</v>
      </c>
      <c r="D393" s="381">
        <f t="shared" si="44"/>
        <v>1</v>
      </c>
      <c r="E393" s="382" t="s">
        <v>129</v>
      </c>
      <c r="F393" s="137" t="s">
        <v>129</v>
      </c>
      <c r="G393" s="137" t="s">
        <v>129</v>
      </c>
      <c r="H393" s="137" t="s">
        <v>129</v>
      </c>
      <c r="I393" s="137" t="s">
        <v>129</v>
      </c>
      <c r="J393" s="137" t="s">
        <v>129</v>
      </c>
      <c r="K393" s="137" t="s">
        <v>129</v>
      </c>
      <c r="L393" s="137" t="s">
        <v>129</v>
      </c>
      <c r="M393" s="141"/>
      <c r="N393" s="143"/>
    </row>
    <row r="394" hidden="1" outlineLevel="1">
      <c r="A394" s="433" t="s">
        <v>1972</v>
      </c>
      <c r="B394" s="344">
        <v>46172.0</v>
      </c>
      <c r="C394" s="133" t="str">
        <f t="shared" si="43"/>
        <v>Sat</v>
      </c>
      <c r="D394" s="383">
        <f t="shared" si="44"/>
        <v>1</v>
      </c>
      <c r="E394" s="147" t="s">
        <v>129</v>
      </c>
      <c r="F394" s="137" t="s">
        <v>129</v>
      </c>
      <c r="G394" s="137" t="s">
        <v>129</v>
      </c>
      <c r="H394" s="137" t="s">
        <v>129</v>
      </c>
      <c r="I394" s="137" t="s">
        <v>129</v>
      </c>
      <c r="J394" s="137" t="s">
        <v>129</v>
      </c>
      <c r="K394" s="137" t="s">
        <v>129</v>
      </c>
      <c r="L394" s="137" t="s">
        <v>129</v>
      </c>
      <c r="M394" s="141"/>
      <c r="N394" s="143"/>
    </row>
    <row r="395" ht="15.0" hidden="1" customHeight="1" outlineLevel="1">
      <c r="A395" s="433" t="s">
        <v>1978</v>
      </c>
      <c r="B395" s="344">
        <v>46172.0</v>
      </c>
      <c r="C395" s="133" t="str">
        <f t="shared" si="43"/>
        <v>Sat</v>
      </c>
      <c r="D395" s="381">
        <f t="shared" si="44"/>
        <v>1</v>
      </c>
      <c r="E395" s="382" t="s">
        <v>129</v>
      </c>
      <c r="F395" s="137" t="s">
        <v>129</v>
      </c>
      <c r="G395" s="137" t="s">
        <v>129</v>
      </c>
      <c r="H395" s="137" t="s">
        <v>129</v>
      </c>
      <c r="I395" s="137" t="s">
        <v>129</v>
      </c>
      <c r="J395" s="137" t="s">
        <v>129</v>
      </c>
      <c r="K395" s="137" t="s">
        <v>129</v>
      </c>
      <c r="L395" s="137" t="s">
        <v>129</v>
      </c>
      <c r="M395" s="141"/>
      <c r="N395" s="147"/>
    </row>
    <row r="396" hidden="1" outlineLevel="1">
      <c r="B396" s="189"/>
      <c r="C396" s="191" t="s">
        <v>194</v>
      </c>
      <c r="D396" s="204">
        <f>AVERAGE(D381:D395)</f>
        <v>1</v>
      </c>
      <c r="E396" s="384"/>
      <c r="L396" s="191" t="s">
        <v>194</v>
      </c>
      <c r="M396" s="204">
        <f>SUM(M381:M395)/75*0.1</f>
        <v>0</v>
      </c>
    </row>
    <row r="397" hidden="1" collapsed="1">
      <c r="A397" s="206" t="s">
        <v>1109</v>
      </c>
      <c r="B397" s="207"/>
      <c r="C397" s="207"/>
      <c r="D397" s="385"/>
      <c r="E397" s="109"/>
      <c r="F397" s="109"/>
      <c r="G397" s="110"/>
      <c r="H397" s="110"/>
      <c r="I397" s="110"/>
      <c r="J397" s="110"/>
      <c r="K397" s="110"/>
      <c r="L397" s="110"/>
      <c r="M397" s="111"/>
      <c r="N397" s="113"/>
    </row>
    <row r="398" hidden="1" outlineLevel="1">
      <c r="A398" s="373" t="s">
        <v>98</v>
      </c>
      <c r="B398" s="115" t="s">
        <v>100</v>
      </c>
      <c r="C398" s="115" t="s">
        <v>102</v>
      </c>
      <c r="D398" s="119" t="s">
        <v>103</v>
      </c>
      <c r="E398" s="275" t="s">
        <v>269</v>
      </c>
      <c r="F398" s="275" t="s">
        <v>272</v>
      </c>
      <c r="G398" s="276" t="s">
        <v>328</v>
      </c>
      <c r="H398" s="121" t="s">
        <v>107</v>
      </c>
      <c r="I398" s="121" t="s">
        <v>108</v>
      </c>
      <c r="J398" s="276" t="s">
        <v>329</v>
      </c>
      <c r="K398" s="121" t="s">
        <v>111</v>
      </c>
      <c r="L398" s="276" t="s">
        <v>274</v>
      </c>
      <c r="M398" s="115" t="s">
        <v>114</v>
      </c>
      <c r="N398" s="119" t="s">
        <v>115</v>
      </c>
    </row>
    <row r="399" hidden="1" outlineLevel="1">
      <c r="A399" s="367" t="s">
        <v>1984</v>
      </c>
      <c r="B399" s="344">
        <v>46174.0</v>
      </c>
      <c r="C399" s="133" t="str">
        <f t="shared" ref="C399:C413" si="45">IF(B399="", "", TEXT(B399, "ddd"))</f>
        <v>Mon</v>
      </c>
      <c r="D399" s="381">
        <f t="shared" ref="D399:D413" si="46">IF(E399="Yes",0.05,0)
+IF(F399="Yes",0.1,0)
+IF(G399="Yes",0.15,0)
+IF(H399="Yes",0.15,0)
+IF(I399="Yes",0.05,0)
+IF(J399="Yes",0.05,0)
+IF(K399="Yes",0.15,0)
+IF(L399="Yes",0.3,0)
</f>
        <v>1</v>
      </c>
      <c r="E399" s="382" t="s">
        <v>129</v>
      </c>
      <c r="F399" s="137" t="s">
        <v>129</v>
      </c>
      <c r="G399" s="137" t="s">
        <v>129</v>
      </c>
      <c r="H399" s="137" t="s">
        <v>129</v>
      </c>
      <c r="I399" s="137" t="s">
        <v>129</v>
      </c>
      <c r="J399" s="137" t="s">
        <v>129</v>
      </c>
      <c r="K399" s="137" t="s">
        <v>129</v>
      </c>
      <c r="L399" s="137" t="s">
        <v>129</v>
      </c>
      <c r="M399" s="141"/>
      <c r="N399" s="143"/>
    </row>
    <row r="400" hidden="1" outlineLevel="1">
      <c r="A400" s="367" t="s">
        <v>1986</v>
      </c>
      <c r="B400" s="344">
        <v>46174.0</v>
      </c>
      <c r="C400" s="133" t="str">
        <f t="shared" si="45"/>
        <v>Mon</v>
      </c>
      <c r="D400" s="383">
        <f t="shared" si="46"/>
        <v>1</v>
      </c>
      <c r="E400" s="147" t="s">
        <v>129</v>
      </c>
      <c r="F400" s="137" t="s">
        <v>129</v>
      </c>
      <c r="G400" s="137" t="s">
        <v>129</v>
      </c>
      <c r="H400" s="137" t="s">
        <v>129</v>
      </c>
      <c r="I400" s="137" t="s">
        <v>129</v>
      </c>
      <c r="J400" s="137" t="s">
        <v>129</v>
      </c>
      <c r="K400" s="137" t="s">
        <v>129</v>
      </c>
      <c r="L400" s="137" t="s">
        <v>129</v>
      </c>
      <c r="M400" s="141"/>
      <c r="N400" s="147"/>
    </row>
    <row r="401" hidden="1" outlineLevel="1">
      <c r="A401" s="367" t="s">
        <v>1990</v>
      </c>
      <c r="B401" s="344">
        <v>46174.0</v>
      </c>
      <c r="C401" s="133" t="str">
        <f t="shared" si="45"/>
        <v>Mon</v>
      </c>
      <c r="D401" s="381">
        <f t="shared" si="46"/>
        <v>1</v>
      </c>
      <c r="E401" s="382" t="s">
        <v>129</v>
      </c>
      <c r="F401" s="137" t="s">
        <v>129</v>
      </c>
      <c r="G401" s="137" t="s">
        <v>129</v>
      </c>
      <c r="H401" s="137" t="s">
        <v>129</v>
      </c>
      <c r="I401" s="137" t="s">
        <v>129</v>
      </c>
      <c r="J401" s="137" t="s">
        <v>129</v>
      </c>
      <c r="K401" s="137" t="s">
        <v>129</v>
      </c>
      <c r="L401" s="137" t="s">
        <v>129</v>
      </c>
      <c r="M401" s="141"/>
      <c r="N401" s="147"/>
    </row>
    <row r="402" hidden="1" outlineLevel="1">
      <c r="A402" s="367" t="s">
        <v>1995</v>
      </c>
      <c r="B402" s="344">
        <v>46175.0</v>
      </c>
      <c r="C402" s="133" t="str">
        <f t="shared" si="45"/>
        <v>Tue</v>
      </c>
      <c r="D402" s="383">
        <f t="shared" si="46"/>
        <v>1</v>
      </c>
      <c r="E402" s="147" t="s">
        <v>129</v>
      </c>
      <c r="F402" s="137" t="s">
        <v>129</v>
      </c>
      <c r="G402" s="137" t="s">
        <v>129</v>
      </c>
      <c r="H402" s="137" t="s">
        <v>129</v>
      </c>
      <c r="I402" s="137" t="s">
        <v>129</v>
      </c>
      <c r="J402" s="137" t="s">
        <v>129</v>
      </c>
      <c r="K402" s="137" t="s">
        <v>129</v>
      </c>
      <c r="L402" s="137" t="s">
        <v>129</v>
      </c>
      <c r="M402" s="141"/>
      <c r="N402" s="143"/>
    </row>
    <row r="403" hidden="1" outlineLevel="1">
      <c r="A403" s="367" t="s">
        <v>1997</v>
      </c>
      <c r="B403" s="344">
        <v>46175.0</v>
      </c>
      <c r="C403" s="133" t="str">
        <f t="shared" si="45"/>
        <v>Tue</v>
      </c>
      <c r="D403" s="381">
        <f t="shared" si="46"/>
        <v>1</v>
      </c>
      <c r="E403" s="382" t="s">
        <v>129</v>
      </c>
      <c r="F403" s="137" t="s">
        <v>129</v>
      </c>
      <c r="G403" s="137" t="s">
        <v>129</v>
      </c>
      <c r="H403" s="137" t="s">
        <v>129</v>
      </c>
      <c r="I403" s="137" t="s">
        <v>129</v>
      </c>
      <c r="J403" s="137" t="s">
        <v>129</v>
      </c>
      <c r="K403" s="137" t="s">
        <v>129</v>
      </c>
      <c r="L403" s="137" t="s">
        <v>129</v>
      </c>
      <c r="M403" s="141"/>
      <c r="N403" s="143"/>
    </row>
    <row r="404" hidden="1" outlineLevel="1">
      <c r="A404" s="367" t="s">
        <v>1998</v>
      </c>
      <c r="B404" s="344">
        <v>46175.0</v>
      </c>
      <c r="C404" s="133" t="str">
        <f t="shared" si="45"/>
        <v>Tue</v>
      </c>
      <c r="D404" s="383">
        <f t="shared" si="46"/>
        <v>1</v>
      </c>
      <c r="E404" s="147" t="s">
        <v>129</v>
      </c>
      <c r="F404" s="137" t="s">
        <v>129</v>
      </c>
      <c r="G404" s="137" t="s">
        <v>129</v>
      </c>
      <c r="H404" s="137" t="s">
        <v>129</v>
      </c>
      <c r="I404" s="137" t="s">
        <v>129</v>
      </c>
      <c r="J404" s="137" t="s">
        <v>129</v>
      </c>
      <c r="K404" s="137" t="s">
        <v>129</v>
      </c>
      <c r="L404" s="137" t="s">
        <v>129</v>
      </c>
      <c r="M404" s="141"/>
      <c r="N404" s="143"/>
    </row>
    <row r="405" hidden="1" outlineLevel="1">
      <c r="A405" s="367" t="s">
        <v>1999</v>
      </c>
      <c r="B405" s="344">
        <v>46177.0</v>
      </c>
      <c r="C405" s="133" t="str">
        <f t="shared" si="45"/>
        <v>Thu</v>
      </c>
      <c r="D405" s="381">
        <f t="shared" si="46"/>
        <v>1</v>
      </c>
      <c r="E405" s="382" t="s">
        <v>129</v>
      </c>
      <c r="F405" s="137" t="s">
        <v>129</v>
      </c>
      <c r="G405" s="137" t="s">
        <v>129</v>
      </c>
      <c r="H405" s="137" t="s">
        <v>129</v>
      </c>
      <c r="I405" s="137" t="s">
        <v>129</v>
      </c>
      <c r="J405" s="137" t="s">
        <v>129</v>
      </c>
      <c r="K405" s="137" t="s">
        <v>129</v>
      </c>
      <c r="L405" s="137" t="s">
        <v>129</v>
      </c>
      <c r="M405" s="141"/>
      <c r="N405" s="143"/>
    </row>
    <row r="406" hidden="1" outlineLevel="1">
      <c r="A406" s="367" t="s">
        <v>2000</v>
      </c>
      <c r="B406" s="344">
        <v>46177.0</v>
      </c>
      <c r="C406" s="133" t="str">
        <f t="shared" si="45"/>
        <v>Thu</v>
      </c>
      <c r="D406" s="383">
        <f t="shared" si="46"/>
        <v>1</v>
      </c>
      <c r="E406" s="147" t="s">
        <v>129</v>
      </c>
      <c r="F406" s="137" t="s">
        <v>129</v>
      </c>
      <c r="G406" s="137" t="s">
        <v>129</v>
      </c>
      <c r="H406" s="137" t="s">
        <v>129</v>
      </c>
      <c r="I406" s="137" t="s">
        <v>129</v>
      </c>
      <c r="J406" s="137" t="s">
        <v>129</v>
      </c>
      <c r="K406" s="137" t="s">
        <v>129</v>
      </c>
      <c r="L406" s="137" t="s">
        <v>129</v>
      </c>
      <c r="M406" s="141"/>
      <c r="N406" s="143"/>
    </row>
    <row r="407" hidden="1" outlineLevel="1">
      <c r="A407" s="367" t="s">
        <v>2001</v>
      </c>
      <c r="B407" s="344">
        <v>46177.0</v>
      </c>
      <c r="C407" s="133" t="str">
        <f t="shared" si="45"/>
        <v>Thu</v>
      </c>
      <c r="D407" s="381">
        <f t="shared" si="46"/>
        <v>1</v>
      </c>
      <c r="E407" s="382" t="s">
        <v>129</v>
      </c>
      <c r="F407" s="137" t="s">
        <v>129</v>
      </c>
      <c r="G407" s="137" t="s">
        <v>129</v>
      </c>
      <c r="H407" s="137" t="s">
        <v>129</v>
      </c>
      <c r="I407" s="137" t="s">
        <v>129</v>
      </c>
      <c r="J407" s="137" t="s">
        <v>129</v>
      </c>
      <c r="K407" s="137" t="s">
        <v>129</v>
      </c>
      <c r="L407" s="137" t="s">
        <v>129</v>
      </c>
      <c r="M407" s="141"/>
      <c r="N407" s="143"/>
    </row>
    <row r="408" hidden="1" outlineLevel="1">
      <c r="A408" s="367" t="s">
        <v>2004</v>
      </c>
      <c r="B408" s="344">
        <v>46178.0</v>
      </c>
      <c r="C408" s="133" t="str">
        <f t="shared" si="45"/>
        <v>Fri</v>
      </c>
      <c r="D408" s="383">
        <f t="shared" si="46"/>
        <v>1</v>
      </c>
      <c r="E408" s="147" t="s">
        <v>129</v>
      </c>
      <c r="F408" s="137" t="s">
        <v>129</v>
      </c>
      <c r="G408" s="137" t="s">
        <v>129</v>
      </c>
      <c r="H408" s="137" t="s">
        <v>129</v>
      </c>
      <c r="I408" s="137" t="s">
        <v>129</v>
      </c>
      <c r="J408" s="137" t="s">
        <v>129</v>
      </c>
      <c r="K408" s="137" t="s">
        <v>129</v>
      </c>
      <c r="L408" s="137" t="s">
        <v>129</v>
      </c>
      <c r="M408" s="141"/>
      <c r="N408" s="147"/>
    </row>
    <row r="409" hidden="1" outlineLevel="1">
      <c r="A409" s="367" t="s">
        <v>2005</v>
      </c>
      <c r="B409" s="344">
        <v>46178.0</v>
      </c>
      <c r="C409" s="133" t="str">
        <f t="shared" si="45"/>
        <v>Fri</v>
      </c>
      <c r="D409" s="381">
        <f t="shared" si="46"/>
        <v>1</v>
      </c>
      <c r="E409" s="382" t="s">
        <v>129</v>
      </c>
      <c r="F409" s="137" t="s">
        <v>129</v>
      </c>
      <c r="G409" s="137" t="s">
        <v>129</v>
      </c>
      <c r="H409" s="137" t="s">
        <v>129</v>
      </c>
      <c r="I409" s="137" t="s">
        <v>129</v>
      </c>
      <c r="J409" s="137" t="s">
        <v>129</v>
      </c>
      <c r="K409" s="137" t="s">
        <v>129</v>
      </c>
      <c r="L409" s="137" t="s">
        <v>129</v>
      </c>
      <c r="M409" s="141"/>
      <c r="N409" s="147"/>
    </row>
    <row r="410" hidden="1" outlineLevel="1">
      <c r="A410" s="255" t="s">
        <v>2006</v>
      </c>
      <c r="B410" s="344">
        <v>46178.0</v>
      </c>
      <c r="C410" s="133" t="str">
        <f t="shared" si="45"/>
        <v>Fri</v>
      </c>
      <c r="D410" s="383">
        <f t="shared" si="46"/>
        <v>1</v>
      </c>
      <c r="E410" s="147" t="s">
        <v>129</v>
      </c>
      <c r="F410" s="137" t="s">
        <v>129</v>
      </c>
      <c r="G410" s="137" t="s">
        <v>129</v>
      </c>
      <c r="H410" s="137" t="s">
        <v>129</v>
      </c>
      <c r="I410" s="137" t="s">
        <v>129</v>
      </c>
      <c r="J410" s="137" t="s">
        <v>129</v>
      </c>
      <c r="K410" s="137" t="s">
        <v>129</v>
      </c>
      <c r="L410" s="137" t="s">
        <v>129</v>
      </c>
      <c r="M410" s="141"/>
      <c r="N410" s="147"/>
    </row>
    <row r="411" hidden="1" outlineLevel="1">
      <c r="A411" s="367" t="s">
        <v>2008</v>
      </c>
      <c r="B411" s="344">
        <v>46179.0</v>
      </c>
      <c r="C411" s="133" t="str">
        <f t="shared" si="45"/>
        <v>Sat</v>
      </c>
      <c r="D411" s="381">
        <f t="shared" si="46"/>
        <v>1</v>
      </c>
      <c r="E411" s="382" t="s">
        <v>129</v>
      </c>
      <c r="F411" s="137" t="s">
        <v>129</v>
      </c>
      <c r="G411" s="137" t="s">
        <v>129</v>
      </c>
      <c r="H411" s="137" t="s">
        <v>129</v>
      </c>
      <c r="I411" s="137" t="s">
        <v>129</v>
      </c>
      <c r="J411" s="137" t="s">
        <v>129</v>
      </c>
      <c r="K411" s="137" t="s">
        <v>129</v>
      </c>
      <c r="L411" s="137" t="s">
        <v>129</v>
      </c>
      <c r="M411" s="141"/>
      <c r="N411" s="143"/>
    </row>
    <row r="412" hidden="1" outlineLevel="1">
      <c r="A412" s="367" t="s">
        <v>2011</v>
      </c>
      <c r="B412" s="344">
        <v>46179.0</v>
      </c>
      <c r="C412" s="133" t="str">
        <f t="shared" si="45"/>
        <v>Sat</v>
      </c>
      <c r="D412" s="383">
        <f t="shared" si="46"/>
        <v>1</v>
      </c>
      <c r="E412" s="147" t="s">
        <v>129</v>
      </c>
      <c r="F412" s="137" t="s">
        <v>129</v>
      </c>
      <c r="G412" s="137" t="s">
        <v>129</v>
      </c>
      <c r="H412" s="137" t="s">
        <v>129</v>
      </c>
      <c r="I412" s="137" t="s">
        <v>129</v>
      </c>
      <c r="J412" s="137" t="s">
        <v>129</v>
      </c>
      <c r="K412" s="137" t="s">
        <v>129</v>
      </c>
      <c r="L412" s="137" t="s">
        <v>129</v>
      </c>
      <c r="M412" s="141"/>
      <c r="N412" s="143"/>
    </row>
    <row r="413" ht="15.0" hidden="1" customHeight="1" outlineLevel="1">
      <c r="A413" s="367" t="s">
        <v>2012</v>
      </c>
      <c r="B413" s="344">
        <v>46179.0</v>
      </c>
      <c r="C413" s="133" t="str">
        <f t="shared" si="45"/>
        <v>Sat</v>
      </c>
      <c r="D413" s="381">
        <f t="shared" si="46"/>
        <v>1</v>
      </c>
      <c r="E413" s="382" t="s">
        <v>129</v>
      </c>
      <c r="F413" s="137" t="s">
        <v>129</v>
      </c>
      <c r="G413" s="137" t="s">
        <v>129</v>
      </c>
      <c r="H413" s="137" t="s">
        <v>129</v>
      </c>
      <c r="I413" s="137" t="s">
        <v>129</v>
      </c>
      <c r="J413" s="137" t="s">
        <v>129</v>
      </c>
      <c r="K413" s="137" t="s">
        <v>129</v>
      </c>
      <c r="L413" s="137" t="s">
        <v>129</v>
      </c>
      <c r="M413" s="141"/>
      <c r="N413" s="147"/>
    </row>
    <row r="414" hidden="1" outlineLevel="1">
      <c r="B414" s="189"/>
      <c r="C414" s="191" t="s">
        <v>194</v>
      </c>
      <c r="D414" s="204">
        <f>AVERAGE(D399:D413)</f>
        <v>1</v>
      </c>
      <c r="E414" s="384"/>
      <c r="L414" s="191" t="s">
        <v>194</v>
      </c>
      <c r="M414" s="204">
        <f>SUM(M399:M413)/75*0.1</f>
        <v>0</v>
      </c>
    </row>
    <row r="415" hidden="1" collapsed="1">
      <c r="A415" s="206" t="s">
        <v>1138</v>
      </c>
      <c r="B415" s="207"/>
      <c r="C415" s="207"/>
      <c r="D415" s="385"/>
      <c r="E415" s="109"/>
      <c r="F415" s="109"/>
      <c r="G415" s="110"/>
      <c r="H415" s="110"/>
      <c r="I415" s="110"/>
      <c r="J415" s="110"/>
      <c r="K415" s="110"/>
      <c r="L415" s="110"/>
      <c r="M415" s="111"/>
      <c r="N415" s="113"/>
    </row>
    <row r="416" hidden="1" outlineLevel="1">
      <c r="A416" s="373" t="s">
        <v>98</v>
      </c>
      <c r="B416" s="115" t="s">
        <v>100</v>
      </c>
      <c r="C416" s="115" t="s">
        <v>102</v>
      </c>
      <c r="D416" s="119" t="s">
        <v>103</v>
      </c>
      <c r="E416" s="275" t="s">
        <v>269</v>
      </c>
      <c r="F416" s="275" t="s">
        <v>272</v>
      </c>
      <c r="G416" s="276" t="s">
        <v>328</v>
      </c>
      <c r="H416" s="121" t="s">
        <v>107</v>
      </c>
      <c r="I416" s="121" t="s">
        <v>108</v>
      </c>
      <c r="J416" s="276" t="s">
        <v>329</v>
      </c>
      <c r="K416" s="121" t="s">
        <v>111</v>
      </c>
      <c r="L416" s="276" t="s">
        <v>274</v>
      </c>
      <c r="M416" s="115" t="s">
        <v>114</v>
      </c>
      <c r="N416" s="119" t="s">
        <v>115</v>
      </c>
    </row>
    <row r="417" hidden="1" outlineLevel="1">
      <c r="A417" s="367" t="s">
        <v>2017</v>
      </c>
      <c r="B417" s="344">
        <v>46181.0</v>
      </c>
      <c r="C417" s="133" t="str">
        <f t="shared" ref="C417:C431" si="47">IF(B417="", "", TEXT(B417, "ddd"))</f>
        <v>Mon</v>
      </c>
      <c r="D417" s="381">
        <f t="shared" ref="D417:D431" si="48">IF(E417="Yes",0.05,0)
+IF(F417="Yes",0.1,0)
+IF(G417="Yes",0.15,0)
+IF(H417="Yes",0.15,0)
+IF(I417="Yes",0.05,0)
+IF(J417="Yes",0.05,0)
+IF(K417="Yes",0.15,0)
+IF(L417="Yes",0.3,0)
</f>
        <v>1</v>
      </c>
      <c r="E417" s="382" t="s">
        <v>129</v>
      </c>
      <c r="F417" s="137" t="s">
        <v>129</v>
      </c>
      <c r="G417" s="137" t="s">
        <v>129</v>
      </c>
      <c r="H417" s="137" t="s">
        <v>129</v>
      </c>
      <c r="I417" s="137" t="s">
        <v>129</v>
      </c>
      <c r="J417" s="137" t="s">
        <v>129</v>
      </c>
      <c r="K417" s="137" t="s">
        <v>129</v>
      </c>
      <c r="L417" s="137" t="s">
        <v>129</v>
      </c>
      <c r="M417" s="141"/>
      <c r="N417" s="143"/>
    </row>
    <row r="418" hidden="1" outlineLevel="1">
      <c r="A418" s="367" t="s">
        <v>2021</v>
      </c>
      <c r="B418" s="344">
        <v>46181.0</v>
      </c>
      <c r="C418" s="133" t="str">
        <f t="shared" si="47"/>
        <v>Mon</v>
      </c>
      <c r="D418" s="383">
        <f t="shared" si="48"/>
        <v>1</v>
      </c>
      <c r="E418" s="147" t="s">
        <v>129</v>
      </c>
      <c r="F418" s="137" t="s">
        <v>129</v>
      </c>
      <c r="G418" s="137" t="s">
        <v>129</v>
      </c>
      <c r="H418" s="137" t="s">
        <v>129</v>
      </c>
      <c r="I418" s="137" t="s">
        <v>129</v>
      </c>
      <c r="J418" s="137" t="s">
        <v>129</v>
      </c>
      <c r="K418" s="137" t="s">
        <v>129</v>
      </c>
      <c r="L418" s="137" t="s">
        <v>129</v>
      </c>
      <c r="M418" s="141"/>
      <c r="N418" s="147"/>
    </row>
    <row r="419" hidden="1" outlineLevel="1">
      <c r="A419" s="367" t="s">
        <v>2023</v>
      </c>
      <c r="B419" s="344">
        <v>46181.0</v>
      </c>
      <c r="C419" s="133" t="str">
        <f t="shared" si="47"/>
        <v>Mon</v>
      </c>
      <c r="D419" s="381">
        <f t="shared" si="48"/>
        <v>1</v>
      </c>
      <c r="E419" s="382" t="s">
        <v>129</v>
      </c>
      <c r="F419" s="137" t="s">
        <v>129</v>
      </c>
      <c r="G419" s="137" t="s">
        <v>129</v>
      </c>
      <c r="H419" s="137" t="s">
        <v>129</v>
      </c>
      <c r="I419" s="137" t="s">
        <v>129</v>
      </c>
      <c r="J419" s="137" t="s">
        <v>129</v>
      </c>
      <c r="K419" s="137" t="s">
        <v>129</v>
      </c>
      <c r="L419" s="137" t="s">
        <v>129</v>
      </c>
      <c r="M419" s="141"/>
      <c r="N419" s="147"/>
    </row>
    <row r="420" hidden="1" outlineLevel="1">
      <c r="A420" s="367" t="s">
        <v>2025</v>
      </c>
      <c r="B420" s="344">
        <v>46182.0</v>
      </c>
      <c r="C420" s="133" t="str">
        <f t="shared" si="47"/>
        <v>Tue</v>
      </c>
      <c r="D420" s="383">
        <f t="shared" si="48"/>
        <v>1</v>
      </c>
      <c r="E420" s="147" t="s">
        <v>129</v>
      </c>
      <c r="F420" s="137" t="s">
        <v>129</v>
      </c>
      <c r="G420" s="137" t="s">
        <v>129</v>
      </c>
      <c r="H420" s="137" t="s">
        <v>129</v>
      </c>
      <c r="I420" s="137" t="s">
        <v>129</v>
      </c>
      <c r="J420" s="137" t="s">
        <v>129</v>
      </c>
      <c r="K420" s="137" t="s">
        <v>129</v>
      </c>
      <c r="L420" s="137" t="s">
        <v>129</v>
      </c>
      <c r="M420" s="141"/>
      <c r="N420" s="143"/>
    </row>
    <row r="421" hidden="1" outlineLevel="1">
      <c r="A421" s="367" t="s">
        <v>2028</v>
      </c>
      <c r="B421" s="344">
        <v>46182.0</v>
      </c>
      <c r="C421" s="133" t="str">
        <f t="shared" si="47"/>
        <v>Tue</v>
      </c>
      <c r="D421" s="381">
        <f t="shared" si="48"/>
        <v>1</v>
      </c>
      <c r="E421" s="382" t="s">
        <v>129</v>
      </c>
      <c r="F421" s="137" t="s">
        <v>129</v>
      </c>
      <c r="G421" s="137" t="s">
        <v>129</v>
      </c>
      <c r="H421" s="137" t="s">
        <v>129</v>
      </c>
      <c r="I421" s="137" t="s">
        <v>129</v>
      </c>
      <c r="J421" s="137" t="s">
        <v>129</v>
      </c>
      <c r="K421" s="137" t="s">
        <v>129</v>
      </c>
      <c r="L421" s="137" t="s">
        <v>129</v>
      </c>
      <c r="M421" s="141"/>
      <c r="N421" s="143"/>
    </row>
    <row r="422" hidden="1" outlineLevel="1">
      <c r="A422" s="367" t="s">
        <v>2030</v>
      </c>
      <c r="B422" s="344">
        <v>46182.0</v>
      </c>
      <c r="C422" s="133" t="str">
        <f t="shared" si="47"/>
        <v>Tue</v>
      </c>
      <c r="D422" s="383">
        <f t="shared" si="48"/>
        <v>1</v>
      </c>
      <c r="E422" s="147" t="s">
        <v>129</v>
      </c>
      <c r="F422" s="137" t="s">
        <v>129</v>
      </c>
      <c r="G422" s="137" t="s">
        <v>129</v>
      </c>
      <c r="H422" s="137" t="s">
        <v>129</v>
      </c>
      <c r="I422" s="137" t="s">
        <v>129</v>
      </c>
      <c r="J422" s="137" t="s">
        <v>129</v>
      </c>
      <c r="K422" s="137" t="s">
        <v>129</v>
      </c>
      <c r="L422" s="137" t="s">
        <v>129</v>
      </c>
      <c r="M422" s="141"/>
      <c r="N422" s="143"/>
    </row>
    <row r="423" hidden="1" outlineLevel="1">
      <c r="A423" s="367" t="s">
        <v>2033</v>
      </c>
      <c r="B423" s="344">
        <v>46184.0</v>
      </c>
      <c r="C423" s="133" t="str">
        <f t="shared" si="47"/>
        <v>Thu</v>
      </c>
      <c r="D423" s="381">
        <f t="shared" si="48"/>
        <v>1</v>
      </c>
      <c r="E423" s="382" t="s">
        <v>129</v>
      </c>
      <c r="F423" s="137" t="s">
        <v>129</v>
      </c>
      <c r="G423" s="137" t="s">
        <v>129</v>
      </c>
      <c r="H423" s="137" t="s">
        <v>129</v>
      </c>
      <c r="I423" s="137" t="s">
        <v>129</v>
      </c>
      <c r="J423" s="137" t="s">
        <v>129</v>
      </c>
      <c r="K423" s="137" t="s">
        <v>129</v>
      </c>
      <c r="L423" s="137" t="s">
        <v>129</v>
      </c>
      <c r="M423" s="141"/>
      <c r="N423" s="143"/>
    </row>
    <row r="424" hidden="1" outlineLevel="1">
      <c r="A424" s="367" t="s">
        <v>2036</v>
      </c>
      <c r="B424" s="344">
        <v>46184.0</v>
      </c>
      <c r="C424" s="133" t="str">
        <f t="shared" si="47"/>
        <v>Thu</v>
      </c>
      <c r="D424" s="383">
        <f t="shared" si="48"/>
        <v>1</v>
      </c>
      <c r="E424" s="147" t="s">
        <v>129</v>
      </c>
      <c r="F424" s="137" t="s">
        <v>129</v>
      </c>
      <c r="G424" s="137" t="s">
        <v>129</v>
      </c>
      <c r="H424" s="137" t="s">
        <v>129</v>
      </c>
      <c r="I424" s="137" t="s">
        <v>129</v>
      </c>
      <c r="J424" s="137" t="s">
        <v>129</v>
      </c>
      <c r="K424" s="137" t="s">
        <v>129</v>
      </c>
      <c r="L424" s="137" t="s">
        <v>129</v>
      </c>
      <c r="M424" s="141"/>
      <c r="N424" s="147"/>
    </row>
    <row r="425" hidden="1" outlineLevel="1">
      <c r="A425" s="367" t="s">
        <v>2037</v>
      </c>
      <c r="B425" s="344">
        <v>46184.0</v>
      </c>
      <c r="C425" s="133" t="str">
        <f t="shared" si="47"/>
        <v>Thu</v>
      </c>
      <c r="D425" s="381">
        <f t="shared" si="48"/>
        <v>1</v>
      </c>
      <c r="E425" s="382" t="s">
        <v>129</v>
      </c>
      <c r="F425" s="137" t="s">
        <v>129</v>
      </c>
      <c r="G425" s="137" t="s">
        <v>129</v>
      </c>
      <c r="H425" s="137" t="s">
        <v>129</v>
      </c>
      <c r="I425" s="137" t="s">
        <v>129</v>
      </c>
      <c r="J425" s="137" t="s">
        <v>129</v>
      </c>
      <c r="K425" s="137" t="s">
        <v>129</v>
      </c>
      <c r="L425" s="137" t="s">
        <v>129</v>
      </c>
      <c r="M425" s="141"/>
      <c r="N425" s="143"/>
    </row>
    <row r="426" hidden="1" outlineLevel="1">
      <c r="A426" s="367" t="s">
        <v>2039</v>
      </c>
      <c r="B426" s="344">
        <v>46185.0</v>
      </c>
      <c r="C426" s="133" t="str">
        <f t="shared" si="47"/>
        <v>Fri</v>
      </c>
      <c r="D426" s="383">
        <f t="shared" si="48"/>
        <v>1</v>
      </c>
      <c r="E426" s="147" t="s">
        <v>129</v>
      </c>
      <c r="F426" s="137" t="s">
        <v>129</v>
      </c>
      <c r="G426" s="137" t="s">
        <v>129</v>
      </c>
      <c r="H426" s="137" t="s">
        <v>129</v>
      </c>
      <c r="I426" s="137" t="s">
        <v>129</v>
      </c>
      <c r="J426" s="137" t="s">
        <v>129</v>
      </c>
      <c r="K426" s="137" t="s">
        <v>129</v>
      </c>
      <c r="L426" s="137" t="s">
        <v>129</v>
      </c>
      <c r="M426" s="141"/>
      <c r="N426" s="147"/>
    </row>
    <row r="427" hidden="1" outlineLevel="1">
      <c r="A427" s="367" t="s">
        <v>2042</v>
      </c>
      <c r="B427" s="344">
        <v>46185.0</v>
      </c>
      <c r="C427" s="133" t="str">
        <f t="shared" si="47"/>
        <v>Fri</v>
      </c>
      <c r="D427" s="381">
        <f t="shared" si="48"/>
        <v>1</v>
      </c>
      <c r="E427" s="382" t="s">
        <v>129</v>
      </c>
      <c r="F427" s="137" t="s">
        <v>129</v>
      </c>
      <c r="G427" s="137" t="s">
        <v>129</v>
      </c>
      <c r="H427" s="137" t="s">
        <v>129</v>
      </c>
      <c r="I427" s="137" t="s">
        <v>129</v>
      </c>
      <c r="J427" s="137" t="s">
        <v>129</v>
      </c>
      <c r="K427" s="137" t="s">
        <v>129</v>
      </c>
      <c r="L427" s="137" t="s">
        <v>129</v>
      </c>
      <c r="M427" s="141"/>
      <c r="N427" s="147"/>
    </row>
    <row r="428" hidden="1" outlineLevel="1">
      <c r="A428" s="367" t="s">
        <v>2043</v>
      </c>
      <c r="B428" s="344">
        <v>46185.0</v>
      </c>
      <c r="C428" s="133" t="str">
        <f t="shared" si="47"/>
        <v>Fri</v>
      </c>
      <c r="D428" s="383">
        <f t="shared" si="48"/>
        <v>1</v>
      </c>
      <c r="E428" s="147" t="s">
        <v>129</v>
      </c>
      <c r="F428" s="137" t="s">
        <v>129</v>
      </c>
      <c r="G428" s="137" t="s">
        <v>129</v>
      </c>
      <c r="H428" s="137" t="s">
        <v>129</v>
      </c>
      <c r="I428" s="137" t="s">
        <v>129</v>
      </c>
      <c r="J428" s="137" t="s">
        <v>129</v>
      </c>
      <c r="K428" s="137" t="s">
        <v>129</v>
      </c>
      <c r="L428" s="137" t="s">
        <v>129</v>
      </c>
      <c r="M428" s="141"/>
      <c r="N428" s="147"/>
    </row>
    <row r="429" hidden="1" outlineLevel="1">
      <c r="A429" s="367" t="s">
        <v>2045</v>
      </c>
      <c r="B429" s="344">
        <v>46186.0</v>
      </c>
      <c r="C429" s="133" t="str">
        <f t="shared" si="47"/>
        <v>Sat</v>
      </c>
      <c r="D429" s="381">
        <f t="shared" si="48"/>
        <v>1</v>
      </c>
      <c r="E429" s="382" t="s">
        <v>129</v>
      </c>
      <c r="F429" s="137" t="s">
        <v>129</v>
      </c>
      <c r="G429" s="137" t="s">
        <v>129</v>
      </c>
      <c r="H429" s="137" t="s">
        <v>129</v>
      </c>
      <c r="I429" s="137" t="s">
        <v>129</v>
      </c>
      <c r="J429" s="137" t="s">
        <v>129</v>
      </c>
      <c r="K429" s="137" t="s">
        <v>129</v>
      </c>
      <c r="L429" s="137" t="s">
        <v>129</v>
      </c>
      <c r="M429" s="141"/>
      <c r="N429" s="143"/>
    </row>
    <row r="430" hidden="1" outlineLevel="1">
      <c r="A430" s="367" t="s">
        <v>2047</v>
      </c>
      <c r="B430" s="344">
        <v>46186.0</v>
      </c>
      <c r="C430" s="133" t="str">
        <f t="shared" si="47"/>
        <v>Sat</v>
      </c>
      <c r="D430" s="383">
        <f t="shared" si="48"/>
        <v>1</v>
      </c>
      <c r="E430" s="147" t="s">
        <v>129</v>
      </c>
      <c r="F430" s="137" t="s">
        <v>129</v>
      </c>
      <c r="G430" s="137" t="s">
        <v>129</v>
      </c>
      <c r="H430" s="137" t="s">
        <v>129</v>
      </c>
      <c r="I430" s="137" t="s">
        <v>129</v>
      </c>
      <c r="J430" s="137" t="s">
        <v>129</v>
      </c>
      <c r="K430" s="137" t="s">
        <v>129</v>
      </c>
      <c r="L430" s="137" t="s">
        <v>129</v>
      </c>
      <c r="M430" s="141"/>
      <c r="N430" s="143"/>
    </row>
    <row r="431" ht="15.0" hidden="1" customHeight="1" outlineLevel="1">
      <c r="A431" s="367" t="s">
        <v>2048</v>
      </c>
      <c r="B431" s="344">
        <v>46186.0</v>
      </c>
      <c r="C431" s="133" t="str">
        <f t="shared" si="47"/>
        <v>Sat</v>
      </c>
      <c r="D431" s="381">
        <f t="shared" si="48"/>
        <v>1</v>
      </c>
      <c r="E431" s="382" t="s">
        <v>129</v>
      </c>
      <c r="F431" s="137" t="s">
        <v>129</v>
      </c>
      <c r="G431" s="137" t="s">
        <v>129</v>
      </c>
      <c r="H431" s="137" t="s">
        <v>129</v>
      </c>
      <c r="I431" s="137" t="s">
        <v>129</v>
      </c>
      <c r="J431" s="137" t="s">
        <v>129</v>
      </c>
      <c r="K431" s="137" t="s">
        <v>129</v>
      </c>
      <c r="L431" s="137" t="s">
        <v>129</v>
      </c>
      <c r="M431" s="141"/>
      <c r="N431" s="147"/>
    </row>
    <row r="432" hidden="1" outlineLevel="1">
      <c r="B432" s="189"/>
      <c r="C432" s="328" t="s">
        <v>194</v>
      </c>
      <c r="D432" s="329">
        <f>AVERAGE(D417:D431)</f>
        <v>1</v>
      </c>
      <c r="E432" s="384"/>
      <c r="L432" s="191" t="s">
        <v>194</v>
      </c>
      <c r="M432" s="204">
        <f>SUM(M417:M431)/75*0.1</f>
        <v>0</v>
      </c>
    </row>
    <row r="433" hidden="1" collapsed="1">
      <c r="A433" s="206" t="s">
        <v>1161</v>
      </c>
      <c r="B433" s="207"/>
      <c r="C433" s="207"/>
      <c r="D433" s="385"/>
      <c r="E433" s="109"/>
      <c r="F433" s="109"/>
      <c r="G433" s="110"/>
      <c r="H433" s="110"/>
      <c r="I433" s="110"/>
      <c r="J433" s="110"/>
      <c r="K433" s="110"/>
      <c r="L433" s="110"/>
      <c r="M433" s="111"/>
      <c r="N433" s="113"/>
    </row>
    <row r="434" hidden="1" outlineLevel="1">
      <c r="A434" s="373" t="s">
        <v>98</v>
      </c>
      <c r="B434" s="115" t="s">
        <v>100</v>
      </c>
      <c r="C434" s="115" t="s">
        <v>102</v>
      </c>
      <c r="D434" s="119" t="s">
        <v>103</v>
      </c>
      <c r="E434" s="275" t="s">
        <v>269</v>
      </c>
      <c r="F434" s="275" t="s">
        <v>272</v>
      </c>
      <c r="G434" s="276" t="s">
        <v>328</v>
      </c>
      <c r="H434" s="121" t="s">
        <v>107</v>
      </c>
      <c r="I434" s="121" t="s">
        <v>108</v>
      </c>
      <c r="J434" s="276" t="s">
        <v>329</v>
      </c>
      <c r="K434" s="121" t="s">
        <v>111</v>
      </c>
      <c r="L434" s="276" t="s">
        <v>274</v>
      </c>
      <c r="M434" s="115" t="s">
        <v>114</v>
      </c>
      <c r="N434" s="119" t="s">
        <v>115</v>
      </c>
    </row>
    <row r="435" hidden="1" outlineLevel="1">
      <c r="A435" s="412" t="s">
        <v>1162</v>
      </c>
      <c r="B435" s="344"/>
      <c r="C435" s="133" t="str">
        <f t="shared" ref="C435:C449" si="49">IF(B435="", "", TEXT(B435, "ddd"))</f>
        <v/>
      </c>
      <c r="D435" s="381">
        <f t="shared" ref="D435:D449" si="50">IF(E435="Yes",0.05,0)
+IF(F435="Yes",0.1,0)
+IF(G435="Yes",0.15,0)
+IF(H435="Yes",0.15,0)
+IF(I435="Yes",0.05,0)
+IF(J435="Yes",0.05,0)
+IF(K435="Yes",0.15,0)
+IF(L435="Yes",0.3,0)
</f>
        <v>1</v>
      </c>
      <c r="E435" s="382" t="s">
        <v>129</v>
      </c>
      <c r="F435" s="137" t="s">
        <v>129</v>
      </c>
      <c r="G435" s="137" t="s">
        <v>129</v>
      </c>
      <c r="H435" s="137" t="s">
        <v>129</v>
      </c>
      <c r="I435" s="137" t="s">
        <v>129</v>
      </c>
      <c r="J435" s="137" t="s">
        <v>129</v>
      </c>
      <c r="K435" s="137" t="s">
        <v>129</v>
      </c>
      <c r="L435" s="137" t="s">
        <v>129</v>
      </c>
      <c r="M435" s="141"/>
      <c r="N435" s="143"/>
    </row>
    <row r="436" hidden="1" outlineLevel="1">
      <c r="A436" s="412" t="s">
        <v>1162</v>
      </c>
      <c r="B436" s="344"/>
      <c r="C436" s="133" t="str">
        <f t="shared" si="49"/>
        <v/>
      </c>
      <c r="D436" s="383">
        <f t="shared" si="50"/>
        <v>1</v>
      </c>
      <c r="E436" s="147" t="s">
        <v>129</v>
      </c>
      <c r="F436" s="137" t="s">
        <v>129</v>
      </c>
      <c r="G436" s="137" t="s">
        <v>129</v>
      </c>
      <c r="H436" s="137" t="s">
        <v>129</v>
      </c>
      <c r="I436" s="137" t="s">
        <v>129</v>
      </c>
      <c r="J436" s="137" t="s">
        <v>129</v>
      </c>
      <c r="K436" s="137" t="s">
        <v>129</v>
      </c>
      <c r="L436" s="137" t="s">
        <v>129</v>
      </c>
      <c r="M436" s="141"/>
      <c r="N436" s="147"/>
    </row>
    <row r="437" hidden="1" outlineLevel="1">
      <c r="A437" s="412" t="s">
        <v>1162</v>
      </c>
      <c r="B437" s="344"/>
      <c r="C437" s="133" t="str">
        <f t="shared" si="49"/>
        <v/>
      </c>
      <c r="D437" s="381">
        <f t="shared" si="50"/>
        <v>1</v>
      </c>
      <c r="E437" s="382" t="s">
        <v>129</v>
      </c>
      <c r="F437" s="137" t="s">
        <v>129</v>
      </c>
      <c r="G437" s="137" t="s">
        <v>129</v>
      </c>
      <c r="H437" s="137" t="s">
        <v>129</v>
      </c>
      <c r="I437" s="137" t="s">
        <v>129</v>
      </c>
      <c r="J437" s="137" t="s">
        <v>129</v>
      </c>
      <c r="K437" s="137" t="s">
        <v>129</v>
      </c>
      <c r="L437" s="137" t="s">
        <v>129</v>
      </c>
      <c r="M437" s="141"/>
      <c r="N437" s="147"/>
    </row>
    <row r="438" hidden="1" outlineLevel="1">
      <c r="A438" s="412" t="s">
        <v>1162</v>
      </c>
      <c r="B438" s="344"/>
      <c r="C438" s="133" t="str">
        <f t="shared" si="49"/>
        <v/>
      </c>
      <c r="D438" s="383">
        <f t="shared" si="50"/>
        <v>1</v>
      </c>
      <c r="E438" s="147" t="s">
        <v>129</v>
      </c>
      <c r="F438" s="137" t="s">
        <v>129</v>
      </c>
      <c r="G438" s="137" t="s">
        <v>129</v>
      </c>
      <c r="H438" s="137" t="s">
        <v>129</v>
      </c>
      <c r="I438" s="137" t="s">
        <v>129</v>
      </c>
      <c r="J438" s="137" t="s">
        <v>129</v>
      </c>
      <c r="K438" s="137" t="s">
        <v>129</v>
      </c>
      <c r="L438" s="137" t="s">
        <v>129</v>
      </c>
      <c r="M438" s="141"/>
      <c r="N438" s="143"/>
    </row>
    <row r="439" hidden="1" outlineLevel="1">
      <c r="A439" s="412" t="s">
        <v>1162</v>
      </c>
      <c r="B439" s="344"/>
      <c r="C439" s="133" t="str">
        <f t="shared" si="49"/>
        <v/>
      </c>
      <c r="D439" s="381">
        <f t="shared" si="50"/>
        <v>1</v>
      </c>
      <c r="E439" s="382" t="s">
        <v>129</v>
      </c>
      <c r="F439" s="137" t="s">
        <v>129</v>
      </c>
      <c r="G439" s="137" t="s">
        <v>129</v>
      </c>
      <c r="H439" s="137" t="s">
        <v>129</v>
      </c>
      <c r="I439" s="137" t="s">
        <v>129</v>
      </c>
      <c r="J439" s="137" t="s">
        <v>129</v>
      </c>
      <c r="K439" s="137" t="s">
        <v>129</v>
      </c>
      <c r="L439" s="137" t="s">
        <v>129</v>
      </c>
      <c r="M439" s="141"/>
      <c r="N439" s="143"/>
    </row>
    <row r="440" hidden="1" outlineLevel="1">
      <c r="A440" s="412" t="s">
        <v>1162</v>
      </c>
      <c r="B440" s="344"/>
      <c r="C440" s="133" t="str">
        <f t="shared" si="49"/>
        <v/>
      </c>
      <c r="D440" s="383">
        <f t="shared" si="50"/>
        <v>1</v>
      </c>
      <c r="E440" s="147" t="s">
        <v>129</v>
      </c>
      <c r="F440" s="137" t="s">
        <v>129</v>
      </c>
      <c r="G440" s="137" t="s">
        <v>129</v>
      </c>
      <c r="H440" s="137" t="s">
        <v>129</v>
      </c>
      <c r="I440" s="137" t="s">
        <v>129</v>
      </c>
      <c r="J440" s="137" t="s">
        <v>129</v>
      </c>
      <c r="K440" s="137" t="s">
        <v>129</v>
      </c>
      <c r="L440" s="137" t="s">
        <v>129</v>
      </c>
      <c r="M440" s="141"/>
      <c r="N440" s="143"/>
    </row>
    <row r="441" hidden="1" outlineLevel="1">
      <c r="A441" s="412" t="s">
        <v>1162</v>
      </c>
      <c r="B441" s="344"/>
      <c r="C441" s="133" t="str">
        <f t="shared" si="49"/>
        <v/>
      </c>
      <c r="D441" s="381">
        <f t="shared" si="50"/>
        <v>1</v>
      </c>
      <c r="E441" s="382" t="s">
        <v>129</v>
      </c>
      <c r="F441" s="137" t="s">
        <v>129</v>
      </c>
      <c r="G441" s="137" t="s">
        <v>129</v>
      </c>
      <c r="H441" s="137" t="s">
        <v>129</v>
      </c>
      <c r="I441" s="137" t="s">
        <v>129</v>
      </c>
      <c r="J441" s="137" t="s">
        <v>129</v>
      </c>
      <c r="K441" s="137" t="s">
        <v>129</v>
      </c>
      <c r="L441" s="137" t="s">
        <v>129</v>
      </c>
      <c r="M441" s="141"/>
      <c r="N441" s="143"/>
    </row>
    <row r="442" hidden="1" outlineLevel="1">
      <c r="A442" s="412" t="s">
        <v>1162</v>
      </c>
      <c r="B442" s="344"/>
      <c r="C442" s="133" t="str">
        <f t="shared" si="49"/>
        <v/>
      </c>
      <c r="D442" s="383">
        <f t="shared" si="50"/>
        <v>1</v>
      </c>
      <c r="E442" s="147" t="s">
        <v>129</v>
      </c>
      <c r="F442" s="137" t="s">
        <v>129</v>
      </c>
      <c r="G442" s="137" t="s">
        <v>129</v>
      </c>
      <c r="H442" s="137" t="s">
        <v>129</v>
      </c>
      <c r="I442" s="137" t="s">
        <v>129</v>
      </c>
      <c r="J442" s="137" t="s">
        <v>129</v>
      </c>
      <c r="K442" s="137" t="s">
        <v>129</v>
      </c>
      <c r="L442" s="137" t="s">
        <v>129</v>
      </c>
      <c r="M442" s="141"/>
      <c r="N442" s="147"/>
    </row>
    <row r="443" hidden="1" outlineLevel="1">
      <c r="A443" s="412" t="s">
        <v>1162</v>
      </c>
      <c r="B443" s="344"/>
      <c r="C443" s="133" t="str">
        <f t="shared" si="49"/>
        <v/>
      </c>
      <c r="D443" s="381">
        <f t="shared" si="50"/>
        <v>1</v>
      </c>
      <c r="E443" s="382" t="s">
        <v>129</v>
      </c>
      <c r="F443" s="137" t="s">
        <v>129</v>
      </c>
      <c r="G443" s="137" t="s">
        <v>129</v>
      </c>
      <c r="H443" s="137" t="s">
        <v>129</v>
      </c>
      <c r="I443" s="137" t="s">
        <v>129</v>
      </c>
      <c r="J443" s="137" t="s">
        <v>129</v>
      </c>
      <c r="K443" s="137" t="s">
        <v>129</v>
      </c>
      <c r="L443" s="137" t="s">
        <v>129</v>
      </c>
      <c r="M443" s="141"/>
      <c r="N443" s="143"/>
    </row>
    <row r="444" hidden="1" outlineLevel="1">
      <c r="A444" s="412" t="s">
        <v>1162</v>
      </c>
      <c r="B444" s="344"/>
      <c r="C444" s="133" t="str">
        <f t="shared" si="49"/>
        <v/>
      </c>
      <c r="D444" s="383">
        <f t="shared" si="50"/>
        <v>1</v>
      </c>
      <c r="E444" s="147" t="s">
        <v>129</v>
      </c>
      <c r="F444" s="137" t="s">
        <v>129</v>
      </c>
      <c r="G444" s="137" t="s">
        <v>129</v>
      </c>
      <c r="H444" s="137" t="s">
        <v>129</v>
      </c>
      <c r="I444" s="137" t="s">
        <v>129</v>
      </c>
      <c r="J444" s="137" t="s">
        <v>129</v>
      </c>
      <c r="K444" s="137" t="s">
        <v>129</v>
      </c>
      <c r="L444" s="137" t="s">
        <v>129</v>
      </c>
      <c r="M444" s="141"/>
      <c r="N444" s="147"/>
    </row>
    <row r="445" hidden="1" outlineLevel="1">
      <c r="A445" s="412" t="s">
        <v>1162</v>
      </c>
      <c r="B445" s="344"/>
      <c r="C445" s="133" t="str">
        <f t="shared" si="49"/>
        <v/>
      </c>
      <c r="D445" s="381">
        <f t="shared" si="50"/>
        <v>1</v>
      </c>
      <c r="E445" s="382" t="s">
        <v>129</v>
      </c>
      <c r="F445" s="137" t="s">
        <v>129</v>
      </c>
      <c r="G445" s="137" t="s">
        <v>129</v>
      </c>
      <c r="H445" s="137" t="s">
        <v>129</v>
      </c>
      <c r="I445" s="137" t="s">
        <v>129</v>
      </c>
      <c r="J445" s="137" t="s">
        <v>129</v>
      </c>
      <c r="K445" s="137" t="s">
        <v>129</v>
      </c>
      <c r="L445" s="137" t="s">
        <v>129</v>
      </c>
      <c r="M445" s="141"/>
      <c r="N445" s="147"/>
    </row>
    <row r="446" hidden="1" outlineLevel="1">
      <c r="A446" s="412" t="s">
        <v>1162</v>
      </c>
      <c r="B446" s="344"/>
      <c r="C446" s="133" t="str">
        <f t="shared" si="49"/>
        <v/>
      </c>
      <c r="D446" s="383">
        <f t="shared" si="50"/>
        <v>1</v>
      </c>
      <c r="E446" s="147" t="s">
        <v>129</v>
      </c>
      <c r="F446" s="137" t="s">
        <v>129</v>
      </c>
      <c r="G446" s="137" t="s">
        <v>129</v>
      </c>
      <c r="H446" s="137" t="s">
        <v>129</v>
      </c>
      <c r="I446" s="137" t="s">
        <v>129</v>
      </c>
      <c r="J446" s="137" t="s">
        <v>129</v>
      </c>
      <c r="K446" s="137" t="s">
        <v>129</v>
      </c>
      <c r="L446" s="137" t="s">
        <v>129</v>
      </c>
      <c r="M446" s="141"/>
      <c r="N446" s="147"/>
    </row>
    <row r="447" hidden="1" outlineLevel="1">
      <c r="A447" s="412" t="s">
        <v>1162</v>
      </c>
      <c r="B447" s="344"/>
      <c r="C447" s="133" t="str">
        <f t="shared" si="49"/>
        <v/>
      </c>
      <c r="D447" s="381">
        <f t="shared" si="50"/>
        <v>1</v>
      </c>
      <c r="E447" s="382" t="s">
        <v>129</v>
      </c>
      <c r="F447" s="137" t="s">
        <v>129</v>
      </c>
      <c r="G447" s="137" t="s">
        <v>129</v>
      </c>
      <c r="H447" s="137" t="s">
        <v>129</v>
      </c>
      <c r="I447" s="137" t="s">
        <v>129</v>
      </c>
      <c r="J447" s="137" t="s">
        <v>129</v>
      </c>
      <c r="K447" s="137" t="s">
        <v>129</v>
      </c>
      <c r="L447" s="137" t="s">
        <v>129</v>
      </c>
      <c r="M447" s="141"/>
      <c r="N447" s="143"/>
    </row>
    <row r="448" hidden="1" outlineLevel="1">
      <c r="A448" s="412" t="s">
        <v>1162</v>
      </c>
      <c r="B448" s="344"/>
      <c r="C448" s="133" t="str">
        <f t="shared" si="49"/>
        <v/>
      </c>
      <c r="D448" s="383">
        <f t="shared" si="50"/>
        <v>1</v>
      </c>
      <c r="E448" s="147" t="s">
        <v>129</v>
      </c>
      <c r="F448" s="137" t="s">
        <v>129</v>
      </c>
      <c r="G448" s="137" t="s">
        <v>129</v>
      </c>
      <c r="H448" s="137" t="s">
        <v>129</v>
      </c>
      <c r="I448" s="137" t="s">
        <v>129</v>
      </c>
      <c r="J448" s="137" t="s">
        <v>129</v>
      </c>
      <c r="K448" s="137" t="s">
        <v>129</v>
      </c>
      <c r="L448" s="137" t="s">
        <v>129</v>
      </c>
      <c r="M448" s="141"/>
      <c r="N448" s="143"/>
    </row>
    <row r="449" ht="15.0" hidden="1" customHeight="1" outlineLevel="1">
      <c r="A449" s="412" t="s">
        <v>1162</v>
      </c>
      <c r="B449" s="344"/>
      <c r="C449" s="133" t="str">
        <f t="shared" si="49"/>
        <v/>
      </c>
      <c r="D449" s="381">
        <f t="shared" si="50"/>
        <v>1</v>
      </c>
      <c r="E449" s="382" t="s">
        <v>129</v>
      </c>
      <c r="F449" s="137" t="s">
        <v>129</v>
      </c>
      <c r="G449" s="137" t="s">
        <v>129</v>
      </c>
      <c r="H449" s="137" t="s">
        <v>129</v>
      </c>
      <c r="I449" s="137" t="s">
        <v>129</v>
      </c>
      <c r="J449" s="137" t="s">
        <v>129</v>
      </c>
      <c r="K449" s="137" t="s">
        <v>129</v>
      </c>
      <c r="L449" s="137" t="s">
        <v>129</v>
      </c>
      <c r="M449" s="141"/>
      <c r="N449" s="147"/>
    </row>
    <row r="450" hidden="1" outlineLevel="1">
      <c r="B450" s="189"/>
      <c r="C450" s="191" t="s">
        <v>194</v>
      </c>
      <c r="D450" s="204">
        <f>AVERAGE(D435:D449)</f>
        <v>1</v>
      </c>
      <c r="E450" s="384"/>
      <c r="L450" s="191" t="s">
        <v>194</v>
      </c>
      <c r="M450" s="204">
        <f>SUM(M435:M449)/75*0.1</f>
        <v>0</v>
      </c>
    </row>
    <row r="451" hidden="1" collapsed="1">
      <c r="A451" s="206" t="s">
        <v>1169</v>
      </c>
      <c r="B451" s="207"/>
      <c r="C451" s="207"/>
      <c r="D451" s="385"/>
      <c r="E451" s="109"/>
      <c r="F451" s="109"/>
      <c r="G451" s="110"/>
      <c r="H451" s="110"/>
      <c r="I451" s="110"/>
      <c r="J451" s="110"/>
      <c r="K451" s="110"/>
      <c r="L451" s="110"/>
      <c r="M451" s="111"/>
      <c r="N451" s="113"/>
    </row>
    <row r="452" hidden="1" outlineLevel="1">
      <c r="A452" s="373" t="s">
        <v>98</v>
      </c>
      <c r="B452" s="115" t="s">
        <v>100</v>
      </c>
      <c r="C452" s="115" t="s">
        <v>102</v>
      </c>
      <c r="D452" s="119" t="s">
        <v>103</v>
      </c>
      <c r="E452" s="275" t="s">
        <v>269</v>
      </c>
      <c r="F452" s="275" t="s">
        <v>272</v>
      </c>
      <c r="G452" s="276" t="s">
        <v>328</v>
      </c>
      <c r="H452" s="121" t="s">
        <v>107</v>
      </c>
      <c r="I452" s="121" t="s">
        <v>108</v>
      </c>
      <c r="J452" s="276" t="s">
        <v>329</v>
      </c>
      <c r="K452" s="121" t="s">
        <v>111</v>
      </c>
      <c r="L452" s="276" t="s">
        <v>274</v>
      </c>
      <c r="M452" s="115" t="s">
        <v>114</v>
      </c>
      <c r="N452" s="119" t="s">
        <v>115</v>
      </c>
    </row>
    <row r="453" hidden="1" outlineLevel="1">
      <c r="A453" s="367" t="s">
        <v>2065</v>
      </c>
      <c r="B453" s="344">
        <v>46195.0</v>
      </c>
      <c r="C453" s="133" t="str">
        <f t="shared" ref="C453:C467" si="51">IF(B453="", "", TEXT(B453, "ddd"))</f>
        <v>Mon</v>
      </c>
      <c r="D453" s="381">
        <f t="shared" ref="D453:D467" si="52">IF(E453="Yes",0.05,0)
+IF(F453="Yes",0.1,0)
+IF(G453="Yes",0.15,0)
+IF(H453="Yes",0.15,0)
+IF(I453="Yes",0.05,0)
+IF(J453="Yes",0.05,0)
+IF(K453="Yes",0.15,0)
+IF(L453="Yes",0.3,0)
</f>
        <v>1</v>
      </c>
      <c r="E453" s="382" t="s">
        <v>129</v>
      </c>
      <c r="F453" s="137" t="s">
        <v>129</v>
      </c>
      <c r="G453" s="137" t="s">
        <v>129</v>
      </c>
      <c r="H453" s="137" t="s">
        <v>129</v>
      </c>
      <c r="I453" s="137" t="s">
        <v>129</v>
      </c>
      <c r="J453" s="137" t="s">
        <v>129</v>
      </c>
      <c r="K453" s="137" t="s">
        <v>129</v>
      </c>
      <c r="L453" s="137" t="s">
        <v>129</v>
      </c>
      <c r="M453" s="141"/>
      <c r="N453" s="143"/>
    </row>
    <row r="454" hidden="1" outlineLevel="1">
      <c r="A454" s="367" t="s">
        <v>2068</v>
      </c>
      <c r="B454" s="344">
        <v>46195.0</v>
      </c>
      <c r="C454" s="133" t="str">
        <f t="shared" si="51"/>
        <v>Mon</v>
      </c>
      <c r="D454" s="383">
        <f t="shared" si="52"/>
        <v>1</v>
      </c>
      <c r="E454" s="147" t="s">
        <v>129</v>
      </c>
      <c r="F454" s="137" t="s">
        <v>129</v>
      </c>
      <c r="G454" s="137" t="s">
        <v>129</v>
      </c>
      <c r="H454" s="137" t="s">
        <v>129</v>
      </c>
      <c r="I454" s="137" t="s">
        <v>129</v>
      </c>
      <c r="J454" s="137" t="s">
        <v>129</v>
      </c>
      <c r="K454" s="137" t="s">
        <v>129</v>
      </c>
      <c r="L454" s="137" t="s">
        <v>129</v>
      </c>
      <c r="M454" s="141"/>
      <c r="N454" s="147"/>
    </row>
    <row r="455" hidden="1" outlineLevel="1">
      <c r="A455" s="367" t="s">
        <v>2071</v>
      </c>
      <c r="B455" s="344">
        <v>46195.0</v>
      </c>
      <c r="C455" s="133" t="str">
        <f t="shared" si="51"/>
        <v>Mon</v>
      </c>
      <c r="D455" s="381">
        <f t="shared" si="52"/>
        <v>1</v>
      </c>
      <c r="E455" s="382" t="s">
        <v>129</v>
      </c>
      <c r="F455" s="137" t="s">
        <v>129</v>
      </c>
      <c r="G455" s="137" t="s">
        <v>129</v>
      </c>
      <c r="H455" s="137" t="s">
        <v>129</v>
      </c>
      <c r="I455" s="137" t="s">
        <v>129</v>
      </c>
      <c r="J455" s="137" t="s">
        <v>129</v>
      </c>
      <c r="K455" s="137" t="s">
        <v>129</v>
      </c>
      <c r="L455" s="137" t="s">
        <v>129</v>
      </c>
      <c r="M455" s="141"/>
      <c r="N455" s="147"/>
    </row>
    <row r="456" hidden="1" outlineLevel="1">
      <c r="A456" s="412" t="s">
        <v>2073</v>
      </c>
      <c r="B456" s="344">
        <v>46196.0</v>
      </c>
      <c r="C456" s="133" t="str">
        <f t="shared" si="51"/>
        <v>Tue</v>
      </c>
      <c r="D456" s="383">
        <f t="shared" si="52"/>
        <v>1</v>
      </c>
      <c r="E456" s="147" t="s">
        <v>129</v>
      </c>
      <c r="F456" s="137" t="s">
        <v>129</v>
      </c>
      <c r="G456" s="137" t="s">
        <v>129</v>
      </c>
      <c r="H456" s="137" t="s">
        <v>129</v>
      </c>
      <c r="I456" s="137" t="s">
        <v>129</v>
      </c>
      <c r="J456" s="137" t="s">
        <v>129</v>
      </c>
      <c r="K456" s="137" t="s">
        <v>129</v>
      </c>
      <c r="L456" s="137" t="s">
        <v>129</v>
      </c>
      <c r="M456" s="141"/>
      <c r="N456" s="143"/>
    </row>
    <row r="457" hidden="1" outlineLevel="1">
      <c r="A457" s="412" t="s">
        <v>2074</v>
      </c>
      <c r="B457" s="344">
        <v>46196.0</v>
      </c>
      <c r="C457" s="133" t="str">
        <f t="shared" si="51"/>
        <v>Tue</v>
      </c>
      <c r="D457" s="381">
        <f t="shared" si="52"/>
        <v>1</v>
      </c>
      <c r="E457" s="382" t="s">
        <v>129</v>
      </c>
      <c r="F457" s="137" t="s">
        <v>129</v>
      </c>
      <c r="G457" s="137" t="s">
        <v>129</v>
      </c>
      <c r="H457" s="137" t="s">
        <v>129</v>
      </c>
      <c r="I457" s="137" t="s">
        <v>129</v>
      </c>
      <c r="J457" s="137" t="s">
        <v>129</v>
      </c>
      <c r="K457" s="137" t="s">
        <v>129</v>
      </c>
      <c r="L457" s="137" t="s">
        <v>129</v>
      </c>
      <c r="M457" s="141"/>
      <c r="N457" s="143"/>
    </row>
    <row r="458" hidden="1" outlineLevel="1">
      <c r="A458" s="412" t="s">
        <v>2076</v>
      </c>
      <c r="B458" s="344">
        <v>46196.0</v>
      </c>
      <c r="C458" s="133" t="str">
        <f t="shared" si="51"/>
        <v>Tue</v>
      </c>
      <c r="D458" s="383">
        <f t="shared" si="52"/>
        <v>1</v>
      </c>
      <c r="E458" s="147" t="s">
        <v>129</v>
      </c>
      <c r="F458" s="137" t="s">
        <v>129</v>
      </c>
      <c r="G458" s="137" t="s">
        <v>129</v>
      </c>
      <c r="H458" s="137" t="s">
        <v>129</v>
      </c>
      <c r="I458" s="137" t="s">
        <v>129</v>
      </c>
      <c r="J458" s="137" t="s">
        <v>129</v>
      </c>
      <c r="K458" s="137" t="s">
        <v>129</v>
      </c>
      <c r="L458" s="137" t="s">
        <v>129</v>
      </c>
      <c r="M458" s="141"/>
      <c r="N458" s="143"/>
    </row>
    <row r="459" hidden="1" outlineLevel="1">
      <c r="A459" s="367" t="s">
        <v>2078</v>
      </c>
      <c r="B459" s="344">
        <v>46198.0</v>
      </c>
      <c r="C459" s="133" t="str">
        <f t="shared" si="51"/>
        <v>Thu</v>
      </c>
      <c r="D459" s="381">
        <f t="shared" si="52"/>
        <v>1</v>
      </c>
      <c r="E459" s="382" t="s">
        <v>129</v>
      </c>
      <c r="F459" s="137" t="s">
        <v>129</v>
      </c>
      <c r="G459" s="137" t="s">
        <v>129</v>
      </c>
      <c r="H459" s="137" t="s">
        <v>129</v>
      </c>
      <c r="I459" s="137" t="s">
        <v>129</v>
      </c>
      <c r="J459" s="137" t="s">
        <v>129</v>
      </c>
      <c r="K459" s="137" t="s">
        <v>129</v>
      </c>
      <c r="L459" s="137" t="s">
        <v>129</v>
      </c>
      <c r="M459" s="141"/>
      <c r="N459" s="143"/>
    </row>
    <row r="460" hidden="1" outlineLevel="1">
      <c r="A460" s="367" t="s">
        <v>2080</v>
      </c>
      <c r="B460" s="344">
        <v>46198.0</v>
      </c>
      <c r="C460" s="133" t="str">
        <f t="shared" si="51"/>
        <v>Thu</v>
      </c>
      <c r="D460" s="383">
        <f t="shared" si="52"/>
        <v>1</v>
      </c>
      <c r="E460" s="147" t="s">
        <v>129</v>
      </c>
      <c r="F460" s="137" t="s">
        <v>129</v>
      </c>
      <c r="G460" s="137" t="s">
        <v>129</v>
      </c>
      <c r="H460" s="137" t="s">
        <v>129</v>
      </c>
      <c r="I460" s="137" t="s">
        <v>129</v>
      </c>
      <c r="J460" s="137" t="s">
        <v>129</v>
      </c>
      <c r="K460" s="137" t="s">
        <v>129</v>
      </c>
      <c r="L460" s="137" t="s">
        <v>129</v>
      </c>
      <c r="M460" s="141"/>
      <c r="N460" s="147"/>
    </row>
    <row r="461" hidden="1" outlineLevel="1">
      <c r="A461" s="367" t="s">
        <v>2080</v>
      </c>
      <c r="B461" s="344">
        <v>46198.0</v>
      </c>
      <c r="C461" s="133" t="str">
        <f t="shared" si="51"/>
        <v>Thu</v>
      </c>
      <c r="D461" s="381">
        <f t="shared" si="52"/>
        <v>1</v>
      </c>
      <c r="E461" s="382" t="s">
        <v>129</v>
      </c>
      <c r="F461" s="137" t="s">
        <v>129</v>
      </c>
      <c r="G461" s="137" t="s">
        <v>129</v>
      </c>
      <c r="H461" s="137" t="s">
        <v>129</v>
      </c>
      <c r="I461" s="137" t="s">
        <v>129</v>
      </c>
      <c r="J461" s="137" t="s">
        <v>129</v>
      </c>
      <c r="K461" s="137" t="s">
        <v>129</v>
      </c>
      <c r="L461" s="137" t="s">
        <v>129</v>
      </c>
      <c r="M461" s="141"/>
      <c r="N461" s="143"/>
    </row>
    <row r="462" hidden="1" outlineLevel="1">
      <c r="A462" s="367" t="s">
        <v>2084</v>
      </c>
      <c r="B462" s="344">
        <v>46199.0</v>
      </c>
      <c r="C462" s="133" t="str">
        <f t="shared" si="51"/>
        <v>Fri</v>
      </c>
      <c r="D462" s="383">
        <f t="shared" si="52"/>
        <v>1</v>
      </c>
      <c r="E462" s="147" t="s">
        <v>129</v>
      </c>
      <c r="F462" s="137" t="s">
        <v>129</v>
      </c>
      <c r="G462" s="137" t="s">
        <v>129</v>
      </c>
      <c r="H462" s="137" t="s">
        <v>129</v>
      </c>
      <c r="I462" s="137" t="s">
        <v>129</v>
      </c>
      <c r="J462" s="137" t="s">
        <v>129</v>
      </c>
      <c r="K462" s="137" t="s">
        <v>129</v>
      </c>
      <c r="L462" s="137" t="s">
        <v>129</v>
      </c>
      <c r="M462" s="141"/>
      <c r="N462" s="147"/>
    </row>
    <row r="463" hidden="1" outlineLevel="1">
      <c r="A463" s="367" t="s">
        <v>2086</v>
      </c>
      <c r="B463" s="344">
        <v>46199.0</v>
      </c>
      <c r="C463" s="133" t="str">
        <f t="shared" si="51"/>
        <v>Fri</v>
      </c>
      <c r="D463" s="381">
        <f t="shared" si="52"/>
        <v>1</v>
      </c>
      <c r="E463" s="382" t="s">
        <v>129</v>
      </c>
      <c r="F463" s="137" t="s">
        <v>129</v>
      </c>
      <c r="G463" s="137" t="s">
        <v>129</v>
      </c>
      <c r="H463" s="137" t="s">
        <v>129</v>
      </c>
      <c r="I463" s="137" t="s">
        <v>129</v>
      </c>
      <c r="J463" s="137" t="s">
        <v>129</v>
      </c>
      <c r="K463" s="137" t="s">
        <v>129</v>
      </c>
      <c r="L463" s="137" t="s">
        <v>129</v>
      </c>
      <c r="M463" s="141"/>
      <c r="N463" s="147"/>
    </row>
    <row r="464" hidden="1" outlineLevel="1">
      <c r="A464" s="367" t="s">
        <v>2088</v>
      </c>
      <c r="B464" s="344">
        <v>46199.0</v>
      </c>
      <c r="C464" s="133" t="str">
        <f t="shared" si="51"/>
        <v>Fri</v>
      </c>
      <c r="D464" s="383">
        <f t="shared" si="52"/>
        <v>1</v>
      </c>
      <c r="E464" s="147" t="s">
        <v>129</v>
      </c>
      <c r="F464" s="137" t="s">
        <v>129</v>
      </c>
      <c r="G464" s="137" t="s">
        <v>129</v>
      </c>
      <c r="H464" s="137" t="s">
        <v>129</v>
      </c>
      <c r="I464" s="137" t="s">
        <v>129</v>
      </c>
      <c r="J464" s="137" t="s">
        <v>129</v>
      </c>
      <c r="K464" s="137" t="s">
        <v>129</v>
      </c>
      <c r="L464" s="137" t="s">
        <v>129</v>
      </c>
      <c r="M464" s="141"/>
      <c r="N464" s="147"/>
    </row>
    <row r="465" hidden="1" outlineLevel="1">
      <c r="A465" s="367" t="s">
        <v>2090</v>
      </c>
      <c r="B465" s="344">
        <v>46200.0</v>
      </c>
      <c r="C465" s="133" t="str">
        <f t="shared" si="51"/>
        <v>Sat</v>
      </c>
      <c r="D465" s="381">
        <f t="shared" si="52"/>
        <v>1</v>
      </c>
      <c r="E465" s="382" t="s">
        <v>129</v>
      </c>
      <c r="F465" s="137" t="s">
        <v>129</v>
      </c>
      <c r="G465" s="137" t="s">
        <v>129</v>
      </c>
      <c r="H465" s="137" t="s">
        <v>129</v>
      </c>
      <c r="I465" s="137" t="s">
        <v>129</v>
      </c>
      <c r="J465" s="137" t="s">
        <v>129</v>
      </c>
      <c r="K465" s="137" t="s">
        <v>129</v>
      </c>
      <c r="L465" s="137" t="s">
        <v>129</v>
      </c>
      <c r="M465" s="141"/>
      <c r="N465" s="143"/>
    </row>
    <row r="466" hidden="1" outlineLevel="1">
      <c r="A466" s="367" t="s">
        <v>2094</v>
      </c>
      <c r="B466" s="344">
        <v>46200.0</v>
      </c>
      <c r="C466" s="133" t="str">
        <f t="shared" si="51"/>
        <v>Sat</v>
      </c>
      <c r="D466" s="383">
        <f t="shared" si="52"/>
        <v>1</v>
      </c>
      <c r="E466" s="147" t="s">
        <v>129</v>
      </c>
      <c r="F466" s="137" t="s">
        <v>129</v>
      </c>
      <c r="G466" s="137" t="s">
        <v>129</v>
      </c>
      <c r="H466" s="137" t="s">
        <v>129</v>
      </c>
      <c r="I466" s="137" t="s">
        <v>129</v>
      </c>
      <c r="J466" s="137" t="s">
        <v>129</v>
      </c>
      <c r="K466" s="137" t="s">
        <v>129</v>
      </c>
      <c r="L466" s="137" t="s">
        <v>129</v>
      </c>
      <c r="M466" s="141"/>
      <c r="N466" s="143"/>
    </row>
    <row r="467" ht="15.0" hidden="1" customHeight="1" outlineLevel="1">
      <c r="A467" s="367" t="s">
        <v>2096</v>
      </c>
      <c r="B467" s="344">
        <v>46200.0</v>
      </c>
      <c r="C467" s="133" t="str">
        <f t="shared" si="51"/>
        <v>Sat</v>
      </c>
      <c r="D467" s="381">
        <f t="shared" si="52"/>
        <v>1</v>
      </c>
      <c r="E467" s="382" t="s">
        <v>129</v>
      </c>
      <c r="F467" s="137" t="s">
        <v>129</v>
      </c>
      <c r="G467" s="137" t="s">
        <v>129</v>
      </c>
      <c r="H467" s="137" t="s">
        <v>129</v>
      </c>
      <c r="I467" s="137" t="s">
        <v>129</v>
      </c>
      <c r="J467" s="137" t="s">
        <v>129</v>
      </c>
      <c r="K467" s="137" t="s">
        <v>129</v>
      </c>
      <c r="L467" s="137" t="s">
        <v>129</v>
      </c>
      <c r="M467" s="141"/>
      <c r="N467" s="147"/>
    </row>
    <row r="468" hidden="1" outlineLevel="1">
      <c r="B468" s="189"/>
      <c r="C468" s="191" t="s">
        <v>194</v>
      </c>
      <c r="D468" s="204">
        <f>AVERAGE(D453:D467)</f>
        <v>1</v>
      </c>
      <c r="E468" s="384"/>
      <c r="L468" s="191" t="s">
        <v>194</v>
      </c>
      <c r="M468" s="204">
        <f>SUM(M453:M467)/75*0.1</f>
        <v>0</v>
      </c>
    </row>
    <row r="469" hidden="1" collapsed="1">
      <c r="A469" s="206" t="s">
        <v>1194</v>
      </c>
      <c r="B469" s="207"/>
      <c r="C469" s="207"/>
      <c r="D469" s="385"/>
      <c r="E469" s="109"/>
      <c r="F469" s="109"/>
      <c r="G469" s="110"/>
      <c r="H469" s="110"/>
      <c r="I469" s="110"/>
      <c r="J469" s="110"/>
      <c r="K469" s="110"/>
      <c r="L469" s="110"/>
      <c r="M469" s="111"/>
      <c r="N469" s="113"/>
    </row>
    <row r="470" hidden="1" outlineLevel="1">
      <c r="A470" s="373" t="s">
        <v>98</v>
      </c>
      <c r="B470" s="115" t="s">
        <v>100</v>
      </c>
      <c r="C470" s="115" t="s">
        <v>102</v>
      </c>
      <c r="D470" s="119" t="s">
        <v>103</v>
      </c>
      <c r="E470" s="275" t="s">
        <v>269</v>
      </c>
      <c r="F470" s="275" t="s">
        <v>272</v>
      </c>
      <c r="G470" s="276" t="s">
        <v>328</v>
      </c>
      <c r="H470" s="121" t="s">
        <v>107</v>
      </c>
      <c r="I470" s="121" t="s">
        <v>108</v>
      </c>
      <c r="J470" s="276" t="s">
        <v>329</v>
      </c>
      <c r="K470" s="121" t="s">
        <v>111</v>
      </c>
      <c r="L470" s="276" t="s">
        <v>274</v>
      </c>
      <c r="M470" s="115" t="s">
        <v>114</v>
      </c>
      <c r="N470" s="119" t="s">
        <v>115</v>
      </c>
    </row>
    <row r="471" hidden="1" outlineLevel="1">
      <c r="A471" s="433" t="s">
        <v>2099</v>
      </c>
      <c r="B471" s="344">
        <v>46202.0</v>
      </c>
      <c r="C471" s="133" t="str">
        <f t="shared" ref="C471:C485" si="53">IF(B471="", "", TEXT(B471, "ddd"))</f>
        <v>Mon</v>
      </c>
      <c r="D471" s="381">
        <f t="shared" ref="D471:D485" si="54">IF(E471="Yes",0.05,0)
+IF(F471="Yes",0.1,0)
+IF(G471="Yes",0.15,0)
+IF(H471="Yes",0.15,0)
+IF(I471="Yes",0.05,0)
+IF(J471="Yes",0.05,0)
+IF(K471="Yes",0.15,0)
+IF(L471="Yes",0.3,0)
</f>
        <v>1</v>
      </c>
      <c r="E471" s="382" t="s">
        <v>129</v>
      </c>
      <c r="F471" s="137" t="s">
        <v>129</v>
      </c>
      <c r="G471" s="137" t="s">
        <v>129</v>
      </c>
      <c r="H471" s="137" t="s">
        <v>129</v>
      </c>
      <c r="I471" s="137" t="s">
        <v>129</v>
      </c>
      <c r="J471" s="137" t="s">
        <v>129</v>
      </c>
      <c r="K471" s="137" t="s">
        <v>129</v>
      </c>
      <c r="L471" s="137" t="s">
        <v>129</v>
      </c>
      <c r="M471" s="141"/>
      <c r="N471" s="143"/>
    </row>
    <row r="472" hidden="1" outlineLevel="1">
      <c r="A472" s="433" t="s">
        <v>2104</v>
      </c>
      <c r="B472" s="344">
        <v>46202.0</v>
      </c>
      <c r="C472" s="133" t="str">
        <f t="shared" si="53"/>
        <v>Mon</v>
      </c>
      <c r="D472" s="383">
        <f t="shared" si="54"/>
        <v>1</v>
      </c>
      <c r="E472" s="147" t="s">
        <v>129</v>
      </c>
      <c r="F472" s="137" t="s">
        <v>129</v>
      </c>
      <c r="G472" s="137" t="s">
        <v>129</v>
      </c>
      <c r="H472" s="137" t="s">
        <v>129</v>
      </c>
      <c r="I472" s="137" t="s">
        <v>129</v>
      </c>
      <c r="J472" s="137" t="s">
        <v>129</v>
      </c>
      <c r="K472" s="137" t="s">
        <v>129</v>
      </c>
      <c r="L472" s="137" t="s">
        <v>129</v>
      </c>
      <c r="M472" s="141"/>
      <c r="N472" s="147"/>
    </row>
    <row r="473" hidden="1" outlineLevel="1">
      <c r="A473" s="433" t="s">
        <v>2105</v>
      </c>
      <c r="B473" s="344">
        <v>46202.0</v>
      </c>
      <c r="C473" s="133" t="str">
        <f t="shared" si="53"/>
        <v>Mon</v>
      </c>
      <c r="D473" s="381">
        <f t="shared" si="54"/>
        <v>1</v>
      </c>
      <c r="E473" s="382" t="s">
        <v>129</v>
      </c>
      <c r="F473" s="137" t="s">
        <v>129</v>
      </c>
      <c r="G473" s="137" t="s">
        <v>129</v>
      </c>
      <c r="H473" s="137" t="s">
        <v>129</v>
      </c>
      <c r="I473" s="137" t="s">
        <v>129</v>
      </c>
      <c r="J473" s="137" t="s">
        <v>129</v>
      </c>
      <c r="K473" s="137" t="s">
        <v>129</v>
      </c>
      <c r="L473" s="137" t="s">
        <v>129</v>
      </c>
      <c r="M473" s="141"/>
      <c r="N473" s="147"/>
    </row>
    <row r="474" hidden="1" outlineLevel="1">
      <c r="A474" s="433" t="s">
        <v>2108</v>
      </c>
      <c r="B474" s="344">
        <v>46203.0</v>
      </c>
      <c r="C474" s="133" t="str">
        <f t="shared" si="53"/>
        <v>Tue</v>
      </c>
      <c r="D474" s="383">
        <f t="shared" si="54"/>
        <v>1</v>
      </c>
      <c r="E474" s="147" t="s">
        <v>129</v>
      </c>
      <c r="F474" s="137" t="s">
        <v>129</v>
      </c>
      <c r="G474" s="137" t="s">
        <v>129</v>
      </c>
      <c r="H474" s="137" t="s">
        <v>129</v>
      </c>
      <c r="I474" s="137" t="s">
        <v>129</v>
      </c>
      <c r="J474" s="137" t="s">
        <v>129</v>
      </c>
      <c r="K474" s="137" t="s">
        <v>129</v>
      </c>
      <c r="L474" s="137" t="s">
        <v>129</v>
      </c>
      <c r="M474" s="141"/>
      <c r="N474" s="143"/>
    </row>
    <row r="475" hidden="1" outlineLevel="1">
      <c r="A475" s="433" t="s">
        <v>2111</v>
      </c>
      <c r="B475" s="344">
        <v>46203.0</v>
      </c>
      <c r="C475" s="133" t="str">
        <f t="shared" si="53"/>
        <v>Tue</v>
      </c>
      <c r="D475" s="381">
        <f t="shared" si="54"/>
        <v>1</v>
      </c>
      <c r="E475" s="382" t="s">
        <v>129</v>
      </c>
      <c r="F475" s="137" t="s">
        <v>129</v>
      </c>
      <c r="G475" s="137" t="s">
        <v>129</v>
      </c>
      <c r="H475" s="137" t="s">
        <v>129</v>
      </c>
      <c r="I475" s="137" t="s">
        <v>129</v>
      </c>
      <c r="J475" s="137" t="s">
        <v>129</v>
      </c>
      <c r="K475" s="137" t="s">
        <v>129</v>
      </c>
      <c r="L475" s="137" t="s">
        <v>129</v>
      </c>
      <c r="M475" s="141"/>
      <c r="N475" s="143"/>
    </row>
    <row r="476" hidden="1" outlineLevel="1">
      <c r="A476" s="433" t="s">
        <v>2114</v>
      </c>
      <c r="B476" s="344">
        <v>46203.0</v>
      </c>
      <c r="C476" s="133" t="str">
        <f t="shared" si="53"/>
        <v>Tue</v>
      </c>
      <c r="D476" s="383">
        <f t="shared" si="54"/>
        <v>1</v>
      </c>
      <c r="E476" s="147" t="s">
        <v>129</v>
      </c>
      <c r="F476" s="137" t="s">
        <v>129</v>
      </c>
      <c r="G476" s="137" t="s">
        <v>129</v>
      </c>
      <c r="H476" s="137" t="s">
        <v>129</v>
      </c>
      <c r="I476" s="137" t="s">
        <v>129</v>
      </c>
      <c r="J476" s="137" t="s">
        <v>129</v>
      </c>
      <c r="K476" s="137" t="s">
        <v>129</v>
      </c>
      <c r="L476" s="137" t="s">
        <v>129</v>
      </c>
      <c r="M476" s="141"/>
      <c r="N476" s="143"/>
    </row>
    <row r="477" hidden="1" outlineLevel="1">
      <c r="A477" s="433" t="s">
        <v>2116</v>
      </c>
      <c r="B477" s="344">
        <v>46205.0</v>
      </c>
      <c r="C477" s="133" t="str">
        <f t="shared" si="53"/>
        <v>Thu</v>
      </c>
      <c r="D477" s="381">
        <f t="shared" si="54"/>
        <v>1</v>
      </c>
      <c r="E477" s="382" t="s">
        <v>129</v>
      </c>
      <c r="F477" s="137" t="s">
        <v>129</v>
      </c>
      <c r="G477" s="137" t="s">
        <v>129</v>
      </c>
      <c r="H477" s="137" t="s">
        <v>129</v>
      </c>
      <c r="I477" s="137" t="s">
        <v>129</v>
      </c>
      <c r="J477" s="137" t="s">
        <v>129</v>
      </c>
      <c r="K477" s="137" t="s">
        <v>129</v>
      </c>
      <c r="L477" s="137" t="s">
        <v>129</v>
      </c>
      <c r="M477" s="141"/>
      <c r="N477" s="143"/>
    </row>
    <row r="478" hidden="1" outlineLevel="1">
      <c r="A478" s="433" t="s">
        <v>2118</v>
      </c>
      <c r="B478" s="344">
        <v>46205.0</v>
      </c>
      <c r="C478" s="133" t="str">
        <f t="shared" si="53"/>
        <v>Thu</v>
      </c>
      <c r="D478" s="383">
        <f t="shared" si="54"/>
        <v>1</v>
      </c>
      <c r="E478" s="147" t="s">
        <v>129</v>
      </c>
      <c r="F478" s="137" t="s">
        <v>129</v>
      </c>
      <c r="G478" s="137" t="s">
        <v>129</v>
      </c>
      <c r="H478" s="137" t="s">
        <v>129</v>
      </c>
      <c r="I478" s="137" t="s">
        <v>129</v>
      </c>
      <c r="J478" s="137" t="s">
        <v>129</v>
      </c>
      <c r="K478" s="137" t="s">
        <v>129</v>
      </c>
      <c r="L478" s="137" t="s">
        <v>129</v>
      </c>
      <c r="M478" s="141"/>
      <c r="N478" s="147"/>
    </row>
    <row r="479" hidden="1" outlineLevel="1">
      <c r="A479" s="433" t="s">
        <v>2121</v>
      </c>
      <c r="B479" s="344">
        <v>46205.0</v>
      </c>
      <c r="C479" s="133" t="str">
        <f t="shared" si="53"/>
        <v>Thu</v>
      </c>
      <c r="D479" s="381">
        <f t="shared" si="54"/>
        <v>1</v>
      </c>
      <c r="E479" s="382" t="s">
        <v>129</v>
      </c>
      <c r="F479" s="137" t="s">
        <v>129</v>
      </c>
      <c r="G479" s="137" t="s">
        <v>129</v>
      </c>
      <c r="H479" s="137" t="s">
        <v>129</v>
      </c>
      <c r="I479" s="137" t="s">
        <v>129</v>
      </c>
      <c r="J479" s="137" t="s">
        <v>129</v>
      </c>
      <c r="K479" s="137" t="s">
        <v>129</v>
      </c>
      <c r="L479" s="137" t="s">
        <v>129</v>
      </c>
      <c r="M479" s="141"/>
      <c r="N479" s="143"/>
    </row>
    <row r="480" hidden="1" outlineLevel="1">
      <c r="A480" s="433" t="s">
        <v>2122</v>
      </c>
      <c r="B480" s="344">
        <v>46206.0</v>
      </c>
      <c r="C480" s="133" t="str">
        <f t="shared" si="53"/>
        <v>Fri</v>
      </c>
      <c r="D480" s="383">
        <f t="shared" si="54"/>
        <v>1</v>
      </c>
      <c r="E480" s="147" t="s">
        <v>129</v>
      </c>
      <c r="F480" s="137" t="s">
        <v>129</v>
      </c>
      <c r="G480" s="137" t="s">
        <v>129</v>
      </c>
      <c r="H480" s="137" t="s">
        <v>129</v>
      </c>
      <c r="I480" s="137" t="s">
        <v>129</v>
      </c>
      <c r="J480" s="137" t="s">
        <v>129</v>
      </c>
      <c r="K480" s="137" t="s">
        <v>129</v>
      </c>
      <c r="L480" s="137" t="s">
        <v>129</v>
      </c>
      <c r="M480" s="141"/>
      <c r="N480" s="147"/>
    </row>
    <row r="481" hidden="1" outlineLevel="1">
      <c r="A481" s="433" t="s">
        <v>2124</v>
      </c>
      <c r="B481" s="344">
        <v>46206.0</v>
      </c>
      <c r="C481" s="133" t="str">
        <f t="shared" si="53"/>
        <v>Fri</v>
      </c>
      <c r="D481" s="381">
        <f t="shared" si="54"/>
        <v>1</v>
      </c>
      <c r="E481" s="382" t="s">
        <v>129</v>
      </c>
      <c r="F481" s="137" t="s">
        <v>129</v>
      </c>
      <c r="G481" s="137" t="s">
        <v>129</v>
      </c>
      <c r="H481" s="137" t="s">
        <v>129</v>
      </c>
      <c r="I481" s="137" t="s">
        <v>129</v>
      </c>
      <c r="J481" s="137" t="s">
        <v>129</v>
      </c>
      <c r="K481" s="137" t="s">
        <v>129</v>
      </c>
      <c r="L481" s="137" t="s">
        <v>129</v>
      </c>
      <c r="M481" s="141"/>
      <c r="N481" s="147"/>
    </row>
    <row r="482" hidden="1" outlineLevel="1">
      <c r="A482" s="433" t="s">
        <v>2126</v>
      </c>
      <c r="B482" s="344">
        <v>46206.0</v>
      </c>
      <c r="C482" s="133" t="str">
        <f t="shared" si="53"/>
        <v>Fri</v>
      </c>
      <c r="D482" s="383">
        <f t="shared" si="54"/>
        <v>1</v>
      </c>
      <c r="E482" s="147" t="s">
        <v>129</v>
      </c>
      <c r="F482" s="137" t="s">
        <v>129</v>
      </c>
      <c r="G482" s="137" t="s">
        <v>129</v>
      </c>
      <c r="H482" s="137" t="s">
        <v>129</v>
      </c>
      <c r="I482" s="137" t="s">
        <v>129</v>
      </c>
      <c r="J482" s="137" t="s">
        <v>129</v>
      </c>
      <c r="K482" s="137" t="s">
        <v>129</v>
      </c>
      <c r="L482" s="137" t="s">
        <v>129</v>
      </c>
      <c r="M482" s="141"/>
      <c r="N482" s="147"/>
    </row>
    <row r="483" hidden="1" outlineLevel="1">
      <c r="A483" s="433" t="s">
        <v>2127</v>
      </c>
      <c r="B483" s="344">
        <v>46207.0</v>
      </c>
      <c r="C483" s="133" t="str">
        <f t="shared" si="53"/>
        <v>Sat</v>
      </c>
      <c r="D483" s="381">
        <f t="shared" si="54"/>
        <v>1</v>
      </c>
      <c r="E483" s="382" t="s">
        <v>129</v>
      </c>
      <c r="F483" s="137" t="s">
        <v>129</v>
      </c>
      <c r="G483" s="137" t="s">
        <v>129</v>
      </c>
      <c r="H483" s="137" t="s">
        <v>129</v>
      </c>
      <c r="I483" s="137" t="s">
        <v>129</v>
      </c>
      <c r="J483" s="137" t="s">
        <v>129</v>
      </c>
      <c r="K483" s="137" t="s">
        <v>129</v>
      </c>
      <c r="L483" s="137" t="s">
        <v>129</v>
      </c>
      <c r="M483" s="141"/>
      <c r="N483" s="143"/>
    </row>
    <row r="484" hidden="1" outlineLevel="1">
      <c r="A484" s="433" t="s">
        <v>2129</v>
      </c>
      <c r="B484" s="344">
        <v>46207.0</v>
      </c>
      <c r="C484" s="133" t="str">
        <f t="shared" si="53"/>
        <v>Sat</v>
      </c>
      <c r="D484" s="383">
        <f t="shared" si="54"/>
        <v>1</v>
      </c>
      <c r="E484" s="147" t="s">
        <v>129</v>
      </c>
      <c r="F484" s="137" t="s">
        <v>129</v>
      </c>
      <c r="G484" s="137" t="s">
        <v>129</v>
      </c>
      <c r="H484" s="137" t="s">
        <v>129</v>
      </c>
      <c r="I484" s="137" t="s">
        <v>129</v>
      </c>
      <c r="J484" s="137" t="s">
        <v>129</v>
      </c>
      <c r="K484" s="137" t="s">
        <v>129</v>
      </c>
      <c r="L484" s="137" t="s">
        <v>129</v>
      </c>
      <c r="M484" s="141"/>
      <c r="N484" s="143"/>
    </row>
    <row r="485" ht="15.0" hidden="1" customHeight="1" outlineLevel="1">
      <c r="A485" s="433" t="s">
        <v>2130</v>
      </c>
      <c r="B485" s="344">
        <v>46207.0</v>
      </c>
      <c r="C485" s="133" t="str">
        <f t="shared" si="53"/>
        <v>Sat</v>
      </c>
      <c r="D485" s="381">
        <f t="shared" si="54"/>
        <v>1</v>
      </c>
      <c r="E485" s="382" t="s">
        <v>129</v>
      </c>
      <c r="F485" s="137" t="s">
        <v>129</v>
      </c>
      <c r="G485" s="137" t="s">
        <v>129</v>
      </c>
      <c r="H485" s="137" t="s">
        <v>129</v>
      </c>
      <c r="I485" s="137" t="s">
        <v>129</v>
      </c>
      <c r="J485" s="137" t="s">
        <v>129</v>
      </c>
      <c r="K485" s="137" t="s">
        <v>129</v>
      </c>
      <c r="L485" s="137" t="s">
        <v>129</v>
      </c>
      <c r="M485" s="141"/>
      <c r="N485" s="147"/>
    </row>
    <row r="486" hidden="1" outlineLevel="1">
      <c r="B486" s="189"/>
      <c r="C486" s="191" t="s">
        <v>194</v>
      </c>
      <c r="D486" s="204">
        <f>AVERAGE(D471:D485)</f>
        <v>1</v>
      </c>
      <c r="E486" s="384"/>
      <c r="L486" s="191" t="s">
        <v>194</v>
      </c>
      <c r="M486" s="204">
        <f>SUM(M471:M485)/75*0.1</f>
        <v>0</v>
      </c>
    </row>
    <row r="487" hidden="1" collapsed="1">
      <c r="A487" s="206" t="s">
        <v>1220</v>
      </c>
      <c r="B487" s="207"/>
      <c r="C487" s="207"/>
      <c r="D487" s="385"/>
      <c r="E487" s="109"/>
      <c r="F487" s="109"/>
      <c r="G487" s="110"/>
      <c r="H487" s="110"/>
      <c r="I487" s="110"/>
      <c r="J487" s="110"/>
      <c r="K487" s="110"/>
      <c r="L487" s="110"/>
      <c r="M487" s="111"/>
      <c r="N487" s="113"/>
    </row>
    <row r="488" hidden="1" outlineLevel="1">
      <c r="A488" s="115" t="s">
        <v>98</v>
      </c>
      <c r="B488" s="115" t="s">
        <v>100</v>
      </c>
      <c r="C488" s="115" t="s">
        <v>102</v>
      </c>
      <c r="D488" s="119" t="s">
        <v>103</v>
      </c>
      <c r="E488" s="275" t="s">
        <v>269</v>
      </c>
      <c r="F488" s="275" t="s">
        <v>272</v>
      </c>
      <c r="G488" s="276" t="s">
        <v>328</v>
      </c>
      <c r="H488" s="121" t="s">
        <v>107</v>
      </c>
      <c r="I488" s="121" t="s">
        <v>108</v>
      </c>
      <c r="J488" s="276" t="s">
        <v>329</v>
      </c>
      <c r="K488" s="121" t="s">
        <v>111</v>
      </c>
      <c r="L488" s="276" t="s">
        <v>274</v>
      </c>
      <c r="M488" s="115" t="s">
        <v>114</v>
      </c>
      <c r="N488" s="119" t="s">
        <v>115</v>
      </c>
    </row>
    <row r="489" hidden="1" outlineLevel="1">
      <c r="A489" s="367" t="s">
        <v>2134</v>
      </c>
      <c r="B489" s="344">
        <v>46209.0</v>
      </c>
      <c r="C489" s="133" t="str">
        <f t="shared" ref="C489:C503" si="55">IF(B489="", "", TEXT(B489, "ddd"))</f>
        <v>Mon</v>
      </c>
      <c r="D489" s="381">
        <f t="shared" ref="D489:D503" si="56">IF(E489="Yes",0.05,0)
+IF(F489="Yes",0.1,0)
+IF(G489="Yes",0.15,0)
+IF(H489="Yes",0.15,0)
+IF(I489="Yes",0.05,0)
+IF(J489="Yes",0.05,0)
+IF(K489="Yes",0.15,0)
+IF(L489="Yes",0.3,0)
</f>
        <v>1</v>
      </c>
      <c r="E489" s="382" t="s">
        <v>129</v>
      </c>
      <c r="F489" s="137" t="s">
        <v>129</v>
      </c>
      <c r="G489" s="137" t="s">
        <v>129</v>
      </c>
      <c r="H489" s="137" t="s">
        <v>129</v>
      </c>
      <c r="I489" s="137" t="s">
        <v>129</v>
      </c>
      <c r="J489" s="137" t="s">
        <v>129</v>
      </c>
      <c r="K489" s="137" t="s">
        <v>129</v>
      </c>
      <c r="L489" s="137" t="s">
        <v>129</v>
      </c>
      <c r="M489" s="141"/>
      <c r="N489" s="143"/>
    </row>
    <row r="490" hidden="1" outlineLevel="1">
      <c r="A490" s="367" t="s">
        <v>2136</v>
      </c>
      <c r="B490" s="344">
        <v>46209.0</v>
      </c>
      <c r="C490" s="133" t="str">
        <f t="shared" si="55"/>
        <v>Mon</v>
      </c>
      <c r="D490" s="383">
        <f t="shared" si="56"/>
        <v>1</v>
      </c>
      <c r="E490" s="147" t="s">
        <v>129</v>
      </c>
      <c r="F490" s="137" t="s">
        <v>129</v>
      </c>
      <c r="G490" s="137" t="s">
        <v>129</v>
      </c>
      <c r="H490" s="137" t="s">
        <v>129</v>
      </c>
      <c r="I490" s="137" t="s">
        <v>129</v>
      </c>
      <c r="J490" s="137" t="s">
        <v>129</v>
      </c>
      <c r="K490" s="137" t="s">
        <v>129</v>
      </c>
      <c r="L490" s="137" t="s">
        <v>129</v>
      </c>
      <c r="M490" s="141"/>
      <c r="N490" s="147"/>
    </row>
    <row r="491" hidden="1" outlineLevel="1">
      <c r="A491" s="367" t="s">
        <v>2138</v>
      </c>
      <c r="B491" s="344">
        <v>46209.0</v>
      </c>
      <c r="C491" s="133" t="str">
        <f t="shared" si="55"/>
        <v>Mon</v>
      </c>
      <c r="D491" s="381">
        <f t="shared" si="56"/>
        <v>1</v>
      </c>
      <c r="E491" s="382" t="s">
        <v>129</v>
      </c>
      <c r="F491" s="137" t="s">
        <v>129</v>
      </c>
      <c r="G491" s="137" t="s">
        <v>129</v>
      </c>
      <c r="H491" s="137" t="s">
        <v>129</v>
      </c>
      <c r="I491" s="137" t="s">
        <v>129</v>
      </c>
      <c r="J491" s="137" t="s">
        <v>129</v>
      </c>
      <c r="K491" s="137" t="s">
        <v>129</v>
      </c>
      <c r="L491" s="137" t="s">
        <v>129</v>
      </c>
      <c r="M491" s="141"/>
      <c r="N491" s="147"/>
    </row>
    <row r="492" hidden="1" outlineLevel="1">
      <c r="A492" s="367" t="s">
        <v>2140</v>
      </c>
      <c r="B492" s="344">
        <v>46211.0</v>
      </c>
      <c r="C492" s="133" t="str">
        <f t="shared" si="55"/>
        <v>Wed</v>
      </c>
      <c r="D492" s="383">
        <f t="shared" si="56"/>
        <v>1</v>
      </c>
      <c r="E492" s="147" t="s">
        <v>129</v>
      </c>
      <c r="F492" s="137" t="s">
        <v>129</v>
      </c>
      <c r="G492" s="137" t="s">
        <v>129</v>
      </c>
      <c r="H492" s="137" t="s">
        <v>129</v>
      </c>
      <c r="I492" s="137" t="s">
        <v>129</v>
      </c>
      <c r="J492" s="137" t="s">
        <v>129</v>
      </c>
      <c r="K492" s="137" t="s">
        <v>129</v>
      </c>
      <c r="L492" s="137" t="s">
        <v>129</v>
      </c>
      <c r="M492" s="141"/>
      <c r="N492" s="143"/>
    </row>
    <row r="493" hidden="1" outlineLevel="1">
      <c r="A493" s="367" t="s">
        <v>2144</v>
      </c>
      <c r="B493" s="344">
        <v>46211.0</v>
      </c>
      <c r="C493" s="133" t="str">
        <f t="shared" si="55"/>
        <v>Wed</v>
      </c>
      <c r="D493" s="381">
        <f t="shared" si="56"/>
        <v>1</v>
      </c>
      <c r="E493" s="382" t="s">
        <v>129</v>
      </c>
      <c r="F493" s="137" t="s">
        <v>129</v>
      </c>
      <c r="G493" s="137" t="s">
        <v>129</v>
      </c>
      <c r="H493" s="137" t="s">
        <v>129</v>
      </c>
      <c r="I493" s="137" t="s">
        <v>129</v>
      </c>
      <c r="J493" s="137" t="s">
        <v>129</v>
      </c>
      <c r="K493" s="137" t="s">
        <v>129</v>
      </c>
      <c r="L493" s="137" t="s">
        <v>129</v>
      </c>
      <c r="M493" s="141"/>
      <c r="N493" s="143"/>
    </row>
    <row r="494" hidden="1" outlineLevel="1">
      <c r="A494" s="367" t="s">
        <v>2145</v>
      </c>
      <c r="B494" s="344">
        <v>46211.0</v>
      </c>
      <c r="C494" s="133" t="str">
        <f t="shared" si="55"/>
        <v>Wed</v>
      </c>
      <c r="D494" s="383">
        <f t="shared" si="56"/>
        <v>1</v>
      </c>
      <c r="E494" s="147" t="s">
        <v>129</v>
      </c>
      <c r="F494" s="137" t="s">
        <v>129</v>
      </c>
      <c r="G494" s="137" t="s">
        <v>129</v>
      </c>
      <c r="H494" s="137" t="s">
        <v>129</v>
      </c>
      <c r="I494" s="137" t="s">
        <v>129</v>
      </c>
      <c r="J494" s="137" t="s">
        <v>129</v>
      </c>
      <c r="K494" s="137" t="s">
        <v>129</v>
      </c>
      <c r="L494" s="137" t="s">
        <v>129</v>
      </c>
      <c r="M494" s="141"/>
      <c r="N494" s="143"/>
    </row>
    <row r="495" hidden="1" outlineLevel="1">
      <c r="A495" s="367" t="s">
        <v>2148</v>
      </c>
      <c r="B495" s="344">
        <v>46212.0</v>
      </c>
      <c r="C495" s="133" t="str">
        <f t="shared" si="55"/>
        <v>Thu</v>
      </c>
      <c r="D495" s="381">
        <f t="shared" si="56"/>
        <v>1</v>
      </c>
      <c r="E495" s="382" t="s">
        <v>129</v>
      </c>
      <c r="F495" s="137" t="s">
        <v>129</v>
      </c>
      <c r="G495" s="137" t="s">
        <v>129</v>
      </c>
      <c r="H495" s="137" t="s">
        <v>129</v>
      </c>
      <c r="I495" s="137" t="s">
        <v>129</v>
      </c>
      <c r="J495" s="137" t="s">
        <v>129</v>
      </c>
      <c r="K495" s="137" t="s">
        <v>129</v>
      </c>
      <c r="L495" s="137" t="s">
        <v>129</v>
      </c>
      <c r="M495" s="141"/>
      <c r="N495" s="143"/>
    </row>
    <row r="496" hidden="1" outlineLevel="1">
      <c r="A496" s="367" t="s">
        <v>2150</v>
      </c>
      <c r="B496" s="344">
        <v>46212.0</v>
      </c>
      <c r="C496" s="133" t="str">
        <f t="shared" si="55"/>
        <v>Thu</v>
      </c>
      <c r="D496" s="383">
        <f t="shared" si="56"/>
        <v>1</v>
      </c>
      <c r="E496" s="147" t="s">
        <v>129</v>
      </c>
      <c r="F496" s="137" t="s">
        <v>129</v>
      </c>
      <c r="G496" s="137" t="s">
        <v>129</v>
      </c>
      <c r="H496" s="137" t="s">
        <v>129</v>
      </c>
      <c r="I496" s="137" t="s">
        <v>129</v>
      </c>
      <c r="J496" s="137" t="s">
        <v>129</v>
      </c>
      <c r="K496" s="137" t="s">
        <v>129</v>
      </c>
      <c r="L496" s="137" t="s">
        <v>129</v>
      </c>
      <c r="M496" s="141"/>
      <c r="N496" s="147"/>
    </row>
    <row r="497" hidden="1" outlineLevel="1">
      <c r="A497" s="367" t="s">
        <v>2153</v>
      </c>
      <c r="B497" s="344">
        <v>46212.0</v>
      </c>
      <c r="C497" s="133" t="str">
        <f t="shared" si="55"/>
        <v>Thu</v>
      </c>
      <c r="D497" s="381">
        <f t="shared" si="56"/>
        <v>1</v>
      </c>
      <c r="E497" s="382" t="s">
        <v>129</v>
      </c>
      <c r="F497" s="137" t="s">
        <v>129</v>
      </c>
      <c r="G497" s="137" t="s">
        <v>129</v>
      </c>
      <c r="H497" s="137" t="s">
        <v>129</v>
      </c>
      <c r="I497" s="137" t="s">
        <v>129</v>
      </c>
      <c r="J497" s="137" t="s">
        <v>129</v>
      </c>
      <c r="K497" s="137" t="s">
        <v>129</v>
      </c>
      <c r="L497" s="137" t="s">
        <v>129</v>
      </c>
      <c r="M497" s="141"/>
      <c r="N497" s="143"/>
    </row>
    <row r="498" hidden="1" outlineLevel="1">
      <c r="A498" s="367" t="s">
        <v>2157</v>
      </c>
      <c r="B498" s="344">
        <v>46213.0</v>
      </c>
      <c r="C498" s="133" t="str">
        <f t="shared" si="55"/>
        <v>Fri</v>
      </c>
      <c r="D498" s="383">
        <f t="shared" si="56"/>
        <v>1</v>
      </c>
      <c r="E498" s="147" t="s">
        <v>129</v>
      </c>
      <c r="F498" s="137" t="s">
        <v>129</v>
      </c>
      <c r="G498" s="137" t="s">
        <v>129</v>
      </c>
      <c r="H498" s="137" t="s">
        <v>129</v>
      </c>
      <c r="I498" s="137" t="s">
        <v>129</v>
      </c>
      <c r="J498" s="137" t="s">
        <v>129</v>
      </c>
      <c r="K498" s="137" t="s">
        <v>129</v>
      </c>
      <c r="L498" s="137" t="s">
        <v>129</v>
      </c>
      <c r="M498" s="141"/>
      <c r="N498" s="147"/>
    </row>
    <row r="499" hidden="1" outlineLevel="1">
      <c r="A499" s="367" t="s">
        <v>2158</v>
      </c>
      <c r="B499" s="344">
        <v>46213.0</v>
      </c>
      <c r="C499" s="133" t="str">
        <f t="shared" si="55"/>
        <v>Fri</v>
      </c>
      <c r="D499" s="381">
        <f t="shared" si="56"/>
        <v>1</v>
      </c>
      <c r="E499" s="382" t="s">
        <v>129</v>
      </c>
      <c r="F499" s="137" t="s">
        <v>129</v>
      </c>
      <c r="G499" s="137" t="s">
        <v>129</v>
      </c>
      <c r="H499" s="137" t="s">
        <v>129</v>
      </c>
      <c r="I499" s="137" t="s">
        <v>129</v>
      </c>
      <c r="J499" s="137" t="s">
        <v>129</v>
      </c>
      <c r="K499" s="137" t="s">
        <v>129</v>
      </c>
      <c r="L499" s="137" t="s">
        <v>129</v>
      </c>
      <c r="M499" s="141"/>
      <c r="N499" s="147"/>
    </row>
    <row r="500" hidden="1" outlineLevel="1">
      <c r="A500" s="367" t="s">
        <v>2159</v>
      </c>
      <c r="B500" s="344">
        <v>46213.0</v>
      </c>
      <c r="C500" s="133" t="str">
        <f t="shared" si="55"/>
        <v>Fri</v>
      </c>
      <c r="D500" s="383">
        <f t="shared" si="56"/>
        <v>1</v>
      </c>
      <c r="E500" s="147" t="s">
        <v>129</v>
      </c>
      <c r="F500" s="137" t="s">
        <v>129</v>
      </c>
      <c r="G500" s="137" t="s">
        <v>129</v>
      </c>
      <c r="H500" s="137" t="s">
        <v>129</v>
      </c>
      <c r="I500" s="137" t="s">
        <v>129</v>
      </c>
      <c r="J500" s="137" t="s">
        <v>129</v>
      </c>
      <c r="K500" s="137" t="s">
        <v>129</v>
      </c>
      <c r="L500" s="137" t="s">
        <v>129</v>
      </c>
      <c r="M500" s="141"/>
      <c r="N500" s="147"/>
    </row>
    <row r="501" hidden="1" outlineLevel="1">
      <c r="A501" s="433" t="s">
        <v>2161</v>
      </c>
      <c r="B501" s="344">
        <v>46214.0</v>
      </c>
      <c r="C501" s="133" t="str">
        <f t="shared" si="55"/>
        <v>Sat</v>
      </c>
      <c r="D501" s="381">
        <f t="shared" si="56"/>
        <v>1</v>
      </c>
      <c r="E501" s="382" t="s">
        <v>129</v>
      </c>
      <c r="F501" s="137" t="s">
        <v>129</v>
      </c>
      <c r="G501" s="137" t="s">
        <v>129</v>
      </c>
      <c r="H501" s="137" t="s">
        <v>129</v>
      </c>
      <c r="I501" s="137" t="s">
        <v>129</v>
      </c>
      <c r="J501" s="137" t="s">
        <v>129</v>
      </c>
      <c r="K501" s="137" t="s">
        <v>129</v>
      </c>
      <c r="L501" s="137" t="s">
        <v>129</v>
      </c>
      <c r="M501" s="141"/>
      <c r="N501" s="143"/>
    </row>
    <row r="502" hidden="1" outlineLevel="1">
      <c r="A502" s="433" t="s">
        <v>2164</v>
      </c>
      <c r="B502" s="344">
        <v>46214.0</v>
      </c>
      <c r="C502" s="133" t="str">
        <f t="shared" si="55"/>
        <v>Sat</v>
      </c>
      <c r="D502" s="383">
        <f t="shared" si="56"/>
        <v>1</v>
      </c>
      <c r="E502" s="147" t="s">
        <v>129</v>
      </c>
      <c r="F502" s="137" t="s">
        <v>129</v>
      </c>
      <c r="G502" s="137" t="s">
        <v>129</v>
      </c>
      <c r="H502" s="137" t="s">
        <v>129</v>
      </c>
      <c r="I502" s="137" t="s">
        <v>129</v>
      </c>
      <c r="J502" s="137" t="s">
        <v>129</v>
      </c>
      <c r="K502" s="137" t="s">
        <v>129</v>
      </c>
      <c r="L502" s="137" t="s">
        <v>129</v>
      </c>
      <c r="M502" s="141"/>
      <c r="N502" s="143"/>
    </row>
    <row r="503" ht="15.0" hidden="1" customHeight="1" outlineLevel="1">
      <c r="A503" s="433" t="s">
        <v>2166</v>
      </c>
      <c r="B503" s="344">
        <v>46214.0</v>
      </c>
      <c r="C503" s="133" t="str">
        <f t="shared" si="55"/>
        <v>Sat</v>
      </c>
      <c r="D503" s="381">
        <f t="shared" si="56"/>
        <v>1</v>
      </c>
      <c r="E503" s="382" t="s">
        <v>129</v>
      </c>
      <c r="F503" s="137" t="s">
        <v>129</v>
      </c>
      <c r="G503" s="137" t="s">
        <v>129</v>
      </c>
      <c r="H503" s="137" t="s">
        <v>129</v>
      </c>
      <c r="I503" s="137" t="s">
        <v>129</v>
      </c>
      <c r="J503" s="137" t="s">
        <v>129</v>
      </c>
      <c r="K503" s="137" t="s">
        <v>129</v>
      </c>
      <c r="L503" s="137" t="s">
        <v>129</v>
      </c>
      <c r="M503" s="141"/>
      <c r="N503" s="147"/>
    </row>
    <row r="504" hidden="1" outlineLevel="1">
      <c r="B504" s="189"/>
      <c r="C504" s="191" t="s">
        <v>194</v>
      </c>
      <c r="D504" s="204">
        <f>AVERAGE(D489:D503)</f>
        <v>1</v>
      </c>
      <c r="E504" s="384"/>
      <c r="L504" s="191" t="s">
        <v>194</v>
      </c>
      <c r="M504" s="204">
        <f>SUM(M489:M503)/75*0.1</f>
        <v>0</v>
      </c>
    </row>
    <row r="505" ht="18.0" customHeight="1" collapsed="1">
      <c r="A505" s="206" t="s">
        <v>1246</v>
      </c>
      <c r="B505" s="207"/>
      <c r="C505" s="207"/>
      <c r="D505" s="385"/>
      <c r="E505" s="109"/>
      <c r="F505" s="109"/>
      <c r="G505" s="110"/>
      <c r="H505" s="110"/>
      <c r="I505" s="110"/>
      <c r="J505" s="110"/>
      <c r="K505" s="110"/>
      <c r="L505" s="110"/>
      <c r="M505" s="111"/>
      <c r="N505" s="113"/>
    </row>
    <row r="506" hidden="1" outlineLevel="1">
      <c r="A506" s="373" t="s">
        <v>98</v>
      </c>
      <c r="B506" s="115" t="s">
        <v>100</v>
      </c>
      <c r="C506" s="115" t="s">
        <v>102</v>
      </c>
      <c r="D506" s="119" t="s">
        <v>103</v>
      </c>
      <c r="E506" s="275" t="s">
        <v>269</v>
      </c>
      <c r="F506" s="275" t="s">
        <v>272</v>
      </c>
      <c r="G506" s="276" t="s">
        <v>328</v>
      </c>
      <c r="H506" s="121" t="s">
        <v>107</v>
      </c>
      <c r="I506" s="121" t="s">
        <v>108</v>
      </c>
      <c r="J506" s="276" t="s">
        <v>329</v>
      </c>
      <c r="K506" s="121" t="s">
        <v>111</v>
      </c>
      <c r="L506" s="276" t="s">
        <v>274</v>
      </c>
      <c r="M506" s="115" t="s">
        <v>114</v>
      </c>
      <c r="N506" s="119" t="s">
        <v>115</v>
      </c>
    </row>
    <row r="507" hidden="1" outlineLevel="1">
      <c r="A507" s="367" t="s">
        <v>2170</v>
      </c>
      <c r="B507" s="344">
        <v>46216.0</v>
      </c>
      <c r="C507" s="133" t="str">
        <f t="shared" ref="C507:C521" si="57">IF(B507="", "", TEXT(B507, "ddd"))</f>
        <v>Mon</v>
      </c>
      <c r="D507" s="381">
        <f t="shared" ref="D507:D521" si="58">IF(E507="Yes",0.05,0)
+IF(F507="Yes",0.1,0)
+IF(G507="Yes",0.15,0)
+IF(H507="Yes",0.15,0)
+IF(I507="Yes",0.05,0)
+IF(J507="Yes",0.05,0)
+IF(K507="Yes",0.15,0)
+IF(L507="Yes",0.3,0)
</f>
        <v>1</v>
      </c>
      <c r="E507" s="382" t="s">
        <v>129</v>
      </c>
      <c r="F507" s="137" t="s">
        <v>129</v>
      </c>
      <c r="G507" s="137" t="s">
        <v>129</v>
      </c>
      <c r="H507" s="137" t="s">
        <v>129</v>
      </c>
      <c r="I507" s="137" t="s">
        <v>129</v>
      </c>
      <c r="J507" s="137" t="s">
        <v>129</v>
      </c>
      <c r="K507" s="137" t="s">
        <v>129</v>
      </c>
      <c r="L507" s="137" t="s">
        <v>129</v>
      </c>
      <c r="M507" s="141"/>
      <c r="N507" s="143"/>
    </row>
    <row r="508" hidden="1" outlineLevel="1">
      <c r="A508" s="367" t="s">
        <v>2173</v>
      </c>
      <c r="B508" s="344">
        <v>46216.0</v>
      </c>
      <c r="C508" s="133" t="str">
        <f t="shared" si="57"/>
        <v>Mon</v>
      </c>
      <c r="D508" s="383">
        <f t="shared" si="58"/>
        <v>1</v>
      </c>
      <c r="E508" s="147" t="s">
        <v>129</v>
      </c>
      <c r="F508" s="137" t="s">
        <v>129</v>
      </c>
      <c r="G508" s="137" t="s">
        <v>129</v>
      </c>
      <c r="H508" s="137" t="s">
        <v>129</v>
      </c>
      <c r="I508" s="137" t="s">
        <v>129</v>
      </c>
      <c r="J508" s="137" t="s">
        <v>129</v>
      </c>
      <c r="K508" s="137" t="s">
        <v>129</v>
      </c>
      <c r="L508" s="137" t="s">
        <v>129</v>
      </c>
      <c r="M508" s="141"/>
      <c r="N508" s="147"/>
    </row>
    <row r="509" hidden="1" outlineLevel="1">
      <c r="A509" s="367" t="s">
        <v>2176</v>
      </c>
      <c r="B509" s="344">
        <v>46216.0</v>
      </c>
      <c r="C509" s="133" t="str">
        <f t="shared" si="57"/>
        <v>Mon</v>
      </c>
      <c r="D509" s="381">
        <f t="shared" si="58"/>
        <v>1</v>
      </c>
      <c r="E509" s="382" t="s">
        <v>129</v>
      </c>
      <c r="F509" s="137" t="s">
        <v>129</v>
      </c>
      <c r="G509" s="137" t="s">
        <v>129</v>
      </c>
      <c r="H509" s="137" t="s">
        <v>129</v>
      </c>
      <c r="I509" s="137" t="s">
        <v>129</v>
      </c>
      <c r="J509" s="137" t="s">
        <v>129</v>
      </c>
      <c r="K509" s="137" t="s">
        <v>129</v>
      </c>
      <c r="L509" s="137" t="s">
        <v>129</v>
      </c>
      <c r="M509" s="141"/>
      <c r="N509" s="147"/>
    </row>
    <row r="510" hidden="1" outlineLevel="1">
      <c r="A510" s="367" t="s">
        <v>2178</v>
      </c>
      <c r="B510" s="344">
        <v>46217.0</v>
      </c>
      <c r="C510" s="133" t="str">
        <f t="shared" si="57"/>
        <v>Tue</v>
      </c>
      <c r="D510" s="383">
        <f t="shared" si="58"/>
        <v>1</v>
      </c>
      <c r="E510" s="147" t="s">
        <v>129</v>
      </c>
      <c r="F510" s="137" t="s">
        <v>129</v>
      </c>
      <c r="G510" s="137" t="s">
        <v>129</v>
      </c>
      <c r="H510" s="137" t="s">
        <v>129</v>
      </c>
      <c r="I510" s="137" t="s">
        <v>129</v>
      </c>
      <c r="J510" s="137" t="s">
        <v>129</v>
      </c>
      <c r="K510" s="137" t="s">
        <v>129</v>
      </c>
      <c r="L510" s="137" t="s">
        <v>129</v>
      </c>
      <c r="M510" s="141"/>
      <c r="N510" s="143"/>
    </row>
    <row r="511" hidden="1" outlineLevel="1">
      <c r="A511" s="367" t="s">
        <v>2179</v>
      </c>
      <c r="B511" s="344">
        <v>46217.0</v>
      </c>
      <c r="C511" s="133" t="str">
        <f t="shared" si="57"/>
        <v>Tue</v>
      </c>
      <c r="D511" s="381">
        <f t="shared" si="58"/>
        <v>1</v>
      </c>
      <c r="E511" s="382" t="s">
        <v>129</v>
      </c>
      <c r="F511" s="137" t="s">
        <v>129</v>
      </c>
      <c r="G511" s="137" t="s">
        <v>129</v>
      </c>
      <c r="H511" s="137" t="s">
        <v>129</v>
      </c>
      <c r="I511" s="137" t="s">
        <v>129</v>
      </c>
      <c r="J511" s="137" t="s">
        <v>129</v>
      </c>
      <c r="K511" s="137" t="s">
        <v>129</v>
      </c>
      <c r="L511" s="137" t="s">
        <v>129</v>
      </c>
      <c r="M511" s="141"/>
      <c r="N511" s="143"/>
    </row>
    <row r="512" hidden="1" outlineLevel="1">
      <c r="A512" s="367" t="s">
        <v>2181</v>
      </c>
      <c r="B512" s="344">
        <v>46217.0</v>
      </c>
      <c r="C512" s="133" t="str">
        <f t="shared" si="57"/>
        <v>Tue</v>
      </c>
      <c r="D512" s="383">
        <f t="shared" si="58"/>
        <v>1</v>
      </c>
      <c r="E512" s="147" t="s">
        <v>129</v>
      </c>
      <c r="F512" s="137" t="s">
        <v>129</v>
      </c>
      <c r="G512" s="137" t="s">
        <v>129</v>
      </c>
      <c r="H512" s="137" t="s">
        <v>129</v>
      </c>
      <c r="I512" s="137" t="s">
        <v>129</v>
      </c>
      <c r="J512" s="137" t="s">
        <v>129</v>
      </c>
      <c r="K512" s="137" t="s">
        <v>129</v>
      </c>
      <c r="L512" s="137" t="s">
        <v>129</v>
      </c>
      <c r="M512" s="141"/>
      <c r="N512" s="143"/>
    </row>
    <row r="513" hidden="1" outlineLevel="1">
      <c r="A513" s="367" t="s">
        <v>2184</v>
      </c>
      <c r="B513" s="344">
        <v>46219.0</v>
      </c>
      <c r="C513" s="133" t="str">
        <f t="shared" si="57"/>
        <v>Thu</v>
      </c>
      <c r="D513" s="381">
        <f t="shared" si="58"/>
        <v>1</v>
      </c>
      <c r="E513" s="382" t="s">
        <v>129</v>
      </c>
      <c r="F513" s="137" t="s">
        <v>129</v>
      </c>
      <c r="G513" s="137" t="s">
        <v>129</v>
      </c>
      <c r="H513" s="137" t="s">
        <v>129</v>
      </c>
      <c r="I513" s="137" t="s">
        <v>129</v>
      </c>
      <c r="J513" s="137" t="s">
        <v>129</v>
      </c>
      <c r="K513" s="137" t="s">
        <v>129</v>
      </c>
      <c r="L513" s="137" t="s">
        <v>129</v>
      </c>
      <c r="M513" s="141"/>
      <c r="N513" s="143"/>
    </row>
    <row r="514" hidden="1" outlineLevel="1">
      <c r="A514" s="367" t="s">
        <v>2186</v>
      </c>
      <c r="B514" s="344">
        <v>46219.0</v>
      </c>
      <c r="C514" s="133" t="str">
        <f t="shared" si="57"/>
        <v>Thu</v>
      </c>
      <c r="D514" s="383">
        <f t="shared" si="58"/>
        <v>1</v>
      </c>
      <c r="E514" s="147" t="s">
        <v>129</v>
      </c>
      <c r="F514" s="137" t="s">
        <v>129</v>
      </c>
      <c r="G514" s="137" t="s">
        <v>129</v>
      </c>
      <c r="H514" s="137" t="s">
        <v>129</v>
      </c>
      <c r="I514" s="137" t="s">
        <v>129</v>
      </c>
      <c r="J514" s="137" t="s">
        <v>129</v>
      </c>
      <c r="K514" s="137" t="s">
        <v>129</v>
      </c>
      <c r="L514" s="137" t="s">
        <v>129</v>
      </c>
      <c r="M514" s="141"/>
      <c r="N514" s="143"/>
    </row>
    <row r="515" hidden="1" outlineLevel="1">
      <c r="A515" s="367" t="s">
        <v>2187</v>
      </c>
      <c r="B515" s="344">
        <v>46219.0</v>
      </c>
      <c r="C515" s="133" t="str">
        <f t="shared" si="57"/>
        <v>Thu</v>
      </c>
      <c r="D515" s="381">
        <f t="shared" si="58"/>
        <v>1</v>
      </c>
      <c r="E515" s="382" t="s">
        <v>129</v>
      </c>
      <c r="F515" s="137" t="s">
        <v>129</v>
      </c>
      <c r="G515" s="137" t="s">
        <v>129</v>
      </c>
      <c r="H515" s="137" t="s">
        <v>129</v>
      </c>
      <c r="I515" s="137" t="s">
        <v>129</v>
      </c>
      <c r="J515" s="137" t="s">
        <v>129</v>
      </c>
      <c r="K515" s="137" t="s">
        <v>129</v>
      </c>
      <c r="L515" s="137" t="s">
        <v>129</v>
      </c>
      <c r="M515" s="141"/>
      <c r="N515" s="143"/>
    </row>
    <row r="516" hidden="1" outlineLevel="1">
      <c r="A516" s="367" t="s">
        <v>2189</v>
      </c>
      <c r="B516" s="344">
        <v>46220.0</v>
      </c>
      <c r="C516" s="133" t="str">
        <f t="shared" si="57"/>
        <v>Fri</v>
      </c>
      <c r="D516" s="383">
        <f t="shared" si="58"/>
        <v>1</v>
      </c>
      <c r="E516" s="147" t="s">
        <v>129</v>
      </c>
      <c r="F516" s="137" t="s">
        <v>129</v>
      </c>
      <c r="G516" s="137" t="s">
        <v>129</v>
      </c>
      <c r="H516" s="137" t="s">
        <v>129</v>
      </c>
      <c r="I516" s="137" t="s">
        <v>129</v>
      </c>
      <c r="J516" s="137" t="s">
        <v>129</v>
      </c>
      <c r="K516" s="137" t="s">
        <v>129</v>
      </c>
      <c r="L516" s="137" t="s">
        <v>129</v>
      </c>
      <c r="M516" s="141"/>
      <c r="N516" s="147"/>
    </row>
    <row r="517" hidden="1" outlineLevel="1">
      <c r="A517" s="367" t="s">
        <v>2191</v>
      </c>
      <c r="B517" s="344">
        <v>46220.0</v>
      </c>
      <c r="C517" s="133" t="str">
        <f t="shared" si="57"/>
        <v>Fri</v>
      </c>
      <c r="D517" s="381">
        <f t="shared" si="58"/>
        <v>1</v>
      </c>
      <c r="E517" s="382" t="s">
        <v>129</v>
      </c>
      <c r="F517" s="137" t="s">
        <v>129</v>
      </c>
      <c r="G517" s="137" t="s">
        <v>129</v>
      </c>
      <c r="H517" s="137" t="s">
        <v>129</v>
      </c>
      <c r="I517" s="137" t="s">
        <v>129</v>
      </c>
      <c r="J517" s="137" t="s">
        <v>129</v>
      </c>
      <c r="K517" s="137" t="s">
        <v>129</v>
      </c>
      <c r="L517" s="137" t="s">
        <v>129</v>
      </c>
      <c r="M517" s="141"/>
      <c r="N517" s="147"/>
    </row>
    <row r="518" hidden="1" outlineLevel="1">
      <c r="A518" s="367" t="s">
        <v>2194</v>
      </c>
      <c r="B518" s="344">
        <v>46220.0</v>
      </c>
      <c r="C518" s="133" t="str">
        <f t="shared" si="57"/>
        <v>Fri</v>
      </c>
      <c r="D518" s="383">
        <f t="shared" si="58"/>
        <v>1</v>
      </c>
      <c r="E518" s="147" t="s">
        <v>129</v>
      </c>
      <c r="F518" s="137" t="s">
        <v>129</v>
      </c>
      <c r="G518" s="137" t="s">
        <v>129</v>
      </c>
      <c r="H518" s="137" t="s">
        <v>129</v>
      </c>
      <c r="I518" s="137" t="s">
        <v>129</v>
      </c>
      <c r="J518" s="137" t="s">
        <v>129</v>
      </c>
      <c r="K518" s="137" t="s">
        <v>129</v>
      </c>
      <c r="L518" s="137" t="s">
        <v>129</v>
      </c>
      <c r="M518" s="141"/>
      <c r="N518" s="147"/>
    </row>
    <row r="519" hidden="1" outlineLevel="1">
      <c r="A519" s="433" t="s">
        <v>2195</v>
      </c>
      <c r="B519" s="344">
        <v>46221.0</v>
      </c>
      <c r="C519" s="133" t="str">
        <f t="shared" si="57"/>
        <v>Sat</v>
      </c>
      <c r="D519" s="381">
        <f t="shared" si="58"/>
        <v>0</v>
      </c>
      <c r="E519" s="382"/>
      <c r="F519" s="137"/>
      <c r="G519" s="137"/>
      <c r="H519" s="137"/>
      <c r="I519" s="137"/>
      <c r="J519" s="137"/>
      <c r="K519" s="137"/>
      <c r="L519" s="137"/>
      <c r="M519" s="141"/>
      <c r="N519" s="143"/>
    </row>
    <row r="520" hidden="1" outlineLevel="1">
      <c r="A520" s="433" t="s">
        <v>2197</v>
      </c>
      <c r="B520" s="344">
        <v>46221.0</v>
      </c>
      <c r="C520" s="133" t="str">
        <f t="shared" si="57"/>
        <v>Sat</v>
      </c>
      <c r="D520" s="383">
        <f t="shared" si="58"/>
        <v>0</v>
      </c>
      <c r="E520" s="147"/>
      <c r="F520" s="137"/>
      <c r="G520" s="137"/>
      <c r="H520" s="137"/>
      <c r="I520" s="137"/>
      <c r="J520" s="137"/>
      <c r="K520" s="137"/>
      <c r="L520" s="137"/>
      <c r="M520" s="141"/>
      <c r="N520" s="143"/>
    </row>
    <row r="521" ht="15.0" hidden="1" customHeight="1" outlineLevel="1">
      <c r="A521" s="433" t="s">
        <v>2198</v>
      </c>
      <c r="B521" s="344">
        <v>46221.0</v>
      </c>
      <c r="C521" s="133" t="str">
        <f t="shared" si="57"/>
        <v>Sat</v>
      </c>
      <c r="D521" s="381">
        <f t="shared" si="58"/>
        <v>0</v>
      </c>
      <c r="E521" s="382"/>
      <c r="F521" s="137"/>
      <c r="G521" s="137"/>
      <c r="H521" s="137"/>
      <c r="I521" s="137"/>
      <c r="J521" s="137"/>
      <c r="K521" s="137"/>
      <c r="L521" s="137"/>
      <c r="M521" s="141"/>
      <c r="N521" s="147"/>
    </row>
    <row r="522" hidden="1" outlineLevel="1">
      <c r="B522" s="189"/>
      <c r="C522" s="191" t="s">
        <v>194</v>
      </c>
      <c r="D522" s="204">
        <f>AVERAGE(D507:D521)</f>
        <v>0.8</v>
      </c>
      <c r="E522" s="384"/>
      <c r="L522" s="191" t="s">
        <v>194</v>
      </c>
      <c r="M522" s="204">
        <f>SUM(M507:M521)/75*0.1</f>
        <v>0</v>
      </c>
    </row>
    <row r="523" collapsed="1">
      <c r="A523" s="206" t="s">
        <v>1270</v>
      </c>
      <c r="B523" s="207"/>
      <c r="C523" s="207"/>
      <c r="D523" s="385"/>
      <c r="E523" s="109"/>
      <c r="F523" s="109"/>
      <c r="G523" s="110"/>
      <c r="H523" s="110"/>
      <c r="I523" s="110"/>
      <c r="J523" s="110"/>
      <c r="K523" s="110"/>
      <c r="L523" s="110"/>
      <c r="M523" s="111"/>
      <c r="N523" s="113"/>
    </row>
    <row r="524" hidden="1" outlineLevel="1">
      <c r="A524" s="373" t="s">
        <v>98</v>
      </c>
      <c r="B524" s="115" t="s">
        <v>100</v>
      </c>
      <c r="C524" s="115" t="s">
        <v>102</v>
      </c>
      <c r="D524" s="119" t="s">
        <v>103</v>
      </c>
      <c r="E524" s="275" t="s">
        <v>269</v>
      </c>
      <c r="F524" s="275" t="s">
        <v>272</v>
      </c>
      <c r="G524" s="276" t="s">
        <v>328</v>
      </c>
      <c r="H524" s="121" t="s">
        <v>107</v>
      </c>
      <c r="I524" s="121" t="s">
        <v>108</v>
      </c>
      <c r="J524" s="276" t="s">
        <v>329</v>
      </c>
      <c r="K524" s="121" t="s">
        <v>111</v>
      </c>
      <c r="L524" s="276" t="s">
        <v>274</v>
      </c>
      <c r="M524" s="115" t="s">
        <v>114</v>
      </c>
      <c r="N524" s="119" t="s">
        <v>115</v>
      </c>
    </row>
    <row r="525" hidden="1" outlineLevel="1">
      <c r="A525" s="433" t="s">
        <v>2201</v>
      </c>
      <c r="B525" s="344">
        <v>46223.0</v>
      </c>
      <c r="C525" s="133" t="str">
        <f t="shared" ref="C525:C539" si="59">IF(B525="", "", TEXT(B525, "ddd"))</f>
        <v>Mon</v>
      </c>
      <c r="D525" s="381">
        <f t="shared" ref="D525:D539" si="60">IF(E525="Yes",0.05,0)
+IF(F525="Yes",0.1,0)
+IF(G525="Yes",0.15,0)
+IF(H525="Yes",0.15,0)
+IF(I525="Yes",0.05,0)
+IF(J525="Yes",0.05,0)
+IF(K525="Yes",0.15,0)
+IF(L525="Yes",0.3,0)
</f>
        <v>1</v>
      </c>
      <c r="E525" s="382" t="s">
        <v>129</v>
      </c>
      <c r="F525" s="137" t="s">
        <v>129</v>
      </c>
      <c r="G525" s="137" t="s">
        <v>129</v>
      </c>
      <c r="H525" s="137" t="s">
        <v>129</v>
      </c>
      <c r="I525" s="137" t="s">
        <v>129</v>
      </c>
      <c r="J525" s="137" t="s">
        <v>129</v>
      </c>
      <c r="K525" s="137" t="s">
        <v>129</v>
      </c>
      <c r="L525" s="137" t="s">
        <v>129</v>
      </c>
      <c r="M525" s="141"/>
      <c r="N525" s="143"/>
    </row>
    <row r="526" hidden="1" outlineLevel="1">
      <c r="A526" s="433" t="s">
        <v>2204</v>
      </c>
      <c r="B526" s="344">
        <v>46223.0</v>
      </c>
      <c r="C526" s="133" t="str">
        <f t="shared" si="59"/>
        <v>Mon</v>
      </c>
      <c r="D526" s="383">
        <f t="shared" si="60"/>
        <v>1</v>
      </c>
      <c r="E526" s="147" t="s">
        <v>129</v>
      </c>
      <c r="F526" s="137" t="s">
        <v>129</v>
      </c>
      <c r="G526" s="137" t="s">
        <v>129</v>
      </c>
      <c r="H526" s="137" t="s">
        <v>129</v>
      </c>
      <c r="I526" s="137" t="s">
        <v>129</v>
      </c>
      <c r="J526" s="137" t="s">
        <v>129</v>
      </c>
      <c r="K526" s="137" t="s">
        <v>129</v>
      </c>
      <c r="L526" s="137" t="s">
        <v>129</v>
      </c>
      <c r="M526" s="141"/>
      <c r="N526" s="147"/>
    </row>
    <row r="527" hidden="1" outlineLevel="1">
      <c r="A527" s="433" t="s">
        <v>2207</v>
      </c>
      <c r="B527" s="344">
        <v>46223.0</v>
      </c>
      <c r="C527" s="133" t="str">
        <f t="shared" si="59"/>
        <v>Mon</v>
      </c>
      <c r="D527" s="381">
        <f t="shared" si="60"/>
        <v>1</v>
      </c>
      <c r="E527" s="382" t="s">
        <v>129</v>
      </c>
      <c r="F527" s="137" t="s">
        <v>129</v>
      </c>
      <c r="G527" s="137" t="s">
        <v>129</v>
      </c>
      <c r="H527" s="137" t="s">
        <v>129</v>
      </c>
      <c r="I527" s="137" t="s">
        <v>129</v>
      </c>
      <c r="J527" s="137" t="s">
        <v>129</v>
      </c>
      <c r="K527" s="137" t="s">
        <v>129</v>
      </c>
      <c r="L527" s="137" t="s">
        <v>129</v>
      </c>
      <c r="M527" s="141"/>
      <c r="N527" s="147"/>
    </row>
    <row r="528" hidden="1" outlineLevel="1">
      <c r="A528" s="433" t="s">
        <v>2209</v>
      </c>
      <c r="B528" s="344">
        <v>46224.0</v>
      </c>
      <c r="C528" s="133" t="str">
        <f t="shared" si="59"/>
        <v>Tue</v>
      </c>
      <c r="D528" s="383">
        <f t="shared" si="60"/>
        <v>1</v>
      </c>
      <c r="E528" s="147" t="s">
        <v>129</v>
      </c>
      <c r="F528" s="137" t="s">
        <v>129</v>
      </c>
      <c r="G528" s="137" t="s">
        <v>129</v>
      </c>
      <c r="H528" s="137" t="s">
        <v>129</v>
      </c>
      <c r="I528" s="137" t="s">
        <v>129</v>
      </c>
      <c r="J528" s="137" t="s">
        <v>129</v>
      </c>
      <c r="K528" s="137" t="s">
        <v>129</v>
      </c>
      <c r="L528" s="137" t="s">
        <v>129</v>
      </c>
      <c r="M528" s="141"/>
      <c r="N528" s="143"/>
    </row>
    <row r="529" hidden="1" outlineLevel="1">
      <c r="A529" s="433" t="s">
        <v>2211</v>
      </c>
      <c r="B529" s="344">
        <v>46224.0</v>
      </c>
      <c r="C529" s="133" t="str">
        <f t="shared" si="59"/>
        <v>Tue</v>
      </c>
      <c r="D529" s="381">
        <f t="shared" si="60"/>
        <v>1</v>
      </c>
      <c r="E529" s="382" t="s">
        <v>129</v>
      </c>
      <c r="F529" s="137" t="s">
        <v>129</v>
      </c>
      <c r="G529" s="137" t="s">
        <v>129</v>
      </c>
      <c r="H529" s="137" t="s">
        <v>129</v>
      </c>
      <c r="I529" s="137" t="s">
        <v>129</v>
      </c>
      <c r="J529" s="137" t="s">
        <v>129</v>
      </c>
      <c r="K529" s="137" t="s">
        <v>129</v>
      </c>
      <c r="L529" s="137" t="s">
        <v>129</v>
      </c>
      <c r="M529" s="141"/>
      <c r="N529" s="143"/>
    </row>
    <row r="530" hidden="1" outlineLevel="1">
      <c r="A530" s="433" t="s">
        <v>2213</v>
      </c>
      <c r="B530" s="344">
        <v>46224.0</v>
      </c>
      <c r="C530" s="133" t="str">
        <f t="shared" si="59"/>
        <v>Tue</v>
      </c>
      <c r="D530" s="383">
        <f t="shared" si="60"/>
        <v>1</v>
      </c>
      <c r="E530" s="147" t="s">
        <v>129</v>
      </c>
      <c r="F530" s="137" t="s">
        <v>129</v>
      </c>
      <c r="G530" s="137" t="s">
        <v>129</v>
      </c>
      <c r="H530" s="137" t="s">
        <v>129</v>
      </c>
      <c r="I530" s="137" t="s">
        <v>129</v>
      </c>
      <c r="J530" s="137" t="s">
        <v>129</v>
      </c>
      <c r="K530" s="137" t="s">
        <v>129</v>
      </c>
      <c r="L530" s="137" t="s">
        <v>129</v>
      </c>
      <c r="M530" s="141"/>
      <c r="N530" s="143"/>
    </row>
    <row r="531" hidden="1" outlineLevel="1">
      <c r="A531" s="433" t="s">
        <v>2214</v>
      </c>
      <c r="B531" s="344">
        <v>46226.0</v>
      </c>
      <c r="C531" s="133" t="str">
        <f t="shared" si="59"/>
        <v>Thu</v>
      </c>
      <c r="D531" s="381">
        <f t="shared" si="60"/>
        <v>1</v>
      </c>
      <c r="E531" s="382" t="s">
        <v>129</v>
      </c>
      <c r="F531" s="137" t="s">
        <v>129</v>
      </c>
      <c r="G531" s="137" t="s">
        <v>129</v>
      </c>
      <c r="H531" s="137" t="s">
        <v>129</v>
      </c>
      <c r="I531" s="137" t="s">
        <v>129</v>
      </c>
      <c r="J531" s="137" t="s">
        <v>129</v>
      </c>
      <c r="K531" s="137" t="s">
        <v>129</v>
      </c>
      <c r="L531" s="137" t="s">
        <v>129</v>
      </c>
      <c r="M531" s="141"/>
      <c r="N531" s="143"/>
    </row>
    <row r="532" hidden="1" outlineLevel="1">
      <c r="A532" s="433" t="s">
        <v>2217</v>
      </c>
      <c r="B532" s="344">
        <v>46226.0</v>
      </c>
      <c r="C532" s="133" t="str">
        <f t="shared" si="59"/>
        <v>Thu</v>
      </c>
      <c r="D532" s="383">
        <f t="shared" si="60"/>
        <v>1</v>
      </c>
      <c r="E532" s="147" t="s">
        <v>129</v>
      </c>
      <c r="F532" s="137" t="s">
        <v>129</v>
      </c>
      <c r="G532" s="137" t="s">
        <v>129</v>
      </c>
      <c r="H532" s="137" t="s">
        <v>129</v>
      </c>
      <c r="I532" s="137" t="s">
        <v>129</v>
      </c>
      <c r="J532" s="137" t="s">
        <v>129</v>
      </c>
      <c r="K532" s="137" t="s">
        <v>129</v>
      </c>
      <c r="L532" s="137" t="s">
        <v>129</v>
      </c>
      <c r="M532" s="141"/>
      <c r="N532" s="143"/>
    </row>
    <row r="533" hidden="1" outlineLevel="1">
      <c r="A533" s="433" t="s">
        <v>2220</v>
      </c>
      <c r="B533" s="344">
        <v>46226.0</v>
      </c>
      <c r="C533" s="133" t="str">
        <f t="shared" si="59"/>
        <v>Thu</v>
      </c>
      <c r="D533" s="381">
        <f t="shared" si="60"/>
        <v>1</v>
      </c>
      <c r="E533" s="382" t="s">
        <v>129</v>
      </c>
      <c r="F533" s="137" t="s">
        <v>129</v>
      </c>
      <c r="G533" s="137" t="s">
        <v>129</v>
      </c>
      <c r="H533" s="137" t="s">
        <v>129</v>
      </c>
      <c r="I533" s="137" t="s">
        <v>129</v>
      </c>
      <c r="J533" s="137" t="s">
        <v>129</v>
      </c>
      <c r="K533" s="137" t="s">
        <v>129</v>
      </c>
      <c r="L533" s="137" t="s">
        <v>129</v>
      </c>
      <c r="M533" s="141"/>
      <c r="N533" s="143"/>
    </row>
    <row r="534" hidden="1" outlineLevel="1">
      <c r="A534" s="433" t="s">
        <v>2221</v>
      </c>
      <c r="B534" s="344">
        <v>46227.0</v>
      </c>
      <c r="C534" s="133" t="str">
        <f t="shared" si="59"/>
        <v>Fri</v>
      </c>
      <c r="D534" s="383">
        <f t="shared" si="60"/>
        <v>1</v>
      </c>
      <c r="E534" s="147" t="s">
        <v>129</v>
      </c>
      <c r="F534" s="137" t="s">
        <v>129</v>
      </c>
      <c r="G534" s="137" t="s">
        <v>129</v>
      </c>
      <c r="H534" s="137" t="s">
        <v>129</v>
      </c>
      <c r="I534" s="137" t="s">
        <v>129</v>
      </c>
      <c r="J534" s="137" t="s">
        <v>129</v>
      </c>
      <c r="K534" s="137" t="s">
        <v>129</v>
      </c>
      <c r="L534" s="137" t="s">
        <v>129</v>
      </c>
      <c r="M534" s="141"/>
      <c r="N534" s="143"/>
    </row>
    <row r="535" hidden="1" outlineLevel="1">
      <c r="A535" s="433" t="s">
        <v>2222</v>
      </c>
      <c r="B535" s="344">
        <v>46227.0</v>
      </c>
      <c r="C535" s="133" t="str">
        <f t="shared" si="59"/>
        <v>Fri</v>
      </c>
      <c r="D535" s="381">
        <f t="shared" si="60"/>
        <v>1</v>
      </c>
      <c r="E535" s="382" t="s">
        <v>129</v>
      </c>
      <c r="F535" s="137" t="s">
        <v>129</v>
      </c>
      <c r="G535" s="137" t="s">
        <v>129</v>
      </c>
      <c r="H535" s="137" t="s">
        <v>129</v>
      </c>
      <c r="I535" s="137" t="s">
        <v>129</v>
      </c>
      <c r="J535" s="137" t="s">
        <v>129</v>
      </c>
      <c r="K535" s="137" t="s">
        <v>129</v>
      </c>
      <c r="L535" s="137" t="s">
        <v>129</v>
      </c>
      <c r="M535" s="141"/>
      <c r="N535" s="143"/>
    </row>
    <row r="536" hidden="1" outlineLevel="1">
      <c r="A536" s="433" t="s">
        <v>2223</v>
      </c>
      <c r="B536" s="344">
        <v>46227.0</v>
      </c>
      <c r="C536" s="133" t="str">
        <f t="shared" si="59"/>
        <v>Fri</v>
      </c>
      <c r="D536" s="383">
        <f t="shared" si="60"/>
        <v>1</v>
      </c>
      <c r="E536" s="147" t="s">
        <v>129</v>
      </c>
      <c r="F536" s="137" t="s">
        <v>129</v>
      </c>
      <c r="G536" s="137" t="s">
        <v>129</v>
      </c>
      <c r="H536" s="137" t="s">
        <v>129</v>
      </c>
      <c r="I536" s="137" t="s">
        <v>129</v>
      </c>
      <c r="J536" s="137" t="s">
        <v>129</v>
      </c>
      <c r="K536" s="137" t="s">
        <v>129</v>
      </c>
      <c r="L536" s="137" t="s">
        <v>129</v>
      </c>
      <c r="M536" s="141"/>
      <c r="N536" s="143"/>
    </row>
    <row r="537" hidden="1" outlineLevel="1">
      <c r="A537" s="255"/>
      <c r="B537" s="344">
        <v>46228.0</v>
      </c>
      <c r="C537" s="133" t="str">
        <f t="shared" si="59"/>
        <v>Sat</v>
      </c>
      <c r="D537" s="381">
        <f t="shared" si="60"/>
        <v>0</v>
      </c>
      <c r="E537" s="382"/>
      <c r="F537" s="137"/>
      <c r="G537" s="137"/>
      <c r="H537" s="137"/>
      <c r="I537" s="137"/>
      <c r="J537" s="137"/>
      <c r="K537" s="137"/>
      <c r="L537" s="137"/>
      <c r="M537" s="141"/>
      <c r="N537" s="143"/>
    </row>
    <row r="538" hidden="1" outlineLevel="1">
      <c r="A538" s="255"/>
      <c r="B538" s="344">
        <v>46228.0</v>
      </c>
      <c r="C538" s="133" t="str">
        <f t="shared" si="59"/>
        <v>Sat</v>
      </c>
      <c r="D538" s="383">
        <f t="shared" si="60"/>
        <v>0</v>
      </c>
      <c r="E538" s="147"/>
      <c r="F538" s="137"/>
      <c r="G538" s="137"/>
      <c r="H538" s="137"/>
      <c r="I538" s="137"/>
      <c r="J538" s="137"/>
      <c r="K538" s="137"/>
      <c r="L538" s="137"/>
      <c r="M538" s="141"/>
      <c r="N538" s="143"/>
    </row>
    <row r="539" ht="15.0" hidden="1" customHeight="1" outlineLevel="1">
      <c r="A539" s="255"/>
      <c r="B539" s="344">
        <v>46228.0</v>
      </c>
      <c r="C539" s="133" t="str">
        <f t="shared" si="59"/>
        <v>Sat</v>
      </c>
      <c r="D539" s="381">
        <f t="shared" si="60"/>
        <v>0</v>
      </c>
      <c r="E539" s="382"/>
      <c r="F539" s="137"/>
      <c r="G539" s="137"/>
      <c r="H539" s="137"/>
      <c r="I539" s="137"/>
      <c r="J539" s="137"/>
      <c r="K539" s="137"/>
      <c r="L539" s="137"/>
      <c r="M539" s="141"/>
      <c r="N539" s="147"/>
    </row>
    <row r="540" hidden="1" outlineLevel="1">
      <c r="B540" s="189"/>
      <c r="C540" s="191" t="s">
        <v>194</v>
      </c>
      <c r="D540" s="204">
        <f>AVERAGE(D525:D539)</f>
        <v>0.8</v>
      </c>
      <c r="E540" s="384"/>
      <c r="L540" s="191" t="s">
        <v>194</v>
      </c>
      <c r="M540" s="204">
        <f>SUM(M525:M539)/75*0.1</f>
        <v>0</v>
      </c>
    </row>
    <row r="541" collapsed="1">
      <c r="A541" s="206" t="s">
        <v>1294</v>
      </c>
      <c r="B541" s="207"/>
      <c r="C541" s="207"/>
      <c r="D541" s="385"/>
      <c r="E541" s="109"/>
      <c r="F541" s="109"/>
      <c r="G541" s="110"/>
      <c r="H541" s="110"/>
      <c r="I541" s="110"/>
      <c r="J541" s="110"/>
      <c r="K541" s="110"/>
      <c r="L541" s="110"/>
      <c r="M541" s="111"/>
      <c r="N541" s="113"/>
    </row>
    <row r="542" hidden="1" outlineLevel="1">
      <c r="A542" s="373" t="s">
        <v>98</v>
      </c>
      <c r="B542" s="115" t="s">
        <v>100</v>
      </c>
      <c r="C542" s="115" t="s">
        <v>102</v>
      </c>
      <c r="D542" s="119" t="s">
        <v>103</v>
      </c>
      <c r="E542" s="275" t="s">
        <v>269</v>
      </c>
      <c r="F542" s="275" t="s">
        <v>272</v>
      </c>
      <c r="G542" s="276" t="s">
        <v>328</v>
      </c>
      <c r="H542" s="121" t="s">
        <v>107</v>
      </c>
      <c r="I542" s="121" t="s">
        <v>108</v>
      </c>
      <c r="J542" s="276" t="s">
        <v>329</v>
      </c>
      <c r="K542" s="121" t="s">
        <v>111</v>
      </c>
      <c r="L542" s="276" t="s">
        <v>274</v>
      </c>
      <c r="M542" s="115" t="s">
        <v>114</v>
      </c>
      <c r="N542" s="119" t="s">
        <v>115</v>
      </c>
    </row>
    <row r="543" hidden="1" outlineLevel="1">
      <c r="A543" s="367" t="s">
        <v>2231</v>
      </c>
      <c r="B543" s="420">
        <v>46230.0</v>
      </c>
      <c r="C543" s="133" t="str">
        <f t="shared" ref="C543:C557" si="61">IF(B543="", "", TEXT(B543, "ddd"))</f>
        <v>Mon</v>
      </c>
      <c r="D543" s="381">
        <f t="shared" ref="D543:D557" si="62">IF(E543="Yes",0.05,0)
+IF(F543="Yes",0.1,0)
+IF(G543="Yes",0.15,0)
+IF(H543="Yes",0.15,0)
+IF(I543="Yes",0.05,0)
+IF(J543="Yes",0.05,0)
+IF(K543="Yes",0.15,0)
+IF(L543="Yes",0.3,0)
</f>
        <v>1</v>
      </c>
      <c r="E543" s="382" t="s">
        <v>129</v>
      </c>
      <c r="F543" s="137" t="s">
        <v>129</v>
      </c>
      <c r="G543" s="137" t="s">
        <v>129</v>
      </c>
      <c r="H543" s="137" t="s">
        <v>129</v>
      </c>
      <c r="I543" s="137" t="s">
        <v>129</v>
      </c>
      <c r="J543" s="137" t="s">
        <v>129</v>
      </c>
      <c r="K543" s="137" t="s">
        <v>129</v>
      </c>
      <c r="L543" s="137" t="s">
        <v>129</v>
      </c>
      <c r="M543" s="141"/>
      <c r="N543" s="143"/>
    </row>
    <row r="544" hidden="1" outlineLevel="1">
      <c r="A544" s="255" t="s">
        <v>2235</v>
      </c>
      <c r="B544" s="420">
        <v>46230.0</v>
      </c>
      <c r="C544" s="133" t="str">
        <f t="shared" si="61"/>
        <v>Mon</v>
      </c>
      <c r="D544" s="383">
        <f t="shared" si="62"/>
        <v>1</v>
      </c>
      <c r="E544" s="147" t="s">
        <v>129</v>
      </c>
      <c r="F544" s="137" t="s">
        <v>129</v>
      </c>
      <c r="G544" s="137" t="s">
        <v>129</v>
      </c>
      <c r="H544" s="137" t="s">
        <v>129</v>
      </c>
      <c r="I544" s="137" t="s">
        <v>129</v>
      </c>
      <c r="J544" s="137" t="s">
        <v>129</v>
      </c>
      <c r="K544" s="137" t="s">
        <v>129</v>
      </c>
      <c r="L544" s="137" t="s">
        <v>129</v>
      </c>
      <c r="M544" s="141"/>
      <c r="N544" s="147"/>
    </row>
    <row r="545" hidden="1" outlineLevel="1">
      <c r="A545" s="367" t="s">
        <v>2237</v>
      </c>
      <c r="B545" s="420">
        <v>46230.0</v>
      </c>
      <c r="C545" s="133" t="str">
        <f t="shared" si="61"/>
        <v>Mon</v>
      </c>
      <c r="D545" s="381">
        <f t="shared" si="62"/>
        <v>1</v>
      </c>
      <c r="E545" s="382" t="s">
        <v>129</v>
      </c>
      <c r="F545" s="137" t="s">
        <v>129</v>
      </c>
      <c r="G545" s="137" t="s">
        <v>129</v>
      </c>
      <c r="H545" s="137" t="s">
        <v>129</v>
      </c>
      <c r="I545" s="137" t="s">
        <v>129</v>
      </c>
      <c r="J545" s="137" t="s">
        <v>129</v>
      </c>
      <c r="K545" s="137" t="s">
        <v>129</v>
      </c>
      <c r="L545" s="137" t="s">
        <v>129</v>
      </c>
      <c r="M545" s="141"/>
      <c r="N545" s="147"/>
    </row>
    <row r="546" hidden="1" outlineLevel="1">
      <c r="A546" s="367" t="s">
        <v>2239</v>
      </c>
      <c r="B546" s="420">
        <v>46231.0</v>
      </c>
      <c r="C546" s="133" t="str">
        <f t="shared" si="61"/>
        <v>Tue</v>
      </c>
      <c r="D546" s="383">
        <f t="shared" si="62"/>
        <v>1</v>
      </c>
      <c r="E546" s="147" t="s">
        <v>129</v>
      </c>
      <c r="F546" s="137" t="s">
        <v>129</v>
      </c>
      <c r="G546" s="137" t="s">
        <v>129</v>
      </c>
      <c r="H546" s="137" t="s">
        <v>129</v>
      </c>
      <c r="I546" s="137" t="s">
        <v>129</v>
      </c>
      <c r="J546" s="137" t="s">
        <v>129</v>
      </c>
      <c r="K546" s="137" t="s">
        <v>129</v>
      </c>
      <c r="L546" s="137" t="s">
        <v>129</v>
      </c>
      <c r="M546" s="141"/>
      <c r="N546" s="143"/>
    </row>
    <row r="547" hidden="1" outlineLevel="1">
      <c r="A547" s="367" t="s">
        <v>2241</v>
      </c>
      <c r="B547" s="420">
        <v>46231.0</v>
      </c>
      <c r="C547" s="133" t="str">
        <f t="shared" si="61"/>
        <v>Tue</v>
      </c>
      <c r="D547" s="381">
        <f t="shared" si="62"/>
        <v>1</v>
      </c>
      <c r="E547" s="382" t="s">
        <v>129</v>
      </c>
      <c r="F547" s="137" t="s">
        <v>129</v>
      </c>
      <c r="G547" s="137" t="s">
        <v>129</v>
      </c>
      <c r="H547" s="137" t="s">
        <v>129</v>
      </c>
      <c r="I547" s="137" t="s">
        <v>129</v>
      </c>
      <c r="J547" s="137" t="s">
        <v>129</v>
      </c>
      <c r="K547" s="137" t="s">
        <v>129</v>
      </c>
      <c r="L547" s="137" t="s">
        <v>129</v>
      </c>
      <c r="M547" s="141"/>
      <c r="N547" s="143"/>
    </row>
    <row r="548" hidden="1" outlineLevel="1">
      <c r="A548" s="367" t="s">
        <v>2243</v>
      </c>
      <c r="B548" s="420">
        <v>46231.0</v>
      </c>
      <c r="C548" s="133" t="str">
        <f t="shared" si="61"/>
        <v>Tue</v>
      </c>
      <c r="D548" s="383">
        <f t="shared" si="62"/>
        <v>1</v>
      </c>
      <c r="E548" s="147" t="s">
        <v>129</v>
      </c>
      <c r="F548" s="137" t="s">
        <v>129</v>
      </c>
      <c r="G548" s="137" t="s">
        <v>129</v>
      </c>
      <c r="H548" s="137" t="s">
        <v>129</v>
      </c>
      <c r="I548" s="137" t="s">
        <v>129</v>
      </c>
      <c r="J548" s="137" t="s">
        <v>129</v>
      </c>
      <c r="K548" s="137" t="s">
        <v>129</v>
      </c>
      <c r="L548" s="137" t="s">
        <v>129</v>
      </c>
      <c r="M548" s="141"/>
      <c r="N548" s="143"/>
    </row>
    <row r="549" hidden="1" outlineLevel="1">
      <c r="A549" s="367" t="s">
        <v>2245</v>
      </c>
      <c r="B549" s="420">
        <v>46233.0</v>
      </c>
      <c r="C549" s="133" t="str">
        <f t="shared" si="61"/>
        <v>Thu</v>
      </c>
      <c r="D549" s="381">
        <f t="shared" si="62"/>
        <v>1</v>
      </c>
      <c r="E549" s="382" t="s">
        <v>129</v>
      </c>
      <c r="F549" s="137" t="s">
        <v>129</v>
      </c>
      <c r="G549" s="137" t="s">
        <v>129</v>
      </c>
      <c r="H549" s="137" t="s">
        <v>129</v>
      </c>
      <c r="I549" s="137" t="s">
        <v>129</v>
      </c>
      <c r="J549" s="137" t="s">
        <v>129</v>
      </c>
      <c r="K549" s="137" t="s">
        <v>129</v>
      </c>
      <c r="L549" s="137" t="s">
        <v>129</v>
      </c>
      <c r="M549" s="141"/>
      <c r="N549" s="143"/>
    </row>
    <row r="550" hidden="1" outlineLevel="1">
      <c r="A550" s="367" t="s">
        <v>2246</v>
      </c>
      <c r="B550" s="420">
        <v>46233.0</v>
      </c>
      <c r="C550" s="133" t="str">
        <f t="shared" si="61"/>
        <v>Thu</v>
      </c>
      <c r="D550" s="383">
        <f t="shared" si="62"/>
        <v>1</v>
      </c>
      <c r="E550" s="147" t="s">
        <v>129</v>
      </c>
      <c r="F550" s="137" t="s">
        <v>129</v>
      </c>
      <c r="G550" s="137" t="s">
        <v>129</v>
      </c>
      <c r="H550" s="137" t="s">
        <v>129</v>
      </c>
      <c r="I550" s="137" t="s">
        <v>129</v>
      </c>
      <c r="J550" s="137" t="s">
        <v>129</v>
      </c>
      <c r="K550" s="137" t="s">
        <v>129</v>
      </c>
      <c r="L550" s="137" t="s">
        <v>129</v>
      </c>
      <c r="M550" s="141"/>
      <c r="N550" s="147"/>
    </row>
    <row r="551" hidden="1" outlineLevel="1">
      <c r="A551" s="367" t="s">
        <v>2249</v>
      </c>
      <c r="B551" s="420">
        <v>46233.0</v>
      </c>
      <c r="C551" s="133" t="str">
        <f t="shared" si="61"/>
        <v>Thu</v>
      </c>
      <c r="D551" s="381">
        <f t="shared" si="62"/>
        <v>1</v>
      </c>
      <c r="E551" s="382" t="s">
        <v>129</v>
      </c>
      <c r="F551" s="137" t="s">
        <v>129</v>
      </c>
      <c r="G551" s="137" t="s">
        <v>129</v>
      </c>
      <c r="H551" s="137" t="s">
        <v>129</v>
      </c>
      <c r="I551" s="137" t="s">
        <v>129</v>
      </c>
      <c r="J551" s="137" t="s">
        <v>129</v>
      </c>
      <c r="K551" s="137" t="s">
        <v>129</v>
      </c>
      <c r="L551" s="137" t="s">
        <v>129</v>
      </c>
      <c r="M551" s="141"/>
      <c r="N551" s="143"/>
    </row>
    <row r="552" hidden="1" outlineLevel="1">
      <c r="A552" s="367" t="s">
        <v>2252</v>
      </c>
      <c r="B552" s="420">
        <v>46234.0</v>
      </c>
      <c r="C552" s="133" t="str">
        <f t="shared" si="61"/>
        <v>Fri</v>
      </c>
      <c r="D552" s="383">
        <f t="shared" si="62"/>
        <v>1</v>
      </c>
      <c r="E552" s="147" t="s">
        <v>129</v>
      </c>
      <c r="F552" s="137" t="s">
        <v>129</v>
      </c>
      <c r="G552" s="137" t="s">
        <v>129</v>
      </c>
      <c r="H552" s="137" t="s">
        <v>129</v>
      </c>
      <c r="I552" s="137" t="s">
        <v>129</v>
      </c>
      <c r="J552" s="137" t="s">
        <v>129</v>
      </c>
      <c r="K552" s="137" t="s">
        <v>129</v>
      </c>
      <c r="L552" s="137" t="s">
        <v>129</v>
      </c>
      <c r="M552" s="141"/>
      <c r="N552" s="147"/>
    </row>
    <row r="553" hidden="1" outlineLevel="1">
      <c r="A553" s="367" t="s">
        <v>2255</v>
      </c>
      <c r="B553" s="420">
        <v>46234.0</v>
      </c>
      <c r="C553" s="133" t="str">
        <f t="shared" si="61"/>
        <v>Fri</v>
      </c>
      <c r="D553" s="381">
        <f t="shared" si="62"/>
        <v>1</v>
      </c>
      <c r="E553" s="382" t="s">
        <v>129</v>
      </c>
      <c r="F553" s="137" t="s">
        <v>129</v>
      </c>
      <c r="G553" s="137" t="s">
        <v>129</v>
      </c>
      <c r="H553" s="137" t="s">
        <v>129</v>
      </c>
      <c r="I553" s="137" t="s">
        <v>129</v>
      </c>
      <c r="J553" s="137" t="s">
        <v>129</v>
      </c>
      <c r="K553" s="137" t="s">
        <v>129</v>
      </c>
      <c r="L553" s="137" t="s">
        <v>129</v>
      </c>
      <c r="M553" s="141"/>
      <c r="N553" s="147"/>
    </row>
    <row r="554" hidden="1" outlineLevel="1">
      <c r="A554" s="367" t="s">
        <v>2257</v>
      </c>
      <c r="B554" s="420">
        <v>46234.0</v>
      </c>
      <c r="C554" s="133" t="str">
        <f t="shared" si="61"/>
        <v>Fri</v>
      </c>
      <c r="D554" s="383">
        <f t="shared" si="62"/>
        <v>1</v>
      </c>
      <c r="E554" s="147" t="s">
        <v>129</v>
      </c>
      <c r="F554" s="137" t="s">
        <v>129</v>
      </c>
      <c r="G554" s="137" t="s">
        <v>129</v>
      </c>
      <c r="H554" s="137" t="s">
        <v>129</v>
      </c>
      <c r="I554" s="137" t="s">
        <v>129</v>
      </c>
      <c r="J554" s="137" t="s">
        <v>129</v>
      </c>
      <c r="K554" s="137" t="s">
        <v>129</v>
      </c>
      <c r="L554" s="137" t="s">
        <v>129</v>
      </c>
      <c r="M554" s="141"/>
      <c r="N554" s="147"/>
    </row>
    <row r="555" hidden="1" outlineLevel="1">
      <c r="A555" s="367" t="s">
        <v>2259</v>
      </c>
      <c r="B555" s="420">
        <v>46235.0</v>
      </c>
      <c r="C555" s="133" t="str">
        <f t="shared" si="61"/>
        <v>Sat</v>
      </c>
      <c r="D555" s="381">
        <f t="shared" si="62"/>
        <v>1</v>
      </c>
      <c r="E555" s="382" t="s">
        <v>129</v>
      </c>
      <c r="F555" s="137" t="s">
        <v>129</v>
      </c>
      <c r="G555" s="137" t="s">
        <v>129</v>
      </c>
      <c r="H555" s="137" t="s">
        <v>129</v>
      </c>
      <c r="I555" s="137" t="s">
        <v>129</v>
      </c>
      <c r="J555" s="137" t="s">
        <v>129</v>
      </c>
      <c r="K555" s="137" t="s">
        <v>129</v>
      </c>
      <c r="L555" s="137" t="s">
        <v>129</v>
      </c>
      <c r="M555" s="141"/>
      <c r="N555" s="147"/>
    </row>
    <row r="556" hidden="1" outlineLevel="1">
      <c r="A556" s="367" t="s">
        <v>2262</v>
      </c>
      <c r="B556" s="420">
        <v>46235.0</v>
      </c>
      <c r="C556" s="133" t="str">
        <f t="shared" si="61"/>
        <v>Sat</v>
      </c>
      <c r="D556" s="383">
        <f t="shared" si="62"/>
        <v>1</v>
      </c>
      <c r="E556" s="147" t="s">
        <v>129</v>
      </c>
      <c r="F556" s="137" t="s">
        <v>129</v>
      </c>
      <c r="G556" s="137" t="s">
        <v>129</v>
      </c>
      <c r="H556" s="137" t="s">
        <v>129</v>
      </c>
      <c r="I556" s="137" t="s">
        <v>129</v>
      </c>
      <c r="J556" s="137" t="s">
        <v>129</v>
      </c>
      <c r="K556" s="137" t="s">
        <v>129</v>
      </c>
      <c r="L556" s="137" t="s">
        <v>129</v>
      </c>
      <c r="M556" s="141"/>
      <c r="N556" s="147"/>
    </row>
    <row r="557" ht="15.0" hidden="1" customHeight="1" outlineLevel="1">
      <c r="A557" s="367" t="s">
        <v>2266</v>
      </c>
      <c r="B557" s="420">
        <v>46235.0</v>
      </c>
      <c r="C557" s="133" t="str">
        <f t="shared" si="61"/>
        <v>Sat</v>
      </c>
      <c r="D557" s="381">
        <f t="shared" si="62"/>
        <v>1</v>
      </c>
      <c r="E557" s="382" t="s">
        <v>129</v>
      </c>
      <c r="F557" s="137" t="s">
        <v>129</v>
      </c>
      <c r="G557" s="137" t="s">
        <v>129</v>
      </c>
      <c r="H557" s="137" t="s">
        <v>129</v>
      </c>
      <c r="I557" s="137" t="s">
        <v>129</v>
      </c>
      <c r="J557" s="137" t="s">
        <v>129</v>
      </c>
      <c r="K557" s="137" t="s">
        <v>129</v>
      </c>
      <c r="L557" s="137" t="s">
        <v>129</v>
      </c>
      <c r="M557" s="141"/>
      <c r="N557" s="147"/>
    </row>
    <row r="558" hidden="1" outlineLevel="1">
      <c r="B558" s="189"/>
      <c r="C558" s="191" t="s">
        <v>194</v>
      </c>
      <c r="D558" s="204">
        <f>AVERAGE(D543:D557)</f>
        <v>1</v>
      </c>
      <c r="E558" s="384"/>
      <c r="L558" s="191" t="s">
        <v>194</v>
      </c>
      <c r="M558" s="204">
        <f>SUM(M543:M557)/75*0.1</f>
        <v>0</v>
      </c>
    </row>
    <row r="559">
      <c r="A559" s="206" t="s">
        <v>1318</v>
      </c>
      <c r="B559" s="207"/>
      <c r="C559" s="207"/>
      <c r="D559" s="385"/>
      <c r="E559" s="109"/>
      <c r="F559" s="109"/>
      <c r="G559" s="110"/>
      <c r="H559" s="110"/>
      <c r="I559" s="110"/>
      <c r="J559" s="110"/>
      <c r="K559" s="110"/>
      <c r="L559" s="110"/>
      <c r="M559" s="111"/>
      <c r="N559" s="113"/>
    </row>
    <row r="560" outlineLevel="1">
      <c r="A560" s="373" t="s">
        <v>98</v>
      </c>
      <c r="B560" s="115" t="s">
        <v>100</v>
      </c>
      <c r="C560" s="115" t="s">
        <v>102</v>
      </c>
      <c r="D560" s="119" t="s">
        <v>103</v>
      </c>
      <c r="E560" s="275" t="s">
        <v>269</v>
      </c>
      <c r="F560" s="275" t="s">
        <v>272</v>
      </c>
      <c r="G560" s="276" t="s">
        <v>328</v>
      </c>
      <c r="H560" s="121" t="s">
        <v>107</v>
      </c>
      <c r="I560" s="121" t="s">
        <v>108</v>
      </c>
      <c r="J560" s="276" t="s">
        <v>329</v>
      </c>
      <c r="K560" s="121" t="s">
        <v>111</v>
      </c>
      <c r="L560" s="276" t="s">
        <v>274</v>
      </c>
      <c r="M560" s="115" t="s">
        <v>114</v>
      </c>
      <c r="N560" s="119" t="s">
        <v>115</v>
      </c>
    </row>
    <row r="561" outlineLevel="1">
      <c r="A561" s="367" t="s">
        <v>2272</v>
      </c>
      <c r="B561" s="420">
        <v>46237.0</v>
      </c>
      <c r="C561" s="133" t="str">
        <f t="shared" ref="C561:C575" si="63">IF(B561="", "", TEXT(B561, "ddd"))</f>
        <v>Mon</v>
      </c>
      <c r="D561" s="381">
        <f t="shared" ref="D561:D575" si="64">IF(E561="Yes",0.05,0)
+IF(F561="Yes",0.1,0)
+IF(G561="Yes",0.15,0)
+IF(H561="Yes",0.15,0)
+IF(I561="Yes",0.05,0)
+IF(J561="Yes",0.05,0)
+IF(K561="Yes",0.15,0)
+IF(L561="Yes",0.3,0)
</f>
        <v>1</v>
      </c>
      <c r="E561" s="382" t="s">
        <v>129</v>
      </c>
      <c r="F561" s="137" t="s">
        <v>129</v>
      </c>
      <c r="G561" s="137" t="s">
        <v>129</v>
      </c>
      <c r="H561" s="137" t="s">
        <v>129</v>
      </c>
      <c r="I561" s="137" t="s">
        <v>129</v>
      </c>
      <c r="J561" s="137" t="s">
        <v>129</v>
      </c>
      <c r="K561" s="137" t="s">
        <v>129</v>
      </c>
      <c r="L561" s="137" t="s">
        <v>129</v>
      </c>
      <c r="M561" s="141"/>
      <c r="N561" s="143"/>
    </row>
    <row r="562" outlineLevel="1">
      <c r="A562" s="367" t="s">
        <v>2274</v>
      </c>
      <c r="B562" s="420">
        <v>46237.0</v>
      </c>
      <c r="C562" s="133" t="str">
        <f t="shared" si="63"/>
        <v>Mon</v>
      </c>
      <c r="D562" s="383">
        <f t="shared" si="64"/>
        <v>1</v>
      </c>
      <c r="E562" s="147" t="s">
        <v>129</v>
      </c>
      <c r="F562" s="137" t="s">
        <v>129</v>
      </c>
      <c r="G562" s="137" t="s">
        <v>129</v>
      </c>
      <c r="H562" s="137" t="s">
        <v>129</v>
      </c>
      <c r="I562" s="137" t="s">
        <v>129</v>
      </c>
      <c r="J562" s="137" t="s">
        <v>129</v>
      </c>
      <c r="K562" s="137" t="s">
        <v>129</v>
      </c>
      <c r="L562" s="137" t="s">
        <v>129</v>
      </c>
      <c r="M562" s="141"/>
      <c r="N562" s="147"/>
    </row>
    <row r="563" outlineLevel="1">
      <c r="A563" s="367" t="s">
        <v>2276</v>
      </c>
      <c r="B563" s="420">
        <v>46237.0</v>
      </c>
      <c r="C563" s="133" t="str">
        <f t="shared" si="63"/>
        <v>Mon</v>
      </c>
      <c r="D563" s="381">
        <f t="shared" si="64"/>
        <v>1</v>
      </c>
      <c r="E563" s="382" t="s">
        <v>129</v>
      </c>
      <c r="F563" s="137" t="s">
        <v>129</v>
      </c>
      <c r="G563" s="137" t="s">
        <v>129</v>
      </c>
      <c r="H563" s="137" t="s">
        <v>129</v>
      </c>
      <c r="I563" s="137" t="s">
        <v>129</v>
      </c>
      <c r="J563" s="137" t="s">
        <v>129</v>
      </c>
      <c r="K563" s="137" t="s">
        <v>129</v>
      </c>
      <c r="L563" s="137" t="s">
        <v>129</v>
      </c>
      <c r="M563" s="141"/>
      <c r="N563" s="147"/>
    </row>
    <row r="564" outlineLevel="1">
      <c r="A564" s="367" t="s">
        <v>2278</v>
      </c>
      <c r="B564" s="420">
        <v>46238.0</v>
      </c>
      <c r="C564" s="133" t="str">
        <f t="shared" si="63"/>
        <v>Tue</v>
      </c>
      <c r="D564" s="383">
        <f t="shared" si="64"/>
        <v>1</v>
      </c>
      <c r="E564" s="147" t="s">
        <v>129</v>
      </c>
      <c r="F564" s="137" t="s">
        <v>129</v>
      </c>
      <c r="G564" s="137" t="s">
        <v>129</v>
      </c>
      <c r="H564" s="137" t="s">
        <v>129</v>
      </c>
      <c r="I564" s="137" t="s">
        <v>129</v>
      </c>
      <c r="J564" s="137" t="s">
        <v>129</v>
      </c>
      <c r="K564" s="137" t="s">
        <v>129</v>
      </c>
      <c r="L564" s="137" t="s">
        <v>129</v>
      </c>
      <c r="M564" s="141"/>
      <c r="N564" s="147"/>
    </row>
    <row r="565" outlineLevel="1">
      <c r="A565" s="367" t="s">
        <v>2284</v>
      </c>
      <c r="B565" s="420">
        <v>46238.0</v>
      </c>
      <c r="C565" s="133" t="str">
        <f t="shared" si="63"/>
        <v>Tue</v>
      </c>
      <c r="D565" s="381">
        <f t="shared" si="64"/>
        <v>1</v>
      </c>
      <c r="E565" s="382" t="s">
        <v>129</v>
      </c>
      <c r="F565" s="137" t="s">
        <v>129</v>
      </c>
      <c r="G565" s="137" t="s">
        <v>129</v>
      </c>
      <c r="H565" s="137" t="s">
        <v>129</v>
      </c>
      <c r="I565" s="137" t="s">
        <v>129</v>
      </c>
      <c r="J565" s="137" t="s">
        <v>129</v>
      </c>
      <c r="K565" s="137" t="s">
        <v>129</v>
      </c>
      <c r="L565" s="137" t="s">
        <v>129</v>
      </c>
      <c r="M565" s="141"/>
      <c r="N565" s="147"/>
    </row>
    <row r="566" outlineLevel="1">
      <c r="A566" s="367" t="s">
        <v>2286</v>
      </c>
      <c r="B566" s="420">
        <v>46238.0</v>
      </c>
      <c r="C566" s="133" t="str">
        <f t="shared" si="63"/>
        <v>Tue</v>
      </c>
      <c r="D566" s="383">
        <f t="shared" si="64"/>
        <v>1</v>
      </c>
      <c r="E566" s="147" t="s">
        <v>129</v>
      </c>
      <c r="F566" s="137" t="s">
        <v>129</v>
      </c>
      <c r="G566" s="137" t="s">
        <v>129</v>
      </c>
      <c r="H566" s="137" t="s">
        <v>129</v>
      </c>
      <c r="I566" s="137" t="s">
        <v>129</v>
      </c>
      <c r="J566" s="137" t="s">
        <v>129</v>
      </c>
      <c r="K566" s="137" t="s">
        <v>129</v>
      </c>
      <c r="L566" s="137" t="s">
        <v>129</v>
      </c>
      <c r="M566" s="141"/>
      <c r="N566" s="147"/>
    </row>
    <row r="567" outlineLevel="1">
      <c r="A567" s="367" t="s">
        <v>2288</v>
      </c>
      <c r="B567" s="420">
        <v>46240.0</v>
      </c>
      <c r="C567" s="133" t="str">
        <f t="shared" si="63"/>
        <v>Thu</v>
      </c>
      <c r="D567" s="381">
        <f t="shared" si="64"/>
        <v>1</v>
      </c>
      <c r="E567" s="382" t="s">
        <v>129</v>
      </c>
      <c r="F567" s="137" t="s">
        <v>129</v>
      </c>
      <c r="G567" s="137" t="s">
        <v>129</v>
      </c>
      <c r="H567" s="137" t="s">
        <v>129</v>
      </c>
      <c r="I567" s="137" t="s">
        <v>129</v>
      </c>
      <c r="J567" s="137" t="s">
        <v>129</v>
      </c>
      <c r="K567" s="137" t="s">
        <v>129</v>
      </c>
      <c r="L567" s="137" t="s">
        <v>129</v>
      </c>
      <c r="M567" s="141"/>
      <c r="N567" s="147"/>
    </row>
    <row r="568" outlineLevel="1">
      <c r="A568" s="367" t="s">
        <v>2289</v>
      </c>
      <c r="B568" s="420">
        <v>46240.0</v>
      </c>
      <c r="C568" s="133" t="str">
        <f t="shared" si="63"/>
        <v>Thu</v>
      </c>
      <c r="D568" s="383">
        <f t="shared" si="64"/>
        <v>1</v>
      </c>
      <c r="E568" s="147" t="s">
        <v>129</v>
      </c>
      <c r="F568" s="137" t="s">
        <v>129</v>
      </c>
      <c r="G568" s="137" t="s">
        <v>129</v>
      </c>
      <c r="H568" s="137" t="s">
        <v>129</v>
      </c>
      <c r="I568" s="137" t="s">
        <v>129</v>
      </c>
      <c r="J568" s="137" t="s">
        <v>129</v>
      </c>
      <c r="K568" s="137" t="s">
        <v>129</v>
      </c>
      <c r="L568" s="137" t="s">
        <v>129</v>
      </c>
      <c r="M568" s="141"/>
      <c r="N568" s="147"/>
    </row>
    <row r="569" outlineLevel="1">
      <c r="A569" s="367" t="s">
        <v>2291</v>
      </c>
      <c r="B569" s="420">
        <v>46240.0</v>
      </c>
      <c r="C569" s="133" t="str">
        <f t="shared" si="63"/>
        <v>Thu</v>
      </c>
      <c r="D569" s="381">
        <f t="shared" si="64"/>
        <v>1</v>
      </c>
      <c r="E569" s="382" t="s">
        <v>129</v>
      </c>
      <c r="F569" s="137" t="s">
        <v>129</v>
      </c>
      <c r="G569" s="137" t="s">
        <v>129</v>
      </c>
      <c r="H569" s="137" t="s">
        <v>129</v>
      </c>
      <c r="I569" s="137" t="s">
        <v>129</v>
      </c>
      <c r="J569" s="137" t="s">
        <v>129</v>
      </c>
      <c r="K569" s="137" t="s">
        <v>129</v>
      </c>
      <c r="L569" s="137" t="s">
        <v>129</v>
      </c>
      <c r="M569" s="141"/>
      <c r="N569" s="147"/>
    </row>
    <row r="570" outlineLevel="1">
      <c r="A570" s="367" t="s">
        <v>2293</v>
      </c>
      <c r="B570" s="420">
        <v>46241.0</v>
      </c>
      <c r="C570" s="133" t="str">
        <f t="shared" si="63"/>
        <v>Fri</v>
      </c>
      <c r="D570" s="383">
        <f t="shared" si="64"/>
        <v>1</v>
      </c>
      <c r="E570" s="147" t="s">
        <v>129</v>
      </c>
      <c r="F570" s="137" t="s">
        <v>129</v>
      </c>
      <c r="G570" s="137" t="s">
        <v>129</v>
      </c>
      <c r="H570" s="137" t="s">
        <v>129</v>
      </c>
      <c r="I570" s="137" t="s">
        <v>129</v>
      </c>
      <c r="J570" s="137" t="s">
        <v>129</v>
      </c>
      <c r="K570" s="137" t="s">
        <v>129</v>
      </c>
      <c r="L570" s="137" t="s">
        <v>129</v>
      </c>
      <c r="M570" s="141"/>
      <c r="N570" s="147"/>
    </row>
    <row r="571" outlineLevel="1">
      <c r="A571" s="367" t="s">
        <v>2294</v>
      </c>
      <c r="B571" s="420">
        <v>46241.0</v>
      </c>
      <c r="C571" s="133" t="str">
        <f t="shared" si="63"/>
        <v>Fri</v>
      </c>
      <c r="D571" s="381">
        <f t="shared" si="64"/>
        <v>1</v>
      </c>
      <c r="E571" s="382" t="s">
        <v>129</v>
      </c>
      <c r="F571" s="137" t="s">
        <v>129</v>
      </c>
      <c r="G571" s="137" t="s">
        <v>129</v>
      </c>
      <c r="H571" s="137" t="s">
        <v>129</v>
      </c>
      <c r="I571" s="137" t="s">
        <v>129</v>
      </c>
      <c r="J571" s="137" t="s">
        <v>129</v>
      </c>
      <c r="K571" s="137" t="s">
        <v>129</v>
      </c>
      <c r="L571" s="137" t="s">
        <v>129</v>
      </c>
      <c r="M571" s="141"/>
      <c r="N571" s="147"/>
    </row>
    <row r="572" outlineLevel="1">
      <c r="A572" s="367" t="s">
        <v>2296</v>
      </c>
      <c r="B572" s="420">
        <v>46241.0</v>
      </c>
      <c r="C572" s="133" t="str">
        <f t="shared" si="63"/>
        <v>Fri</v>
      </c>
      <c r="D572" s="383">
        <f t="shared" si="64"/>
        <v>1</v>
      </c>
      <c r="E572" s="147" t="s">
        <v>129</v>
      </c>
      <c r="F572" s="137" t="s">
        <v>129</v>
      </c>
      <c r="G572" s="137" t="s">
        <v>129</v>
      </c>
      <c r="H572" s="137" t="s">
        <v>129</v>
      </c>
      <c r="I572" s="137" t="s">
        <v>129</v>
      </c>
      <c r="J572" s="137" t="s">
        <v>129</v>
      </c>
      <c r="K572" s="137" t="s">
        <v>129</v>
      </c>
      <c r="L572" s="137" t="s">
        <v>129</v>
      </c>
      <c r="M572" s="141"/>
      <c r="N572" s="147"/>
    </row>
    <row r="573" outlineLevel="1">
      <c r="A573" s="367" t="s">
        <v>2299</v>
      </c>
      <c r="B573" s="420">
        <v>46242.0</v>
      </c>
      <c r="C573" s="133" t="str">
        <f t="shared" si="63"/>
        <v>Sat</v>
      </c>
      <c r="D573" s="381">
        <f t="shared" si="64"/>
        <v>0</v>
      </c>
      <c r="E573" s="382"/>
      <c r="F573" s="137"/>
      <c r="G573" s="137"/>
      <c r="H573" s="137"/>
      <c r="I573" s="137"/>
      <c r="J573" s="137"/>
      <c r="K573" s="137"/>
      <c r="L573" s="137"/>
      <c r="M573" s="141"/>
      <c r="N573" s="143"/>
    </row>
    <row r="574" outlineLevel="1">
      <c r="A574" s="367" t="s">
        <v>2301</v>
      </c>
      <c r="B574" s="420">
        <v>46242.0</v>
      </c>
      <c r="C574" s="133" t="str">
        <f t="shared" si="63"/>
        <v>Sat</v>
      </c>
      <c r="D574" s="383">
        <f t="shared" si="64"/>
        <v>0</v>
      </c>
      <c r="E574" s="147"/>
      <c r="F574" s="137"/>
      <c r="G574" s="137"/>
      <c r="H574" s="137"/>
      <c r="I574" s="137"/>
      <c r="J574" s="137"/>
      <c r="K574" s="137"/>
      <c r="L574" s="137"/>
      <c r="M574" s="141"/>
      <c r="N574" s="143"/>
    </row>
    <row r="575" ht="15.0" customHeight="1" outlineLevel="1">
      <c r="A575" s="367" t="s">
        <v>2303</v>
      </c>
      <c r="B575" s="420">
        <v>46242.0</v>
      </c>
      <c r="C575" s="133" t="str">
        <f t="shared" si="63"/>
        <v>Sat</v>
      </c>
      <c r="D575" s="381">
        <f t="shared" si="64"/>
        <v>0</v>
      </c>
      <c r="E575" s="382"/>
      <c r="F575" s="137"/>
      <c r="G575" s="137"/>
      <c r="H575" s="137"/>
      <c r="I575" s="137"/>
      <c r="J575" s="137"/>
      <c r="K575" s="137"/>
      <c r="L575" s="137"/>
      <c r="M575" s="141"/>
      <c r="N575" s="147"/>
    </row>
    <row r="576" outlineLevel="1">
      <c r="B576" s="189"/>
      <c r="C576" s="191" t="s">
        <v>194</v>
      </c>
      <c r="D576" s="204">
        <f>AVERAGE(D561:D575)</f>
        <v>0.8</v>
      </c>
      <c r="E576" s="384"/>
      <c r="L576" s="191" t="s">
        <v>194</v>
      </c>
      <c r="M576" s="204">
        <f>SUM(M561:M575)/75*0.1</f>
        <v>0</v>
      </c>
    </row>
    <row r="577">
      <c r="A577" s="189"/>
      <c r="B577" s="189"/>
      <c r="C577" s="472"/>
    </row>
    <row r="578">
      <c r="A578" s="189"/>
      <c r="B578" s="189"/>
      <c r="C578" s="472"/>
    </row>
    <row r="579">
      <c r="A579" s="189"/>
      <c r="B579" s="189"/>
      <c r="C579" s="472"/>
    </row>
    <row r="580">
      <c r="A580" s="189"/>
      <c r="B580" s="189"/>
      <c r="C580" s="472"/>
    </row>
    <row r="581">
      <c r="A581" s="189"/>
      <c r="B581" s="189"/>
      <c r="C581" s="472"/>
    </row>
    <row r="582">
      <c r="A582" s="189"/>
      <c r="B582" s="189"/>
      <c r="C582" s="472"/>
    </row>
    <row r="583">
      <c r="A583" s="189"/>
      <c r="B583" s="189"/>
      <c r="C583" s="472"/>
    </row>
    <row r="584">
      <c r="A584" s="189"/>
      <c r="B584" s="189"/>
      <c r="C584" s="472"/>
    </row>
    <row r="585">
      <c r="A585" s="189"/>
      <c r="B585" s="189"/>
      <c r="C585" s="472"/>
    </row>
    <row r="586">
      <c r="A586" s="189"/>
      <c r="B586" s="189"/>
      <c r="C586" s="472"/>
    </row>
    <row r="587">
      <c r="A587" s="189"/>
      <c r="B587" s="189"/>
      <c r="C587" s="472"/>
    </row>
    <row r="588">
      <c r="A588" s="189"/>
      <c r="B588" s="189"/>
      <c r="C588" s="472"/>
    </row>
    <row r="589">
      <c r="A589" s="189"/>
      <c r="B589" s="189"/>
      <c r="C589" s="472"/>
    </row>
    <row r="590">
      <c r="A590" s="189"/>
      <c r="B590" s="189"/>
      <c r="C590" s="472"/>
    </row>
    <row r="591">
      <c r="A591" s="189"/>
      <c r="B591" s="189"/>
      <c r="C591" s="472"/>
    </row>
    <row r="592">
      <c r="A592" s="189"/>
      <c r="B592" s="189"/>
      <c r="C592" s="472"/>
    </row>
    <row r="593">
      <c r="A593" s="189"/>
      <c r="B593" s="189"/>
      <c r="C593" s="472"/>
    </row>
    <row r="594">
      <c r="A594" s="189"/>
      <c r="B594" s="189"/>
      <c r="C594" s="472"/>
    </row>
    <row r="595">
      <c r="A595" s="189"/>
      <c r="B595" s="189"/>
      <c r="C595" s="472"/>
    </row>
    <row r="596">
      <c r="A596" s="189"/>
      <c r="B596" s="189"/>
      <c r="C596" s="472"/>
    </row>
    <row r="597">
      <c r="A597" s="189"/>
      <c r="B597" s="189"/>
      <c r="C597" s="472"/>
    </row>
    <row r="598">
      <c r="A598" s="189"/>
      <c r="B598" s="189"/>
      <c r="C598" s="472"/>
    </row>
    <row r="599">
      <c r="A599" s="189"/>
      <c r="B599" s="189"/>
      <c r="C599" s="472"/>
    </row>
    <row r="600">
      <c r="A600" s="189"/>
      <c r="B600" s="189"/>
      <c r="C600" s="472"/>
    </row>
    <row r="601">
      <c r="A601" s="189"/>
      <c r="B601" s="189"/>
      <c r="C601" s="472"/>
    </row>
    <row r="602">
      <c r="A602" s="189"/>
      <c r="B602" s="189"/>
      <c r="C602" s="472"/>
    </row>
    <row r="603">
      <c r="A603" s="189"/>
      <c r="B603" s="189"/>
      <c r="C603" s="472"/>
    </row>
    <row r="604">
      <c r="A604" s="189"/>
      <c r="B604" s="189"/>
      <c r="C604" s="472"/>
    </row>
    <row r="605">
      <c r="A605" s="189"/>
      <c r="B605" s="189"/>
      <c r="C605" s="472"/>
    </row>
    <row r="606">
      <c r="A606" s="189"/>
      <c r="B606" s="189"/>
      <c r="C606" s="472"/>
    </row>
    <row r="607">
      <c r="A607" s="189"/>
      <c r="B607" s="189"/>
      <c r="C607" s="472"/>
    </row>
    <row r="608">
      <c r="A608" s="189"/>
      <c r="B608" s="189"/>
      <c r="C608" s="472"/>
    </row>
    <row r="609">
      <c r="A609" s="189"/>
      <c r="B609" s="189"/>
      <c r="C609" s="472"/>
    </row>
    <row r="610">
      <c r="A610" s="189"/>
      <c r="B610" s="189"/>
      <c r="C610" s="472"/>
    </row>
    <row r="611">
      <c r="A611" s="189"/>
      <c r="B611" s="189"/>
      <c r="C611" s="472"/>
    </row>
    <row r="612">
      <c r="A612" s="189"/>
      <c r="B612" s="189"/>
      <c r="C612" s="472"/>
    </row>
    <row r="613">
      <c r="A613" s="189"/>
      <c r="B613" s="189"/>
      <c r="C613" s="472"/>
    </row>
    <row r="614">
      <c r="A614" s="189"/>
      <c r="B614" s="189"/>
      <c r="C614" s="472"/>
    </row>
    <row r="615">
      <c r="A615" s="189"/>
      <c r="B615" s="189"/>
      <c r="C615" s="472"/>
    </row>
    <row r="616">
      <c r="A616" s="189"/>
      <c r="B616" s="189"/>
      <c r="C616" s="472"/>
    </row>
    <row r="617">
      <c r="A617" s="189"/>
      <c r="B617" s="189"/>
      <c r="C617" s="472"/>
    </row>
    <row r="618">
      <c r="A618" s="189"/>
      <c r="B618" s="189"/>
      <c r="C618" s="472"/>
    </row>
    <row r="619">
      <c r="A619" s="189"/>
      <c r="B619" s="189"/>
      <c r="C619" s="472"/>
    </row>
    <row r="620">
      <c r="A620" s="189"/>
      <c r="B620" s="189"/>
      <c r="C620" s="472"/>
    </row>
    <row r="621">
      <c r="A621" s="189"/>
      <c r="B621" s="189"/>
      <c r="C621" s="472"/>
    </row>
    <row r="622">
      <c r="A622" s="189"/>
      <c r="B622" s="189"/>
      <c r="C622" s="472"/>
    </row>
    <row r="623">
      <c r="A623" s="189"/>
      <c r="B623" s="189"/>
      <c r="C623" s="472"/>
    </row>
    <row r="624">
      <c r="A624" s="189"/>
      <c r="B624" s="189"/>
      <c r="C624" s="472"/>
    </row>
    <row r="625">
      <c r="A625" s="189"/>
      <c r="B625" s="189"/>
      <c r="C625" s="472"/>
    </row>
    <row r="626">
      <c r="A626" s="189"/>
      <c r="B626" s="189"/>
      <c r="C626" s="472"/>
    </row>
    <row r="627">
      <c r="A627" s="189"/>
      <c r="B627" s="189"/>
      <c r="C627" s="472"/>
    </row>
    <row r="628">
      <c r="A628" s="189"/>
      <c r="B628" s="189"/>
      <c r="C628" s="472"/>
    </row>
    <row r="629">
      <c r="A629" s="189"/>
      <c r="B629" s="189"/>
      <c r="C629" s="472"/>
    </row>
    <row r="630">
      <c r="A630" s="189"/>
      <c r="B630" s="189"/>
      <c r="C630" s="472"/>
    </row>
    <row r="631">
      <c r="A631" s="189"/>
      <c r="B631" s="189"/>
      <c r="C631" s="472"/>
    </row>
    <row r="632">
      <c r="A632" s="189"/>
      <c r="B632" s="189"/>
      <c r="C632" s="472"/>
    </row>
    <row r="633">
      <c r="A633" s="189"/>
      <c r="B633" s="189"/>
      <c r="C633" s="472"/>
    </row>
    <row r="634">
      <c r="A634" s="189"/>
      <c r="B634" s="189"/>
      <c r="C634" s="472"/>
    </row>
    <row r="635">
      <c r="A635" s="189"/>
      <c r="B635" s="189"/>
      <c r="C635" s="472"/>
    </row>
    <row r="636">
      <c r="A636" s="189"/>
      <c r="B636" s="189"/>
      <c r="C636" s="472"/>
    </row>
    <row r="637">
      <c r="A637" s="189"/>
      <c r="B637" s="189"/>
      <c r="C637" s="472"/>
    </row>
    <row r="638">
      <c r="A638" s="189"/>
      <c r="B638" s="189"/>
      <c r="C638" s="472"/>
    </row>
    <row r="639">
      <c r="A639" s="189"/>
      <c r="B639" s="189"/>
      <c r="C639" s="472"/>
    </row>
    <row r="640">
      <c r="A640" s="189"/>
      <c r="B640" s="189"/>
      <c r="C640" s="472"/>
    </row>
    <row r="641">
      <c r="A641" s="189"/>
      <c r="B641" s="189"/>
      <c r="C641" s="472"/>
    </row>
    <row r="642">
      <c r="A642" s="189"/>
      <c r="B642" s="189"/>
      <c r="C642" s="472"/>
    </row>
    <row r="643">
      <c r="A643" s="189"/>
      <c r="B643" s="189"/>
      <c r="C643" s="472"/>
    </row>
    <row r="644">
      <c r="A644" s="189"/>
      <c r="B644" s="189"/>
      <c r="C644" s="472"/>
    </row>
    <row r="645">
      <c r="A645" s="189"/>
      <c r="B645" s="189"/>
      <c r="C645" s="472"/>
    </row>
    <row r="646">
      <c r="A646" s="189"/>
      <c r="B646" s="189"/>
      <c r="C646" s="472"/>
    </row>
    <row r="647">
      <c r="A647" s="189"/>
      <c r="B647" s="189"/>
      <c r="C647" s="472"/>
    </row>
    <row r="648">
      <c r="A648" s="189"/>
      <c r="B648" s="189"/>
      <c r="C648" s="472"/>
    </row>
    <row r="649">
      <c r="A649" s="189"/>
      <c r="B649" s="189"/>
      <c r="C649" s="472"/>
    </row>
    <row r="650">
      <c r="A650" s="189"/>
      <c r="B650" s="189"/>
      <c r="C650" s="472"/>
    </row>
    <row r="651">
      <c r="A651" s="189"/>
      <c r="B651" s="189"/>
      <c r="C651" s="472"/>
    </row>
    <row r="652">
      <c r="A652" s="189"/>
      <c r="B652" s="189"/>
      <c r="C652" s="472"/>
    </row>
    <row r="653">
      <c r="A653" s="189"/>
      <c r="B653" s="189"/>
      <c r="C653" s="472"/>
    </row>
    <row r="654">
      <c r="A654" s="189"/>
      <c r="B654" s="189"/>
      <c r="C654" s="472"/>
    </row>
    <row r="655">
      <c r="A655" s="189"/>
      <c r="B655" s="189"/>
      <c r="C655" s="472"/>
    </row>
    <row r="656">
      <c r="A656" s="189"/>
      <c r="B656" s="189"/>
      <c r="C656" s="472"/>
    </row>
    <row r="657">
      <c r="A657" s="189"/>
      <c r="B657" s="189"/>
      <c r="C657" s="472"/>
    </row>
    <row r="658">
      <c r="A658" s="189"/>
      <c r="B658" s="189"/>
      <c r="C658" s="472"/>
    </row>
    <row r="659">
      <c r="A659" s="189"/>
      <c r="B659" s="189"/>
      <c r="C659" s="472"/>
    </row>
    <row r="660">
      <c r="A660" s="189"/>
      <c r="B660" s="189"/>
      <c r="C660" s="472"/>
    </row>
    <row r="661">
      <c r="A661" s="189"/>
      <c r="B661" s="189"/>
      <c r="C661" s="472"/>
    </row>
    <row r="662">
      <c r="A662" s="189"/>
      <c r="B662" s="189"/>
      <c r="C662" s="472"/>
    </row>
    <row r="663">
      <c r="A663" s="189"/>
      <c r="B663" s="189"/>
      <c r="C663" s="472"/>
    </row>
    <row r="664">
      <c r="A664" s="189"/>
      <c r="B664" s="189"/>
      <c r="C664" s="472"/>
    </row>
    <row r="665">
      <c r="A665" s="189"/>
      <c r="B665" s="189"/>
      <c r="C665" s="472"/>
    </row>
    <row r="666">
      <c r="A666" s="189"/>
      <c r="B666" s="189"/>
      <c r="C666" s="472"/>
    </row>
    <row r="667">
      <c r="A667" s="189"/>
      <c r="B667" s="189"/>
      <c r="C667" s="472"/>
    </row>
    <row r="668">
      <c r="A668" s="189"/>
      <c r="B668" s="189"/>
      <c r="C668" s="472"/>
    </row>
    <row r="669">
      <c r="A669" s="189"/>
      <c r="B669" s="189"/>
      <c r="C669" s="472"/>
    </row>
    <row r="670">
      <c r="A670" s="189"/>
      <c r="B670" s="189"/>
      <c r="C670" s="472"/>
    </row>
    <row r="671">
      <c r="A671" s="189"/>
      <c r="B671" s="189"/>
      <c r="C671" s="472"/>
    </row>
    <row r="672">
      <c r="A672" s="189"/>
      <c r="B672" s="189"/>
      <c r="C672" s="472"/>
    </row>
    <row r="673">
      <c r="A673" s="189"/>
      <c r="B673" s="189"/>
      <c r="C673" s="472"/>
    </row>
    <row r="674">
      <c r="A674" s="189"/>
      <c r="B674" s="189"/>
      <c r="C674" s="472"/>
    </row>
    <row r="675">
      <c r="A675" s="189"/>
      <c r="B675" s="189"/>
      <c r="C675" s="472"/>
    </row>
    <row r="676">
      <c r="A676" s="189"/>
      <c r="B676" s="189"/>
      <c r="C676" s="472"/>
    </row>
    <row r="677">
      <c r="A677" s="189"/>
      <c r="B677" s="189"/>
      <c r="C677" s="472"/>
    </row>
    <row r="678">
      <c r="A678" s="189"/>
      <c r="B678" s="189"/>
      <c r="C678" s="472"/>
    </row>
    <row r="679">
      <c r="A679" s="189"/>
      <c r="B679" s="189"/>
      <c r="C679" s="472"/>
    </row>
    <row r="680">
      <c r="A680" s="189"/>
      <c r="B680" s="189"/>
      <c r="C680" s="472"/>
    </row>
    <row r="681">
      <c r="A681" s="189"/>
      <c r="B681" s="189"/>
      <c r="C681" s="472"/>
    </row>
    <row r="682">
      <c r="A682" s="189"/>
      <c r="B682" s="189"/>
      <c r="C682" s="472"/>
    </row>
    <row r="683">
      <c r="A683" s="189"/>
      <c r="B683" s="189"/>
      <c r="C683" s="472"/>
    </row>
    <row r="684">
      <c r="A684" s="189"/>
      <c r="B684" s="189"/>
      <c r="C684" s="472"/>
    </row>
    <row r="685">
      <c r="A685" s="189"/>
      <c r="B685" s="189"/>
      <c r="C685" s="472"/>
    </row>
    <row r="686">
      <c r="A686" s="189"/>
      <c r="B686" s="189"/>
      <c r="C686" s="472"/>
    </row>
    <row r="687">
      <c r="A687" s="189"/>
      <c r="B687" s="189"/>
      <c r="C687" s="472"/>
    </row>
    <row r="688">
      <c r="A688" s="189"/>
      <c r="B688" s="189"/>
      <c r="C688" s="472"/>
    </row>
    <row r="689">
      <c r="A689" s="189"/>
      <c r="B689" s="189"/>
      <c r="C689" s="472"/>
    </row>
    <row r="690">
      <c r="A690" s="189"/>
      <c r="B690" s="189"/>
      <c r="C690" s="472"/>
    </row>
    <row r="691">
      <c r="A691" s="189"/>
      <c r="B691" s="189"/>
      <c r="C691" s="472"/>
    </row>
    <row r="692">
      <c r="A692" s="189"/>
      <c r="B692" s="189"/>
      <c r="C692" s="472"/>
    </row>
    <row r="693">
      <c r="A693" s="189"/>
      <c r="B693" s="189"/>
      <c r="C693" s="472"/>
    </row>
    <row r="694">
      <c r="A694" s="189"/>
      <c r="B694" s="189"/>
      <c r="C694" s="472"/>
    </row>
    <row r="695">
      <c r="A695" s="189"/>
      <c r="B695" s="189"/>
      <c r="C695" s="472"/>
    </row>
    <row r="696">
      <c r="A696" s="189"/>
      <c r="B696" s="189"/>
      <c r="C696" s="472"/>
    </row>
    <row r="697">
      <c r="A697" s="189"/>
      <c r="B697" s="189"/>
      <c r="C697" s="472"/>
    </row>
    <row r="698">
      <c r="A698" s="189"/>
      <c r="B698" s="189"/>
      <c r="C698" s="472"/>
    </row>
    <row r="699">
      <c r="A699" s="189"/>
      <c r="B699" s="189"/>
      <c r="C699" s="472"/>
    </row>
    <row r="700">
      <c r="A700" s="189"/>
      <c r="B700" s="189"/>
      <c r="C700" s="472"/>
    </row>
    <row r="701">
      <c r="A701" s="189"/>
      <c r="B701" s="189"/>
      <c r="C701" s="472"/>
    </row>
    <row r="702">
      <c r="A702" s="189"/>
      <c r="B702" s="189"/>
      <c r="C702" s="472"/>
    </row>
    <row r="703">
      <c r="A703" s="189"/>
      <c r="B703" s="189"/>
      <c r="C703" s="472"/>
    </row>
    <row r="704">
      <c r="A704" s="189"/>
      <c r="B704" s="189"/>
      <c r="C704" s="472"/>
    </row>
    <row r="705">
      <c r="A705" s="189"/>
      <c r="B705" s="189"/>
      <c r="C705" s="472"/>
    </row>
    <row r="706">
      <c r="A706" s="189"/>
      <c r="B706" s="189"/>
      <c r="C706" s="472"/>
    </row>
    <row r="707">
      <c r="A707" s="189"/>
      <c r="B707" s="189"/>
      <c r="C707" s="472"/>
    </row>
    <row r="708">
      <c r="A708" s="189"/>
      <c r="B708" s="189"/>
      <c r="C708" s="472"/>
    </row>
    <row r="709">
      <c r="A709" s="189"/>
      <c r="B709" s="189"/>
      <c r="C709" s="472"/>
    </row>
    <row r="710">
      <c r="A710" s="189"/>
      <c r="B710" s="189"/>
      <c r="C710" s="472"/>
    </row>
    <row r="711">
      <c r="A711" s="189"/>
      <c r="B711" s="189"/>
      <c r="C711" s="472"/>
    </row>
    <row r="712">
      <c r="A712" s="189"/>
      <c r="B712" s="189"/>
      <c r="C712" s="472"/>
    </row>
    <row r="713">
      <c r="A713" s="189"/>
      <c r="B713" s="189"/>
      <c r="C713" s="472"/>
    </row>
    <row r="714">
      <c r="A714" s="189"/>
      <c r="B714" s="189"/>
      <c r="C714" s="472"/>
    </row>
    <row r="715">
      <c r="A715" s="189"/>
      <c r="B715" s="189"/>
      <c r="C715" s="472"/>
    </row>
    <row r="716">
      <c r="A716" s="189"/>
      <c r="B716" s="189"/>
      <c r="C716" s="472"/>
    </row>
    <row r="717">
      <c r="A717" s="189"/>
      <c r="B717" s="189"/>
      <c r="C717" s="472"/>
    </row>
    <row r="718">
      <c r="A718" s="189"/>
      <c r="B718" s="189"/>
      <c r="C718" s="472"/>
    </row>
    <row r="719">
      <c r="A719" s="189"/>
      <c r="B719" s="189"/>
      <c r="C719" s="472"/>
    </row>
    <row r="720">
      <c r="A720" s="189"/>
      <c r="B720" s="189"/>
      <c r="C720" s="472"/>
    </row>
    <row r="721">
      <c r="A721" s="189"/>
      <c r="B721" s="189"/>
      <c r="C721" s="472"/>
    </row>
    <row r="722">
      <c r="A722" s="189"/>
      <c r="B722" s="189"/>
      <c r="C722" s="472"/>
    </row>
    <row r="723">
      <c r="A723" s="189"/>
      <c r="B723" s="189"/>
      <c r="C723" s="472"/>
    </row>
    <row r="724">
      <c r="A724" s="189"/>
      <c r="B724" s="189"/>
      <c r="C724" s="472"/>
    </row>
    <row r="725">
      <c r="A725" s="189"/>
      <c r="B725" s="189"/>
      <c r="C725" s="472"/>
    </row>
    <row r="726">
      <c r="A726" s="189"/>
      <c r="B726" s="189"/>
      <c r="C726" s="472"/>
    </row>
    <row r="727">
      <c r="A727" s="189"/>
      <c r="B727" s="189"/>
      <c r="C727" s="472"/>
    </row>
    <row r="728">
      <c r="A728" s="189"/>
      <c r="B728" s="189"/>
      <c r="C728" s="472"/>
    </row>
    <row r="729">
      <c r="A729" s="189"/>
      <c r="B729" s="189"/>
      <c r="C729" s="472"/>
    </row>
    <row r="730">
      <c r="A730" s="189"/>
      <c r="B730" s="189"/>
      <c r="C730" s="472"/>
    </row>
    <row r="731">
      <c r="A731" s="189"/>
      <c r="B731" s="189"/>
      <c r="C731" s="472"/>
    </row>
    <row r="732">
      <c r="A732" s="189"/>
      <c r="B732" s="189"/>
      <c r="C732" s="472"/>
    </row>
    <row r="733">
      <c r="A733" s="189"/>
      <c r="B733" s="189"/>
      <c r="C733" s="472"/>
    </row>
    <row r="734">
      <c r="A734" s="189"/>
      <c r="B734" s="189"/>
      <c r="C734" s="472"/>
    </row>
    <row r="735">
      <c r="A735" s="189"/>
      <c r="B735" s="189"/>
      <c r="C735" s="472"/>
    </row>
    <row r="736">
      <c r="A736" s="189"/>
      <c r="B736" s="189"/>
      <c r="C736" s="472"/>
    </row>
    <row r="737">
      <c r="A737" s="189"/>
      <c r="B737" s="189"/>
      <c r="C737" s="472"/>
    </row>
    <row r="738">
      <c r="A738" s="189"/>
      <c r="B738" s="189"/>
      <c r="C738" s="472"/>
    </row>
    <row r="739">
      <c r="A739" s="189"/>
      <c r="B739" s="189"/>
      <c r="C739" s="472"/>
    </row>
    <row r="740">
      <c r="A740" s="189"/>
      <c r="B740" s="189"/>
      <c r="C740" s="472"/>
    </row>
    <row r="741">
      <c r="A741" s="189"/>
      <c r="B741" s="189"/>
      <c r="C741" s="472"/>
    </row>
    <row r="742">
      <c r="A742" s="189"/>
      <c r="B742" s="189"/>
      <c r="C742" s="472"/>
    </row>
    <row r="743">
      <c r="A743" s="189"/>
      <c r="B743" s="189"/>
      <c r="C743" s="472"/>
    </row>
    <row r="744">
      <c r="A744" s="189"/>
      <c r="B744" s="189"/>
      <c r="C744" s="472"/>
    </row>
    <row r="745">
      <c r="A745" s="189"/>
      <c r="B745" s="189"/>
      <c r="C745" s="472"/>
    </row>
    <row r="746">
      <c r="A746" s="189"/>
      <c r="B746" s="189"/>
      <c r="C746" s="472"/>
    </row>
    <row r="747">
      <c r="A747" s="189"/>
      <c r="B747" s="189"/>
      <c r="C747" s="472"/>
    </row>
    <row r="748">
      <c r="A748" s="189"/>
      <c r="B748" s="189"/>
      <c r="C748" s="472"/>
    </row>
    <row r="749">
      <c r="A749" s="189"/>
      <c r="B749" s="189"/>
      <c r="C749" s="472"/>
    </row>
    <row r="750">
      <c r="A750" s="189"/>
      <c r="B750" s="189"/>
      <c r="C750" s="472"/>
    </row>
    <row r="751">
      <c r="A751" s="189"/>
      <c r="B751" s="189"/>
      <c r="C751" s="472"/>
    </row>
    <row r="752">
      <c r="A752" s="189"/>
      <c r="B752" s="189"/>
      <c r="C752" s="472"/>
    </row>
    <row r="753">
      <c r="A753" s="189"/>
      <c r="B753" s="189"/>
      <c r="C753" s="472"/>
    </row>
    <row r="754">
      <c r="A754" s="189"/>
      <c r="B754" s="189"/>
      <c r="C754" s="472"/>
    </row>
    <row r="755">
      <c r="A755" s="189"/>
      <c r="B755" s="189"/>
      <c r="C755" s="472"/>
    </row>
    <row r="756">
      <c r="A756" s="189"/>
      <c r="B756" s="189"/>
      <c r="C756" s="472"/>
    </row>
    <row r="757">
      <c r="A757" s="189"/>
      <c r="B757" s="189"/>
      <c r="C757" s="472"/>
    </row>
    <row r="758">
      <c r="A758" s="189"/>
      <c r="B758" s="189"/>
      <c r="C758" s="472"/>
    </row>
    <row r="759">
      <c r="A759" s="189"/>
      <c r="B759" s="189"/>
      <c r="C759" s="472"/>
    </row>
    <row r="760">
      <c r="A760" s="189"/>
      <c r="B760" s="189"/>
      <c r="C760" s="472"/>
    </row>
    <row r="761">
      <c r="A761" s="189"/>
      <c r="B761" s="189"/>
      <c r="C761" s="472"/>
    </row>
    <row r="762">
      <c r="A762" s="189"/>
      <c r="B762" s="189"/>
      <c r="C762" s="472"/>
    </row>
    <row r="763">
      <c r="A763" s="189"/>
      <c r="B763" s="189"/>
      <c r="C763" s="472"/>
    </row>
    <row r="764">
      <c r="A764" s="189"/>
      <c r="B764" s="189"/>
      <c r="C764" s="472"/>
    </row>
    <row r="765">
      <c r="A765" s="189"/>
      <c r="B765" s="189"/>
      <c r="C765" s="472"/>
    </row>
    <row r="766">
      <c r="A766" s="189"/>
      <c r="B766" s="189"/>
      <c r="C766" s="472"/>
    </row>
    <row r="767">
      <c r="A767" s="189"/>
      <c r="B767" s="189"/>
      <c r="C767" s="472"/>
    </row>
    <row r="768">
      <c r="A768" s="189"/>
      <c r="B768" s="189"/>
      <c r="C768" s="472"/>
    </row>
    <row r="769">
      <c r="A769" s="189"/>
      <c r="B769" s="189"/>
      <c r="C769" s="472"/>
    </row>
    <row r="770">
      <c r="A770" s="189"/>
      <c r="B770" s="189"/>
      <c r="C770" s="472"/>
    </row>
    <row r="771">
      <c r="A771" s="189"/>
      <c r="B771" s="189"/>
      <c r="C771" s="472"/>
    </row>
    <row r="772">
      <c r="A772" s="189"/>
      <c r="B772" s="189"/>
      <c r="C772" s="472"/>
    </row>
    <row r="773">
      <c r="A773" s="189"/>
      <c r="B773" s="189"/>
      <c r="C773" s="472"/>
    </row>
    <row r="774">
      <c r="A774" s="189"/>
      <c r="B774" s="189"/>
      <c r="C774" s="472"/>
    </row>
    <row r="775">
      <c r="A775" s="189"/>
      <c r="B775" s="189"/>
      <c r="C775" s="472"/>
    </row>
    <row r="776">
      <c r="A776" s="189"/>
      <c r="B776" s="189"/>
      <c r="C776" s="472"/>
    </row>
    <row r="777">
      <c r="A777" s="189"/>
      <c r="B777" s="189"/>
      <c r="C777" s="472"/>
    </row>
    <row r="778">
      <c r="A778" s="189"/>
      <c r="B778" s="189"/>
      <c r="C778" s="472"/>
    </row>
    <row r="779">
      <c r="A779" s="189"/>
      <c r="B779" s="189"/>
      <c r="C779" s="472"/>
    </row>
    <row r="780">
      <c r="A780" s="189"/>
      <c r="B780" s="189"/>
      <c r="C780" s="472"/>
    </row>
    <row r="781">
      <c r="A781" s="189"/>
      <c r="B781" s="189"/>
      <c r="C781" s="472"/>
    </row>
    <row r="782">
      <c r="A782" s="189"/>
      <c r="B782" s="189"/>
      <c r="C782" s="472"/>
    </row>
    <row r="783">
      <c r="A783" s="189"/>
      <c r="B783" s="189"/>
      <c r="C783" s="472"/>
    </row>
    <row r="784">
      <c r="A784" s="189"/>
      <c r="B784" s="189"/>
      <c r="C784" s="472"/>
    </row>
    <row r="785">
      <c r="A785" s="189"/>
      <c r="B785" s="189"/>
      <c r="C785" s="472"/>
    </row>
    <row r="786">
      <c r="A786" s="189"/>
      <c r="B786" s="189"/>
      <c r="C786" s="472"/>
    </row>
    <row r="787">
      <c r="A787" s="189"/>
      <c r="B787" s="189"/>
      <c r="C787" s="472"/>
    </row>
    <row r="788">
      <c r="A788" s="189"/>
      <c r="B788" s="189"/>
      <c r="C788" s="472"/>
    </row>
    <row r="789">
      <c r="A789" s="189"/>
      <c r="B789" s="189"/>
      <c r="C789" s="472"/>
    </row>
    <row r="790">
      <c r="A790" s="189"/>
      <c r="B790" s="189"/>
      <c r="C790" s="472"/>
    </row>
    <row r="791">
      <c r="A791" s="189"/>
      <c r="B791" s="189"/>
      <c r="C791" s="472"/>
    </row>
    <row r="792">
      <c r="A792" s="189"/>
      <c r="B792" s="189"/>
      <c r="C792" s="472"/>
    </row>
    <row r="793">
      <c r="A793" s="189"/>
      <c r="B793" s="189"/>
      <c r="C793" s="472"/>
    </row>
    <row r="794">
      <c r="A794" s="189"/>
      <c r="B794" s="189"/>
      <c r="C794" s="472"/>
    </row>
    <row r="795">
      <c r="A795" s="189"/>
      <c r="B795" s="189"/>
      <c r="C795" s="472"/>
    </row>
    <row r="796">
      <c r="A796" s="189"/>
      <c r="B796" s="189"/>
      <c r="C796" s="472"/>
    </row>
    <row r="797">
      <c r="A797" s="189"/>
      <c r="B797" s="189"/>
      <c r="C797" s="472"/>
    </row>
    <row r="798">
      <c r="A798" s="189"/>
      <c r="B798" s="189"/>
      <c r="C798" s="472"/>
    </row>
    <row r="799">
      <c r="A799" s="189"/>
      <c r="B799" s="189"/>
      <c r="C799" s="472"/>
    </row>
    <row r="800">
      <c r="A800" s="189"/>
      <c r="B800" s="189"/>
      <c r="C800" s="472"/>
    </row>
    <row r="801">
      <c r="A801" s="189"/>
      <c r="B801" s="189"/>
      <c r="C801" s="472"/>
    </row>
    <row r="802">
      <c r="A802" s="189"/>
      <c r="B802" s="189"/>
      <c r="C802" s="472"/>
    </row>
    <row r="803">
      <c r="A803" s="189"/>
      <c r="B803" s="189"/>
      <c r="C803" s="472"/>
    </row>
    <row r="804">
      <c r="A804" s="189"/>
      <c r="B804" s="189"/>
      <c r="C804" s="472"/>
    </row>
    <row r="805">
      <c r="A805" s="189"/>
      <c r="B805" s="189"/>
      <c r="C805" s="472"/>
    </row>
    <row r="806">
      <c r="A806" s="189"/>
      <c r="B806" s="189"/>
      <c r="C806" s="472"/>
    </row>
    <row r="807">
      <c r="A807" s="189"/>
      <c r="B807" s="189"/>
      <c r="C807" s="472"/>
    </row>
    <row r="808">
      <c r="A808" s="189"/>
      <c r="B808" s="189"/>
      <c r="C808" s="472"/>
    </row>
    <row r="809">
      <c r="A809" s="189"/>
      <c r="B809" s="189"/>
      <c r="C809" s="472"/>
    </row>
    <row r="810">
      <c r="A810" s="189"/>
      <c r="B810" s="189"/>
      <c r="C810" s="472"/>
    </row>
    <row r="811">
      <c r="A811" s="189"/>
      <c r="B811" s="189"/>
      <c r="C811" s="472"/>
    </row>
    <row r="812">
      <c r="A812" s="189"/>
      <c r="B812" s="189"/>
      <c r="C812" s="472"/>
    </row>
    <row r="813">
      <c r="A813" s="189"/>
      <c r="B813" s="189"/>
      <c r="C813" s="472"/>
    </row>
    <row r="814">
      <c r="A814" s="189"/>
      <c r="B814" s="189"/>
      <c r="C814" s="472"/>
    </row>
    <row r="815">
      <c r="A815" s="189"/>
      <c r="B815" s="189"/>
      <c r="C815" s="472"/>
    </row>
    <row r="816">
      <c r="A816" s="189"/>
      <c r="B816" s="189"/>
      <c r="C816" s="472"/>
    </row>
    <row r="817">
      <c r="A817" s="189"/>
      <c r="B817" s="189"/>
      <c r="C817" s="472"/>
    </row>
    <row r="818">
      <c r="A818" s="189"/>
      <c r="B818" s="189"/>
      <c r="C818" s="472"/>
    </row>
    <row r="819">
      <c r="A819" s="189"/>
      <c r="B819" s="189"/>
      <c r="C819" s="472"/>
    </row>
    <row r="820">
      <c r="A820" s="189"/>
      <c r="B820" s="189"/>
      <c r="C820" s="472"/>
    </row>
    <row r="821">
      <c r="A821" s="189"/>
      <c r="B821" s="189"/>
      <c r="C821" s="472"/>
    </row>
    <row r="822">
      <c r="A822" s="189"/>
      <c r="B822" s="189"/>
      <c r="C822" s="472"/>
    </row>
    <row r="823">
      <c r="A823" s="189"/>
      <c r="B823" s="189"/>
      <c r="C823" s="472"/>
    </row>
    <row r="824">
      <c r="A824" s="189"/>
      <c r="B824" s="189"/>
      <c r="C824" s="472"/>
    </row>
    <row r="825">
      <c r="A825" s="189"/>
      <c r="B825" s="189"/>
      <c r="C825" s="472"/>
    </row>
    <row r="826">
      <c r="A826" s="189"/>
      <c r="B826" s="189"/>
      <c r="C826" s="472"/>
    </row>
    <row r="827">
      <c r="A827" s="189"/>
      <c r="B827" s="189"/>
      <c r="C827" s="472"/>
    </row>
    <row r="828">
      <c r="A828" s="189"/>
      <c r="B828" s="189"/>
      <c r="C828" s="472"/>
    </row>
    <row r="829">
      <c r="A829" s="189"/>
      <c r="B829" s="189"/>
      <c r="C829" s="472"/>
    </row>
    <row r="830">
      <c r="A830" s="189"/>
      <c r="B830" s="189"/>
      <c r="C830" s="472"/>
    </row>
    <row r="831">
      <c r="A831" s="189"/>
      <c r="B831" s="189"/>
      <c r="C831" s="472"/>
    </row>
    <row r="832">
      <c r="A832" s="189"/>
      <c r="B832" s="189"/>
      <c r="C832" s="472"/>
    </row>
    <row r="833">
      <c r="A833" s="189"/>
      <c r="B833" s="189"/>
      <c r="C833" s="472"/>
    </row>
    <row r="834">
      <c r="A834" s="189"/>
      <c r="B834" s="189"/>
      <c r="C834" s="472"/>
    </row>
    <row r="835">
      <c r="A835" s="189"/>
      <c r="B835" s="189"/>
      <c r="C835" s="472"/>
    </row>
    <row r="836">
      <c r="A836" s="189"/>
      <c r="B836" s="189"/>
      <c r="C836" s="472"/>
    </row>
    <row r="837">
      <c r="A837" s="189"/>
      <c r="B837" s="189"/>
      <c r="C837" s="472"/>
    </row>
    <row r="838">
      <c r="A838" s="189"/>
      <c r="B838" s="189"/>
      <c r="C838" s="472"/>
    </row>
    <row r="839">
      <c r="A839" s="189"/>
      <c r="B839" s="189"/>
      <c r="C839" s="472"/>
    </row>
    <row r="840">
      <c r="A840" s="189"/>
      <c r="B840" s="189"/>
      <c r="C840" s="472"/>
    </row>
    <row r="841">
      <c r="A841" s="189"/>
      <c r="B841" s="189"/>
      <c r="C841" s="472"/>
    </row>
    <row r="842">
      <c r="A842" s="189"/>
      <c r="B842" s="189"/>
      <c r="C842" s="472"/>
    </row>
    <row r="843">
      <c r="A843" s="189"/>
      <c r="B843" s="189"/>
      <c r="C843" s="472"/>
    </row>
    <row r="844">
      <c r="A844" s="189"/>
      <c r="B844" s="189"/>
      <c r="C844" s="472"/>
    </row>
    <row r="845">
      <c r="A845" s="189"/>
      <c r="B845" s="189"/>
      <c r="C845" s="472"/>
    </row>
    <row r="846">
      <c r="A846" s="189"/>
      <c r="B846" s="189"/>
      <c r="C846" s="472"/>
    </row>
    <row r="847">
      <c r="A847" s="189"/>
      <c r="B847" s="189"/>
      <c r="C847" s="472"/>
    </row>
    <row r="848">
      <c r="A848" s="189"/>
      <c r="B848" s="189"/>
      <c r="C848" s="472"/>
    </row>
    <row r="849">
      <c r="A849" s="189"/>
      <c r="B849" s="189"/>
      <c r="C849" s="472"/>
    </row>
    <row r="850">
      <c r="A850" s="189"/>
      <c r="B850" s="189"/>
      <c r="C850" s="472"/>
    </row>
    <row r="851">
      <c r="A851" s="189"/>
      <c r="B851" s="189"/>
      <c r="C851" s="472"/>
    </row>
    <row r="852">
      <c r="A852" s="189"/>
      <c r="B852" s="189"/>
      <c r="C852" s="472"/>
    </row>
    <row r="853">
      <c r="A853" s="189"/>
      <c r="B853" s="189"/>
      <c r="C853" s="472"/>
    </row>
    <row r="854">
      <c r="A854" s="189"/>
      <c r="B854" s="189"/>
      <c r="C854" s="472"/>
    </row>
    <row r="855">
      <c r="A855" s="189"/>
      <c r="B855" s="189"/>
      <c r="C855" s="472"/>
    </row>
    <row r="856">
      <c r="A856" s="189"/>
      <c r="B856" s="189"/>
      <c r="C856" s="472"/>
    </row>
    <row r="857">
      <c r="A857" s="189"/>
      <c r="B857" s="189"/>
      <c r="C857" s="472"/>
    </row>
    <row r="858">
      <c r="A858" s="189"/>
      <c r="B858" s="189"/>
      <c r="C858" s="472"/>
    </row>
    <row r="859">
      <c r="A859" s="189"/>
      <c r="B859" s="189"/>
      <c r="C859" s="472"/>
    </row>
    <row r="860">
      <c r="A860" s="189"/>
      <c r="B860" s="189"/>
      <c r="C860" s="472"/>
    </row>
    <row r="861">
      <c r="A861" s="189"/>
      <c r="B861" s="189"/>
      <c r="C861" s="472"/>
    </row>
    <row r="862">
      <c r="A862" s="189"/>
      <c r="B862" s="189"/>
      <c r="C862" s="472"/>
    </row>
    <row r="863">
      <c r="A863" s="189"/>
      <c r="B863" s="189"/>
      <c r="C863" s="472"/>
    </row>
    <row r="864">
      <c r="A864" s="189"/>
      <c r="B864" s="189"/>
      <c r="C864" s="472"/>
    </row>
    <row r="865">
      <c r="A865" s="189"/>
      <c r="B865" s="189"/>
      <c r="C865" s="472"/>
    </row>
    <row r="866">
      <c r="A866" s="189"/>
      <c r="B866" s="189"/>
      <c r="C866" s="472"/>
    </row>
    <row r="867">
      <c r="A867" s="189"/>
      <c r="B867" s="189"/>
      <c r="C867" s="472"/>
    </row>
    <row r="868">
      <c r="A868" s="189"/>
      <c r="B868" s="189"/>
      <c r="C868" s="472"/>
    </row>
    <row r="869">
      <c r="A869" s="189"/>
      <c r="B869" s="189"/>
      <c r="C869" s="472"/>
    </row>
    <row r="870">
      <c r="A870" s="189"/>
      <c r="B870" s="189"/>
      <c r="C870" s="472"/>
    </row>
    <row r="871">
      <c r="A871" s="189"/>
      <c r="B871" s="189"/>
      <c r="C871" s="472"/>
    </row>
    <row r="872">
      <c r="A872" s="189"/>
      <c r="B872" s="189"/>
      <c r="C872" s="472"/>
    </row>
    <row r="873">
      <c r="A873" s="189"/>
      <c r="B873" s="189"/>
      <c r="C873" s="472"/>
    </row>
    <row r="874">
      <c r="A874" s="189"/>
      <c r="B874" s="189"/>
      <c r="C874" s="472"/>
    </row>
  </sheetData>
  <mergeCells count="32">
    <mergeCell ref="A1:D1"/>
    <mergeCell ref="A19:D19"/>
    <mergeCell ref="A37:D37"/>
    <mergeCell ref="A55:D55"/>
    <mergeCell ref="A73:D73"/>
    <mergeCell ref="A91:D91"/>
    <mergeCell ref="A109:D109"/>
    <mergeCell ref="A127:D127"/>
    <mergeCell ref="A145:D145"/>
    <mergeCell ref="A163:D163"/>
    <mergeCell ref="A181:D181"/>
    <mergeCell ref="A199:D199"/>
    <mergeCell ref="A217:D217"/>
    <mergeCell ref="A235:D235"/>
    <mergeCell ref="A253:D253"/>
    <mergeCell ref="A271:D271"/>
    <mergeCell ref="A289:D289"/>
    <mergeCell ref="A307:D307"/>
    <mergeCell ref="A325:D325"/>
    <mergeCell ref="A343:D343"/>
    <mergeCell ref="A361:D361"/>
    <mergeCell ref="A505:D505"/>
    <mergeCell ref="A523:D523"/>
    <mergeCell ref="A541:D541"/>
    <mergeCell ref="A559:D559"/>
    <mergeCell ref="A379:D379"/>
    <mergeCell ref="A397:D397"/>
    <mergeCell ref="A415:D415"/>
    <mergeCell ref="A433:D433"/>
    <mergeCell ref="A451:D451"/>
    <mergeCell ref="A469:D469"/>
    <mergeCell ref="A487:D487"/>
  </mergeCells>
  <conditionalFormatting sqref="A1:N576">
    <cfRule type="cellIs" dxfId="6" priority="1" operator="equal">
      <formula>"Absent"</formula>
    </cfRule>
  </conditionalFormatting>
  <conditionalFormatting sqref="A3:A5 B3:B17 C3:D5 E3:L17 A21:A23 B21:B35 C21:D23 E21:L35 A39:A41 B39:B53 C39:D41 E39:L53 A57:A59 B57:B71 C57:D59 E57:L71 M69:N69 A75:A77 B75:B89 C75:D77 E75:L89 A91:N108 A111:A113 B111:B125 C111:D113 E111:L125 C123:C125 A129:A131 B129:B143 C129:D131 E129:L143 C141:C143 A147:A149 B147:B161 C147:D149 E147:L161 C159:C161 A165:A167 B165:B179 C165:D167 E165:L179 C177:C179 A183:A185 B183:B197 C183:D185 E183:L197 C195:C197 A201:A203 B201:B215 C201:D203 E201:L215 C213:C215 A219:A221 B219:B233 C219:D221 E219:L233 C231:C233 A237:A239 B237:B251 C237:D239 E237:L251 C249:C251 A255:A257 B255:B269 C255:D257 E255:L269 C267:C269 A273:A275 B273:B287 C273:D275 E273:L287 C285:C287 A291:A293 B291:B305 C291:D293 E291:L305 C303:C305 A309:A311 B309:B323 C309:D311 E309:L323 A321:A323 C321:D323 A327:A329 B327:B341 C327:D329 E327:L341 A339:A341 C339:D341 A345:A347 B345:B359 C345:D347 E345:L359 A357:A359 C357:D359 A363:A365 B363:B377 C363:D365 E363:L377 A375:A377 C375:D377 A381:A383 B381:B395 C381:D383 E381:L395 A393:A395 C393:D395 A399:A401 B399:B413 C399:D401 E399:L413 A411:A413 C411:D413 A417:A419 B417:B431 C417:D419 E417:L431 A429:A431 C429:D431 A435:B449 C435:D437 E435:L449 C447:D449 A453:B467 C453:D455 E453:L467 C465:D467 A471:B485 C471:D473 E471:L485 C483:D485 A489:B503 C489:D491 E489:L503 C501:D503 A507:B521 C507:D509 E507:L521 C519:D521 A525:B539 C525:D527 E525:L539 C537:D539 A543:B557 C543:D545 E543:L557 C555:D557 A561:B575 C561:D563 E561:L575 C573:D575">
    <cfRule type="cellIs" dxfId="7" priority="2" operator="equal">
      <formula>"LWOP"</formula>
    </cfRule>
  </conditionalFormatting>
  <conditionalFormatting sqref="A1:D1 A19:D19 A37:D37 A55:D55 A73:D73 A91:D91 A109:D109 A127:D127 A145:D145 A163:D163 A181:D181 A199:D199 A217:D217 A235:D235 A253:D253 A271:D271 A289:D289 A307:D307 A325:D325 A343:D343 A361:D361 A379:D379 A397:D397 A415:D415 A433:D433 A451:D451 A469:D469 A487:D487 A505:D505 A523:D523 A541:D541 A559:D559">
    <cfRule type="cellIs" dxfId="8" priority="3" operator="equal">
      <formula>"OFF"</formula>
    </cfRule>
  </conditionalFormatting>
  <conditionalFormatting sqref="A1:D1 A19:D19 A37:D37 A55:D55 A73:D73 A91:D91 A109:D109 A127:D127 A145:D145 A163:D163 A181:D181 A199:D199 A217:D217 A235:D235 A253:D253 A271:D271 A289:D289 A307:D307 A325:D325 A343:D343 A361:D361 A379:D379 A397:D397 A415:D415 A433:D433 A451:D451 A469:D469 A487:D487 A505:D505 A523:D523 A541:D541 A559:D559">
    <cfRule type="cellIs" dxfId="9" priority="4" operator="equal">
      <formula>"A"</formula>
    </cfRule>
  </conditionalFormatting>
  <conditionalFormatting sqref="A1:D1 A19:D19 A37:D37 A55:D55 A73:D73 A91:D91 A109:D109 A127:D127 A145:D145 A163:D163 A181:D181 A199:D199 A217:D217 A235:D235 A253:D253 A271:D271 A289:D289 A307:D307 A325:D325 A343:D343 A361:D361 A379:D379 A397:D397 A415:D415 A433:D433 A451:D451 A469:D469 A487:D487 A505:D505 A523:D523 A541:D541 A559:D559">
    <cfRule type="cellIs" dxfId="10" priority="5" operator="equal">
      <formula>"LWOP"</formula>
    </cfRule>
  </conditionalFormatting>
  <dataValidations>
    <dataValidation type="list" allowBlank="1" showErrorMessage="1" sqref="E3:L17 E21:L35 E39:L53 E57:L68 E69:M69 E70:L71 E75:L89 E93:L107 E111:L125 E129:L143 E147:L161 E165:L179 E183:L197 E201:L215 E219:L233 E237:L251 E255:L269 E273:L287 E291:L305 E309:L323 E327:L341 E345:L359 E363:L377 E381:L395 E399:L413 E417:L431 E435:L449 E453:L467 E471:L485 E489:L503 E507:L521 E525:L539 E543:L557 E561:L575">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4"/>
    <hyperlink r:id="rId17" ref="A25"/>
    <hyperlink r:id="rId18" ref="A26"/>
    <hyperlink r:id="rId19" ref="A27"/>
    <hyperlink r:id="rId20" ref="A28"/>
    <hyperlink r:id="rId21" ref="A29"/>
    <hyperlink r:id="rId22" ref="A30"/>
    <hyperlink r:id="rId23" ref="A31"/>
    <hyperlink r:id="rId24" ref="A32"/>
    <hyperlink r:id="rId25" ref="A33"/>
    <hyperlink r:id="rId26" ref="A34"/>
    <hyperlink r:id="rId27" ref="A35"/>
    <hyperlink r:id="rId28" ref="A39"/>
    <hyperlink r:id="rId29" ref="A40"/>
    <hyperlink r:id="rId30" ref="A41"/>
    <hyperlink r:id="rId31" ref="A42"/>
    <hyperlink r:id="rId32" ref="A43"/>
    <hyperlink r:id="rId33" ref="A44"/>
    <hyperlink r:id="rId34" ref="A45"/>
    <hyperlink r:id="rId35" ref="A46"/>
    <hyperlink r:id="rId36" ref="A47"/>
    <hyperlink r:id="rId37" ref="A48"/>
    <hyperlink r:id="rId38" ref="A49"/>
    <hyperlink r:id="rId39" ref="A50"/>
    <hyperlink r:id="rId40" ref="A51"/>
    <hyperlink r:id="rId41" ref="A52"/>
    <hyperlink r:id="rId42" ref="A53"/>
    <hyperlink r:id="rId43" ref="A57"/>
    <hyperlink r:id="rId44" ref="A58"/>
    <hyperlink r:id="rId45" ref="A59"/>
    <hyperlink r:id="rId46" ref="A60"/>
    <hyperlink r:id="rId47" ref="A61"/>
    <hyperlink r:id="rId48" ref="A62"/>
    <hyperlink r:id="rId49" ref="A63"/>
    <hyperlink r:id="rId50" ref="A64"/>
    <hyperlink r:id="rId51" ref="A65"/>
    <hyperlink r:id="rId52" ref="A66"/>
    <hyperlink r:id="rId53" ref="A67"/>
    <hyperlink r:id="rId54" ref="A68"/>
    <hyperlink r:id="rId55" ref="A69"/>
    <hyperlink r:id="rId56" ref="A70"/>
    <hyperlink r:id="rId57" ref="A71"/>
    <hyperlink r:id="rId58" ref="A75"/>
    <hyperlink r:id="rId59" ref="A76"/>
    <hyperlink r:id="rId60" ref="A77"/>
    <hyperlink r:id="rId61" ref="A78"/>
    <hyperlink r:id="rId62" ref="A79"/>
    <hyperlink r:id="rId63" ref="A80"/>
    <hyperlink r:id="rId64" ref="A81"/>
    <hyperlink r:id="rId65" ref="A82"/>
    <hyperlink r:id="rId66" ref="A83"/>
    <hyperlink r:id="rId67" ref="A84"/>
    <hyperlink r:id="rId68" ref="A85"/>
    <hyperlink r:id="rId69" ref="A86"/>
    <hyperlink r:id="rId70" ref="A87"/>
    <hyperlink r:id="rId71" ref="A88"/>
    <hyperlink r:id="rId72" ref="A89"/>
    <hyperlink r:id="rId73" ref="A93"/>
    <hyperlink r:id="rId74" ref="A94"/>
    <hyperlink r:id="rId75" ref="A95"/>
    <hyperlink r:id="rId76" ref="A96"/>
    <hyperlink r:id="rId77" ref="A97"/>
    <hyperlink r:id="rId78" ref="A98"/>
    <hyperlink r:id="rId79" ref="A99"/>
    <hyperlink r:id="rId80" ref="A100"/>
    <hyperlink r:id="rId81" ref="A101"/>
    <hyperlink r:id="rId82" ref="A102"/>
    <hyperlink r:id="rId83" ref="A103"/>
    <hyperlink r:id="rId84" ref="A104"/>
    <hyperlink r:id="rId85" ref="A105"/>
    <hyperlink r:id="rId86" ref="A106"/>
    <hyperlink r:id="rId87" ref="A107"/>
    <hyperlink r:id="rId88" ref="A111"/>
    <hyperlink r:id="rId89" ref="A112"/>
    <hyperlink r:id="rId90" ref="A113"/>
    <hyperlink r:id="rId91" ref="A114"/>
    <hyperlink r:id="rId92" ref="A115"/>
    <hyperlink r:id="rId93" ref="A116"/>
    <hyperlink r:id="rId94" ref="A117"/>
    <hyperlink r:id="rId95" ref="A118"/>
    <hyperlink r:id="rId96" ref="A119"/>
    <hyperlink r:id="rId97" ref="A120"/>
    <hyperlink r:id="rId98" ref="A121"/>
    <hyperlink r:id="rId99" ref="A122"/>
    <hyperlink r:id="rId100" ref="A123"/>
    <hyperlink r:id="rId101" ref="A124"/>
    <hyperlink r:id="rId102" ref="A125"/>
    <hyperlink r:id="rId103" ref="A129"/>
    <hyperlink r:id="rId104" ref="A130"/>
    <hyperlink r:id="rId105" ref="A131"/>
    <hyperlink r:id="rId106" ref="A132"/>
    <hyperlink r:id="rId107" ref="A133"/>
    <hyperlink r:id="rId108" ref="A134"/>
    <hyperlink r:id="rId109" ref="A135"/>
    <hyperlink r:id="rId110" ref="A136"/>
    <hyperlink r:id="rId111" ref="A137"/>
    <hyperlink r:id="rId112" ref="A138"/>
    <hyperlink r:id="rId113" ref="A139"/>
    <hyperlink r:id="rId114" ref="A140"/>
    <hyperlink r:id="rId115" ref="A141"/>
    <hyperlink r:id="rId116" ref="A142"/>
    <hyperlink r:id="rId117" ref="A143"/>
    <hyperlink r:id="rId118" ref="A147"/>
    <hyperlink r:id="rId119" ref="A148"/>
    <hyperlink r:id="rId120" ref="A149"/>
    <hyperlink r:id="rId121" ref="A150"/>
    <hyperlink r:id="rId122" ref="A151"/>
    <hyperlink r:id="rId123" ref="A152"/>
    <hyperlink r:id="rId124" ref="A153"/>
    <hyperlink r:id="rId125" ref="A154"/>
    <hyperlink r:id="rId126" ref="A155"/>
    <hyperlink r:id="rId127" ref="A156"/>
    <hyperlink r:id="rId128" ref="A157"/>
    <hyperlink r:id="rId129" ref="A158"/>
    <hyperlink r:id="rId130" ref="A159"/>
    <hyperlink r:id="rId131" ref="A160"/>
    <hyperlink r:id="rId132" ref="A161"/>
    <hyperlink r:id="rId133" ref="A165"/>
    <hyperlink r:id="rId134" ref="A166"/>
    <hyperlink r:id="rId135" ref="A167"/>
    <hyperlink r:id="rId136" ref="A168"/>
    <hyperlink r:id="rId137" ref="A169"/>
    <hyperlink r:id="rId138" ref="A170"/>
    <hyperlink r:id="rId139" ref="A171"/>
    <hyperlink r:id="rId140" ref="A172"/>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6"/>
    <hyperlink r:id="rId162" ref="A197"/>
    <hyperlink r:id="rId163" ref="A201"/>
    <hyperlink r:id="rId164" ref="A202"/>
    <hyperlink r:id="rId165" ref="A203"/>
    <hyperlink r:id="rId166" ref="A204"/>
    <hyperlink r:id="rId167" ref="A205"/>
    <hyperlink r:id="rId168" ref="A206"/>
    <hyperlink r:id="rId169" ref="A207"/>
    <hyperlink r:id="rId170" ref="A208"/>
    <hyperlink r:id="rId171" ref="A209"/>
    <hyperlink r:id="rId172" ref="A210"/>
    <hyperlink r:id="rId173" ref="A211"/>
    <hyperlink r:id="rId174" ref="A212"/>
    <hyperlink r:id="rId175" ref="A213"/>
    <hyperlink r:id="rId176" ref="A214"/>
    <hyperlink r:id="rId177" ref="A215"/>
    <hyperlink r:id="rId178" ref="A219"/>
    <hyperlink r:id="rId179" ref="A220"/>
    <hyperlink r:id="rId180" ref="A221"/>
    <hyperlink r:id="rId181" ref="A222"/>
    <hyperlink r:id="rId182" ref="A223"/>
    <hyperlink r:id="rId183" ref="A224"/>
    <hyperlink r:id="rId184" ref="A225"/>
    <hyperlink r:id="rId185" ref="A226"/>
    <hyperlink r:id="rId186" ref="A227"/>
    <hyperlink r:id="rId187" ref="A228"/>
    <hyperlink r:id="rId188" ref="A229"/>
    <hyperlink r:id="rId189" ref="A230"/>
    <hyperlink r:id="rId190" ref="A231"/>
    <hyperlink r:id="rId191" ref="A232"/>
    <hyperlink r:id="rId192" ref="A233"/>
    <hyperlink r:id="rId193" ref="A237"/>
    <hyperlink r:id="rId194" ref="A238"/>
    <hyperlink r:id="rId195" ref="A239"/>
    <hyperlink r:id="rId196" ref="A240"/>
    <hyperlink r:id="rId197" ref="A241"/>
    <hyperlink r:id="rId198" ref="A242"/>
    <hyperlink r:id="rId199" ref="A243"/>
    <hyperlink r:id="rId200" ref="A244"/>
    <hyperlink r:id="rId201" ref="A245"/>
    <hyperlink r:id="rId202" ref="A246"/>
    <hyperlink r:id="rId203" ref="A247"/>
    <hyperlink r:id="rId204" ref="A248"/>
    <hyperlink r:id="rId205" ref="A249"/>
    <hyperlink r:id="rId206" ref="A250"/>
    <hyperlink r:id="rId207" ref="A251"/>
    <hyperlink r:id="rId208" ref="A255"/>
    <hyperlink r:id="rId209" ref="A256"/>
    <hyperlink r:id="rId210" ref="A257"/>
    <hyperlink r:id="rId211" ref="A258"/>
    <hyperlink r:id="rId212" ref="A259"/>
    <hyperlink r:id="rId213" ref="A260"/>
    <hyperlink r:id="rId214" ref="A261"/>
    <hyperlink r:id="rId215" ref="A262"/>
    <hyperlink r:id="rId216" ref="A263"/>
    <hyperlink r:id="rId217" ref="A264"/>
    <hyperlink r:id="rId218" ref="A265"/>
    <hyperlink r:id="rId219" ref="A266"/>
    <hyperlink r:id="rId220" ref="A267"/>
    <hyperlink r:id="rId221" ref="A268"/>
    <hyperlink r:id="rId222" ref="A269"/>
    <hyperlink r:id="rId223" ref="A273"/>
    <hyperlink r:id="rId224" ref="A274"/>
    <hyperlink r:id="rId225" ref="A275"/>
    <hyperlink r:id="rId226" ref="A276"/>
    <hyperlink r:id="rId227" ref="A277"/>
    <hyperlink r:id="rId228" ref="A278"/>
    <hyperlink r:id="rId229" ref="A279"/>
    <hyperlink r:id="rId230" ref="A280"/>
    <hyperlink r:id="rId231" ref="A281"/>
    <hyperlink r:id="rId232" ref="A282"/>
    <hyperlink r:id="rId233" ref="A283"/>
    <hyperlink r:id="rId234" ref="A284"/>
    <hyperlink r:id="rId235" ref="A285"/>
    <hyperlink r:id="rId236" ref="A286"/>
    <hyperlink r:id="rId237" ref="A287"/>
    <hyperlink r:id="rId238" ref="A291"/>
    <hyperlink r:id="rId239" ref="A292"/>
    <hyperlink r:id="rId240" ref="A293"/>
    <hyperlink r:id="rId241" ref="A294"/>
    <hyperlink r:id="rId242" ref="A295"/>
    <hyperlink r:id="rId243" ref="A296"/>
    <hyperlink r:id="rId244" ref="A297"/>
    <hyperlink r:id="rId245" ref="A298"/>
    <hyperlink r:id="rId246" ref="A299"/>
    <hyperlink r:id="rId247" ref="A300"/>
    <hyperlink r:id="rId248" ref="A301"/>
    <hyperlink r:id="rId249" ref="A302"/>
    <hyperlink r:id="rId250" ref="A303"/>
    <hyperlink r:id="rId251" ref="A304"/>
    <hyperlink r:id="rId252" ref="A305"/>
    <hyperlink r:id="rId253" ref="A309"/>
    <hyperlink r:id="rId254" ref="A310"/>
    <hyperlink r:id="rId255" ref="A311"/>
    <hyperlink r:id="rId256" ref="A312"/>
    <hyperlink r:id="rId257" ref="A313"/>
    <hyperlink r:id="rId258" ref="A314"/>
    <hyperlink r:id="rId259" ref="A315"/>
    <hyperlink r:id="rId260" ref="A316"/>
    <hyperlink r:id="rId261" ref="A317"/>
    <hyperlink r:id="rId262" ref="A318"/>
    <hyperlink r:id="rId263" ref="A319"/>
    <hyperlink r:id="rId264" ref="A320"/>
    <hyperlink r:id="rId265" ref="A321"/>
    <hyperlink r:id="rId266" ref="A322"/>
    <hyperlink r:id="rId267" ref="A323"/>
    <hyperlink r:id="rId268" ref="A327"/>
    <hyperlink r:id="rId269" ref="A328"/>
    <hyperlink r:id="rId270" ref="A329"/>
    <hyperlink r:id="rId271" ref="A330"/>
    <hyperlink r:id="rId272" ref="A331"/>
    <hyperlink r:id="rId273" ref="A332"/>
    <hyperlink r:id="rId274" ref="A333"/>
    <hyperlink r:id="rId275" ref="A334"/>
    <hyperlink r:id="rId276" ref="A335"/>
    <hyperlink r:id="rId277" ref="A336"/>
    <hyperlink r:id="rId278" ref="A337"/>
    <hyperlink r:id="rId279" ref="A338"/>
    <hyperlink r:id="rId280" ref="A339"/>
    <hyperlink r:id="rId281" ref="A340"/>
    <hyperlink r:id="rId282" ref="A341"/>
    <hyperlink r:id="rId283" ref="A345"/>
    <hyperlink r:id="rId284" ref="A346"/>
    <hyperlink r:id="rId285" ref="A347"/>
    <hyperlink r:id="rId286" ref="A348"/>
    <hyperlink r:id="rId287" ref="A349"/>
    <hyperlink r:id="rId288" ref="A350"/>
    <hyperlink r:id="rId289" ref="A351"/>
    <hyperlink r:id="rId290" ref="A352"/>
    <hyperlink r:id="rId291" ref="A353"/>
    <hyperlink r:id="rId292" ref="A354"/>
    <hyperlink r:id="rId293" ref="A355"/>
    <hyperlink r:id="rId294" ref="A356"/>
    <hyperlink r:id="rId295" ref="A357"/>
    <hyperlink r:id="rId296" ref="A358"/>
    <hyperlink r:id="rId297" ref="A359"/>
    <hyperlink r:id="rId298" ref="A363"/>
    <hyperlink r:id="rId299" ref="A364"/>
    <hyperlink r:id="rId300" ref="A365"/>
    <hyperlink r:id="rId301" ref="A366"/>
    <hyperlink r:id="rId302" ref="A367"/>
    <hyperlink r:id="rId303" ref="A368"/>
    <hyperlink r:id="rId304" ref="A369"/>
    <hyperlink r:id="rId305" ref="A370"/>
    <hyperlink r:id="rId306" ref="A371"/>
    <hyperlink r:id="rId307" ref="A372"/>
    <hyperlink r:id="rId308" ref="A373"/>
    <hyperlink r:id="rId309" ref="A374"/>
    <hyperlink r:id="rId310" ref="A375"/>
    <hyperlink r:id="rId311" ref="A376"/>
    <hyperlink r:id="rId312" ref="A377"/>
    <hyperlink r:id="rId313" ref="A381"/>
    <hyperlink r:id="rId314" ref="A382"/>
    <hyperlink r:id="rId315" ref="A383"/>
    <hyperlink r:id="rId316" ref="A384"/>
    <hyperlink r:id="rId317" ref="A385"/>
    <hyperlink r:id="rId318" ref="A386"/>
    <hyperlink r:id="rId319" ref="A387"/>
    <hyperlink r:id="rId320" ref="A388"/>
    <hyperlink r:id="rId321" ref="A389"/>
    <hyperlink r:id="rId322" ref="A390"/>
    <hyperlink r:id="rId323" ref="A391"/>
    <hyperlink r:id="rId324" ref="A392"/>
    <hyperlink r:id="rId325" ref="A393"/>
    <hyperlink r:id="rId326" ref="A394"/>
    <hyperlink r:id="rId327" ref="A395"/>
    <hyperlink r:id="rId328" ref="A399"/>
    <hyperlink r:id="rId329" ref="A400"/>
    <hyperlink r:id="rId330" ref="A401"/>
    <hyperlink r:id="rId331" ref="A402"/>
    <hyperlink r:id="rId332" ref="A403"/>
    <hyperlink r:id="rId333" ref="A404"/>
    <hyperlink r:id="rId334" ref="A405"/>
    <hyperlink r:id="rId335" ref="A406"/>
    <hyperlink r:id="rId336" ref="A407"/>
    <hyperlink r:id="rId337" ref="A408"/>
    <hyperlink r:id="rId338" ref="A409"/>
    <hyperlink r:id="rId339" ref="A410"/>
    <hyperlink r:id="rId340" ref="A411"/>
    <hyperlink r:id="rId341" ref="A412"/>
    <hyperlink r:id="rId342" ref="A413"/>
    <hyperlink r:id="rId343" ref="A417"/>
    <hyperlink r:id="rId344" ref="A418"/>
    <hyperlink r:id="rId345" ref="A419"/>
    <hyperlink r:id="rId346" ref="A420"/>
    <hyperlink r:id="rId347" ref="A421"/>
    <hyperlink r:id="rId348" ref="A422"/>
    <hyperlink r:id="rId349" ref="A423"/>
    <hyperlink r:id="rId350" ref="A424"/>
    <hyperlink r:id="rId351" ref="A425"/>
    <hyperlink r:id="rId352" ref="A426"/>
    <hyperlink r:id="rId353" ref="A427"/>
    <hyperlink r:id="rId354" ref="A428"/>
    <hyperlink r:id="rId355" ref="A429"/>
    <hyperlink r:id="rId356" ref="A430"/>
    <hyperlink r:id="rId357" ref="A431"/>
    <hyperlink r:id="rId358" ref="A453"/>
    <hyperlink r:id="rId359" ref="A454"/>
    <hyperlink r:id="rId360" ref="A455"/>
    <hyperlink r:id="rId361" ref="A456"/>
    <hyperlink r:id="rId362" ref="A457"/>
    <hyperlink r:id="rId363" ref="A458"/>
    <hyperlink r:id="rId364" ref="A459"/>
    <hyperlink r:id="rId365" ref="A460"/>
    <hyperlink r:id="rId366" ref="A461"/>
    <hyperlink r:id="rId367" ref="A462"/>
    <hyperlink r:id="rId368" ref="A463"/>
    <hyperlink r:id="rId369" ref="A464"/>
    <hyperlink r:id="rId370" ref="A465"/>
    <hyperlink r:id="rId371" ref="A466"/>
    <hyperlink r:id="rId372" ref="A467"/>
    <hyperlink r:id="rId373" ref="A471"/>
    <hyperlink r:id="rId374" ref="A472"/>
    <hyperlink r:id="rId375" ref="A473"/>
    <hyperlink r:id="rId376" ref="A474"/>
    <hyperlink r:id="rId377" ref="A475"/>
    <hyperlink r:id="rId378" ref="A476"/>
    <hyperlink r:id="rId379" ref="A477"/>
    <hyperlink r:id="rId380" ref="A478"/>
    <hyperlink r:id="rId381" ref="A479"/>
    <hyperlink r:id="rId382" ref="A480"/>
    <hyperlink r:id="rId383" ref="A481"/>
    <hyperlink r:id="rId384" ref="A482"/>
    <hyperlink r:id="rId385" ref="A483"/>
    <hyperlink r:id="rId386" ref="A484"/>
    <hyperlink r:id="rId387" ref="A485"/>
    <hyperlink r:id="rId388" ref="A489"/>
    <hyperlink r:id="rId389" ref="A490"/>
    <hyperlink r:id="rId390" ref="A491"/>
    <hyperlink r:id="rId391" ref="A492"/>
    <hyperlink r:id="rId392" ref="A493"/>
    <hyperlink r:id="rId393" ref="A494"/>
    <hyperlink r:id="rId394" ref="A495"/>
    <hyperlink r:id="rId395" ref="A496"/>
    <hyperlink r:id="rId396" ref="A497"/>
    <hyperlink r:id="rId397" ref="A498"/>
    <hyperlink r:id="rId398" ref="A499"/>
    <hyperlink r:id="rId399" ref="A500"/>
    <hyperlink r:id="rId400" ref="A501"/>
    <hyperlink r:id="rId401" ref="A502"/>
    <hyperlink r:id="rId402" ref="A503"/>
    <hyperlink r:id="rId403" ref="A507"/>
    <hyperlink r:id="rId404" ref="A508"/>
    <hyperlink r:id="rId405" ref="A509"/>
    <hyperlink r:id="rId406" ref="A510"/>
    <hyperlink r:id="rId407" ref="A511"/>
    <hyperlink r:id="rId408" ref="A512"/>
    <hyperlink r:id="rId409" ref="A513"/>
    <hyperlink r:id="rId410" ref="A514"/>
    <hyperlink r:id="rId411" ref="A515"/>
    <hyperlink r:id="rId412" ref="A516"/>
    <hyperlink r:id="rId413" ref="A517"/>
    <hyperlink r:id="rId414" ref="A518"/>
    <hyperlink r:id="rId415" ref="A519"/>
    <hyperlink r:id="rId416" ref="A520"/>
    <hyperlink r:id="rId417" ref="A521"/>
    <hyperlink r:id="rId418" ref="A525"/>
    <hyperlink r:id="rId419" ref="A526"/>
    <hyperlink r:id="rId420" ref="A527"/>
    <hyperlink r:id="rId421" ref="A528"/>
    <hyperlink r:id="rId422" ref="A529"/>
    <hyperlink r:id="rId423" ref="A530"/>
    <hyperlink r:id="rId424" ref="A531"/>
    <hyperlink r:id="rId425" ref="A532"/>
    <hyperlink r:id="rId426" ref="A533"/>
    <hyperlink r:id="rId427" ref="A534"/>
    <hyperlink r:id="rId428" ref="A535"/>
    <hyperlink r:id="rId429" ref="A536"/>
    <hyperlink r:id="rId430" ref="A543"/>
    <hyperlink r:id="rId431" ref="A544"/>
    <hyperlink r:id="rId432" ref="A545"/>
    <hyperlink r:id="rId433" ref="A546"/>
    <hyperlink r:id="rId434" ref="A547"/>
    <hyperlink r:id="rId435" ref="A548"/>
    <hyperlink r:id="rId436" ref="A549"/>
    <hyperlink r:id="rId437" ref="A550"/>
    <hyperlink r:id="rId438" ref="A551"/>
    <hyperlink r:id="rId439" ref="A552"/>
    <hyperlink r:id="rId440" ref="A553"/>
    <hyperlink r:id="rId441" ref="A554"/>
    <hyperlink r:id="rId442" ref="A555"/>
    <hyperlink r:id="rId443" ref="A556"/>
    <hyperlink r:id="rId444" ref="A557"/>
    <hyperlink r:id="rId445" ref="A561"/>
    <hyperlink r:id="rId446" ref="A562"/>
    <hyperlink r:id="rId447" ref="A563"/>
    <hyperlink r:id="rId448" ref="A564"/>
    <hyperlink r:id="rId449" ref="A565"/>
    <hyperlink r:id="rId450" ref="A566"/>
    <hyperlink r:id="rId451" ref="A567"/>
    <hyperlink r:id="rId452" ref="A568"/>
    <hyperlink r:id="rId453" ref="A569"/>
    <hyperlink r:id="rId454" ref="A570"/>
    <hyperlink r:id="rId455" ref="A571"/>
    <hyperlink r:id="rId456" ref="A572"/>
    <hyperlink r:id="rId457" ref="A573"/>
    <hyperlink r:id="rId458" ref="A574"/>
    <hyperlink r:id="rId459" ref="A575"/>
  </hyperlinks>
  <drawing r:id="rId460"/>
  <tableParts count="15">
    <tablePart r:id="rId476"/>
    <tablePart r:id="rId477"/>
    <tablePart r:id="rId478"/>
    <tablePart r:id="rId479"/>
    <tablePart r:id="rId480"/>
    <tablePart r:id="rId481"/>
    <tablePart r:id="rId482"/>
    <tablePart r:id="rId483"/>
    <tablePart r:id="rId484"/>
    <tablePart r:id="rId485"/>
    <tablePart r:id="rId486"/>
    <tablePart r:id="rId487"/>
    <tablePart r:id="rId488"/>
    <tablePart r:id="rId489"/>
    <tablePart r:id="rId49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106.88"/>
  </cols>
  <sheetData>
    <row r="1" hidden="1" collapsed="1">
      <c r="A1" s="89">
        <v>45962.0</v>
      </c>
      <c r="B1" s="91"/>
      <c r="C1" s="91"/>
      <c r="D1" s="91"/>
      <c r="E1" s="94"/>
      <c r="F1" s="94"/>
      <c r="G1" s="96"/>
      <c r="H1" s="96"/>
      <c r="I1" s="96"/>
      <c r="J1" s="96"/>
      <c r="K1" s="96"/>
      <c r="L1" s="96"/>
      <c r="M1" s="101"/>
      <c r="N1" s="102"/>
    </row>
    <row r="2" hidden="1" outlineLevel="1" collapsed="1">
      <c r="A2" s="105" t="s">
        <v>97</v>
      </c>
      <c r="B2" s="106"/>
      <c r="C2" s="106"/>
      <c r="D2" s="107"/>
      <c r="E2" s="109"/>
      <c r="F2" s="109"/>
      <c r="G2" s="110"/>
      <c r="H2" s="110"/>
      <c r="I2" s="110"/>
      <c r="J2" s="110"/>
      <c r="K2" s="110"/>
      <c r="L2" s="110"/>
      <c r="M2" s="111"/>
      <c r="N2" s="113"/>
    </row>
    <row r="3" hidden="1" outlineLevel="2">
      <c r="A3" s="115" t="s">
        <v>98</v>
      </c>
      <c r="B3" s="115" t="s">
        <v>100</v>
      </c>
      <c r="C3" s="115" t="s">
        <v>102</v>
      </c>
      <c r="D3" s="119" t="s">
        <v>103</v>
      </c>
      <c r="E3" s="120" t="s">
        <v>104</v>
      </c>
      <c r="F3" s="120" t="s">
        <v>105</v>
      </c>
      <c r="G3" s="121" t="s">
        <v>106</v>
      </c>
      <c r="H3" s="121" t="s">
        <v>107</v>
      </c>
      <c r="I3" s="121" t="s">
        <v>108</v>
      </c>
      <c r="J3" s="121" t="s">
        <v>110</v>
      </c>
      <c r="K3" s="121" t="s">
        <v>111</v>
      </c>
      <c r="L3" s="121" t="s">
        <v>112</v>
      </c>
      <c r="M3" s="115" t="s">
        <v>114</v>
      </c>
      <c r="N3" s="119" t="s">
        <v>115</v>
      </c>
    </row>
    <row r="4" hidden="1" outlineLevel="2">
      <c r="A4" s="131" t="s">
        <v>1798</v>
      </c>
      <c r="B4" s="132">
        <v>45971.0</v>
      </c>
      <c r="C4" s="133" t="str">
        <f t="shared" ref="C4:C18" si="1">IF(B4="", "", TEXT(B4, "ddd"))</f>
        <v>Mon</v>
      </c>
      <c r="D4" s="136">
        <f t="shared" ref="D4:D18" si="2">IF(E4="Yes",0.05,0)
+IF(F4="Yes",0.1,0)
+IF(G4="Yes",0.1,0)
+IF(H4="Yes",0.15,0)
+IF(I4="Yes",0.05,0)
+IF(J4="Yes",0.1,0)
+IF(K4="Yes",0.15,0)
+IF(L4="Yes",0.3,0)
</f>
        <v>1</v>
      </c>
      <c r="E4" s="137" t="s">
        <v>129</v>
      </c>
      <c r="F4" s="137" t="s">
        <v>129</v>
      </c>
      <c r="G4" s="137" t="s">
        <v>129</v>
      </c>
      <c r="H4" s="137" t="s">
        <v>129</v>
      </c>
      <c r="I4" s="137" t="s">
        <v>129</v>
      </c>
      <c r="J4" s="137" t="s">
        <v>129</v>
      </c>
      <c r="K4" s="137" t="s">
        <v>129</v>
      </c>
      <c r="L4" s="137" t="s">
        <v>129</v>
      </c>
      <c r="M4" s="141">
        <f t="shared" ref="M4:M18" si="3">IF(D4="", 0, 
    IF(D4&gt;=1, 5, 
    IF(D4&gt;=0.8, 4, 
    IF(D4&gt;=0.7, 3, 
    IF(D4&gt;=0.6, 2, 
    IF(D4&lt;0.5, 1, ""))))))</f>
        <v>5</v>
      </c>
      <c r="N4" s="143"/>
    </row>
    <row r="5" hidden="1" outlineLevel="2">
      <c r="A5" s="131" t="s">
        <v>1804</v>
      </c>
      <c r="B5" s="132">
        <v>45971.0</v>
      </c>
      <c r="C5" s="133" t="str">
        <f t="shared" si="1"/>
        <v>Mon</v>
      </c>
      <c r="D5" s="136">
        <f t="shared" si="2"/>
        <v>1</v>
      </c>
      <c r="E5" s="137" t="s">
        <v>129</v>
      </c>
      <c r="F5" s="137" t="s">
        <v>129</v>
      </c>
      <c r="G5" s="137" t="s">
        <v>129</v>
      </c>
      <c r="H5" s="137" t="s">
        <v>129</v>
      </c>
      <c r="I5" s="137" t="s">
        <v>129</v>
      </c>
      <c r="J5" s="137" t="s">
        <v>129</v>
      </c>
      <c r="K5" s="137" t="s">
        <v>129</v>
      </c>
      <c r="L5" s="137" t="s">
        <v>129</v>
      </c>
      <c r="M5" s="141">
        <f t="shared" si="3"/>
        <v>5</v>
      </c>
      <c r="N5" s="143"/>
    </row>
    <row r="6" hidden="1" outlineLevel="2">
      <c r="A6" s="131" t="s">
        <v>1807</v>
      </c>
      <c r="B6" s="132">
        <v>45971.0</v>
      </c>
      <c r="C6" s="133" t="str">
        <f t="shared" si="1"/>
        <v>Mon</v>
      </c>
      <c r="D6" s="136">
        <f t="shared" si="2"/>
        <v>0.95</v>
      </c>
      <c r="E6" s="137" t="s">
        <v>174</v>
      </c>
      <c r="F6" s="137" t="s">
        <v>129</v>
      </c>
      <c r="G6" s="137" t="s">
        <v>129</v>
      </c>
      <c r="H6" s="137" t="s">
        <v>129</v>
      </c>
      <c r="I6" s="137" t="s">
        <v>129</v>
      </c>
      <c r="J6" s="137" t="s">
        <v>129</v>
      </c>
      <c r="K6" s="137" t="s">
        <v>129</v>
      </c>
      <c r="L6" s="137" t="s">
        <v>129</v>
      </c>
      <c r="M6" s="141">
        <f t="shared" si="3"/>
        <v>4</v>
      </c>
      <c r="N6" s="147" t="s">
        <v>1808</v>
      </c>
    </row>
    <row r="7" hidden="1" outlineLevel="2">
      <c r="A7" s="156" t="s">
        <v>1809</v>
      </c>
      <c r="B7" s="132">
        <v>45972.0</v>
      </c>
      <c r="C7" s="133" t="str">
        <f t="shared" si="1"/>
        <v>Tue</v>
      </c>
      <c r="D7" s="136">
        <f t="shared" si="2"/>
        <v>1</v>
      </c>
      <c r="E7" s="137" t="s">
        <v>129</v>
      </c>
      <c r="F7" s="137" t="s">
        <v>129</v>
      </c>
      <c r="G7" s="137" t="s">
        <v>129</v>
      </c>
      <c r="H7" s="137" t="s">
        <v>129</v>
      </c>
      <c r="I7" s="137" t="s">
        <v>129</v>
      </c>
      <c r="J7" s="137" t="s">
        <v>129</v>
      </c>
      <c r="K7" s="137" t="s">
        <v>129</v>
      </c>
      <c r="L7" s="137" t="s">
        <v>129</v>
      </c>
      <c r="M7" s="141">
        <f t="shared" si="3"/>
        <v>5</v>
      </c>
      <c r="N7" s="143"/>
    </row>
    <row r="8" hidden="1" outlineLevel="2">
      <c r="A8" s="156" t="s">
        <v>1811</v>
      </c>
      <c r="B8" s="132">
        <v>45972.0</v>
      </c>
      <c r="C8" s="133" t="str">
        <f t="shared" si="1"/>
        <v>Tue</v>
      </c>
      <c r="D8" s="136">
        <f t="shared" si="2"/>
        <v>1</v>
      </c>
      <c r="E8" s="137" t="s">
        <v>129</v>
      </c>
      <c r="F8" s="137" t="s">
        <v>129</v>
      </c>
      <c r="G8" s="137" t="s">
        <v>129</v>
      </c>
      <c r="H8" s="137" t="s">
        <v>129</v>
      </c>
      <c r="I8" s="137" t="s">
        <v>129</v>
      </c>
      <c r="J8" s="137" t="s">
        <v>129</v>
      </c>
      <c r="K8" s="137" t="s">
        <v>129</v>
      </c>
      <c r="L8" s="137" t="s">
        <v>129</v>
      </c>
      <c r="M8" s="141">
        <f t="shared" si="3"/>
        <v>5</v>
      </c>
      <c r="N8" s="147" t="s">
        <v>1812</v>
      </c>
    </row>
    <row r="9" hidden="1" outlineLevel="2">
      <c r="A9" s="156" t="s">
        <v>1813</v>
      </c>
      <c r="B9" s="132">
        <v>45972.0</v>
      </c>
      <c r="C9" s="133" t="str">
        <f t="shared" si="1"/>
        <v>Tue</v>
      </c>
      <c r="D9" s="136">
        <f t="shared" si="2"/>
        <v>1</v>
      </c>
      <c r="E9" s="137" t="s">
        <v>129</v>
      </c>
      <c r="F9" s="137" t="s">
        <v>129</v>
      </c>
      <c r="G9" s="137" t="s">
        <v>129</v>
      </c>
      <c r="H9" s="137" t="s">
        <v>129</v>
      </c>
      <c r="I9" s="137" t="s">
        <v>129</v>
      </c>
      <c r="J9" s="137" t="s">
        <v>129</v>
      </c>
      <c r="K9" s="137" t="s">
        <v>129</v>
      </c>
      <c r="L9" s="137" t="s">
        <v>129</v>
      </c>
      <c r="M9" s="141">
        <f t="shared" si="3"/>
        <v>5</v>
      </c>
      <c r="N9" s="143"/>
    </row>
    <row r="10" hidden="1" outlineLevel="2">
      <c r="A10" s="177" t="s">
        <v>1815</v>
      </c>
      <c r="B10" s="132">
        <v>45973.0</v>
      </c>
      <c r="C10" s="133" t="str">
        <f t="shared" si="1"/>
        <v>Wed</v>
      </c>
      <c r="D10" s="136">
        <f t="shared" si="2"/>
        <v>0.85</v>
      </c>
      <c r="E10" s="137" t="s">
        <v>129</v>
      </c>
      <c r="F10" s="137" t="s">
        <v>129</v>
      </c>
      <c r="G10" s="137" t="s">
        <v>129</v>
      </c>
      <c r="H10" s="137" t="s">
        <v>129</v>
      </c>
      <c r="I10" s="137" t="s">
        <v>129</v>
      </c>
      <c r="J10" s="137" t="s">
        <v>129</v>
      </c>
      <c r="K10" s="137" t="s">
        <v>174</v>
      </c>
      <c r="L10" s="137" t="s">
        <v>129</v>
      </c>
      <c r="M10" s="141">
        <f t="shared" si="3"/>
        <v>4</v>
      </c>
      <c r="N10" s="147" t="s">
        <v>1817</v>
      </c>
    </row>
    <row r="11" hidden="1" outlineLevel="2">
      <c r="A11" s="177" t="s">
        <v>1818</v>
      </c>
      <c r="B11" s="132">
        <v>45973.0</v>
      </c>
      <c r="C11" s="133" t="str">
        <f t="shared" si="1"/>
        <v>Wed</v>
      </c>
      <c r="D11" s="136">
        <f t="shared" si="2"/>
        <v>1</v>
      </c>
      <c r="E11" s="137" t="s">
        <v>129</v>
      </c>
      <c r="F11" s="137" t="s">
        <v>129</v>
      </c>
      <c r="G11" s="137" t="s">
        <v>129</v>
      </c>
      <c r="H11" s="137" t="s">
        <v>129</v>
      </c>
      <c r="I11" s="137" t="s">
        <v>129</v>
      </c>
      <c r="J11" s="137" t="s">
        <v>129</v>
      </c>
      <c r="K11" s="137" t="s">
        <v>129</v>
      </c>
      <c r="L11" s="137" t="s">
        <v>129</v>
      </c>
      <c r="M11" s="141">
        <f t="shared" si="3"/>
        <v>5</v>
      </c>
      <c r="N11" s="143"/>
    </row>
    <row r="12" hidden="1" outlineLevel="2">
      <c r="A12" s="269" t="s">
        <v>1820</v>
      </c>
      <c r="B12" s="132">
        <v>45973.0</v>
      </c>
      <c r="C12" s="133" t="str">
        <f t="shared" si="1"/>
        <v>Wed</v>
      </c>
      <c r="D12" s="136">
        <f t="shared" si="2"/>
        <v>1</v>
      </c>
      <c r="E12" s="137" t="s">
        <v>129</v>
      </c>
      <c r="F12" s="137" t="s">
        <v>129</v>
      </c>
      <c r="G12" s="137" t="s">
        <v>129</v>
      </c>
      <c r="H12" s="137" t="s">
        <v>129</v>
      </c>
      <c r="I12" s="137" t="s">
        <v>129</v>
      </c>
      <c r="J12" s="137" t="s">
        <v>129</v>
      </c>
      <c r="K12" s="137" t="s">
        <v>129</v>
      </c>
      <c r="L12" s="137" t="s">
        <v>129</v>
      </c>
      <c r="M12" s="141">
        <f t="shared" si="3"/>
        <v>5</v>
      </c>
      <c r="N12" s="143"/>
    </row>
    <row r="13" hidden="1" outlineLevel="2">
      <c r="A13" s="177" t="s">
        <v>1824</v>
      </c>
      <c r="B13" s="132">
        <v>45974.0</v>
      </c>
      <c r="C13" s="133" t="str">
        <f t="shared" si="1"/>
        <v>Thu</v>
      </c>
      <c r="D13" s="136">
        <f t="shared" si="2"/>
        <v>1</v>
      </c>
      <c r="E13" s="137" t="s">
        <v>129</v>
      </c>
      <c r="F13" s="137" t="s">
        <v>129</v>
      </c>
      <c r="G13" s="137" t="s">
        <v>129</v>
      </c>
      <c r="H13" s="137" t="s">
        <v>129</v>
      </c>
      <c r="I13" s="137" t="s">
        <v>129</v>
      </c>
      <c r="J13" s="137" t="s">
        <v>129</v>
      </c>
      <c r="K13" s="137" t="s">
        <v>129</v>
      </c>
      <c r="L13" s="137" t="s">
        <v>129</v>
      </c>
      <c r="M13" s="141">
        <f t="shared" si="3"/>
        <v>5</v>
      </c>
      <c r="N13" s="143"/>
    </row>
    <row r="14" hidden="1" outlineLevel="2">
      <c r="A14" s="177" t="s">
        <v>1826</v>
      </c>
      <c r="B14" s="132">
        <v>45974.0</v>
      </c>
      <c r="C14" s="133" t="str">
        <f t="shared" si="1"/>
        <v>Thu</v>
      </c>
      <c r="D14" s="136">
        <f t="shared" si="2"/>
        <v>1</v>
      </c>
      <c r="E14" s="137" t="s">
        <v>129</v>
      </c>
      <c r="F14" s="137" t="s">
        <v>129</v>
      </c>
      <c r="G14" s="137" t="s">
        <v>129</v>
      </c>
      <c r="H14" s="137" t="s">
        <v>129</v>
      </c>
      <c r="I14" s="137" t="s">
        <v>129</v>
      </c>
      <c r="J14" s="137" t="s">
        <v>129</v>
      </c>
      <c r="K14" s="137" t="s">
        <v>129</v>
      </c>
      <c r="L14" s="137" t="s">
        <v>129</v>
      </c>
      <c r="M14" s="141">
        <f t="shared" si="3"/>
        <v>5</v>
      </c>
      <c r="N14" s="143"/>
    </row>
    <row r="15" hidden="1" outlineLevel="2">
      <c r="A15" s="269" t="s">
        <v>1830</v>
      </c>
      <c r="B15" s="132">
        <v>45974.0</v>
      </c>
      <c r="C15" s="133" t="str">
        <f t="shared" si="1"/>
        <v>Thu</v>
      </c>
      <c r="D15" s="136">
        <f t="shared" si="2"/>
        <v>1</v>
      </c>
      <c r="E15" s="137" t="s">
        <v>129</v>
      </c>
      <c r="F15" s="137" t="s">
        <v>129</v>
      </c>
      <c r="G15" s="137" t="s">
        <v>129</v>
      </c>
      <c r="H15" s="137" t="s">
        <v>129</v>
      </c>
      <c r="I15" s="137" t="s">
        <v>129</v>
      </c>
      <c r="J15" s="137" t="s">
        <v>129</v>
      </c>
      <c r="K15" s="137" t="s">
        <v>129</v>
      </c>
      <c r="L15" s="137" t="s">
        <v>129</v>
      </c>
      <c r="M15" s="141">
        <f t="shared" si="3"/>
        <v>5</v>
      </c>
      <c r="N15" s="143"/>
    </row>
    <row r="16" hidden="1" outlineLevel="2">
      <c r="A16" s="177" t="s">
        <v>1832</v>
      </c>
      <c r="B16" s="132">
        <v>45975.0</v>
      </c>
      <c r="C16" s="186" t="str">
        <f t="shared" si="1"/>
        <v>Fri</v>
      </c>
      <c r="D16" s="136">
        <f t="shared" si="2"/>
        <v>1</v>
      </c>
      <c r="E16" s="137" t="s">
        <v>129</v>
      </c>
      <c r="F16" s="137" t="s">
        <v>129</v>
      </c>
      <c r="G16" s="137" t="s">
        <v>129</v>
      </c>
      <c r="H16" s="137" t="s">
        <v>129</v>
      </c>
      <c r="I16" s="137" t="s">
        <v>129</v>
      </c>
      <c r="J16" s="137" t="s">
        <v>129</v>
      </c>
      <c r="K16" s="137" t="s">
        <v>129</v>
      </c>
      <c r="L16" s="137" t="s">
        <v>129</v>
      </c>
      <c r="M16" s="141">
        <f t="shared" si="3"/>
        <v>5</v>
      </c>
      <c r="N16" s="143"/>
    </row>
    <row r="17" hidden="1" outlineLevel="2">
      <c r="A17" s="177" t="s">
        <v>1834</v>
      </c>
      <c r="B17" s="132">
        <v>45975.0</v>
      </c>
      <c r="C17" s="186" t="str">
        <f t="shared" si="1"/>
        <v>Fri</v>
      </c>
      <c r="D17" s="136">
        <f t="shared" si="2"/>
        <v>1</v>
      </c>
      <c r="E17" s="137" t="s">
        <v>129</v>
      </c>
      <c r="F17" s="137" t="s">
        <v>129</v>
      </c>
      <c r="G17" s="137" t="s">
        <v>129</v>
      </c>
      <c r="H17" s="137" t="s">
        <v>129</v>
      </c>
      <c r="I17" s="137" t="s">
        <v>129</v>
      </c>
      <c r="J17" s="137" t="s">
        <v>129</v>
      </c>
      <c r="K17" s="137" t="s">
        <v>129</v>
      </c>
      <c r="L17" s="137" t="s">
        <v>129</v>
      </c>
      <c r="M17" s="141">
        <f t="shared" si="3"/>
        <v>5</v>
      </c>
      <c r="N17" s="143"/>
    </row>
    <row r="18" hidden="1" outlineLevel="2">
      <c r="A18" s="177" t="s">
        <v>1837</v>
      </c>
      <c r="B18" s="132">
        <v>45975.0</v>
      </c>
      <c r="C18" s="186" t="str">
        <f t="shared" si="1"/>
        <v>Fri</v>
      </c>
      <c r="D18" s="136">
        <f t="shared" si="2"/>
        <v>1</v>
      </c>
      <c r="E18" s="137" t="s">
        <v>129</v>
      </c>
      <c r="F18" s="137" t="s">
        <v>129</v>
      </c>
      <c r="G18" s="137" t="s">
        <v>129</v>
      </c>
      <c r="H18" s="137" t="s">
        <v>129</v>
      </c>
      <c r="I18" s="137" t="s">
        <v>129</v>
      </c>
      <c r="J18" s="137" t="s">
        <v>129</v>
      </c>
      <c r="K18" s="137" t="s">
        <v>129</v>
      </c>
      <c r="L18" s="137" t="s">
        <v>129</v>
      </c>
      <c r="M18" s="141">
        <f t="shared" si="3"/>
        <v>5</v>
      </c>
      <c r="N18" s="143"/>
    </row>
    <row r="19" hidden="1" outlineLevel="2">
      <c r="B19" s="189"/>
      <c r="C19" s="191" t="s">
        <v>194</v>
      </c>
      <c r="D19" s="198">
        <f>AVERAGE(D3:D18)*0.3</f>
        <v>0.296</v>
      </c>
      <c r="E19" s="200"/>
      <c r="L19" s="191" t="s">
        <v>194</v>
      </c>
      <c r="M19" s="204">
        <f>SUM(M4:M18)/75*0.1</f>
        <v>0.09733333333</v>
      </c>
    </row>
    <row r="20" hidden="1" outlineLevel="1" collapsed="1">
      <c r="A20" s="206" t="s">
        <v>205</v>
      </c>
      <c r="B20" s="207"/>
      <c r="C20" s="207"/>
      <c r="D20" s="208"/>
      <c r="E20" s="109"/>
      <c r="F20" s="109"/>
      <c r="G20" s="110"/>
      <c r="H20" s="110"/>
      <c r="I20" s="110"/>
      <c r="J20" s="110"/>
      <c r="K20" s="110"/>
      <c r="L20" s="110"/>
      <c r="M20" s="111"/>
      <c r="N20" s="113"/>
    </row>
    <row r="21" hidden="1" outlineLevel="2">
      <c r="A21" s="115" t="s">
        <v>98</v>
      </c>
      <c r="B21" s="115" t="s">
        <v>100</v>
      </c>
      <c r="C21" s="115" t="s">
        <v>102</v>
      </c>
      <c r="D21" s="119" t="s">
        <v>103</v>
      </c>
      <c r="E21" s="120" t="s">
        <v>104</v>
      </c>
      <c r="F21" s="120" t="s">
        <v>105</v>
      </c>
      <c r="G21" s="121" t="s">
        <v>106</v>
      </c>
      <c r="H21" s="121" t="s">
        <v>107</v>
      </c>
      <c r="I21" s="121" t="s">
        <v>108</v>
      </c>
      <c r="J21" s="121" t="s">
        <v>110</v>
      </c>
      <c r="K21" s="121" t="s">
        <v>111</v>
      </c>
      <c r="L21" s="121" t="s">
        <v>112</v>
      </c>
      <c r="M21" s="115" t="s">
        <v>114</v>
      </c>
      <c r="N21" s="119" t="s">
        <v>115</v>
      </c>
    </row>
    <row r="22" hidden="1" outlineLevel="2">
      <c r="A22" s="219" t="s">
        <v>1841</v>
      </c>
      <c r="B22" s="132">
        <v>45978.0</v>
      </c>
      <c r="C22" s="133" t="str">
        <f t="shared" ref="C22:C36" si="4">IF(B22="", "", TEXT(B22, "ddd"))</f>
        <v>Mon</v>
      </c>
      <c r="D22" s="136">
        <f t="shared" ref="D22:D36" si="5">IF(E22="Yes",0.05,0)
+IF(F22="Yes",0.1,0)
+IF(G22="Yes",0.1,0)
+IF(H22="Yes",0.15,0)
+IF(I22="Yes",0.05,0)
+IF(J22="Yes",0.1,0)
+IF(K22="Yes",0.15,0)
+IF(L22="Yes",0.3,0)
</f>
        <v>1</v>
      </c>
      <c r="E22" s="137" t="s">
        <v>129</v>
      </c>
      <c r="F22" s="137" t="s">
        <v>129</v>
      </c>
      <c r="G22" s="137" t="s">
        <v>129</v>
      </c>
      <c r="H22" s="137" t="s">
        <v>129</v>
      </c>
      <c r="I22" s="137" t="s">
        <v>129</v>
      </c>
      <c r="J22" s="137" t="s">
        <v>129</v>
      </c>
      <c r="K22" s="137" t="s">
        <v>129</v>
      </c>
      <c r="L22" s="137" t="s">
        <v>129</v>
      </c>
      <c r="M22" s="141">
        <f t="shared" ref="M22:M36" si="6">IF(D22="", 0, 
    IF(D22&gt;=1, 5, 
    IF(D22&gt;=0.8, 4, 
    IF(D22&gt;=0.7, 3, 
    IF(D22&gt;=0.6, 2, 
    IF(D22&lt;0.5, 1, ""))))))</f>
        <v>5</v>
      </c>
      <c r="N22" s="143"/>
    </row>
    <row r="23" hidden="1" outlineLevel="2">
      <c r="A23" s="219" t="s">
        <v>1846</v>
      </c>
      <c r="B23" s="132">
        <v>45978.0</v>
      </c>
      <c r="C23" s="133" t="str">
        <f t="shared" si="4"/>
        <v>Mon</v>
      </c>
      <c r="D23" s="136">
        <f t="shared" si="5"/>
        <v>1</v>
      </c>
      <c r="E23" s="137" t="s">
        <v>129</v>
      </c>
      <c r="F23" s="137" t="s">
        <v>129</v>
      </c>
      <c r="G23" s="137" t="s">
        <v>129</v>
      </c>
      <c r="H23" s="137" t="s">
        <v>129</v>
      </c>
      <c r="I23" s="137" t="s">
        <v>129</v>
      </c>
      <c r="J23" s="137" t="s">
        <v>129</v>
      </c>
      <c r="K23" s="137" t="s">
        <v>129</v>
      </c>
      <c r="L23" s="137" t="s">
        <v>129</v>
      </c>
      <c r="M23" s="141">
        <f t="shared" si="6"/>
        <v>5</v>
      </c>
      <c r="N23" s="147"/>
    </row>
    <row r="24" hidden="1" outlineLevel="2">
      <c r="A24" s="219" t="s">
        <v>1853</v>
      </c>
      <c r="B24" s="132">
        <v>45978.0</v>
      </c>
      <c r="C24" s="133" t="str">
        <f t="shared" si="4"/>
        <v>Mon</v>
      </c>
      <c r="D24" s="136">
        <f t="shared" si="5"/>
        <v>0.85</v>
      </c>
      <c r="E24" s="137" t="s">
        <v>129</v>
      </c>
      <c r="F24" s="137" t="s">
        <v>129</v>
      </c>
      <c r="G24" s="137" t="s">
        <v>129</v>
      </c>
      <c r="H24" s="137" t="s">
        <v>129</v>
      </c>
      <c r="I24" s="137" t="s">
        <v>129</v>
      </c>
      <c r="J24" s="137" t="s">
        <v>129</v>
      </c>
      <c r="K24" s="137" t="s">
        <v>174</v>
      </c>
      <c r="L24" s="137" t="s">
        <v>129</v>
      </c>
      <c r="M24" s="141">
        <f t="shared" si="6"/>
        <v>4</v>
      </c>
      <c r="N24" s="147" t="s">
        <v>1857</v>
      </c>
    </row>
    <row r="25" hidden="1" outlineLevel="2">
      <c r="A25" s="156" t="s">
        <v>1858</v>
      </c>
      <c r="B25" s="132">
        <v>45979.0</v>
      </c>
      <c r="C25" s="133" t="str">
        <f t="shared" si="4"/>
        <v>Tue</v>
      </c>
      <c r="D25" s="136">
        <f t="shared" si="5"/>
        <v>1</v>
      </c>
      <c r="E25" s="137" t="s">
        <v>129</v>
      </c>
      <c r="F25" s="137" t="s">
        <v>129</v>
      </c>
      <c r="G25" s="137" t="s">
        <v>129</v>
      </c>
      <c r="H25" s="137" t="s">
        <v>129</v>
      </c>
      <c r="I25" s="137" t="s">
        <v>129</v>
      </c>
      <c r="J25" s="137" t="s">
        <v>129</v>
      </c>
      <c r="K25" s="137" t="s">
        <v>129</v>
      </c>
      <c r="L25" s="137" t="s">
        <v>129</v>
      </c>
      <c r="M25" s="141">
        <f t="shared" si="6"/>
        <v>5</v>
      </c>
      <c r="N25" s="143"/>
    </row>
    <row r="26" hidden="1" outlineLevel="2">
      <c r="A26" s="156" t="s">
        <v>1861</v>
      </c>
      <c r="B26" s="132">
        <v>45979.0</v>
      </c>
      <c r="C26" s="133" t="str">
        <f t="shared" si="4"/>
        <v>Tue</v>
      </c>
      <c r="D26" s="136">
        <f t="shared" si="5"/>
        <v>1</v>
      </c>
      <c r="E26" s="137" t="s">
        <v>129</v>
      </c>
      <c r="F26" s="137" t="s">
        <v>129</v>
      </c>
      <c r="G26" s="137" t="s">
        <v>129</v>
      </c>
      <c r="H26" s="137" t="s">
        <v>129</v>
      </c>
      <c r="I26" s="137" t="s">
        <v>129</v>
      </c>
      <c r="J26" s="137" t="s">
        <v>129</v>
      </c>
      <c r="K26" s="137" t="s">
        <v>129</v>
      </c>
      <c r="L26" s="137" t="s">
        <v>129</v>
      </c>
      <c r="M26" s="141">
        <f t="shared" si="6"/>
        <v>5</v>
      </c>
      <c r="N26" s="143"/>
    </row>
    <row r="27" hidden="1" outlineLevel="2">
      <c r="A27" s="156" t="s">
        <v>1865</v>
      </c>
      <c r="B27" s="132">
        <v>45979.0</v>
      </c>
      <c r="C27" s="133" t="str">
        <f t="shared" si="4"/>
        <v>Tue</v>
      </c>
      <c r="D27" s="136">
        <f t="shared" si="5"/>
        <v>1</v>
      </c>
      <c r="E27" s="137" t="s">
        <v>129</v>
      </c>
      <c r="F27" s="137" t="s">
        <v>129</v>
      </c>
      <c r="G27" s="137" t="s">
        <v>129</v>
      </c>
      <c r="H27" s="137" t="s">
        <v>129</v>
      </c>
      <c r="I27" s="137" t="s">
        <v>129</v>
      </c>
      <c r="J27" s="137" t="s">
        <v>129</v>
      </c>
      <c r="K27" s="137" t="s">
        <v>129</v>
      </c>
      <c r="L27" s="137" t="s">
        <v>129</v>
      </c>
      <c r="M27" s="141">
        <f t="shared" si="6"/>
        <v>5</v>
      </c>
      <c r="N27" s="143"/>
    </row>
    <row r="28" hidden="1" outlineLevel="2">
      <c r="A28" s="219" t="s">
        <v>1867</v>
      </c>
      <c r="B28" s="132">
        <v>45980.0</v>
      </c>
      <c r="C28" s="133" t="str">
        <f t="shared" si="4"/>
        <v>Wed</v>
      </c>
      <c r="D28" s="136">
        <f t="shared" si="5"/>
        <v>1</v>
      </c>
      <c r="E28" s="137" t="s">
        <v>129</v>
      </c>
      <c r="F28" s="137" t="s">
        <v>129</v>
      </c>
      <c r="G28" s="137" t="s">
        <v>129</v>
      </c>
      <c r="H28" s="137" t="s">
        <v>129</v>
      </c>
      <c r="I28" s="137" t="s">
        <v>129</v>
      </c>
      <c r="J28" s="137" t="s">
        <v>129</v>
      </c>
      <c r="K28" s="137" t="s">
        <v>129</v>
      </c>
      <c r="L28" s="137" t="s">
        <v>129</v>
      </c>
      <c r="M28" s="141">
        <f t="shared" si="6"/>
        <v>5</v>
      </c>
      <c r="N28" s="143"/>
    </row>
    <row r="29" hidden="1" outlineLevel="2">
      <c r="A29" s="219" t="s">
        <v>1870</v>
      </c>
      <c r="B29" s="132">
        <v>45980.0</v>
      </c>
      <c r="C29" s="133" t="str">
        <f t="shared" si="4"/>
        <v>Wed</v>
      </c>
      <c r="D29" s="136">
        <f t="shared" si="5"/>
        <v>1</v>
      </c>
      <c r="E29" s="137" t="s">
        <v>129</v>
      </c>
      <c r="F29" s="137" t="s">
        <v>129</v>
      </c>
      <c r="G29" s="137" t="s">
        <v>129</v>
      </c>
      <c r="H29" s="137" t="s">
        <v>129</v>
      </c>
      <c r="I29" s="137" t="s">
        <v>129</v>
      </c>
      <c r="J29" s="137" t="s">
        <v>129</v>
      </c>
      <c r="K29" s="137" t="s">
        <v>129</v>
      </c>
      <c r="L29" s="137" t="s">
        <v>129</v>
      </c>
      <c r="M29" s="141">
        <f t="shared" si="6"/>
        <v>5</v>
      </c>
      <c r="N29" s="147"/>
    </row>
    <row r="30" hidden="1" outlineLevel="2">
      <c r="A30" s="219" t="s">
        <v>1874</v>
      </c>
      <c r="B30" s="132">
        <v>45980.0</v>
      </c>
      <c r="C30" s="133" t="str">
        <f t="shared" si="4"/>
        <v>Wed</v>
      </c>
      <c r="D30" s="136">
        <f t="shared" si="5"/>
        <v>1</v>
      </c>
      <c r="E30" s="137" t="s">
        <v>129</v>
      </c>
      <c r="F30" s="137" t="s">
        <v>129</v>
      </c>
      <c r="G30" s="137" t="s">
        <v>129</v>
      </c>
      <c r="H30" s="137" t="s">
        <v>129</v>
      </c>
      <c r="I30" s="137" t="s">
        <v>129</v>
      </c>
      <c r="J30" s="137" t="s">
        <v>129</v>
      </c>
      <c r="K30" s="137" t="s">
        <v>129</v>
      </c>
      <c r="L30" s="137" t="s">
        <v>129</v>
      </c>
      <c r="M30" s="141">
        <f t="shared" si="6"/>
        <v>5</v>
      </c>
      <c r="N30" s="143"/>
    </row>
    <row r="31" hidden="1" outlineLevel="2">
      <c r="A31" s="131" t="s">
        <v>1875</v>
      </c>
      <c r="B31" s="132">
        <v>45981.0</v>
      </c>
      <c r="C31" s="133" t="str">
        <f t="shared" si="4"/>
        <v>Thu</v>
      </c>
      <c r="D31" s="136">
        <f t="shared" si="5"/>
        <v>0.85</v>
      </c>
      <c r="E31" s="137" t="s">
        <v>129</v>
      </c>
      <c r="F31" s="137" t="s">
        <v>129</v>
      </c>
      <c r="G31" s="137" t="s">
        <v>129</v>
      </c>
      <c r="H31" s="137" t="s">
        <v>174</v>
      </c>
      <c r="I31" s="137" t="s">
        <v>129</v>
      </c>
      <c r="J31" s="137" t="s">
        <v>129</v>
      </c>
      <c r="K31" s="137" t="s">
        <v>129</v>
      </c>
      <c r="L31" s="137" t="s">
        <v>129</v>
      </c>
      <c r="M31" s="141">
        <f t="shared" si="6"/>
        <v>4</v>
      </c>
      <c r="N31" s="147" t="s">
        <v>1878</v>
      </c>
    </row>
    <row r="32" hidden="1" outlineLevel="2">
      <c r="A32" s="131" t="s">
        <v>1879</v>
      </c>
      <c r="B32" s="132">
        <v>45981.0</v>
      </c>
      <c r="C32" s="133" t="str">
        <f t="shared" si="4"/>
        <v>Thu</v>
      </c>
      <c r="D32" s="136">
        <f t="shared" si="5"/>
        <v>1</v>
      </c>
      <c r="E32" s="137" t="s">
        <v>129</v>
      </c>
      <c r="F32" s="137" t="s">
        <v>129</v>
      </c>
      <c r="G32" s="137" t="s">
        <v>129</v>
      </c>
      <c r="H32" s="137" t="s">
        <v>129</v>
      </c>
      <c r="I32" s="137" t="s">
        <v>129</v>
      </c>
      <c r="J32" s="137" t="s">
        <v>129</v>
      </c>
      <c r="K32" s="137" t="s">
        <v>129</v>
      </c>
      <c r="L32" s="137" t="s">
        <v>129</v>
      </c>
      <c r="M32" s="141">
        <f t="shared" si="6"/>
        <v>5</v>
      </c>
      <c r="N32" s="143"/>
    </row>
    <row r="33" hidden="1" outlineLevel="2">
      <c r="A33" s="131" t="s">
        <v>1881</v>
      </c>
      <c r="B33" s="132">
        <v>45981.0</v>
      </c>
      <c r="C33" s="133" t="str">
        <f t="shared" si="4"/>
        <v>Thu</v>
      </c>
      <c r="D33" s="136">
        <f t="shared" si="5"/>
        <v>1</v>
      </c>
      <c r="E33" s="137" t="s">
        <v>129</v>
      </c>
      <c r="F33" s="137" t="s">
        <v>129</v>
      </c>
      <c r="G33" s="137" t="s">
        <v>129</v>
      </c>
      <c r="H33" s="137" t="s">
        <v>129</v>
      </c>
      <c r="I33" s="137" t="s">
        <v>129</v>
      </c>
      <c r="J33" s="137" t="s">
        <v>129</v>
      </c>
      <c r="K33" s="137" t="s">
        <v>129</v>
      </c>
      <c r="L33" s="137" t="s">
        <v>129</v>
      </c>
      <c r="M33" s="141">
        <f t="shared" si="6"/>
        <v>5</v>
      </c>
      <c r="N33" s="143"/>
    </row>
    <row r="34" hidden="1" outlineLevel="2">
      <c r="A34" s="131" t="s">
        <v>1884</v>
      </c>
      <c r="B34" s="132">
        <v>45982.0</v>
      </c>
      <c r="C34" s="186" t="str">
        <f t="shared" si="4"/>
        <v>Fri</v>
      </c>
      <c r="D34" s="136">
        <f t="shared" si="5"/>
        <v>1</v>
      </c>
      <c r="E34" s="137" t="s">
        <v>129</v>
      </c>
      <c r="F34" s="137" t="s">
        <v>129</v>
      </c>
      <c r="G34" s="137" t="s">
        <v>129</v>
      </c>
      <c r="H34" s="137" t="s">
        <v>129</v>
      </c>
      <c r="I34" s="137" t="s">
        <v>129</v>
      </c>
      <c r="J34" s="137" t="s">
        <v>129</v>
      </c>
      <c r="K34" s="137" t="s">
        <v>129</v>
      </c>
      <c r="L34" s="137" t="s">
        <v>129</v>
      </c>
      <c r="M34" s="141">
        <f t="shared" si="6"/>
        <v>5</v>
      </c>
      <c r="N34" s="143"/>
    </row>
    <row r="35" hidden="1" outlineLevel="2">
      <c r="A35" s="131" t="s">
        <v>1887</v>
      </c>
      <c r="B35" s="132">
        <v>45982.0</v>
      </c>
      <c r="C35" s="186" t="str">
        <f t="shared" si="4"/>
        <v>Fri</v>
      </c>
      <c r="D35" s="136">
        <f t="shared" si="5"/>
        <v>1</v>
      </c>
      <c r="E35" s="137" t="s">
        <v>129</v>
      </c>
      <c r="F35" s="137" t="s">
        <v>129</v>
      </c>
      <c r="G35" s="137" t="s">
        <v>129</v>
      </c>
      <c r="H35" s="137" t="s">
        <v>129</v>
      </c>
      <c r="I35" s="137" t="s">
        <v>129</v>
      </c>
      <c r="J35" s="137" t="s">
        <v>129</v>
      </c>
      <c r="K35" s="137" t="s">
        <v>129</v>
      </c>
      <c r="L35" s="137" t="s">
        <v>129</v>
      </c>
      <c r="M35" s="141">
        <f t="shared" si="6"/>
        <v>5</v>
      </c>
      <c r="N35" s="143"/>
    </row>
    <row r="36" hidden="1" outlineLevel="2">
      <c r="A36" s="131" t="s">
        <v>1889</v>
      </c>
      <c r="B36" s="132">
        <v>45982.0</v>
      </c>
      <c r="C36" s="186" t="str">
        <f t="shared" si="4"/>
        <v>Fri</v>
      </c>
      <c r="D36" s="136">
        <f t="shared" si="5"/>
        <v>1</v>
      </c>
      <c r="E36" s="137" t="s">
        <v>129</v>
      </c>
      <c r="F36" s="137" t="s">
        <v>129</v>
      </c>
      <c r="G36" s="137" t="s">
        <v>129</v>
      </c>
      <c r="H36" s="137" t="s">
        <v>129</v>
      </c>
      <c r="I36" s="137" t="s">
        <v>129</v>
      </c>
      <c r="J36" s="137" t="s">
        <v>129</v>
      </c>
      <c r="K36" s="137" t="s">
        <v>129</v>
      </c>
      <c r="L36" s="137" t="s">
        <v>129</v>
      </c>
      <c r="M36" s="141">
        <f t="shared" si="6"/>
        <v>5</v>
      </c>
      <c r="N36" s="143"/>
    </row>
    <row r="37" ht="15.0" hidden="1" customHeight="1" outlineLevel="2">
      <c r="B37" s="189"/>
      <c r="C37" s="191" t="s">
        <v>194</v>
      </c>
      <c r="D37" s="204">
        <f>AVERAGE(D22:D36)</f>
        <v>0.98</v>
      </c>
      <c r="E37" s="200"/>
      <c r="L37" s="191" t="s">
        <v>194</v>
      </c>
      <c r="M37" s="204">
        <f>SUM(M22:M36)/75*0.1</f>
        <v>0.09733333333</v>
      </c>
    </row>
    <row r="38" hidden="1" outlineLevel="1">
      <c r="A38" s="206" t="s">
        <v>266</v>
      </c>
      <c r="B38" s="207"/>
      <c r="C38" s="207"/>
      <c r="D38" s="208"/>
      <c r="E38" s="109"/>
      <c r="F38" s="109"/>
      <c r="G38" s="110"/>
      <c r="H38" s="110"/>
      <c r="I38" s="110"/>
      <c r="J38" s="110"/>
      <c r="K38" s="110"/>
      <c r="L38" s="110"/>
      <c r="M38" s="111"/>
      <c r="N38" s="113"/>
    </row>
    <row r="39" hidden="1" outlineLevel="1">
      <c r="A39" s="115" t="s">
        <v>98</v>
      </c>
      <c r="B39" s="115" t="s">
        <v>100</v>
      </c>
      <c r="C39" s="115" t="s">
        <v>102</v>
      </c>
      <c r="D39" s="119" t="s">
        <v>103</v>
      </c>
      <c r="E39" s="275" t="s">
        <v>269</v>
      </c>
      <c r="F39" s="275" t="s">
        <v>272</v>
      </c>
      <c r="G39" s="276" t="s">
        <v>273</v>
      </c>
      <c r="H39" s="121" t="s">
        <v>107</v>
      </c>
      <c r="I39" s="121" t="s">
        <v>108</v>
      </c>
      <c r="J39" s="121" t="s">
        <v>110</v>
      </c>
      <c r="K39" s="121" t="s">
        <v>111</v>
      </c>
      <c r="L39" s="276" t="s">
        <v>274</v>
      </c>
      <c r="M39" s="115" t="s">
        <v>114</v>
      </c>
      <c r="N39" s="119" t="s">
        <v>115</v>
      </c>
    </row>
    <row r="40" hidden="1" outlineLevel="1">
      <c r="A40" s="255" t="s">
        <v>1895</v>
      </c>
      <c r="B40" s="132">
        <v>45985.0</v>
      </c>
      <c r="C40" s="133" t="str">
        <f t="shared" ref="C40:C54" si="7">IF(B40="", "", TEXT(B40, "ddd"))</f>
        <v>Mon</v>
      </c>
      <c r="D40" s="136">
        <f t="shared" ref="D40:D54" si="8">IF(E40="Yes",0.05,0)
+IF(F40="Yes",0.1,0)
+IF(G40="Yes",0.1,0)
+IF(H40="Yes",0.15,0)
+IF(I40="Yes",0.05,0)
+IF(J40="Yes",0.1,0)
+IF(K40="Yes",0.15,0)
+IF(L40="Yes",0.3,0)
</f>
        <v>1</v>
      </c>
      <c r="E40" s="137" t="s">
        <v>129</v>
      </c>
      <c r="F40" s="137" t="s">
        <v>129</v>
      </c>
      <c r="G40" s="137" t="s">
        <v>129</v>
      </c>
      <c r="H40" s="137" t="s">
        <v>129</v>
      </c>
      <c r="I40" s="137" t="s">
        <v>129</v>
      </c>
      <c r="J40" s="137" t="s">
        <v>129</v>
      </c>
      <c r="K40" s="137" t="s">
        <v>129</v>
      </c>
      <c r="L40" s="137" t="s">
        <v>129</v>
      </c>
      <c r="M40" s="141">
        <f t="shared" ref="M40:M54" si="9">IF(D40="", 0, 
    IF(D40&gt;=1, 5, 
    IF(D40&gt;=0.8, 4, 
    IF(D40&gt;=0.7, 3, 
    IF(D40&gt;=0.6, 2, 
    IF(D40&lt;0.5, 1, ""))))))</f>
        <v>5</v>
      </c>
      <c r="N40" s="143"/>
    </row>
    <row r="41" hidden="1" outlineLevel="1">
      <c r="A41" s="255" t="s">
        <v>1902</v>
      </c>
      <c r="B41" s="132">
        <v>45985.0</v>
      </c>
      <c r="C41" s="133" t="str">
        <f t="shared" si="7"/>
        <v>Mon</v>
      </c>
      <c r="D41" s="136">
        <f t="shared" si="8"/>
        <v>0.85</v>
      </c>
      <c r="E41" s="137" t="s">
        <v>129</v>
      </c>
      <c r="F41" s="137" t="s">
        <v>129</v>
      </c>
      <c r="G41" s="137" t="s">
        <v>129</v>
      </c>
      <c r="H41" s="137" t="s">
        <v>129</v>
      </c>
      <c r="I41" s="137" t="s">
        <v>174</v>
      </c>
      <c r="J41" s="137" t="s">
        <v>174</v>
      </c>
      <c r="K41" s="137" t="s">
        <v>129</v>
      </c>
      <c r="L41" s="137" t="s">
        <v>129</v>
      </c>
      <c r="M41" s="141">
        <f t="shared" si="9"/>
        <v>4</v>
      </c>
      <c r="N41" s="147" t="s">
        <v>1904</v>
      </c>
    </row>
    <row r="42" hidden="1" outlineLevel="1">
      <c r="A42" s="255" t="s">
        <v>1905</v>
      </c>
      <c r="B42" s="132">
        <v>45985.0</v>
      </c>
      <c r="C42" s="133" t="str">
        <f t="shared" si="7"/>
        <v>Mon</v>
      </c>
      <c r="D42" s="136">
        <f t="shared" si="8"/>
        <v>1</v>
      </c>
      <c r="E42" s="137" t="s">
        <v>129</v>
      </c>
      <c r="F42" s="137" t="s">
        <v>129</v>
      </c>
      <c r="G42" s="137" t="s">
        <v>129</v>
      </c>
      <c r="H42" s="137" t="s">
        <v>129</v>
      </c>
      <c r="I42" s="137" t="s">
        <v>129</v>
      </c>
      <c r="J42" s="137" t="s">
        <v>129</v>
      </c>
      <c r="K42" s="137" t="s">
        <v>129</v>
      </c>
      <c r="L42" s="137" t="s">
        <v>129</v>
      </c>
      <c r="M42" s="141">
        <f t="shared" si="9"/>
        <v>5</v>
      </c>
      <c r="N42" s="147"/>
    </row>
    <row r="43" hidden="1" outlineLevel="1">
      <c r="A43" s="219" t="s">
        <v>1908</v>
      </c>
      <c r="B43" s="132">
        <v>45986.0</v>
      </c>
      <c r="C43" s="133" t="str">
        <f t="shared" si="7"/>
        <v>Tue</v>
      </c>
      <c r="D43" s="136">
        <f t="shared" si="8"/>
        <v>1</v>
      </c>
      <c r="E43" s="137" t="s">
        <v>129</v>
      </c>
      <c r="F43" s="137" t="s">
        <v>129</v>
      </c>
      <c r="G43" s="137" t="s">
        <v>129</v>
      </c>
      <c r="H43" s="137" t="s">
        <v>129</v>
      </c>
      <c r="I43" s="137" t="s">
        <v>129</v>
      </c>
      <c r="J43" s="137" t="s">
        <v>129</v>
      </c>
      <c r="K43" s="137" t="s">
        <v>129</v>
      </c>
      <c r="L43" s="137" t="s">
        <v>129</v>
      </c>
      <c r="M43" s="141">
        <f t="shared" si="9"/>
        <v>5</v>
      </c>
      <c r="N43" s="143"/>
    </row>
    <row r="44" hidden="1" outlineLevel="1">
      <c r="A44" s="219" t="s">
        <v>1914</v>
      </c>
      <c r="B44" s="132">
        <v>45986.0</v>
      </c>
      <c r="C44" s="133" t="str">
        <f t="shared" si="7"/>
        <v>Tue</v>
      </c>
      <c r="D44" s="136">
        <f t="shared" si="8"/>
        <v>1</v>
      </c>
      <c r="E44" s="137" t="s">
        <v>129</v>
      </c>
      <c r="F44" s="137" t="s">
        <v>129</v>
      </c>
      <c r="G44" s="137" t="s">
        <v>129</v>
      </c>
      <c r="H44" s="137" t="s">
        <v>129</v>
      </c>
      <c r="I44" s="137" t="s">
        <v>129</v>
      </c>
      <c r="J44" s="137" t="s">
        <v>129</v>
      </c>
      <c r="K44" s="137" t="s">
        <v>129</v>
      </c>
      <c r="L44" s="137" t="s">
        <v>129</v>
      </c>
      <c r="M44" s="141">
        <f t="shared" si="9"/>
        <v>5</v>
      </c>
      <c r="N44" s="143"/>
    </row>
    <row r="45" hidden="1" outlineLevel="1">
      <c r="A45" s="219" t="s">
        <v>1916</v>
      </c>
      <c r="B45" s="132">
        <v>45986.0</v>
      </c>
      <c r="C45" s="133" t="str">
        <f t="shared" si="7"/>
        <v>Tue</v>
      </c>
      <c r="D45" s="136">
        <f t="shared" si="8"/>
        <v>1</v>
      </c>
      <c r="E45" s="137" t="s">
        <v>129</v>
      </c>
      <c r="F45" s="137" t="s">
        <v>129</v>
      </c>
      <c r="G45" s="137" t="s">
        <v>129</v>
      </c>
      <c r="H45" s="137" t="s">
        <v>129</v>
      </c>
      <c r="I45" s="137" t="s">
        <v>129</v>
      </c>
      <c r="J45" s="137" t="s">
        <v>129</v>
      </c>
      <c r="K45" s="137" t="s">
        <v>129</v>
      </c>
      <c r="L45" s="137" t="s">
        <v>129</v>
      </c>
      <c r="M45" s="141">
        <f t="shared" si="9"/>
        <v>5</v>
      </c>
      <c r="N45" s="143"/>
    </row>
    <row r="46" hidden="1" outlineLevel="1">
      <c r="A46" s="255" t="s">
        <v>1920</v>
      </c>
      <c r="B46" s="132">
        <v>45987.0</v>
      </c>
      <c r="C46" s="133" t="str">
        <f t="shared" si="7"/>
        <v>Wed</v>
      </c>
      <c r="D46" s="136">
        <f t="shared" si="8"/>
        <v>1</v>
      </c>
      <c r="E46" s="137" t="s">
        <v>129</v>
      </c>
      <c r="F46" s="137" t="s">
        <v>129</v>
      </c>
      <c r="G46" s="137" t="s">
        <v>129</v>
      </c>
      <c r="H46" s="137" t="s">
        <v>129</v>
      </c>
      <c r="I46" s="137" t="s">
        <v>129</v>
      </c>
      <c r="J46" s="137" t="s">
        <v>129</v>
      </c>
      <c r="K46" s="137" t="s">
        <v>129</v>
      </c>
      <c r="L46" s="137" t="s">
        <v>129</v>
      </c>
      <c r="M46" s="141">
        <f t="shared" si="9"/>
        <v>5</v>
      </c>
      <c r="N46" s="143"/>
    </row>
    <row r="47" hidden="1" outlineLevel="1">
      <c r="A47" s="255" t="s">
        <v>1924</v>
      </c>
      <c r="B47" s="132">
        <v>45987.0</v>
      </c>
      <c r="C47" s="133" t="str">
        <f t="shared" si="7"/>
        <v>Wed</v>
      </c>
      <c r="D47" s="136">
        <f t="shared" si="8"/>
        <v>1</v>
      </c>
      <c r="E47" s="137" t="s">
        <v>129</v>
      </c>
      <c r="F47" s="137" t="s">
        <v>129</v>
      </c>
      <c r="G47" s="137" t="s">
        <v>129</v>
      </c>
      <c r="H47" s="137" t="s">
        <v>129</v>
      </c>
      <c r="I47" s="137" t="s">
        <v>129</v>
      </c>
      <c r="J47" s="137" t="s">
        <v>129</v>
      </c>
      <c r="K47" s="137" t="s">
        <v>129</v>
      </c>
      <c r="L47" s="137" t="s">
        <v>129</v>
      </c>
      <c r="M47" s="141">
        <f t="shared" si="9"/>
        <v>5</v>
      </c>
      <c r="N47" s="147"/>
    </row>
    <row r="48" hidden="1" outlineLevel="1">
      <c r="A48" s="255" t="s">
        <v>1927</v>
      </c>
      <c r="B48" s="132">
        <v>45987.0</v>
      </c>
      <c r="C48" s="133" t="str">
        <f t="shared" si="7"/>
        <v>Wed</v>
      </c>
      <c r="D48" s="136">
        <f t="shared" si="8"/>
        <v>1</v>
      </c>
      <c r="E48" s="137" t="s">
        <v>129</v>
      </c>
      <c r="F48" s="137" t="s">
        <v>129</v>
      </c>
      <c r="G48" s="137" t="s">
        <v>129</v>
      </c>
      <c r="H48" s="137" t="s">
        <v>129</v>
      </c>
      <c r="I48" s="137" t="s">
        <v>129</v>
      </c>
      <c r="J48" s="137" t="s">
        <v>129</v>
      </c>
      <c r="K48" s="137" t="s">
        <v>129</v>
      </c>
      <c r="L48" s="137" t="s">
        <v>129</v>
      </c>
      <c r="M48" s="141">
        <f t="shared" si="9"/>
        <v>5</v>
      </c>
      <c r="N48" s="143"/>
    </row>
    <row r="49" hidden="1" outlineLevel="1">
      <c r="A49" s="131" t="s">
        <v>1930</v>
      </c>
      <c r="B49" s="132">
        <v>45988.0</v>
      </c>
      <c r="C49" s="133" t="str">
        <f t="shared" si="7"/>
        <v>Thu</v>
      </c>
      <c r="D49" s="136">
        <f t="shared" si="8"/>
        <v>1</v>
      </c>
      <c r="E49" s="137" t="s">
        <v>129</v>
      </c>
      <c r="F49" s="137" t="s">
        <v>129</v>
      </c>
      <c r="G49" s="137" t="s">
        <v>129</v>
      </c>
      <c r="H49" s="137" t="s">
        <v>129</v>
      </c>
      <c r="I49" s="137" t="s">
        <v>129</v>
      </c>
      <c r="J49" s="137" t="s">
        <v>129</v>
      </c>
      <c r="K49" s="137" t="s">
        <v>129</v>
      </c>
      <c r="L49" s="137" t="s">
        <v>129</v>
      </c>
      <c r="M49" s="141">
        <f t="shared" si="9"/>
        <v>5</v>
      </c>
      <c r="N49" s="143"/>
    </row>
    <row r="50" hidden="1" outlineLevel="1">
      <c r="A50" s="131" t="s">
        <v>1933</v>
      </c>
      <c r="B50" s="132">
        <v>45988.0</v>
      </c>
      <c r="C50" s="133" t="str">
        <f t="shared" si="7"/>
        <v>Thu</v>
      </c>
      <c r="D50" s="136">
        <f t="shared" si="8"/>
        <v>1</v>
      </c>
      <c r="E50" s="137" t="s">
        <v>129</v>
      </c>
      <c r="F50" s="137" t="s">
        <v>129</v>
      </c>
      <c r="G50" s="137" t="s">
        <v>129</v>
      </c>
      <c r="H50" s="137" t="s">
        <v>129</v>
      </c>
      <c r="I50" s="137" t="s">
        <v>129</v>
      </c>
      <c r="J50" s="137" t="s">
        <v>129</v>
      </c>
      <c r="K50" s="137" t="s">
        <v>129</v>
      </c>
      <c r="L50" s="137" t="s">
        <v>129</v>
      </c>
      <c r="M50" s="141">
        <f t="shared" si="9"/>
        <v>5</v>
      </c>
      <c r="N50" s="147"/>
    </row>
    <row r="51" hidden="1" outlineLevel="1">
      <c r="A51" s="131" t="s">
        <v>1935</v>
      </c>
      <c r="B51" s="132">
        <v>45988.0</v>
      </c>
      <c r="C51" s="133" t="str">
        <f t="shared" si="7"/>
        <v>Thu</v>
      </c>
      <c r="D51" s="136">
        <f t="shared" si="8"/>
        <v>1</v>
      </c>
      <c r="E51" s="137" t="s">
        <v>129</v>
      </c>
      <c r="F51" s="137" t="s">
        <v>129</v>
      </c>
      <c r="G51" s="137" t="s">
        <v>129</v>
      </c>
      <c r="H51" s="137" t="s">
        <v>129</v>
      </c>
      <c r="I51" s="137" t="s">
        <v>129</v>
      </c>
      <c r="J51" s="137" t="s">
        <v>129</v>
      </c>
      <c r="K51" s="137" t="s">
        <v>129</v>
      </c>
      <c r="L51" s="137" t="s">
        <v>129</v>
      </c>
      <c r="M51" s="141">
        <f t="shared" si="9"/>
        <v>5</v>
      </c>
      <c r="N51" s="143"/>
    </row>
    <row r="52" hidden="1" outlineLevel="1">
      <c r="A52" s="468" t="s">
        <v>145</v>
      </c>
      <c r="B52" s="132">
        <v>45989.0</v>
      </c>
      <c r="C52" s="186" t="str">
        <f t="shared" si="7"/>
        <v>Fri</v>
      </c>
      <c r="D52" s="136">
        <f t="shared" si="8"/>
        <v>1</v>
      </c>
      <c r="E52" s="137" t="s">
        <v>129</v>
      </c>
      <c r="F52" s="137" t="s">
        <v>129</v>
      </c>
      <c r="G52" s="137" t="s">
        <v>129</v>
      </c>
      <c r="H52" s="137" t="s">
        <v>129</v>
      </c>
      <c r="I52" s="137" t="s">
        <v>129</v>
      </c>
      <c r="J52" s="137" t="s">
        <v>129</v>
      </c>
      <c r="K52" s="137" t="s">
        <v>129</v>
      </c>
      <c r="L52" s="137" t="s">
        <v>129</v>
      </c>
      <c r="M52" s="141">
        <f t="shared" si="9"/>
        <v>5</v>
      </c>
      <c r="N52" s="143"/>
    </row>
    <row r="53" hidden="1" outlineLevel="1">
      <c r="A53" s="468" t="s">
        <v>145</v>
      </c>
      <c r="B53" s="132">
        <v>45989.0</v>
      </c>
      <c r="C53" s="186" t="str">
        <f t="shared" si="7"/>
        <v>Fri</v>
      </c>
      <c r="D53" s="136">
        <f t="shared" si="8"/>
        <v>1</v>
      </c>
      <c r="E53" s="137" t="s">
        <v>129</v>
      </c>
      <c r="F53" s="137" t="s">
        <v>129</v>
      </c>
      <c r="G53" s="137" t="s">
        <v>129</v>
      </c>
      <c r="H53" s="137" t="s">
        <v>129</v>
      </c>
      <c r="I53" s="137" t="s">
        <v>129</v>
      </c>
      <c r="J53" s="137" t="s">
        <v>129</v>
      </c>
      <c r="K53" s="137" t="s">
        <v>129</v>
      </c>
      <c r="L53" s="137" t="s">
        <v>129</v>
      </c>
      <c r="M53" s="141">
        <f t="shared" si="9"/>
        <v>5</v>
      </c>
      <c r="N53" s="143"/>
    </row>
    <row r="54" hidden="1" outlineLevel="1">
      <c r="A54" s="468" t="s">
        <v>145</v>
      </c>
      <c r="B54" s="132">
        <v>45989.0</v>
      </c>
      <c r="C54" s="186" t="str">
        <f t="shared" si="7"/>
        <v>Fri</v>
      </c>
      <c r="D54" s="136">
        <f t="shared" si="8"/>
        <v>1</v>
      </c>
      <c r="E54" s="137" t="s">
        <v>129</v>
      </c>
      <c r="F54" s="137" t="s">
        <v>129</v>
      </c>
      <c r="G54" s="137" t="s">
        <v>129</v>
      </c>
      <c r="H54" s="137" t="s">
        <v>129</v>
      </c>
      <c r="I54" s="137" t="s">
        <v>129</v>
      </c>
      <c r="J54" s="137" t="s">
        <v>129</v>
      </c>
      <c r="K54" s="137" t="s">
        <v>129</v>
      </c>
      <c r="L54" s="137" t="s">
        <v>129</v>
      </c>
      <c r="M54" s="141">
        <f t="shared" si="9"/>
        <v>5</v>
      </c>
      <c r="N54" s="143"/>
    </row>
    <row r="55" hidden="1" outlineLevel="1">
      <c r="B55" s="189"/>
      <c r="C55" s="191" t="s">
        <v>194</v>
      </c>
      <c r="D55" s="204">
        <f>AVERAGE(D40:D54)</f>
        <v>0.99</v>
      </c>
      <c r="E55" s="200"/>
      <c r="L55" s="191" t="s">
        <v>194</v>
      </c>
      <c r="M55" s="204">
        <f>SUM(M40:M54)/75*0.1</f>
        <v>0.09866666667</v>
      </c>
    </row>
    <row r="56" hidden="1" collapsed="1">
      <c r="A56" s="89">
        <v>45992.0</v>
      </c>
      <c r="B56" s="91"/>
      <c r="C56" s="91"/>
      <c r="D56" s="91"/>
      <c r="E56" s="94"/>
      <c r="F56" s="94"/>
      <c r="G56" s="96"/>
      <c r="H56" s="96"/>
      <c r="I56" s="96"/>
      <c r="J56" s="96"/>
      <c r="K56" s="96"/>
      <c r="L56" s="96"/>
      <c r="M56" s="101"/>
      <c r="N56" s="102"/>
    </row>
    <row r="57" hidden="1" outlineLevel="1" collapsed="1">
      <c r="A57" s="206" t="s">
        <v>325</v>
      </c>
      <c r="B57" s="207"/>
      <c r="C57" s="207"/>
      <c r="D57" s="208"/>
      <c r="E57" s="109"/>
      <c r="F57" s="109"/>
      <c r="G57" s="110"/>
      <c r="H57" s="110"/>
      <c r="I57" s="110"/>
      <c r="J57" s="110"/>
      <c r="K57" s="110"/>
      <c r="L57" s="110"/>
      <c r="M57" s="111"/>
      <c r="N57" s="113"/>
    </row>
    <row r="58" hidden="1" outlineLevel="2">
      <c r="A58" s="115" t="s">
        <v>98</v>
      </c>
      <c r="B58" s="115" t="s">
        <v>100</v>
      </c>
      <c r="C58" s="115" t="s">
        <v>102</v>
      </c>
      <c r="D58" s="119" t="s">
        <v>103</v>
      </c>
      <c r="E58" s="275" t="s">
        <v>269</v>
      </c>
      <c r="F58" s="275" t="s">
        <v>272</v>
      </c>
      <c r="G58" s="276" t="s">
        <v>328</v>
      </c>
      <c r="H58" s="121" t="s">
        <v>107</v>
      </c>
      <c r="I58" s="121" t="s">
        <v>108</v>
      </c>
      <c r="J58" s="276" t="s">
        <v>329</v>
      </c>
      <c r="K58" s="121" t="s">
        <v>111</v>
      </c>
      <c r="L58" s="276" t="s">
        <v>274</v>
      </c>
      <c r="M58" s="115" t="s">
        <v>114</v>
      </c>
      <c r="N58" s="119" t="s">
        <v>115</v>
      </c>
    </row>
    <row r="59" hidden="1" outlineLevel="2">
      <c r="A59" s="219" t="s">
        <v>1946</v>
      </c>
      <c r="B59" s="132">
        <v>45992.0</v>
      </c>
      <c r="C59" s="133" t="str">
        <f t="shared" ref="C59:C73" si="10">IF(B59="", "", TEXT(B59, "ddd"))</f>
        <v>Mon</v>
      </c>
      <c r="D59" s="136">
        <f t="shared" ref="D59:D73" si="11">IF(E59="Yes",0.05,0)
+IF(F59="Yes",0.1,0)
+IF(G59="Yes",0.15,0)
+IF(H59="Yes",0.15,0)
+IF(I59="Yes",0.05,0)
+IF(J59="Yes",0.05,0)
+IF(K59="Yes",0.15,0)
+IF(L59="Yes",0.3,0)
</f>
        <v>1</v>
      </c>
      <c r="E59" s="137" t="s">
        <v>129</v>
      </c>
      <c r="F59" s="137" t="s">
        <v>129</v>
      </c>
      <c r="G59" s="137" t="s">
        <v>129</v>
      </c>
      <c r="H59" s="137" t="s">
        <v>129</v>
      </c>
      <c r="I59" s="137" t="s">
        <v>129</v>
      </c>
      <c r="J59" s="137" t="s">
        <v>129</v>
      </c>
      <c r="K59" s="137" t="s">
        <v>129</v>
      </c>
      <c r="L59" s="137" t="s">
        <v>129</v>
      </c>
      <c r="M59" s="141">
        <f t="shared" ref="M59:M73" si="12">IF(D59="", 0, 
    IF(D59&gt;=1, 5, 
    IF(D59&gt;=0.8, 4, 
    IF(D59&gt;=0.7, 3, 
    IF(D59&gt;=0.6, 2, 
    IF(D59&lt;0.5, 1, ""))))))</f>
        <v>5</v>
      </c>
      <c r="N59" s="143"/>
    </row>
    <row r="60" hidden="1" outlineLevel="2">
      <c r="A60" s="219" t="s">
        <v>1954</v>
      </c>
      <c r="B60" s="132">
        <v>45992.0</v>
      </c>
      <c r="C60" s="133" t="str">
        <f t="shared" si="10"/>
        <v>Mon</v>
      </c>
      <c r="D60" s="136">
        <f t="shared" si="11"/>
        <v>1</v>
      </c>
      <c r="E60" s="137" t="s">
        <v>129</v>
      </c>
      <c r="F60" s="137" t="s">
        <v>129</v>
      </c>
      <c r="G60" s="137" t="s">
        <v>129</v>
      </c>
      <c r="H60" s="137" t="s">
        <v>129</v>
      </c>
      <c r="I60" s="137" t="s">
        <v>129</v>
      </c>
      <c r="J60" s="137" t="s">
        <v>129</v>
      </c>
      <c r="K60" s="137" t="s">
        <v>129</v>
      </c>
      <c r="L60" s="137" t="s">
        <v>129</v>
      </c>
      <c r="M60" s="141">
        <f t="shared" si="12"/>
        <v>5</v>
      </c>
      <c r="N60" s="147"/>
    </row>
    <row r="61" hidden="1" outlineLevel="2">
      <c r="A61" s="219" t="s">
        <v>1956</v>
      </c>
      <c r="B61" s="132">
        <v>45992.0</v>
      </c>
      <c r="C61" s="133" t="str">
        <f t="shared" si="10"/>
        <v>Mon</v>
      </c>
      <c r="D61" s="136">
        <f t="shared" si="11"/>
        <v>1</v>
      </c>
      <c r="E61" s="137" t="s">
        <v>129</v>
      </c>
      <c r="F61" s="137" t="s">
        <v>129</v>
      </c>
      <c r="G61" s="137" t="s">
        <v>129</v>
      </c>
      <c r="H61" s="137" t="s">
        <v>129</v>
      </c>
      <c r="I61" s="137" t="s">
        <v>129</v>
      </c>
      <c r="J61" s="137" t="s">
        <v>129</v>
      </c>
      <c r="K61" s="137" t="s">
        <v>129</v>
      </c>
      <c r="L61" s="137" t="s">
        <v>129</v>
      </c>
      <c r="M61" s="141">
        <f t="shared" si="12"/>
        <v>5</v>
      </c>
      <c r="N61" s="147"/>
    </row>
    <row r="62" hidden="1" outlineLevel="2">
      <c r="A62" s="255" t="s">
        <v>1959</v>
      </c>
      <c r="B62" s="132">
        <v>45993.0</v>
      </c>
      <c r="C62" s="133" t="str">
        <f t="shared" si="10"/>
        <v>Tue</v>
      </c>
      <c r="D62" s="136">
        <f t="shared" si="11"/>
        <v>1</v>
      </c>
      <c r="E62" s="137" t="s">
        <v>129</v>
      </c>
      <c r="F62" s="137" t="s">
        <v>129</v>
      </c>
      <c r="G62" s="137" t="s">
        <v>129</v>
      </c>
      <c r="H62" s="137" t="s">
        <v>129</v>
      </c>
      <c r="I62" s="137" t="s">
        <v>129</v>
      </c>
      <c r="J62" s="137" t="s">
        <v>129</v>
      </c>
      <c r="K62" s="137" t="s">
        <v>129</v>
      </c>
      <c r="L62" s="137" t="s">
        <v>129</v>
      </c>
      <c r="M62" s="141">
        <f t="shared" si="12"/>
        <v>5</v>
      </c>
      <c r="N62" s="143"/>
    </row>
    <row r="63" hidden="1" outlineLevel="2">
      <c r="A63" s="255" t="s">
        <v>1962</v>
      </c>
      <c r="B63" s="132">
        <v>45993.0</v>
      </c>
      <c r="C63" s="133" t="str">
        <f t="shared" si="10"/>
        <v>Tue</v>
      </c>
      <c r="D63" s="136">
        <f t="shared" si="11"/>
        <v>1</v>
      </c>
      <c r="E63" s="137" t="s">
        <v>129</v>
      </c>
      <c r="F63" s="137" t="s">
        <v>129</v>
      </c>
      <c r="G63" s="137" t="s">
        <v>129</v>
      </c>
      <c r="H63" s="137" t="s">
        <v>129</v>
      </c>
      <c r="I63" s="137" t="s">
        <v>129</v>
      </c>
      <c r="J63" s="137" t="s">
        <v>129</v>
      </c>
      <c r="K63" s="137" t="s">
        <v>129</v>
      </c>
      <c r="L63" s="137" t="s">
        <v>129</v>
      </c>
      <c r="M63" s="141">
        <f t="shared" si="12"/>
        <v>5</v>
      </c>
      <c r="N63" s="143"/>
    </row>
    <row r="64" hidden="1" outlineLevel="2">
      <c r="A64" s="255" t="s">
        <v>1965</v>
      </c>
      <c r="B64" s="132">
        <v>45993.0</v>
      </c>
      <c r="C64" s="133" t="str">
        <f t="shared" si="10"/>
        <v>Tue</v>
      </c>
      <c r="D64" s="136">
        <f t="shared" si="11"/>
        <v>1</v>
      </c>
      <c r="E64" s="137" t="s">
        <v>129</v>
      </c>
      <c r="F64" s="137" t="s">
        <v>129</v>
      </c>
      <c r="G64" s="137" t="s">
        <v>129</v>
      </c>
      <c r="H64" s="137" t="s">
        <v>129</v>
      </c>
      <c r="I64" s="137" t="s">
        <v>129</v>
      </c>
      <c r="J64" s="137" t="s">
        <v>129</v>
      </c>
      <c r="K64" s="137" t="s">
        <v>129</v>
      </c>
      <c r="L64" s="137" t="s">
        <v>129</v>
      </c>
      <c r="M64" s="141">
        <f t="shared" si="12"/>
        <v>5</v>
      </c>
      <c r="N64" s="143"/>
    </row>
    <row r="65" hidden="1" outlineLevel="2">
      <c r="A65" s="255" t="s">
        <v>1970</v>
      </c>
      <c r="B65" s="132">
        <v>45994.0</v>
      </c>
      <c r="C65" s="133" t="str">
        <f t="shared" si="10"/>
        <v>Wed</v>
      </c>
      <c r="D65" s="136">
        <f t="shared" si="11"/>
        <v>0.85</v>
      </c>
      <c r="E65" s="137" t="s">
        <v>129</v>
      </c>
      <c r="F65" s="137" t="s">
        <v>129</v>
      </c>
      <c r="G65" s="137" t="s">
        <v>129</v>
      </c>
      <c r="H65" s="137" t="s">
        <v>174</v>
      </c>
      <c r="I65" s="137" t="s">
        <v>129</v>
      </c>
      <c r="J65" s="137" t="s">
        <v>129</v>
      </c>
      <c r="K65" s="137" t="s">
        <v>129</v>
      </c>
      <c r="L65" s="137" t="s">
        <v>129</v>
      </c>
      <c r="M65" s="141">
        <f t="shared" si="12"/>
        <v>4</v>
      </c>
      <c r="N65" s="147" t="s">
        <v>1973</v>
      </c>
    </row>
    <row r="66" hidden="1" outlineLevel="2">
      <c r="A66" s="387" t="s">
        <v>1974</v>
      </c>
      <c r="B66" s="132">
        <v>45994.0</v>
      </c>
      <c r="C66" s="133" t="str">
        <f t="shared" si="10"/>
        <v>Wed</v>
      </c>
      <c r="D66" s="136">
        <f t="shared" si="11"/>
        <v>1</v>
      </c>
      <c r="E66" s="137" t="s">
        <v>129</v>
      </c>
      <c r="F66" s="137" t="s">
        <v>129</v>
      </c>
      <c r="G66" s="137" t="s">
        <v>129</v>
      </c>
      <c r="H66" s="137" t="s">
        <v>129</v>
      </c>
      <c r="I66" s="137" t="s">
        <v>129</v>
      </c>
      <c r="J66" s="137" t="s">
        <v>129</v>
      </c>
      <c r="K66" s="137" t="s">
        <v>129</v>
      </c>
      <c r="L66" s="137" t="s">
        <v>129</v>
      </c>
      <c r="M66" s="141">
        <f t="shared" si="12"/>
        <v>5</v>
      </c>
      <c r="N66" s="147"/>
    </row>
    <row r="67" hidden="1" outlineLevel="2">
      <c r="A67" s="255" t="s">
        <v>1976</v>
      </c>
      <c r="B67" s="132">
        <v>45994.0</v>
      </c>
      <c r="C67" s="133" t="str">
        <f t="shared" si="10"/>
        <v>Wed</v>
      </c>
      <c r="D67" s="136">
        <f t="shared" si="11"/>
        <v>1</v>
      </c>
      <c r="E67" s="137" t="s">
        <v>129</v>
      </c>
      <c r="F67" s="137" t="s">
        <v>129</v>
      </c>
      <c r="G67" s="137" t="s">
        <v>129</v>
      </c>
      <c r="H67" s="137" t="s">
        <v>129</v>
      </c>
      <c r="I67" s="137" t="s">
        <v>129</v>
      </c>
      <c r="J67" s="137" t="s">
        <v>129</v>
      </c>
      <c r="K67" s="137" t="s">
        <v>129</v>
      </c>
      <c r="L67" s="137" t="s">
        <v>129</v>
      </c>
      <c r="M67" s="141">
        <f t="shared" si="12"/>
        <v>5</v>
      </c>
      <c r="N67" s="147"/>
    </row>
    <row r="68" hidden="1" outlineLevel="2">
      <c r="A68" s="131" t="s">
        <v>1979</v>
      </c>
      <c r="B68" s="132">
        <v>45995.0</v>
      </c>
      <c r="C68" s="133" t="str">
        <f t="shared" si="10"/>
        <v>Thu</v>
      </c>
      <c r="D68" s="136">
        <f t="shared" si="11"/>
        <v>1</v>
      </c>
      <c r="E68" s="137" t="s">
        <v>129</v>
      </c>
      <c r="F68" s="137" t="s">
        <v>129</v>
      </c>
      <c r="G68" s="137" t="s">
        <v>129</v>
      </c>
      <c r="H68" s="137" t="s">
        <v>129</v>
      </c>
      <c r="I68" s="137" t="s">
        <v>129</v>
      </c>
      <c r="J68" s="137" t="s">
        <v>129</v>
      </c>
      <c r="K68" s="137" t="s">
        <v>129</v>
      </c>
      <c r="L68" s="137" t="s">
        <v>129</v>
      </c>
      <c r="M68" s="141">
        <f t="shared" si="12"/>
        <v>5</v>
      </c>
      <c r="N68" s="143"/>
    </row>
    <row r="69" hidden="1" outlineLevel="2">
      <c r="A69" s="131" t="s">
        <v>1981</v>
      </c>
      <c r="B69" s="132">
        <v>45995.0</v>
      </c>
      <c r="C69" s="133" t="str">
        <f t="shared" si="10"/>
        <v>Thu</v>
      </c>
      <c r="D69" s="136">
        <f t="shared" si="11"/>
        <v>1</v>
      </c>
      <c r="E69" s="137" t="s">
        <v>129</v>
      </c>
      <c r="F69" s="137" t="s">
        <v>129</v>
      </c>
      <c r="G69" s="137" t="s">
        <v>129</v>
      </c>
      <c r="H69" s="137" t="s">
        <v>129</v>
      </c>
      <c r="I69" s="137" t="s">
        <v>129</v>
      </c>
      <c r="J69" s="137" t="s">
        <v>129</v>
      </c>
      <c r="K69" s="137" t="s">
        <v>129</v>
      </c>
      <c r="L69" s="137" t="s">
        <v>129</v>
      </c>
      <c r="M69" s="141">
        <f t="shared" si="12"/>
        <v>5</v>
      </c>
      <c r="N69" s="147"/>
    </row>
    <row r="70" hidden="1" outlineLevel="2">
      <c r="A70" s="131" t="s">
        <v>1983</v>
      </c>
      <c r="B70" s="132">
        <v>45995.0</v>
      </c>
      <c r="C70" s="133" t="str">
        <f t="shared" si="10"/>
        <v>Thu</v>
      </c>
      <c r="D70" s="136">
        <f t="shared" si="11"/>
        <v>1</v>
      </c>
      <c r="E70" s="137" t="s">
        <v>129</v>
      </c>
      <c r="F70" s="137" t="s">
        <v>129</v>
      </c>
      <c r="G70" s="137" t="s">
        <v>129</v>
      </c>
      <c r="H70" s="137" t="s">
        <v>129</v>
      </c>
      <c r="I70" s="137" t="s">
        <v>129</v>
      </c>
      <c r="J70" s="137" t="s">
        <v>129</v>
      </c>
      <c r="K70" s="137" t="s">
        <v>129</v>
      </c>
      <c r="L70" s="137" t="s">
        <v>129</v>
      </c>
      <c r="M70" s="141">
        <f t="shared" si="12"/>
        <v>5</v>
      </c>
      <c r="N70" s="143"/>
    </row>
    <row r="71" hidden="1" outlineLevel="2">
      <c r="A71" s="131" t="s">
        <v>1985</v>
      </c>
      <c r="B71" s="132">
        <v>45996.0</v>
      </c>
      <c r="C71" s="186" t="str">
        <f t="shared" si="10"/>
        <v>Fri</v>
      </c>
      <c r="D71" s="136">
        <f t="shared" si="11"/>
        <v>1</v>
      </c>
      <c r="E71" s="137" t="s">
        <v>129</v>
      </c>
      <c r="F71" s="137" t="s">
        <v>129</v>
      </c>
      <c r="G71" s="137" t="s">
        <v>129</v>
      </c>
      <c r="H71" s="137" t="s">
        <v>129</v>
      </c>
      <c r="I71" s="137" t="s">
        <v>129</v>
      </c>
      <c r="J71" s="137" t="s">
        <v>129</v>
      </c>
      <c r="K71" s="137" t="s">
        <v>129</v>
      </c>
      <c r="L71" s="137" t="s">
        <v>129</v>
      </c>
      <c r="M71" s="141">
        <f t="shared" si="12"/>
        <v>5</v>
      </c>
      <c r="N71" s="143"/>
    </row>
    <row r="72" hidden="1" outlineLevel="2">
      <c r="A72" s="131" t="s">
        <v>1987</v>
      </c>
      <c r="B72" s="132">
        <v>45996.0</v>
      </c>
      <c r="C72" s="186" t="str">
        <f t="shared" si="10"/>
        <v>Fri</v>
      </c>
      <c r="D72" s="136">
        <f t="shared" si="11"/>
        <v>0.95</v>
      </c>
      <c r="E72" s="137" t="s">
        <v>129</v>
      </c>
      <c r="F72" s="137" t="s">
        <v>129</v>
      </c>
      <c r="G72" s="137" t="s">
        <v>129</v>
      </c>
      <c r="H72" s="137" t="s">
        <v>129</v>
      </c>
      <c r="I72" s="137" t="s">
        <v>129</v>
      </c>
      <c r="J72" s="137" t="s">
        <v>174</v>
      </c>
      <c r="K72" s="137" t="s">
        <v>129</v>
      </c>
      <c r="L72" s="137" t="s">
        <v>129</v>
      </c>
      <c r="M72" s="141">
        <f t="shared" si="12"/>
        <v>4</v>
      </c>
      <c r="N72" s="469" t="s">
        <v>1991</v>
      </c>
    </row>
    <row r="73" hidden="1" outlineLevel="2">
      <c r="A73" s="131" t="s">
        <v>1994</v>
      </c>
      <c r="B73" s="132">
        <v>45996.0</v>
      </c>
      <c r="C73" s="186" t="str">
        <f t="shared" si="10"/>
        <v>Fri</v>
      </c>
      <c r="D73" s="136">
        <f t="shared" si="11"/>
        <v>1</v>
      </c>
      <c r="E73" s="137" t="s">
        <v>129</v>
      </c>
      <c r="F73" s="137" t="s">
        <v>129</v>
      </c>
      <c r="G73" s="137" t="s">
        <v>129</v>
      </c>
      <c r="H73" s="137" t="s">
        <v>129</v>
      </c>
      <c r="I73" s="137" t="s">
        <v>129</v>
      </c>
      <c r="J73" s="137" t="s">
        <v>129</v>
      </c>
      <c r="K73" s="137" t="s">
        <v>129</v>
      </c>
      <c r="L73" s="137" t="s">
        <v>129</v>
      </c>
      <c r="M73" s="141">
        <f t="shared" si="12"/>
        <v>5</v>
      </c>
      <c r="N73" s="143"/>
    </row>
    <row r="74" hidden="1" outlineLevel="2">
      <c r="B74" s="189"/>
      <c r="C74" s="191" t="s">
        <v>194</v>
      </c>
      <c r="D74" s="204">
        <f>AVERAGE(D59:D73)</f>
        <v>0.9866666667</v>
      </c>
      <c r="E74" s="200"/>
      <c r="L74" s="191" t="s">
        <v>194</v>
      </c>
      <c r="M74" s="204">
        <f>SUM(M59:M73)/75*0.1</f>
        <v>0.09733333333</v>
      </c>
    </row>
    <row r="75" hidden="1" outlineLevel="1" collapsed="1">
      <c r="A75" s="206" t="s">
        <v>371</v>
      </c>
      <c r="B75" s="207"/>
      <c r="C75" s="207"/>
      <c r="D75" s="208"/>
      <c r="E75" s="109"/>
      <c r="F75" s="109"/>
      <c r="G75" s="110"/>
      <c r="H75" s="110"/>
      <c r="I75" s="110"/>
      <c r="J75" s="110"/>
      <c r="K75" s="110"/>
      <c r="L75" s="110"/>
      <c r="M75" s="111"/>
      <c r="N75" s="113"/>
    </row>
    <row r="76" hidden="1" outlineLevel="2">
      <c r="A76" s="115" t="s">
        <v>98</v>
      </c>
      <c r="B76" s="115" t="s">
        <v>100</v>
      </c>
      <c r="C76" s="115" t="s">
        <v>102</v>
      </c>
      <c r="D76" s="119" t="s">
        <v>103</v>
      </c>
      <c r="E76" s="275" t="s">
        <v>269</v>
      </c>
      <c r="F76" s="275" t="s">
        <v>272</v>
      </c>
      <c r="G76" s="276" t="s">
        <v>328</v>
      </c>
      <c r="H76" s="121" t="s">
        <v>107</v>
      </c>
      <c r="I76" s="121" t="s">
        <v>108</v>
      </c>
      <c r="J76" s="276" t="s">
        <v>329</v>
      </c>
      <c r="K76" s="121" t="s">
        <v>111</v>
      </c>
      <c r="L76" s="276" t="s">
        <v>274</v>
      </c>
      <c r="M76" s="115" t="s">
        <v>114</v>
      </c>
      <c r="N76" s="119" t="s">
        <v>115</v>
      </c>
    </row>
    <row r="77" hidden="1" outlineLevel="2">
      <c r="A77" s="255" t="s">
        <v>2003</v>
      </c>
      <c r="B77" s="132">
        <v>45999.0</v>
      </c>
      <c r="C77" s="133" t="str">
        <f t="shared" ref="C77:C91" si="13">IF(B77="", "", TEXT(B77, "ddd"))</f>
        <v>Mon</v>
      </c>
      <c r="D77" s="136">
        <f t="shared" ref="D77:D91" si="14">IF(E77="Yes",0.05,0)
+IF(F77="Yes",0.1,0)
+IF(G77="Yes",0.15,0)
+IF(H77="Yes",0.15,0)
+IF(I77="Yes",0.05,0)
+IF(J77="Yes",0.05,0)
+IF(K77="Yes",0.15,0)
+IF(L77="Yes",0.3,0)
</f>
        <v>1</v>
      </c>
      <c r="E77" s="137" t="s">
        <v>129</v>
      </c>
      <c r="F77" s="137" t="s">
        <v>129</v>
      </c>
      <c r="G77" s="137" t="s">
        <v>129</v>
      </c>
      <c r="H77" s="137" t="s">
        <v>129</v>
      </c>
      <c r="I77" s="137" t="s">
        <v>129</v>
      </c>
      <c r="J77" s="137" t="s">
        <v>129</v>
      </c>
      <c r="K77" s="137" t="s">
        <v>129</v>
      </c>
      <c r="L77" s="137" t="s">
        <v>129</v>
      </c>
      <c r="M77" s="141">
        <f t="shared" ref="M77:M91" si="15">IF(D77="", 0, 
    IF(D77&gt;=1, 5, 
    IF(D77&gt;=0.8, 4, 
    IF(D77&gt;=0.7, 3, 
    IF(D77&gt;=0.6, 2, 
    IF(D77&lt;0.5, 1, ""))))))</f>
        <v>5</v>
      </c>
      <c r="N77" s="143"/>
    </row>
    <row r="78" hidden="1" outlineLevel="2">
      <c r="A78" s="255" t="s">
        <v>2007</v>
      </c>
      <c r="B78" s="132">
        <v>45999.0</v>
      </c>
      <c r="C78" s="133" t="str">
        <f t="shared" si="13"/>
        <v>Mon</v>
      </c>
      <c r="D78" s="136">
        <f t="shared" si="14"/>
        <v>1</v>
      </c>
      <c r="E78" s="137" t="s">
        <v>129</v>
      </c>
      <c r="F78" s="137" t="s">
        <v>129</v>
      </c>
      <c r="G78" s="137" t="s">
        <v>129</v>
      </c>
      <c r="H78" s="137" t="s">
        <v>129</v>
      </c>
      <c r="I78" s="137" t="s">
        <v>129</v>
      </c>
      <c r="J78" s="137" t="s">
        <v>129</v>
      </c>
      <c r="K78" s="137" t="s">
        <v>129</v>
      </c>
      <c r="L78" s="137" t="s">
        <v>129</v>
      </c>
      <c r="M78" s="141">
        <f t="shared" si="15"/>
        <v>5</v>
      </c>
      <c r="N78" s="147"/>
    </row>
    <row r="79" hidden="1" outlineLevel="2">
      <c r="A79" s="255" t="s">
        <v>2010</v>
      </c>
      <c r="B79" s="132">
        <v>45999.0</v>
      </c>
      <c r="C79" s="133" t="str">
        <f t="shared" si="13"/>
        <v>Mon</v>
      </c>
      <c r="D79" s="136">
        <f t="shared" si="14"/>
        <v>1</v>
      </c>
      <c r="E79" s="137" t="s">
        <v>129</v>
      </c>
      <c r="F79" s="137" t="s">
        <v>129</v>
      </c>
      <c r="G79" s="137" t="s">
        <v>129</v>
      </c>
      <c r="H79" s="137" t="s">
        <v>129</v>
      </c>
      <c r="I79" s="137" t="s">
        <v>129</v>
      </c>
      <c r="J79" s="137" t="s">
        <v>129</v>
      </c>
      <c r="K79" s="137" t="s">
        <v>129</v>
      </c>
      <c r="L79" s="137" t="s">
        <v>129</v>
      </c>
      <c r="M79" s="141">
        <f t="shared" si="15"/>
        <v>5</v>
      </c>
      <c r="N79" s="147"/>
    </row>
    <row r="80" hidden="1" outlineLevel="2">
      <c r="A80" s="219" t="s">
        <v>2013</v>
      </c>
      <c r="B80" s="132">
        <v>46000.0</v>
      </c>
      <c r="C80" s="133" t="str">
        <f t="shared" si="13"/>
        <v>Tue</v>
      </c>
      <c r="D80" s="136">
        <f t="shared" si="14"/>
        <v>1</v>
      </c>
      <c r="E80" s="137" t="s">
        <v>129</v>
      </c>
      <c r="F80" s="137" t="s">
        <v>129</v>
      </c>
      <c r="G80" s="137" t="s">
        <v>129</v>
      </c>
      <c r="H80" s="137" t="s">
        <v>129</v>
      </c>
      <c r="I80" s="137" t="s">
        <v>129</v>
      </c>
      <c r="J80" s="137" t="s">
        <v>129</v>
      </c>
      <c r="K80" s="137" t="s">
        <v>129</v>
      </c>
      <c r="L80" s="137" t="s">
        <v>129</v>
      </c>
      <c r="M80" s="141">
        <f t="shared" si="15"/>
        <v>5</v>
      </c>
      <c r="N80" s="143"/>
    </row>
    <row r="81" hidden="1" outlineLevel="2">
      <c r="A81" s="219" t="s">
        <v>2014</v>
      </c>
      <c r="B81" s="132">
        <v>46000.0</v>
      </c>
      <c r="C81" s="133" t="str">
        <f t="shared" si="13"/>
        <v>Tue</v>
      </c>
      <c r="D81" s="136">
        <f t="shared" si="14"/>
        <v>1</v>
      </c>
      <c r="E81" s="137" t="s">
        <v>129</v>
      </c>
      <c r="F81" s="137" t="s">
        <v>129</v>
      </c>
      <c r="G81" s="137" t="s">
        <v>129</v>
      </c>
      <c r="H81" s="137" t="s">
        <v>129</v>
      </c>
      <c r="I81" s="137" t="s">
        <v>129</v>
      </c>
      <c r="J81" s="137" t="s">
        <v>129</v>
      </c>
      <c r="K81" s="137" t="s">
        <v>129</v>
      </c>
      <c r="L81" s="137" t="s">
        <v>129</v>
      </c>
      <c r="M81" s="141">
        <f t="shared" si="15"/>
        <v>5</v>
      </c>
      <c r="N81" s="143"/>
    </row>
    <row r="82" hidden="1" outlineLevel="2">
      <c r="A82" s="219" t="s">
        <v>2018</v>
      </c>
      <c r="B82" s="132">
        <v>46000.0</v>
      </c>
      <c r="C82" s="133" t="str">
        <f t="shared" si="13"/>
        <v>Tue</v>
      </c>
      <c r="D82" s="136">
        <f t="shared" si="14"/>
        <v>1</v>
      </c>
      <c r="E82" s="137" t="s">
        <v>129</v>
      </c>
      <c r="F82" s="137" t="s">
        <v>129</v>
      </c>
      <c r="G82" s="137" t="s">
        <v>129</v>
      </c>
      <c r="H82" s="137" t="s">
        <v>129</v>
      </c>
      <c r="I82" s="137" t="s">
        <v>129</v>
      </c>
      <c r="J82" s="137" t="s">
        <v>129</v>
      </c>
      <c r="K82" s="137" t="s">
        <v>129</v>
      </c>
      <c r="L82" s="137" t="s">
        <v>129</v>
      </c>
      <c r="M82" s="141">
        <f t="shared" si="15"/>
        <v>5</v>
      </c>
      <c r="N82" s="143"/>
    </row>
    <row r="83" hidden="1" outlineLevel="2">
      <c r="A83" s="219" t="s">
        <v>2019</v>
      </c>
      <c r="B83" s="132">
        <v>46001.0</v>
      </c>
      <c r="C83" s="133" t="str">
        <f t="shared" si="13"/>
        <v>Wed</v>
      </c>
      <c r="D83" s="136">
        <f t="shared" si="14"/>
        <v>1</v>
      </c>
      <c r="E83" s="137" t="s">
        <v>129</v>
      </c>
      <c r="F83" s="137" t="s">
        <v>129</v>
      </c>
      <c r="G83" s="137" t="s">
        <v>129</v>
      </c>
      <c r="H83" s="137" t="s">
        <v>129</v>
      </c>
      <c r="I83" s="137" t="s">
        <v>129</v>
      </c>
      <c r="J83" s="137" t="s">
        <v>129</v>
      </c>
      <c r="K83" s="137" t="s">
        <v>129</v>
      </c>
      <c r="L83" s="137" t="s">
        <v>129</v>
      </c>
      <c r="M83" s="141">
        <f t="shared" si="15"/>
        <v>5</v>
      </c>
      <c r="N83" s="143"/>
    </row>
    <row r="84" hidden="1" outlineLevel="2">
      <c r="A84" s="219" t="s">
        <v>2022</v>
      </c>
      <c r="B84" s="132">
        <v>46001.0</v>
      </c>
      <c r="C84" s="133" t="str">
        <f t="shared" si="13"/>
        <v>Wed</v>
      </c>
      <c r="D84" s="136">
        <f t="shared" si="14"/>
        <v>1</v>
      </c>
      <c r="E84" s="137" t="s">
        <v>129</v>
      </c>
      <c r="F84" s="137" t="s">
        <v>129</v>
      </c>
      <c r="G84" s="137" t="s">
        <v>129</v>
      </c>
      <c r="H84" s="137" t="s">
        <v>129</v>
      </c>
      <c r="I84" s="137" t="s">
        <v>129</v>
      </c>
      <c r="J84" s="137" t="s">
        <v>129</v>
      </c>
      <c r="K84" s="137" t="s">
        <v>129</v>
      </c>
      <c r="L84" s="137" t="s">
        <v>129</v>
      </c>
      <c r="M84" s="141">
        <f t="shared" si="15"/>
        <v>5</v>
      </c>
      <c r="N84" s="147"/>
    </row>
    <row r="85" hidden="1" outlineLevel="2">
      <c r="A85" s="219" t="s">
        <v>2026</v>
      </c>
      <c r="B85" s="132">
        <v>46001.0</v>
      </c>
      <c r="C85" s="133" t="str">
        <f t="shared" si="13"/>
        <v>Wed</v>
      </c>
      <c r="D85" s="136">
        <f t="shared" si="14"/>
        <v>1</v>
      </c>
      <c r="E85" s="137" t="s">
        <v>129</v>
      </c>
      <c r="F85" s="137" t="s">
        <v>129</v>
      </c>
      <c r="G85" s="137" t="s">
        <v>129</v>
      </c>
      <c r="H85" s="137" t="s">
        <v>129</v>
      </c>
      <c r="I85" s="137" t="s">
        <v>129</v>
      </c>
      <c r="J85" s="137" t="s">
        <v>129</v>
      </c>
      <c r="K85" s="137" t="s">
        <v>129</v>
      </c>
      <c r="L85" s="137" t="s">
        <v>129</v>
      </c>
      <c r="M85" s="141">
        <f t="shared" si="15"/>
        <v>5</v>
      </c>
      <c r="N85" s="143"/>
    </row>
    <row r="86" hidden="1" outlineLevel="2">
      <c r="A86" s="177" t="s">
        <v>2029</v>
      </c>
      <c r="B86" s="132">
        <v>46002.0</v>
      </c>
      <c r="C86" s="133" t="str">
        <f t="shared" si="13"/>
        <v>Thu</v>
      </c>
      <c r="D86" s="136">
        <f t="shared" si="14"/>
        <v>1</v>
      </c>
      <c r="E86" s="137" t="s">
        <v>129</v>
      </c>
      <c r="F86" s="137" t="s">
        <v>129</v>
      </c>
      <c r="G86" s="137" t="s">
        <v>129</v>
      </c>
      <c r="H86" s="137" t="s">
        <v>129</v>
      </c>
      <c r="I86" s="137" t="s">
        <v>129</v>
      </c>
      <c r="J86" s="137" t="s">
        <v>129</v>
      </c>
      <c r="K86" s="137" t="s">
        <v>129</v>
      </c>
      <c r="L86" s="137" t="s">
        <v>129</v>
      </c>
      <c r="M86" s="141">
        <f t="shared" si="15"/>
        <v>5</v>
      </c>
      <c r="N86" s="143"/>
    </row>
    <row r="87" hidden="1" outlineLevel="2">
      <c r="A87" s="177" t="s">
        <v>2032</v>
      </c>
      <c r="B87" s="132">
        <v>46002.0</v>
      </c>
      <c r="C87" s="133" t="str">
        <f t="shared" si="13"/>
        <v>Thu</v>
      </c>
      <c r="D87" s="136">
        <f t="shared" si="14"/>
        <v>1</v>
      </c>
      <c r="E87" s="137" t="s">
        <v>129</v>
      </c>
      <c r="F87" s="137" t="s">
        <v>129</v>
      </c>
      <c r="G87" s="137" t="s">
        <v>129</v>
      </c>
      <c r="H87" s="137" t="s">
        <v>129</v>
      </c>
      <c r="I87" s="137" t="s">
        <v>129</v>
      </c>
      <c r="J87" s="137" t="s">
        <v>129</v>
      </c>
      <c r="K87" s="137" t="s">
        <v>129</v>
      </c>
      <c r="L87" s="137" t="s">
        <v>129</v>
      </c>
      <c r="M87" s="141">
        <f t="shared" si="15"/>
        <v>5</v>
      </c>
      <c r="N87" s="147"/>
    </row>
    <row r="88" hidden="1" outlineLevel="2">
      <c r="A88" s="177" t="s">
        <v>2040</v>
      </c>
      <c r="B88" s="132">
        <v>46002.0</v>
      </c>
      <c r="C88" s="133" t="str">
        <f t="shared" si="13"/>
        <v>Thu</v>
      </c>
      <c r="D88" s="136">
        <f t="shared" si="14"/>
        <v>1</v>
      </c>
      <c r="E88" s="137" t="s">
        <v>129</v>
      </c>
      <c r="F88" s="137" t="s">
        <v>129</v>
      </c>
      <c r="G88" s="137" t="s">
        <v>129</v>
      </c>
      <c r="H88" s="137" t="s">
        <v>129</v>
      </c>
      <c r="I88" s="137" t="s">
        <v>129</v>
      </c>
      <c r="J88" s="137" t="s">
        <v>129</v>
      </c>
      <c r="K88" s="137" t="s">
        <v>129</v>
      </c>
      <c r="L88" s="137" t="s">
        <v>129</v>
      </c>
      <c r="M88" s="141">
        <f t="shared" si="15"/>
        <v>5</v>
      </c>
      <c r="N88" s="143"/>
    </row>
    <row r="89" hidden="1" outlineLevel="2">
      <c r="A89" s="219" t="s">
        <v>2044</v>
      </c>
      <c r="B89" s="132">
        <v>46003.0</v>
      </c>
      <c r="C89" s="186" t="str">
        <f t="shared" si="13"/>
        <v>Fri</v>
      </c>
      <c r="D89" s="136">
        <f t="shared" si="14"/>
        <v>1</v>
      </c>
      <c r="E89" s="137" t="s">
        <v>129</v>
      </c>
      <c r="F89" s="137" t="s">
        <v>129</v>
      </c>
      <c r="G89" s="137" t="s">
        <v>129</v>
      </c>
      <c r="H89" s="137" t="s">
        <v>129</v>
      </c>
      <c r="I89" s="137" t="s">
        <v>129</v>
      </c>
      <c r="J89" s="137" t="s">
        <v>129</v>
      </c>
      <c r="K89" s="137" t="s">
        <v>129</v>
      </c>
      <c r="L89" s="137" t="s">
        <v>129</v>
      </c>
      <c r="M89" s="141">
        <f t="shared" si="15"/>
        <v>5</v>
      </c>
      <c r="N89" s="143"/>
    </row>
    <row r="90" hidden="1" outlineLevel="2">
      <c r="A90" s="219" t="s">
        <v>2046</v>
      </c>
      <c r="B90" s="132">
        <v>46003.0</v>
      </c>
      <c r="C90" s="186" t="str">
        <f t="shared" si="13"/>
        <v>Fri</v>
      </c>
      <c r="D90" s="136">
        <f t="shared" si="14"/>
        <v>1</v>
      </c>
      <c r="E90" s="137" t="s">
        <v>129</v>
      </c>
      <c r="F90" s="137" t="s">
        <v>129</v>
      </c>
      <c r="G90" s="137" t="s">
        <v>129</v>
      </c>
      <c r="H90" s="137" t="s">
        <v>129</v>
      </c>
      <c r="I90" s="137" t="s">
        <v>129</v>
      </c>
      <c r="J90" s="137" t="s">
        <v>129</v>
      </c>
      <c r="K90" s="137" t="s">
        <v>129</v>
      </c>
      <c r="L90" s="137" t="s">
        <v>129</v>
      </c>
      <c r="M90" s="141">
        <f t="shared" si="15"/>
        <v>5</v>
      </c>
      <c r="N90" s="143"/>
    </row>
    <row r="91" hidden="1" outlineLevel="2">
      <c r="A91" s="219" t="s">
        <v>2050</v>
      </c>
      <c r="B91" s="132">
        <v>46003.0</v>
      </c>
      <c r="C91" s="186" t="str">
        <f t="shared" si="13"/>
        <v>Fri</v>
      </c>
      <c r="D91" s="136">
        <f t="shared" si="14"/>
        <v>1</v>
      </c>
      <c r="E91" s="137" t="s">
        <v>129</v>
      </c>
      <c r="F91" s="137" t="s">
        <v>129</v>
      </c>
      <c r="G91" s="137" t="s">
        <v>129</v>
      </c>
      <c r="H91" s="137" t="s">
        <v>129</v>
      </c>
      <c r="I91" s="137" t="s">
        <v>129</v>
      </c>
      <c r="J91" s="137" t="s">
        <v>129</v>
      </c>
      <c r="K91" s="137" t="s">
        <v>129</v>
      </c>
      <c r="L91" s="137" t="s">
        <v>129</v>
      </c>
      <c r="M91" s="141">
        <f t="shared" si="15"/>
        <v>5</v>
      </c>
      <c r="N91" s="143"/>
    </row>
    <row r="92" hidden="1" outlineLevel="2">
      <c r="B92" s="189"/>
      <c r="C92" s="191" t="s">
        <v>194</v>
      </c>
      <c r="D92" s="204">
        <f>AVERAGE(D77:D91)</f>
        <v>1</v>
      </c>
      <c r="E92" s="200"/>
      <c r="L92" s="191" t="s">
        <v>194</v>
      </c>
      <c r="M92" s="204">
        <f>SUM(M77:M91)/75*0.1</f>
        <v>0.1</v>
      </c>
    </row>
    <row r="93" hidden="1" outlineLevel="1" collapsed="1">
      <c r="A93" s="206" t="s">
        <v>403</v>
      </c>
      <c r="B93" s="207"/>
      <c r="C93" s="207"/>
      <c r="D93" s="208"/>
      <c r="E93" s="109"/>
      <c r="F93" s="109"/>
      <c r="G93" s="110"/>
      <c r="H93" s="110"/>
      <c r="I93" s="110"/>
      <c r="J93" s="110"/>
      <c r="K93" s="110"/>
      <c r="L93" s="110"/>
      <c r="M93" s="111"/>
      <c r="N93" s="113"/>
    </row>
    <row r="94" hidden="1" outlineLevel="2">
      <c r="A94" s="115" t="s">
        <v>98</v>
      </c>
      <c r="B94" s="115" t="s">
        <v>100</v>
      </c>
      <c r="C94" s="115" t="s">
        <v>102</v>
      </c>
      <c r="D94" s="119" t="s">
        <v>103</v>
      </c>
      <c r="E94" s="275" t="s">
        <v>269</v>
      </c>
      <c r="F94" s="275" t="s">
        <v>272</v>
      </c>
      <c r="G94" s="276" t="s">
        <v>328</v>
      </c>
      <c r="H94" s="121" t="s">
        <v>107</v>
      </c>
      <c r="I94" s="121" t="s">
        <v>108</v>
      </c>
      <c r="J94" s="276" t="s">
        <v>329</v>
      </c>
      <c r="K94" s="121" t="s">
        <v>111</v>
      </c>
      <c r="L94" s="276" t="s">
        <v>274</v>
      </c>
      <c r="M94" s="115" t="s">
        <v>114</v>
      </c>
      <c r="N94" s="119" t="s">
        <v>115</v>
      </c>
    </row>
    <row r="95" hidden="1" outlineLevel="2">
      <c r="A95" s="219" t="s">
        <v>2053</v>
      </c>
      <c r="B95" s="132">
        <v>46006.0</v>
      </c>
      <c r="C95" s="133" t="str">
        <f t="shared" ref="C95:C109" si="16">IF(B95="", "", TEXT(B95, "ddd"))</f>
        <v>Mon</v>
      </c>
      <c r="D95" s="136">
        <f t="shared" ref="D95:D109" si="17">IF(E95="Yes",0.05,0)
+IF(F95="Yes",0.1,0)
+IF(G95="Yes",0.15,0)
+IF(H95="Yes",0.15,0)
+IF(I95="Yes",0.05,0)
+IF(J95="Yes",0.05,0)
+IF(K95="Yes",0.15,0)
+IF(L95="Yes",0.3,0)
</f>
        <v>1</v>
      </c>
      <c r="E95" s="137" t="s">
        <v>129</v>
      </c>
      <c r="F95" s="137" t="s">
        <v>129</v>
      </c>
      <c r="G95" s="137" t="s">
        <v>129</v>
      </c>
      <c r="H95" s="137" t="s">
        <v>129</v>
      </c>
      <c r="I95" s="137" t="s">
        <v>129</v>
      </c>
      <c r="J95" s="137" t="s">
        <v>129</v>
      </c>
      <c r="K95" s="137" t="s">
        <v>129</v>
      </c>
      <c r="L95" s="137" t="s">
        <v>129</v>
      </c>
      <c r="M95" s="141"/>
      <c r="N95" s="143"/>
    </row>
    <row r="96" hidden="1" outlineLevel="2">
      <c r="A96" s="219" t="s">
        <v>2055</v>
      </c>
      <c r="B96" s="132">
        <v>46006.0</v>
      </c>
      <c r="C96" s="133" t="str">
        <f t="shared" si="16"/>
        <v>Mon</v>
      </c>
      <c r="D96" s="136">
        <f t="shared" si="17"/>
        <v>1</v>
      </c>
      <c r="E96" s="137" t="s">
        <v>129</v>
      </c>
      <c r="F96" s="137" t="s">
        <v>129</v>
      </c>
      <c r="G96" s="137" t="s">
        <v>129</v>
      </c>
      <c r="H96" s="137" t="s">
        <v>129</v>
      </c>
      <c r="I96" s="137" t="s">
        <v>129</v>
      </c>
      <c r="J96" s="137" t="s">
        <v>129</v>
      </c>
      <c r="K96" s="137" t="s">
        <v>129</v>
      </c>
      <c r="L96" s="137" t="s">
        <v>129</v>
      </c>
      <c r="M96" s="141"/>
      <c r="N96" s="147"/>
    </row>
    <row r="97" hidden="1" outlineLevel="2">
      <c r="A97" s="219" t="s">
        <v>2058</v>
      </c>
      <c r="B97" s="132">
        <v>46006.0</v>
      </c>
      <c r="C97" s="133" t="str">
        <f t="shared" si="16"/>
        <v>Mon</v>
      </c>
      <c r="D97" s="136">
        <f t="shared" si="17"/>
        <v>1</v>
      </c>
      <c r="E97" s="137" t="s">
        <v>129</v>
      </c>
      <c r="F97" s="137" t="s">
        <v>129</v>
      </c>
      <c r="G97" s="137" t="s">
        <v>129</v>
      </c>
      <c r="H97" s="137" t="s">
        <v>129</v>
      </c>
      <c r="I97" s="137" t="s">
        <v>129</v>
      </c>
      <c r="J97" s="137" t="s">
        <v>129</v>
      </c>
      <c r="K97" s="137" t="s">
        <v>129</v>
      </c>
      <c r="L97" s="137" t="s">
        <v>129</v>
      </c>
      <c r="M97" s="141"/>
      <c r="N97" s="147"/>
    </row>
    <row r="98" hidden="1" outlineLevel="2">
      <c r="A98" s="219" t="s">
        <v>2060</v>
      </c>
      <c r="B98" s="132">
        <v>46007.0</v>
      </c>
      <c r="C98" s="133" t="str">
        <f t="shared" si="16"/>
        <v>Tue</v>
      </c>
      <c r="D98" s="136">
        <f t="shared" si="17"/>
        <v>1</v>
      </c>
      <c r="E98" s="137" t="s">
        <v>129</v>
      </c>
      <c r="F98" s="137" t="s">
        <v>129</v>
      </c>
      <c r="G98" s="137" t="s">
        <v>129</v>
      </c>
      <c r="H98" s="137" t="s">
        <v>129</v>
      </c>
      <c r="I98" s="137" t="s">
        <v>129</v>
      </c>
      <c r="J98" s="137" t="s">
        <v>129</v>
      </c>
      <c r="K98" s="137" t="s">
        <v>129</v>
      </c>
      <c r="L98" s="137" t="s">
        <v>129</v>
      </c>
      <c r="M98" s="141"/>
      <c r="N98" s="143"/>
    </row>
    <row r="99" hidden="1" outlineLevel="2">
      <c r="A99" s="219" t="s">
        <v>2061</v>
      </c>
      <c r="B99" s="132">
        <v>46007.0</v>
      </c>
      <c r="C99" s="133" t="str">
        <f t="shared" si="16"/>
        <v>Tue</v>
      </c>
      <c r="D99" s="136">
        <f t="shared" si="17"/>
        <v>1</v>
      </c>
      <c r="E99" s="137" t="s">
        <v>129</v>
      </c>
      <c r="F99" s="137" t="s">
        <v>129</v>
      </c>
      <c r="G99" s="137" t="s">
        <v>129</v>
      </c>
      <c r="H99" s="137" t="s">
        <v>129</v>
      </c>
      <c r="I99" s="137" t="s">
        <v>129</v>
      </c>
      <c r="J99" s="137" t="s">
        <v>129</v>
      </c>
      <c r="K99" s="137" t="s">
        <v>129</v>
      </c>
      <c r="L99" s="137" t="s">
        <v>129</v>
      </c>
      <c r="M99" s="141"/>
      <c r="N99" s="143"/>
    </row>
    <row r="100" hidden="1" outlineLevel="2">
      <c r="A100" s="219" t="s">
        <v>2062</v>
      </c>
      <c r="B100" s="132">
        <v>46007.0</v>
      </c>
      <c r="C100" s="133" t="str">
        <f t="shared" si="16"/>
        <v>Tue</v>
      </c>
      <c r="D100" s="136">
        <f t="shared" si="17"/>
        <v>1</v>
      </c>
      <c r="E100" s="137" t="s">
        <v>129</v>
      </c>
      <c r="F100" s="137" t="s">
        <v>129</v>
      </c>
      <c r="G100" s="137" t="s">
        <v>129</v>
      </c>
      <c r="H100" s="137" t="s">
        <v>129</v>
      </c>
      <c r="I100" s="137" t="s">
        <v>129</v>
      </c>
      <c r="J100" s="137" t="s">
        <v>129</v>
      </c>
      <c r="K100" s="137" t="s">
        <v>129</v>
      </c>
      <c r="L100" s="137" t="s">
        <v>129</v>
      </c>
      <c r="M100" s="141"/>
      <c r="N100" s="143"/>
    </row>
    <row r="101" hidden="1" outlineLevel="2">
      <c r="A101" s="219" t="s">
        <v>2064</v>
      </c>
      <c r="B101" s="132">
        <v>46008.0</v>
      </c>
      <c r="C101" s="133" t="str">
        <f t="shared" si="16"/>
        <v>Wed</v>
      </c>
      <c r="D101" s="136">
        <f t="shared" si="17"/>
        <v>0.95</v>
      </c>
      <c r="E101" s="137" t="s">
        <v>129</v>
      </c>
      <c r="F101" s="137" t="s">
        <v>129</v>
      </c>
      <c r="G101" s="137" t="s">
        <v>129</v>
      </c>
      <c r="H101" s="137" t="s">
        <v>129</v>
      </c>
      <c r="I101" s="137" t="s">
        <v>129</v>
      </c>
      <c r="J101" s="137" t="s">
        <v>174</v>
      </c>
      <c r="K101" s="137" t="s">
        <v>129</v>
      </c>
      <c r="L101" s="137" t="s">
        <v>129</v>
      </c>
      <c r="M101" s="141"/>
      <c r="N101" s="147" t="s">
        <v>2066</v>
      </c>
    </row>
    <row r="102" hidden="1" outlineLevel="2">
      <c r="A102" s="219" t="s">
        <v>2067</v>
      </c>
      <c r="B102" s="132">
        <v>46008.0</v>
      </c>
      <c r="C102" s="133" t="str">
        <f t="shared" si="16"/>
        <v>Wed</v>
      </c>
      <c r="D102" s="136">
        <f t="shared" si="17"/>
        <v>1</v>
      </c>
      <c r="E102" s="137" t="s">
        <v>129</v>
      </c>
      <c r="F102" s="137" t="s">
        <v>129</v>
      </c>
      <c r="G102" s="137" t="s">
        <v>129</v>
      </c>
      <c r="H102" s="137" t="s">
        <v>129</v>
      </c>
      <c r="I102" s="137" t="s">
        <v>129</v>
      </c>
      <c r="J102" s="137" t="s">
        <v>129</v>
      </c>
      <c r="K102" s="137" t="s">
        <v>129</v>
      </c>
      <c r="L102" s="137" t="s">
        <v>129</v>
      </c>
      <c r="M102" s="141"/>
      <c r="N102" s="147"/>
    </row>
    <row r="103" hidden="1" outlineLevel="2">
      <c r="A103" s="219" t="s">
        <v>2069</v>
      </c>
      <c r="B103" s="132">
        <v>46008.0</v>
      </c>
      <c r="C103" s="133" t="str">
        <f t="shared" si="16"/>
        <v>Wed</v>
      </c>
      <c r="D103" s="136">
        <f t="shared" si="17"/>
        <v>1</v>
      </c>
      <c r="E103" s="137" t="s">
        <v>129</v>
      </c>
      <c r="F103" s="137" t="s">
        <v>129</v>
      </c>
      <c r="G103" s="137" t="s">
        <v>129</v>
      </c>
      <c r="H103" s="137" t="s">
        <v>129</v>
      </c>
      <c r="I103" s="137" t="s">
        <v>129</v>
      </c>
      <c r="J103" s="137" t="s">
        <v>129</v>
      </c>
      <c r="K103" s="137" t="s">
        <v>129</v>
      </c>
      <c r="L103" s="137" t="s">
        <v>129</v>
      </c>
      <c r="M103" s="141"/>
      <c r="N103" s="143"/>
    </row>
    <row r="104" hidden="1" outlineLevel="2">
      <c r="A104" s="131" t="s">
        <v>2072</v>
      </c>
      <c r="B104" s="132">
        <v>46009.0</v>
      </c>
      <c r="C104" s="133" t="str">
        <f t="shared" si="16"/>
        <v>Thu</v>
      </c>
      <c r="D104" s="136">
        <f t="shared" si="17"/>
        <v>1</v>
      </c>
      <c r="E104" s="137" t="s">
        <v>129</v>
      </c>
      <c r="F104" s="137" t="s">
        <v>129</v>
      </c>
      <c r="G104" s="137" t="s">
        <v>129</v>
      </c>
      <c r="H104" s="137" t="s">
        <v>129</v>
      </c>
      <c r="I104" s="137" t="s">
        <v>129</v>
      </c>
      <c r="J104" s="137" t="s">
        <v>129</v>
      </c>
      <c r="K104" s="137" t="s">
        <v>129</v>
      </c>
      <c r="L104" s="137" t="s">
        <v>129</v>
      </c>
      <c r="M104" s="141"/>
      <c r="N104" s="143"/>
    </row>
    <row r="105" hidden="1" outlineLevel="2">
      <c r="A105" s="131" t="s">
        <v>2075</v>
      </c>
      <c r="B105" s="132">
        <v>46009.0</v>
      </c>
      <c r="C105" s="133" t="str">
        <f t="shared" si="16"/>
        <v>Thu</v>
      </c>
      <c r="D105" s="136">
        <f t="shared" si="17"/>
        <v>1</v>
      </c>
      <c r="E105" s="137" t="s">
        <v>129</v>
      </c>
      <c r="F105" s="137" t="s">
        <v>129</v>
      </c>
      <c r="G105" s="137" t="s">
        <v>129</v>
      </c>
      <c r="H105" s="137" t="s">
        <v>129</v>
      </c>
      <c r="I105" s="137" t="s">
        <v>129</v>
      </c>
      <c r="J105" s="137" t="s">
        <v>129</v>
      </c>
      <c r="K105" s="137" t="s">
        <v>129</v>
      </c>
      <c r="L105" s="137" t="s">
        <v>129</v>
      </c>
      <c r="M105" s="141"/>
      <c r="N105" s="147"/>
    </row>
    <row r="106" hidden="1" outlineLevel="2">
      <c r="A106" s="131" t="s">
        <v>2077</v>
      </c>
      <c r="B106" s="132">
        <v>46009.0</v>
      </c>
      <c r="C106" s="133" t="str">
        <f t="shared" si="16"/>
        <v>Thu</v>
      </c>
      <c r="D106" s="136">
        <f t="shared" si="17"/>
        <v>1</v>
      </c>
      <c r="E106" s="137" t="s">
        <v>129</v>
      </c>
      <c r="F106" s="137" t="s">
        <v>129</v>
      </c>
      <c r="G106" s="137" t="s">
        <v>129</v>
      </c>
      <c r="H106" s="137" t="s">
        <v>129</v>
      </c>
      <c r="I106" s="137" t="s">
        <v>129</v>
      </c>
      <c r="J106" s="137" t="s">
        <v>129</v>
      </c>
      <c r="K106" s="137" t="s">
        <v>129</v>
      </c>
      <c r="L106" s="137" t="s">
        <v>129</v>
      </c>
      <c r="M106" s="141"/>
      <c r="N106" s="143"/>
    </row>
    <row r="107" hidden="1" outlineLevel="2">
      <c r="A107" s="255" t="s">
        <v>2079</v>
      </c>
      <c r="B107" s="132">
        <v>46010.0</v>
      </c>
      <c r="C107" s="186" t="str">
        <f t="shared" si="16"/>
        <v>Fri</v>
      </c>
      <c r="D107" s="136">
        <f t="shared" si="17"/>
        <v>1</v>
      </c>
      <c r="E107" s="137" t="s">
        <v>129</v>
      </c>
      <c r="F107" s="137" t="s">
        <v>129</v>
      </c>
      <c r="G107" s="137" t="s">
        <v>129</v>
      </c>
      <c r="H107" s="137" t="s">
        <v>129</v>
      </c>
      <c r="I107" s="137" t="s">
        <v>129</v>
      </c>
      <c r="J107" s="137" t="s">
        <v>129</v>
      </c>
      <c r="K107" s="137" t="s">
        <v>129</v>
      </c>
      <c r="L107" s="137" t="s">
        <v>129</v>
      </c>
      <c r="M107" s="141"/>
      <c r="N107" s="143"/>
    </row>
    <row r="108" hidden="1" outlineLevel="2">
      <c r="A108" s="255" t="s">
        <v>2082</v>
      </c>
      <c r="B108" s="132">
        <v>46010.0</v>
      </c>
      <c r="C108" s="186" t="str">
        <f t="shared" si="16"/>
        <v>Fri</v>
      </c>
      <c r="D108" s="136">
        <f t="shared" si="17"/>
        <v>1</v>
      </c>
      <c r="E108" s="137" t="s">
        <v>129</v>
      </c>
      <c r="F108" s="137" t="s">
        <v>129</v>
      </c>
      <c r="G108" s="137" t="s">
        <v>129</v>
      </c>
      <c r="H108" s="137" t="s">
        <v>129</v>
      </c>
      <c r="I108" s="137" t="s">
        <v>129</v>
      </c>
      <c r="J108" s="137" t="s">
        <v>129</v>
      </c>
      <c r="K108" s="137" t="s">
        <v>129</v>
      </c>
      <c r="L108" s="137" t="s">
        <v>129</v>
      </c>
      <c r="M108" s="141"/>
      <c r="N108" s="143"/>
    </row>
    <row r="109" ht="15.0" hidden="1" customHeight="1" outlineLevel="2">
      <c r="A109" s="255" t="s">
        <v>2085</v>
      </c>
      <c r="B109" s="132">
        <v>46010.0</v>
      </c>
      <c r="C109" s="186" t="str">
        <f t="shared" si="16"/>
        <v>Fri</v>
      </c>
      <c r="D109" s="136">
        <f t="shared" si="17"/>
        <v>1</v>
      </c>
      <c r="E109" s="137" t="s">
        <v>129</v>
      </c>
      <c r="F109" s="137" t="s">
        <v>129</v>
      </c>
      <c r="G109" s="137" t="s">
        <v>129</v>
      </c>
      <c r="H109" s="137" t="s">
        <v>129</v>
      </c>
      <c r="I109" s="137" t="s">
        <v>129</v>
      </c>
      <c r="J109" s="137" t="s">
        <v>129</v>
      </c>
      <c r="K109" s="137" t="s">
        <v>129</v>
      </c>
      <c r="L109" s="137" t="s">
        <v>129</v>
      </c>
      <c r="M109" s="141"/>
      <c r="N109" s="147"/>
    </row>
    <row r="110" hidden="1" outlineLevel="2">
      <c r="B110" s="189"/>
      <c r="C110" s="191" t="s">
        <v>194</v>
      </c>
      <c r="D110" s="204">
        <f>AVERAGE(D95:D109)</f>
        <v>0.9966666667</v>
      </c>
      <c r="E110" s="200"/>
      <c r="L110" s="191" t="s">
        <v>194</v>
      </c>
      <c r="M110" s="204">
        <f>SUM(M95:M109)/75*0.1</f>
        <v>0</v>
      </c>
    </row>
    <row r="111" hidden="1" outlineLevel="1" collapsed="1">
      <c r="A111" s="206" t="s">
        <v>429</v>
      </c>
      <c r="B111" s="207"/>
      <c r="C111" s="207"/>
      <c r="D111" s="208"/>
      <c r="E111" s="109"/>
      <c r="F111" s="109"/>
      <c r="G111" s="110"/>
      <c r="H111" s="110"/>
      <c r="I111" s="110"/>
      <c r="J111" s="110"/>
      <c r="K111" s="110"/>
      <c r="L111" s="110"/>
      <c r="M111" s="111"/>
      <c r="N111" s="113"/>
    </row>
    <row r="112" hidden="1" outlineLevel="2">
      <c r="A112" s="115" t="s">
        <v>98</v>
      </c>
      <c r="B112" s="115" t="s">
        <v>100</v>
      </c>
      <c r="C112" s="115" t="s">
        <v>102</v>
      </c>
      <c r="D112" s="119" t="s">
        <v>103</v>
      </c>
      <c r="E112" s="275" t="s">
        <v>269</v>
      </c>
      <c r="F112" s="275" t="s">
        <v>272</v>
      </c>
      <c r="G112" s="276" t="s">
        <v>328</v>
      </c>
      <c r="H112" s="121" t="s">
        <v>107</v>
      </c>
      <c r="I112" s="121" t="s">
        <v>108</v>
      </c>
      <c r="J112" s="276" t="s">
        <v>329</v>
      </c>
      <c r="K112" s="121" t="s">
        <v>111</v>
      </c>
      <c r="L112" s="276" t="s">
        <v>274</v>
      </c>
      <c r="M112" s="115" t="s">
        <v>114</v>
      </c>
      <c r="N112" s="119" t="s">
        <v>115</v>
      </c>
    </row>
    <row r="113" hidden="1" outlineLevel="2">
      <c r="A113" s="470" t="s">
        <v>2092</v>
      </c>
      <c r="B113" s="132">
        <v>46013.0</v>
      </c>
      <c r="C113" s="133" t="str">
        <f t="shared" ref="C113:C127" si="18">IF(B113="", "", TEXT(B113, "ddd"))</f>
        <v>Mon</v>
      </c>
      <c r="D113" s="136">
        <f t="shared" ref="D113:D127" si="19">IF(E113="Yes",0.05,0)
+IF(F113="Yes",0.1,0)
+IF(G113="Yes",0.15,0)
+IF(H113="Yes",0.15,0)
+IF(I113="Yes",0.05,0)
+IF(J113="Yes",0.05,0)
+IF(K113="Yes",0.15,0)
+IF(L113="Yes",0.3,0)
</f>
        <v>1</v>
      </c>
      <c r="E113" s="137" t="s">
        <v>129</v>
      </c>
      <c r="F113" s="137" t="s">
        <v>129</v>
      </c>
      <c r="G113" s="137" t="s">
        <v>129</v>
      </c>
      <c r="H113" s="137" t="s">
        <v>129</v>
      </c>
      <c r="I113" s="137" t="s">
        <v>129</v>
      </c>
      <c r="J113" s="137" t="s">
        <v>129</v>
      </c>
      <c r="K113" s="137" t="s">
        <v>129</v>
      </c>
      <c r="L113" s="137" t="s">
        <v>129</v>
      </c>
      <c r="M113" s="141"/>
      <c r="N113" s="143"/>
    </row>
    <row r="114" hidden="1" outlineLevel="2">
      <c r="A114" s="219" t="s">
        <v>2097</v>
      </c>
      <c r="B114" s="132">
        <v>46013.0</v>
      </c>
      <c r="C114" s="133" t="str">
        <f t="shared" si="18"/>
        <v>Mon</v>
      </c>
      <c r="D114" s="136">
        <f t="shared" si="19"/>
        <v>1</v>
      </c>
      <c r="E114" s="137" t="s">
        <v>129</v>
      </c>
      <c r="F114" s="137" t="s">
        <v>129</v>
      </c>
      <c r="G114" s="137" t="s">
        <v>129</v>
      </c>
      <c r="H114" s="137" t="s">
        <v>129</v>
      </c>
      <c r="I114" s="137" t="s">
        <v>129</v>
      </c>
      <c r="J114" s="137" t="s">
        <v>129</v>
      </c>
      <c r="K114" s="137" t="s">
        <v>129</v>
      </c>
      <c r="L114" s="137" t="s">
        <v>129</v>
      </c>
      <c r="M114" s="141"/>
      <c r="N114" s="147"/>
    </row>
    <row r="115" hidden="1" outlineLevel="2">
      <c r="A115" s="219" t="s">
        <v>2098</v>
      </c>
      <c r="B115" s="132">
        <v>46013.0</v>
      </c>
      <c r="C115" s="133" t="str">
        <f t="shared" si="18"/>
        <v>Mon</v>
      </c>
      <c r="D115" s="136">
        <f t="shared" si="19"/>
        <v>1</v>
      </c>
      <c r="E115" s="137" t="s">
        <v>129</v>
      </c>
      <c r="F115" s="137" t="s">
        <v>129</v>
      </c>
      <c r="G115" s="137" t="s">
        <v>129</v>
      </c>
      <c r="H115" s="137" t="s">
        <v>129</v>
      </c>
      <c r="I115" s="137" t="s">
        <v>129</v>
      </c>
      <c r="J115" s="137" t="s">
        <v>129</v>
      </c>
      <c r="K115" s="137" t="s">
        <v>129</v>
      </c>
      <c r="L115" s="137" t="s">
        <v>129</v>
      </c>
      <c r="M115" s="141"/>
      <c r="N115" s="147"/>
    </row>
    <row r="116" hidden="1" outlineLevel="2">
      <c r="A116" s="219" t="s">
        <v>2102</v>
      </c>
      <c r="B116" s="132">
        <v>46014.0</v>
      </c>
      <c r="C116" s="133" t="str">
        <f t="shared" si="18"/>
        <v>Tue</v>
      </c>
      <c r="D116" s="136">
        <f t="shared" si="19"/>
        <v>1</v>
      </c>
      <c r="E116" s="137" t="s">
        <v>129</v>
      </c>
      <c r="F116" s="137" t="s">
        <v>129</v>
      </c>
      <c r="G116" s="137" t="s">
        <v>129</v>
      </c>
      <c r="H116" s="137" t="s">
        <v>129</v>
      </c>
      <c r="I116" s="137" t="s">
        <v>129</v>
      </c>
      <c r="J116" s="137" t="s">
        <v>129</v>
      </c>
      <c r="K116" s="137" t="s">
        <v>129</v>
      </c>
      <c r="L116" s="137" t="s">
        <v>129</v>
      </c>
      <c r="M116" s="141"/>
      <c r="N116" s="143"/>
    </row>
    <row r="117" hidden="1" outlineLevel="2">
      <c r="A117" s="219" t="s">
        <v>2109</v>
      </c>
      <c r="B117" s="132">
        <v>46014.0</v>
      </c>
      <c r="C117" s="133" t="str">
        <f t="shared" si="18"/>
        <v>Tue</v>
      </c>
      <c r="D117" s="136">
        <f t="shared" si="19"/>
        <v>1</v>
      </c>
      <c r="E117" s="137" t="s">
        <v>129</v>
      </c>
      <c r="F117" s="137" t="s">
        <v>129</v>
      </c>
      <c r="G117" s="137" t="s">
        <v>129</v>
      </c>
      <c r="H117" s="137" t="s">
        <v>129</v>
      </c>
      <c r="I117" s="137" t="s">
        <v>129</v>
      </c>
      <c r="J117" s="137" t="s">
        <v>129</v>
      </c>
      <c r="K117" s="137" t="s">
        <v>129</v>
      </c>
      <c r="L117" s="137" t="s">
        <v>129</v>
      </c>
      <c r="M117" s="141"/>
      <c r="N117" s="143"/>
    </row>
    <row r="118" hidden="1" outlineLevel="2">
      <c r="A118" s="219" t="s">
        <v>2112</v>
      </c>
      <c r="B118" s="132">
        <v>46014.0</v>
      </c>
      <c r="C118" s="133" t="str">
        <f t="shared" si="18"/>
        <v>Tue</v>
      </c>
      <c r="D118" s="136">
        <f t="shared" si="19"/>
        <v>1</v>
      </c>
      <c r="E118" s="137" t="s">
        <v>129</v>
      </c>
      <c r="F118" s="137" t="s">
        <v>129</v>
      </c>
      <c r="G118" s="137" t="s">
        <v>129</v>
      </c>
      <c r="H118" s="137" t="s">
        <v>129</v>
      </c>
      <c r="I118" s="137" t="s">
        <v>129</v>
      </c>
      <c r="J118" s="137" t="s">
        <v>129</v>
      </c>
      <c r="K118" s="137" t="s">
        <v>129</v>
      </c>
      <c r="L118" s="137" t="s">
        <v>129</v>
      </c>
      <c r="M118" s="141"/>
      <c r="N118" s="143"/>
    </row>
    <row r="119" hidden="1" outlineLevel="2">
      <c r="A119" s="303" t="s">
        <v>2115</v>
      </c>
      <c r="B119" s="132">
        <v>46015.0</v>
      </c>
      <c r="C119" s="133" t="str">
        <f t="shared" si="18"/>
        <v>Wed</v>
      </c>
      <c r="D119" s="136">
        <f t="shared" si="19"/>
        <v>1</v>
      </c>
      <c r="E119" s="137" t="s">
        <v>129</v>
      </c>
      <c r="F119" s="137" t="s">
        <v>129</v>
      </c>
      <c r="G119" s="137" t="s">
        <v>129</v>
      </c>
      <c r="H119" s="137" t="s">
        <v>129</v>
      </c>
      <c r="I119" s="137" t="s">
        <v>129</v>
      </c>
      <c r="J119" s="137" t="s">
        <v>129</v>
      </c>
      <c r="K119" s="137" t="s">
        <v>129</v>
      </c>
      <c r="L119" s="137" t="s">
        <v>129</v>
      </c>
      <c r="M119" s="141"/>
      <c r="N119" s="143"/>
    </row>
    <row r="120" hidden="1" outlineLevel="2">
      <c r="A120" s="303" t="s">
        <v>2120</v>
      </c>
      <c r="B120" s="132">
        <v>46015.0</v>
      </c>
      <c r="C120" s="133" t="str">
        <f t="shared" si="18"/>
        <v>Wed</v>
      </c>
      <c r="D120" s="136">
        <f t="shared" si="19"/>
        <v>1</v>
      </c>
      <c r="E120" s="137" t="s">
        <v>129</v>
      </c>
      <c r="F120" s="137" t="s">
        <v>129</v>
      </c>
      <c r="G120" s="137" t="s">
        <v>129</v>
      </c>
      <c r="H120" s="137" t="s">
        <v>129</v>
      </c>
      <c r="I120" s="137" t="s">
        <v>129</v>
      </c>
      <c r="J120" s="137" t="s">
        <v>129</v>
      </c>
      <c r="K120" s="137" t="s">
        <v>129</v>
      </c>
      <c r="L120" s="137" t="s">
        <v>129</v>
      </c>
      <c r="M120" s="141"/>
      <c r="N120" s="147"/>
    </row>
    <row r="121" hidden="1" outlineLevel="2">
      <c r="A121" s="303" t="s">
        <v>2123</v>
      </c>
      <c r="B121" s="132">
        <v>46015.0</v>
      </c>
      <c r="C121" s="133" t="str">
        <f t="shared" si="18"/>
        <v>Wed</v>
      </c>
      <c r="D121" s="136">
        <f t="shared" si="19"/>
        <v>1</v>
      </c>
      <c r="E121" s="137" t="s">
        <v>129</v>
      </c>
      <c r="F121" s="137" t="s">
        <v>129</v>
      </c>
      <c r="G121" s="137" t="s">
        <v>129</v>
      </c>
      <c r="H121" s="137" t="s">
        <v>129</v>
      </c>
      <c r="I121" s="137" t="s">
        <v>129</v>
      </c>
      <c r="J121" s="137" t="s">
        <v>129</v>
      </c>
      <c r="K121" s="137" t="s">
        <v>129</v>
      </c>
      <c r="L121" s="137" t="s">
        <v>129</v>
      </c>
      <c r="M121" s="141"/>
      <c r="N121" s="143"/>
    </row>
    <row r="122" hidden="1" outlineLevel="2">
      <c r="A122" s="341" t="s">
        <v>443</v>
      </c>
      <c r="B122" s="132">
        <v>46016.0</v>
      </c>
      <c r="C122" s="133" t="str">
        <f t="shared" si="18"/>
        <v>Thu</v>
      </c>
      <c r="D122" s="136">
        <f t="shared" si="19"/>
        <v>1</v>
      </c>
      <c r="E122" s="137" t="s">
        <v>129</v>
      </c>
      <c r="F122" s="137" t="s">
        <v>129</v>
      </c>
      <c r="G122" s="137" t="s">
        <v>129</v>
      </c>
      <c r="H122" s="137" t="s">
        <v>129</v>
      </c>
      <c r="I122" s="137" t="s">
        <v>129</v>
      </c>
      <c r="J122" s="137" t="s">
        <v>129</v>
      </c>
      <c r="K122" s="137" t="s">
        <v>129</v>
      </c>
      <c r="L122" s="137" t="s">
        <v>129</v>
      </c>
      <c r="M122" s="141"/>
      <c r="N122" s="143"/>
    </row>
    <row r="123" hidden="1" outlineLevel="2">
      <c r="A123" s="341" t="s">
        <v>443</v>
      </c>
      <c r="B123" s="132">
        <v>46016.0</v>
      </c>
      <c r="C123" s="133" t="str">
        <f t="shared" si="18"/>
        <v>Thu</v>
      </c>
      <c r="D123" s="136">
        <f t="shared" si="19"/>
        <v>1</v>
      </c>
      <c r="E123" s="137" t="s">
        <v>129</v>
      </c>
      <c r="F123" s="137" t="s">
        <v>129</v>
      </c>
      <c r="G123" s="137" t="s">
        <v>129</v>
      </c>
      <c r="H123" s="137" t="s">
        <v>129</v>
      </c>
      <c r="I123" s="137" t="s">
        <v>129</v>
      </c>
      <c r="J123" s="137" t="s">
        <v>129</v>
      </c>
      <c r="K123" s="137" t="s">
        <v>129</v>
      </c>
      <c r="L123" s="137" t="s">
        <v>129</v>
      </c>
      <c r="M123" s="141"/>
      <c r="N123" s="147"/>
    </row>
    <row r="124" hidden="1" outlineLevel="2">
      <c r="A124" s="341" t="s">
        <v>443</v>
      </c>
      <c r="B124" s="132">
        <v>46016.0</v>
      </c>
      <c r="C124" s="133" t="str">
        <f t="shared" si="18"/>
        <v>Thu</v>
      </c>
      <c r="D124" s="136">
        <f t="shared" si="19"/>
        <v>1</v>
      </c>
      <c r="E124" s="137" t="s">
        <v>129</v>
      </c>
      <c r="F124" s="137" t="s">
        <v>129</v>
      </c>
      <c r="G124" s="137" t="s">
        <v>129</v>
      </c>
      <c r="H124" s="137" t="s">
        <v>129</v>
      </c>
      <c r="I124" s="137" t="s">
        <v>129</v>
      </c>
      <c r="J124" s="137" t="s">
        <v>129</v>
      </c>
      <c r="K124" s="137" t="s">
        <v>129</v>
      </c>
      <c r="L124" s="137" t="s">
        <v>129</v>
      </c>
      <c r="M124" s="141"/>
      <c r="N124" s="143"/>
    </row>
    <row r="125" hidden="1" outlineLevel="2">
      <c r="A125" s="219" t="s">
        <v>2128</v>
      </c>
      <c r="B125" s="132">
        <v>46017.0</v>
      </c>
      <c r="C125" s="186" t="str">
        <f t="shared" si="18"/>
        <v>Fri</v>
      </c>
      <c r="D125" s="136">
        <f t="shared" si="19"/>
        <v>1</v>
      </c>
      <c r="E125" s="137" t="s">
        <v>129</v>
      </c>
      <c r="F125" s="137" t="s">
        <v>129</v>
      </c>
      <c r="G125" s="137" t="s">
        <v>129</v>
      </c>
      <c r="H125" s="137" t="s">
        <v>129</v>
      </c>
      <c r="I125" s="137" t="s">
        <v>129</v>
      </c>
      <c r="J125" s="137" t="s">
        <v>129</v>
      </c>
      <c r="K125" s="137" t="s">
        <v>129</v>
      </c>
      <c r="L125" s="137" t="s">
        <v>129</v>
      </c>
      <c r="M125" s="141"/>
      <c r="N125" s="143"/>
    </row>
    <row r="126" hidden="1" outlineLevel="2">
      <c r="A126" s="219" t="s">
        <v>2131</v>
      </c>
      <c r="B126" s="132">
        <v>46017.0</v>
      </c>
      <c r="C126" s="186" t="str">
        <f t="shared" si="18"/>
        <v>Fri</v>
      </c>
      <c r="D126" s="136">
        <f t="shared" si="19"/>
        <v>1</v>
      </c>
      <c r="E126" s="137" t="s">
        <v>129</v>
      </c>
      <c r="F126" s="137" t="s">
        <v>129</v>
      </c>
      <c r="G126" s="137" t="s">
        <v>129</v>
      </c>
      <c r="H126" s="137" t="s">
        <v>129</v>
      </c>
      <c r="I126" s="137" t="s">
        <v>129</v>
      </c>
      <c r="J126" s="137" t="s">
        <v>129</v>
      </c>
      <c r="K126" s="137" t="s">
        <v>129</v>
      </c>
      <c r="L126" s="137" t="s">
        <v>129</v>
      </c>
      <c r="M126" s="141"/>
      <c r="N126" s="143"/>
    </row>
    <row r="127" ht="15.0" hidden="1" customHeight="1" outlineLevel="2">
      <c r="A127" s="219" t="s">
        <v>2133</v>
      </c>
      <c r="B127" s="132">
        <v>46017.0</v>
      </c>
      <c r="C127" s="186" t="str">
        <f t="shared" si="18"/>
        <v>Fri</v>
      </c>
      <c r="D127" s="136">
        <f t="shared" si="19"/>
        <v>1</v>
      </c>
      <c r="E127" s="137" t="s">
        <v>129</v>
      </c>
      <c r="F127" s="137" t="s">
        <v>129</v>
      </c>
      <c r="G127" s="137" t="s">
        <v>129</v>
      </c>
      <c r="H127" s="137" t="s">
        <v>129</v>
      </c>
      <c r="I127" s="137" t="s">
        <v>129</v>
      </c>
      <c r="J127" s="137" t="s">
        <v>129</v>
      </c>
      <c r="K127" s="137" t="s">
        <v>129</v>
      </c>
      <c r="L127" s="137" t="s">
        <v>129</v>
      </c>
      <c r="M127" s="141"/>
      <c r="N127" s="147"/>
    </row>
    <row r="128" hidden="1" outlineLevel="2">
      <c r="B128" s="189"/>
      <c r="C128" s="191" t="s">
        <v>194</v>
      </c>
      <c r="D128" s="204">
        <f>AVERAGE(D113:D127)</f>
        <v>1</v>
      </c>
      <c r="E128" s="200"/>
      <c r="L128" s="191" t="s">
        <v>194</v>
      </c>
      <c r="M128" s="204">
        <f>SUM(M113:M127)/75*0.1</f>
        <v>0</v>
      </c>
    </row>
    <row r="129" hidden="1" outlineLevel="1">
      <c r="A129" s="206" t="s">
        <v>457</v>
      </c>
      <c r="B129" s="207"/>
      <c r="C129" s="207"/>
      <c r="D129" s="208"/>
      <c r="E129" s="109"/>
      <c r="F129" s="109"/>
      <c r="G129" s="110"/>
      <c r="H129" s="110"/>
      <c r="I129" s="110"/>
      <c r="J129" s="110"/>
      <c r="K129" s="110"/>
      <c r="L129" s="110"/>
      <c r="M129" s="111"/>
      <c r="N129" s="113"/>
    </row>
    <row r="130" hidden="1" outlineLevel="1">
      <c r="A130" s="115" t="s">
        <v>98</v>
      </c>
      <c r="B130" s="115" t="s">
        <v>100</v>
      </c>
      <c r="C130" s="115" t="s">
        <v>102</v>
      </c>
      <c r="D130" s="119" t="s">
        <v>103</v>
      </c>
      <c r="E130" s="275" t="s">
        <v>269</v>
      </c>
      <c r="F130" s="275" t="s">
        <v>272</v>
      </c>
      <c r="G130" s="276" t="s">
        <v>328</v>
      </c>
      <c r="H130" s="121" t="s">
        <v>107</v>
      </c>
      <c r="I130" s="121" t="s">
        <v>108</v>
      </c>
      <c r="J130" s="276" t="s">
        <v>329</v>
      </c>
      <c r="K130" s="121" t="s">
        <v>111</v>
      </c>
      <c r="L130" s="276" t="s">
        <v>274</v>
      </c>
      <c r="M130" s="115" t="s">
        <v>114</v>
      </c>
      <c r="N130" s="119" t="s">
        <v>115</v>
      </c>
    </row>
    <row r="131" hidden="1" outlineLevel="1">
      <c r="A131" s="343" t="s">
        <v>2142</v>
      </c>
      <c r="B131" s="344">
        <v>46021.0</v>
      </c>
      <c r="C131" s="133" t="str">
        <f t="shared" ref="C131:C145" si="20">IF(B131="", "", TEXT(B131, "ddd"))</f>
        <v>Tue</v>
      </c>
      <c r="D131" s="136">
        <f t="shared" ref="D131:D145" si="21">IF(E131="Yes",0.05,0)
+IF(F131="Yes",0.1,0)
+IF(G131="Yes",0.15,0)
+IF(H131="Yes",0.15,0)
+IF(I131="Yes",0.05,0)
+IF(J131="Yes",0.05,0)
+IF(K131="Yes",0.15,0)
+IF(L131="Yes",0.3,0)
</f>
        <v>1</v>
      </c>
      <c r="E131" s="137" t="s">
        <v>129</v>
      </c>
      <c r="F131" s="137" t="s">
        <v>129</v>
      </c>
      <c r="G131" s="137" t="s">
        <v>129</v>
      </c>
      <c r="H131" s="137" t="s">
        <v>129</v>
      </c>
      <c r="I131" s="137" t="s">
        <v>129</v>
      </c>
      <c r="J131" s="137" t="s">
        <v>129</v>
      </c>
      <c r="K131" s="137" t="s">
        <v>129</v>
      </c>
      <c r="L131" s="137" t="s">
        <v>129</v>
      </c>
      <c r="M131" s="141"/>
      <c r="N131" s="143"/>
    </row>
    <row r="132" hidden="1" outlineLevel="1">
      <c r="A132" s="343" t="s">
        <v>2147</v>
      </c>
      <c r="B132" s="344">
        <v>46021.0</v>
      </c>
      <c r="C132" s="133" t="str">
        <f t="shared" si="20"/>
        <v>Tue</v>
      </c>
      <c r="D132" s="136">
        <f t="shared" si="21"/>
        <v>1</v>
      </c>
      <c r="E132" s="137" t="s">
        <v>129</v>
      </c>
      <c r="F132" s="137" t="s">
        <v>129</v>
      </c>
      <c r="G132" s="137" t="s">
        <v>129</v>
      </c>
      <c r="H132" s="137" t="s">
        <v>129</v>
      </c>
      <c r="I132" s="137" t="s">
        <v>129</v>
      </c>
      <c r="J132" s="137" t="s">
        <v>129</v>
      </c>
      <c r="K132" s="137" t="s">
        <v>129</v>
      </c>
      <c r="L132" s="137" t="s">
        <v>129</v>
      </c>
      <c r="M132" s="141"/>
      <c r="N132" s="147"/>
    </row>
    <row r="133" hidden="1" outlineLevel="1">
      <c r="A133" s="343" t="s">
        <v>2151</v>
      </c>
      <c r="B133" s="344">
        <v>46021.0</v>
      </c>
      <c r="C133" s="133" t="str">
        <f t="shared" si="20"/>
        <v>Tue</v>
      </c>
      <c r="D133" s="136">
        <f t="shared" si="21"/>
        <v>1</v>
      </c>
      <c r="E133" s="137" t="s">
        <v>129</v>
      </c>
      <c r="F133" s="137" t="s">
        <v>129</v>
      </c>
      <c r="G133" s="137" t="s">
        <v>129</v>
      </c>
      <c r="H133" s="137" t="s">
        <v>129</v>
      </c>
      <c r="I133" s="137" t="s">
        <v>129</v>
      </c>
      <c r="J133" s="137" t="s">
        <v>129</v>
      </c>
      <c r="K133" s="137" t="s">
        <v>129</v>
      </c>
      <c r="L133" s="137" t="s">
        <v>129</v>
      </c>
      <c r="M133" s="141"/>
      <c r="N133" s="147"/>
    </row>
    <row r="134" hidden="1" outlineLevel="1">
      <c r="A134" s="341" t="s">
        <v>443</v>
      </c>
      <c r="B134" s="344">
        <v>46022.0</v>
      </c>
      <c r="C134" s="133" t="str">
        <f t="shared" si="20"/>
        <v>Wed</v>
      </c>
      <c r="D134" s="136">
        <f t="shared" si="21"/>
        <v>1</v>
      </c>
      <c r="E134" s="137" t="s">
        <v>129</v>
      </c>
      <c r="F134" s="137" t="s">
        <v>129</v>
      </c>
      <c r="G134" s="137" t="s">
        <v>129</v>
      </c>
      <c r="H134" s="137" t="s">
        <v>129</v>
      </c>
      <c r="I134" s="137" t="s">
        <v>129</v>
      </c>
      <c r="J134" s="137" t="s">
        <v>129</v>
      </c>
      <c r="K134" s="137" t="s">
        <v>129</v>
      </c>
      <c r="L134" s="137" t="s">
        <v>129</v>
      </c>
      <c r="M134" s="141"/>
      <c r="N134" s="143"/>
    </row>
    <row r="135" hidden="1" outlineLevel="1">
      <c r="A135" s="341" t="s">
        <v>443</v>
      </c>
      <c r="B135" s="344">
        <v>46022.0</v>
      </c>
      <c r="C135" s="133" t="str">
        <f t="shared" si="20"/>
        <v>Wed</v>
      </c>
      <c r="D135" s="136">
        <f t="shared" si="21"/>
        <v>1</v>
      </c>
      <c r="E135" s="137" t="s">
        <v>129</v>
      </c>
      <c r="F135" s="137" t="s">
        <v>129</v>
      </c>
      <c r="G135" s="137" t="s">
        <v>129</v>
      </c>
      <c r="H135" s="137" t="s">
        <v>129</v>
      </c>
      <c r="I135" s="137" t="s">
        <v>129</v>
      </c>
      <c r="J135" s="137" t="s">
        <v>129</v>
      </c>
      <c r="K135" s="137" t="s">
        <v>129</v>
      </c>
      <c r="L135" s="137" t="s">
        <v>129</v>
      </c>
      <c r="M135" s="141"/>
      <c r="N135" s="143"/>
    </row>
    <row r="136" hidden="1" outlineLevel="1">
      <c r="A136" s="341" t="s">
        <v>443</v>
      </c>
      <c r="B136" s="344">
        <v>46022.0</v>
      </c>
      <c r="C136" s="133" t="str">
        <f t="shared" si="20"/>
        <v>Wed</v>
      </c>
      <c r="D136" s="136">
        <f t="shared" si="21"/>
        <v>1</v>
      </c>
      <c r="E136" s="137" t="s">
        <v>129</v>
      </c>
      <c r="F136" s="137" t="s">
        <v>129</v>
      </c>
      <c r="G136" s="137" t="s">
        <v>129</v>
      </c>
      <c r="H136" s="137" t="s">
        <v>129</v>
      </c>
      <c r="I136" s="137" t="s">
        <v>129</v>
      </c>
      <c r="J136" s="137" t="s">
        <v>129</v>
      </c>
      <c r="K136" s="137" t="s">
        <v>129</v>
      </c>
      <c r="L136" s="137" t="s">
        <v>129</v>
      </c>
      <c r="M136" s="141"/>
      <c r="N136" s="143"/>
    </row>
    <row r="137" hidden="1" outlineLevel="1">
      <c r="A137" s="471" t="s">
        <v>2160</v>
      </c>
      <c r="B137" s="344">
        <v>46023.0</v>
      </c>
      <c r="C137" s="133" t="str">
        <f t="shared" si="20"/>
        <v>Thu</v>
      </c>
      <c r="D137" s="136">
        <f t="shared" si="21"/>
        <v>1</v>
      </c>
      <c r="E137" s="137" t="s">
        <v>129</v>
      </c>
      <c r="F137" s="137" t="s">
        <v>129</v>
      </c>
      <c r="G137" s="137" t="s">
        <v>129</v>
      </c>
      <c r="H137" s="137" t="s">
        <v>129</v>
      </c>
      <c r="I137" s="137" t="s">
        <v>129</v>
      </c>
      <c r="J137" s="137" t="s">
        <v>129</v>
      </c>
      <c r="K137" s="137" t="s">
        <v>129</v>
      </c>
      <c r="L137" s="137" t="s">
        <v>129</v>
      </c>
      <c r="M137" s="141"/>
      <c r="N137" s="143"/>
    </row>
    <row r="138" hidden="1" outlineLevel="1">
      <c r="A138" s="471" t="s">
        <v>2163</v>
      </c>
      <c r="B138" s="344">
        <v>46023.0</v>
      </c>
      <c r="C138" s="133" t="str">
        <f t="shared" si="20"/>
        <v>Thu</v>
      </c>
      <c r="D138" s="136">
        <f t="shared" si="21"/>
        <v>1</v>
      </c>
      <c r="E138" s="137" t="s">
        <v>129</v>
      </c>
      <c r="F138" s="137" t="s">
        <v>129</v>
      </c>
      <c r="G138" s="137" t="s">
        <v>129</v>
      </c>
      <c r="H138" s="137" t="s">
        <v>129</v>
      </c>
      <c r="I138" s="137" t="s">
        <v>129</v>
      </c>
      <c r="J138" s="137" t="s">
        <v>129</v>
      </c>
      <c r="K138" s="137" t="s">
        <v>129</v>
      </c>
      <c r="L138" s="137" t="s">
        <v>129</v>
      </c>
      <c r="M138" s="141"/>
      <c r="N138" s="147"/>
    </row>
    <row r="139" hidden="1" outlineLevel="1">
      <c r="A139" s="471" t="s">
        <v>2167</v>
      </c>
      <c r="B139" s="344">
        <v>46023.0</v>
      </c>
      <c r="C139" s="133" t="str">
        <f t="shared" si="20"/>
        <v>Thu</v>
      </c>
      <c r="D139" s="136">
        <f t="shared" si="21"/>
        <v>1</v>
      </c>
      <c r="E139" s="137" t="s">
        <v>129</v>
      </c>
      <c r="F139" s="137" t="s">
        <v>129</v>
      </c>
      <c r="G139" s="137" t="s">
        <v>129</v>
      </c>
      <c r="H139" s="137" t="s">
        <v>129</v>
      </c>
      <c r="I139" s="137" t="s">
        <v>129</v>
      </c>
      <c r="J139" s="137" t="s">
        <v>129</v>
      </c>
      <c r="K139" s="137" t="s">
        <v>129</v>
      </c>
      <c r="L139" s="137" t="s">
        <v>129</v>
      </c>
      <c r="M139" s="141"/>
      <c r="N139" s="143"/>
    </row>
    <row r="140" hidden="1" outlineLevel="1">
      <c r="A140" s="255" t="s">
        <v>2171</v>
      </c>
      <c r="B140" s="344">
        <v>46024.0</v>
      </c>
      <c r="C140" s="133" t="str">
        <f t="shared" si="20"/>
        <v>Fri</v>
      </c>
      <c r="D140" s="136">
        <f t="shared" si="21"/>
        <v>1</v>
      </c>
      <c r="E140" s="137" t="s">
        <v>129</v>
      </c>
      <c r="F140" s="137" t="s">
        <v>129</v>
      </c>
      <c r="G140" s="137" t="s">
        <v>129</v>
      </c>
      <c r="H140" s="137" t="s">
        <v>129</v>
      </c>
      <c r="I140" s="137" t="s">
        <v>129</v>
      </c>
      <c r="J140" s="137" t="s">
        <v>129</v>
      </c>
      <c r="K140" s="137" t="s">
        <v>129</v>
      </c>
      <c r="L140" s="137" t="s">
        <v>129</v>
      </c>
      <c r="M140" s="141"/>
      <c r="N140" s="143"/>
    </row>
    <row r="141" hidden="1" outlineLevel="1">
      <c r="A141" s="255" t="s">
        <v>2172</v>
      </c>
      <c r="B141" s="344">
        <v>46024.0</v>
      </c>
      <c r="C141" s="133" t="str">
        <f t="shared" si="20"/>
        <v>Fri</v>
      </c>
      <c r="D141" s="136">
        <f t="shared" si="21"/>
        <v>1</v>
      </c>
      <c r="E141" s="137" t="s">
        <v>129</v>
      </c>
      <c r="F141" s="137" t="s">
        <v>129</v>
      </c>
      <c r="G141" s="137" t="s">
        <v>129</v>
      </c>
      <c r="H141" s="137" t="s">
        <v>129</v>
      </c>
      <c r="I141" s="137" t="s">
        <v>129</v>
      </c>
      <c r="J141" s="137" t="s">
        <v>129</v>
      </c>
      <c r="K141" s="137" t="s">
        <v>129</v>
      </c>
      <c r="L141" s="137" t="s">
        <v>129</v>
      </c>
      <c r="M141" s="141"/>
      <c r="N141" s="147"/>
    </row>
    <row r="142" hidden="1" outlineLevel="1">
      <c r="A142" s="255" t="s">
        <v>2174</v>
      </c>
      <c r="B142" s="344">
        <v>46024.0</v>
      </c>
      <c r="C142" s="133" t="str">
        <f t="shared" si="20"/>
        <v>Fri</v>
      </c>
      <c r="D142" s="136">
        <f t="shared" si="21"/>
        <v>1</v>
      </c>
      <c r="E142" s="137" t="s">
        <v>129</v>
      </c>
      <c r="F142" s="137" t="s">
        <v>129</v>
      </c>
      <c r="G142" s="137" t="s">
        <v>129</v>
      </c>
      <c r="H142" s="137" t="s">
        <v>129</v>
      </c>
      <c r="I142" s="137" t="s">
        <v>129</v>
      </c>
      <c r="J142" s="137" t="s">
        <v>129</v>
      </c>
      <c r="K142" s="137" t="s">
        <v>129</v>
      </c>
      <c r="L142" s="137" t="s">
        <v>129</v>
      </c>
      <c r="M142" s="141"/>
      <c r="N142" s="143"/>
    </row>
    <row r="143" hidden="1" outlineLevel="1">
      <c r="A143" s="255" t="s">
        <v>2177</v>
      </c>
      <c r="B143" s="344">
        <v>46025.0</v>
      </c>
      <c r="C143" s="186" t="str">
        <f t="shared" si="20"/>
        <v>Sat</v>
      </c>
      <c r="D143" s="136">
        <f t="shared" si="21"/>
        <v>1</v>
      </c>
      <c r="E143" s="137" t="s">
        <v>129</v>
      </c>
      <c r="F143" s="137" t="s">
        <v>129</v>
      </c>
      <c r="G143" s="137" t="s">
        <v>129</v>
      </c>
      <c r="H143" s="137" t="s">
        <v>129</v>
      </c>
      <c r="I143" s="137" t="s">
        <v>129</v>
      </c>
      <c r="J143" s="137" t="s">
        <v>129</v>
      </c>
      <c r="K143" s="137" t="s">
        <v>129</v>
      </c>
      <c r="L143" s="137" t="s">
        <v>129</v>
      </c>
      <c r="M143" s="141"/>
      <c r="N143" s="143"/>
    </row>
    <row r="144" hidden="1" outlineLevel="1">
      <c r="A144" s="255" t="s">
        <v>2180</v>
      </c>
      <c r="B144" s="344">
        <v>46025.0</v>
      </c>
      <c r="C144" s="186" t="str">
        <f t="shared" si="20"/>
        <v>Sat</v>
      </c>
      <c r="D144" s="136">
        <f t="shared" si="21"/>
        <v>1</v>
      </c>
      <c r="E144" s="137" t="s">
        <v>129</v>
      </c>
      <c r="F144" s="137" t="s">
        <v>129</v>
      </c>
      <c r="G144" s="137" t="s">
        <v>129</v>
      </c>
      <c r="H144" s="137" t="s">
        <v>129</v>
      </c>
      <c r="I144" s="137" t="s">
        <v>129</v>
      </c>
      <c r="J144" s="137" t="s">
        <v>129</v>
      </c>
      <c r="K144" s="137" t="s">
        <v>129</v>
      </c>
      <c r="L144" s="137" t="s">
        <v>129</v>
      </c>
      <c r="M144" s="141"/>
      <c r="N144" s="143"/>
    </row>
    <row r="145" ht="15.0" hidden="1" customHeight="1" outlineLevel="1">
      <c r="A145" s="255" t="s">
        <v>2182</v>
      </c>
      <c r="B145" s="344">
        <v>46025.0</v>
      </c>
      <c r="C145" s="186" t="str">
        <f t="shared" si="20"/>
        <v>Sat</v>
      </c>
      <c r="D145" s="136">
        <f t="shared" si="21"/>
        <v>1</v>
      </c>
      <c r="E145" s="137" t="s">
        <v>129</v>
      </c>
      <c r="F145" s="137" t="s">
        <v>129</v>
      </c>
      <c r="G145" s="137" t="s">
        <v>129</v>
      </c>
      <c r="H145" s="137" t="s">
        <v>129</v>
      </c>
      <c r="I145" s="137" t="s">
        <v>129</v>
      </c>
      <c r="J145" s="137" t="s">
        <v>129</v>
      </c>
      <c r="K145" s="137" t="s">
        <v>129</v>
      </c>
      <c r="L145" s="137" t="s">
        <v>129</v>
      </c>
      <c r="M145" s="141"/>
      <c r="N145" s="147"/>
    </row>
    <row r="146" hidden="1" outlineLevel="1">
      <c r="B146" s="189"/>
      <c r="C146" s="191" t="s">
        <v>194</v>
      </c>
      <c r="D146" s="204">
        <f>AVERAGE(D131:D145)</f>
        <v>1</v>
      </c>
      <c r="E146" s="200"/>
      <c r="L146" s="191" t="s">
        <v>194</v>
      </c>
      <c r="M146" s="204">
        <f>SUM(M131:M145)/75*0.1</f>
        <v>0</v>
      </c>
    </row>
    <row r="147" hidden="1" collapsed="1">
      <c r="A147" s="206" t="s">
        <v>488</v>
      </c>
      <c r="B147" s="207"/>
      <c r="C147" s="207"/>
      <c r="D147" s="208"/>
      <c r="E147" s="109"/>
      <c r="F147" s="109"/>
      <c r="G147" s="110"/>
      <c r="H147" s="110"/>
      <c r="I147" s="110"/>
      <c r="J147" s="110"/>
      <c r="K147" s="110"/>
      <c r="L147" s="110"/>
      <c r="M147" s="111"/>
      <c r="N147" s="113"/>
    </row>
    <row r="148" hidden="1" outlineLevel="1">
      <c r="A148" s="115" t="s">
        <v>98</v>
      </c>
      <c r="B148" s="115" t="s">
        <v>100</v>
      </c>
      <c r="C148" s="115" t="s">
        <v>102</v>
      </c>
      <c r="D148" s="119" t="s">
        <v>103</v>
      </c>
      <c r="E148" s="275" t="s">
        <v>269</v>
      </c>
      <c r="F148" s="275" t="s">
        <v>272</v>
      </c>
      <c r="G148" s="276" t="s">
        <v>328</v>
      </c>
      <c r="H148" s="121" t="s">
        <v>107</v>
      </c>
      <c r="I148" s="121" t="s">
        <v>108</v>
      </c>
      <c r="J148" s="276" t="s">
        <v>329</v>
      </c>
      <c r="K148" s="121" t="s">
        <v>111</v>
      </c>
      <c r="L148" s="276" t="s">
        <v>274</v>
      </c>
      <c r="M148" s="115" t="s">
        <v>114</v>
      </c>
      <c r="N148" s="119" t="s">
        <v>115</v>
      </c>
    </row>
    <row r="149" hidden="1" outlineLevel="1">
      <c r="A149" s="303" t="s">
        <v>2192</v>
      </c>
      <c r="B149" s="344">
        <v>46027.0</v>
      </c>
      <c r="C149" s="133" t="str">
        <f t="shared" ref="C149:C163" si="22">IF(B149="", "", TEXT(B149, "ddd"))</f>
        <v>Mon</v>
      </c>
      <c r="D149" s="136">
        <f t="shared" ref="D149:D163" si="23">IF(E149="Yes",0.05,0)
+IF(F149="Yes",0.1,0)
+IF(G149="Yes",0.15,0)
+IF(H149="Yes",0.15,0)
+IF(I149="Yes",0.05,0)
+IF(J149="Yes",0.05,0)
+IF(K149="Yes",0.15,0)
+IF(L149="Yes",0.3,0)
</f>
        <v>1</v>
      </c>
      <c r="E149" s="137" t="s">
        <v>129</v>
      </c>
      <c r="F149" s="137" t="s">
        <v>129</v>
      </c>
      <c r="G149" s="137" t="s">
        <v>129</v>
      </c>
      <c r="H149" s="137" t="s">
        <v>129</v>
      </c>
      <c r="I149" s="137" t="s">
        <v>129</v>
      </c>
      <c r="J149" s="137" t="s">
        <v>129</v>
      </c>
      <c r="K149" s="137" t="s">
        <v>129</v>
      </c>
      <c r="L149" s="137" t="s">
        <v>129</v>
      </c>
      <c r="M149" s="141"/>
      <c r="N149" s="143"/>
    </row>
    <row r="150" hidden="1" outlineLevel="1">
      <c r="A150" s="255" t="s">
        <v>2196</v>
      </c>
      <c r="B150" s="344">
        <v>46027.0</v>
      </c>
      <c r="C150" s="133" t="str">
        <f t="shared" si="22"/>
        <v>Mon</v>
      </c>
      <c r="D150" s="136">
        <f t="shared" si="23"/>
        <v>1</v>
      </c>
      <c r="E150" s="137" t="s">
        <v>129</v>
      </c>
      <c r="F150" s="137" t="s">
        <v>129</v>
      </c>
      <c r="G150" s="137" t="s">
        <v>129</v>
      </c>
      <c r="H150" s="137" t="s">
        <v>129</v>
      </c>
      <c r="I150" s="137" t="s">
        <v>129</v>
      </c>
      <c r="J150" s="137" t="s">
        <v>129</v>
      </c>
      <c r="K150" s="137" t="s">
        <v>129</v>
      </c>
      <c r="L150" s="137" t="s">
        <v>129</v>
      </c>
      <c r="M150" s="141"/>
      <c r="N150" s="147"/>
    </row>
    <row r="151" hidden="1" outlineLevel="1">
      <c r="A151" s="255" t="s">
        <v>2199</v>
      </c>
      <c r="B151" s="344">
        <v>46027.0</v>
      </c>
      <c r="C151" s="133" t="str">
        <f t="shared" si="22"/>
        <v>Mon</v>
      </c>
      <c r="D151" s="136">
        <f t="shared" si="23"/>
        <v>1</v>
      </c>
      <c r="E151" s="137" t="s">
        <v>129</v>
      </c>
      <c r="F151" s="137" t="s">
        <v>129</v>
      </c>
      <c r="G151" s="137" t="s">
        <v>129</v>
      </c>
      <c r="H151" s="137" t="s">
        <v>129</v>
      </c>
      <c r="I151" s="137" t="s">
        <v>129</v>
      </c>
      <c r="J151" s="137" t="s">
        <v>129</v>
      </c>
      <c r="K151" s="137" t="s">
        <v>129</v>
      </c>
      <c r="L151" s="137" t="s">
        <v>129</v>
      </c>
      <c r="M151" s="141"/>
      <c r="N151" s="147"/>
    </row>
    <row r="152" hidden="1" outlineLevel="1">
      <c r="A152" s="255" t="s">
        <v>2200</v>
      </c>
      <c r="B152" s="344">
        <v>46028.0</v>
      </c>
      <c r="C152" s="133" t="str">
        <f t="shared" si="22"/>
        <v>Tue</v>
      </c>
      <c r="D152" s="136">
        <f t="shared" si="23"/>
        <v>1</v>
      </c>
      <c r="E152" s="137" t="s">
        <v>129</v>
      </c>
      <c r="F152" s="137" t="s">
        <v>129</v>
      </c>
      <c r="G152" s="137" t="s">
        <v>129</v>
      </c>
      <c r="H152" s="137" t="s">
        <v>129</v>
      </c>
      <c r="I152" s="137" t="s">
        <v>129</v>
      </c>
      <c r="J152" s="137" t="s">
        <v>129</v>
      </c>
      <c r="K152" s="137" t="s">
        <v>129</v>
      </c>
      <c r="L152" s="137" t="s">
        <v>129</v>
      </c>
      <c r="M152" s="141"/>
      <c r="N152" s="143"/>
    </row>
    <row r="153" hidden="1" outlineLevel="1">
      <c r="A153" s="255" t="s">
        <v>2203</v>
      </c>
      <c r="B153" s="344">
        <v>46028.0</v>
      </c>
      <c r="C153" s="133" t="str">
        <f t="shared" si="22"/>
        <v>Tue</v>
      </c>
      <c r="D153" s="136">
        <f t="shared" si="23"/>
        <v>1</v>
      </c>
      <c r="E153" s="137" t="s">
        <v>129</v>
      </c>
      <c r="F153" s="137" t="s">
        <v>129</v>
      </c>
      <c r="G153" s="137" t="s">
        <v>129</v>
      </c>
      <c r="H153" s="137" t="s">
        <v>129</v>
      </c>
      <c r="I153" s="137" t="s">
        <v>129</v>
      </c>
      <c r="J153" s="137" t="s">
        <v>129</v>
      </c>
      <c r="K153" s="137" t="s">
        <v>129</v>
      </c>
      <c r="L153" s="137" t="s">
        <v>129</v>
      </c>
      <c r="M153" s="141"/>
      <c r="N153" s="143"/>
    </row>
    <row r="154" hidden="1" outlineLevel="1">
      <c r="A154" s="255" t="s">
        <v>2205</v>
      </c>
      <c r="B154" s="344">
        <v>46028.0</v>
      </c>
      <c r="C154" s="133" t="str">
        <f t="shared" si="22"/>
        <v>Tue</v>
      </c>
      <c r="D154" s="136">
        <f t="shared" si="23"/>
        <v>1</v>
      </c>
      <c r="E154" s="137" t="s">
        <v>129</v>
      </c>
      <c r="F154" s="137" t="s">
        <v>129</v>
      </c>
      <c r="G154" s="137" t="s">
        <v>129</v>
      </c>
      <c r="H154" s="137" t="s">
        <v>129</v>
      </c>
      <c r="I154" s="137" t="s">
        <v>129</v>
      </c>
      <c r="J154" s="137" t="s">
        <v>129</v>
      </c>
      <c r="K154" s="137" t="s">
        <v>129</v>
      </c>
      <c r="L154" s="137" t="s">
        <v>129</v>
      </c>
      <c r="M154" s="141"/>
      <c r="N154" s="143"/>
    </row>
    <row r="155" hidden="1" outlineLevel="1">
      <c r="A155" s="255" t="s">
        <v>2208</v>
      </c>
      <c r="B155" s="344">
        <v>46029.0</v>
      </c>
      <c r="C155" s="133" t="str">
        <f t="shared" si="22"/>
        <v>Wed</v>
      </c>
      <c r="D155" s="136">
        <f t="shared" si="23"/>
        <v>1</v>
      </c>
      <c r="E155" s="137" t="s">
        <v>129</v>
      </c>
      <c r="F155" s="137" t="s">
        <v>129</v>
      </c>
      <c r="G155" s="137" t="s">
        <v>129</v>
      </c>
      <c r="H155" s="137" t="s">
        <v>129</v>
      </c>
      <c r="I155" s="137" t="s">
        <v>129</v>
      </c>
      <c r="J155" s="137" t="s">
        <v>129</v>
      </c>
      <c r="K155" s="137" t="s">
        <v>129</v>
      </c>
      <c r="L155" s="137" t="s">
        <v>129</v>
      </c>
      <c r="M155" s="141"/>
      <c r="N155" s="143"/>
    </row>
    <row r="156" hidden="1" outlineLevel="1">
      <c r="A156" s="255" t="s">
        <v>2216</v>
      </c>
      <c r="B156" s="344">
        <v>46029.0</v>
      </c>
      <c r="C156" s="133" t="str">
        <f t="shared" si="22"/>
        <v>Wed</v>
      </c>
      <c r="D156" s="136">
        <f t="shared" si="23"/>
        <v>1</v>
      </c>
      <c r="E156" s="137" t="s">
        <v>129</v>
      </c>
      <c r="F156" s="137" t="s">
        <v>129</v>
      </c>
      <c r="G156" s="137" t="s">
        <v>129</v>
      </c>
      <c r="H156" s="137" t="s">
        <v>129</v>
      </c>
      <c r="I156" s="137" t="s">
        <v>129</v>
      </c>
      <c r="J156" s="137" t="s">
        <v>129</v>
      </c>
      <c r="K156" s="137" t="s">
        <v>129</v>
      </c>
      <c r="L156" s="137" t="s">
        <v>129</v>
      </c>
      <c r="M156" s="141"/>
      <c r="N156" s="147"/>
    </row>
    <row r="157" hidden="1" outlineLevel="1">
      <c r="A157" s="255" t="s">
        <v>2218</v>
      </c>
      <c r="B157" s="344">
        <v>46029.0</v>
      </c>
      <c r="C157" s="133" t="str">
        <f t="shared" si="22"/>
        <v>Wed</v>
      </c>
      <c r="D157" s="136">
        <f t="shared" si="23"/>
        <v>1</v>
      </c>
      <c r="E157" s="137" t="s">
        <v>129</v>
      </c>
      <c r="F157" s="137" t="s">
        <v>129</v>
      </c>
      <c r="G157" s="137" t="s">
        <v>129</v>
      </c>
      <c r="H157" s="137" t="s">
        <v>129</v>
      </c>
      <c r="I157" s="137" t="s">
        <v>129</v>
      </c>
      <c r="J157" s="137" t="s">
        <v>129</v>
      </c>
      <c r="K157" s="137" t="s">
        <v>129</v>
      </c>
      <c r="L157" s="137" t="s">
        <v>129</v>
      </c>
      <c r="M157" s="141"/>
      <c r="N157" s="143"/>
    </row>
    <row r="158" hidden="1" outlineLevel="1">
      <c r="A158" s="343" t="s">
        <v>664</v>
      </c>
      <c r="B158" s="344">
        <v>46030.0</v>
      </c>
      <c r="C158" s="133" t="str">
        <f t="shared" si="22"/>
        <v>Thu</v>
      </c>
      <c r="D158" s="136">
        <f t="shared" si="23"/>
        <v>0</v>
      </c>
      <c r="E158" s="137" t="s">
        <v>174</v>
      </c>
      <c r="F158" s="137" t="s">
        <v>174</v>
      </c>
      <c r="G158" s="137" t="s">
        <v>174</v>
      </c>
      <c r="H158" s="137" t="s">
        <v>174</v>
      </c>
      <c r="I158" s="137" t="s">
        <v>174</v>
      </c>
      <c r="J158" s="137" t="s">
        <v>174</v>
      </c>
      <c r="K158" s="137" t="s">
        <v>174</v>
      </c>
      <c r="L158" s="137" t="s">
        <v>174</v>
      </c>
      <c r="M158" s="141"/>
      <c r="N158" s="143"/>
    </row>
    <row r="159" hidden="1" outlineLevel="1">
      <c r="A159" s="343" t="s">
        <v>664</v>
      </c>
      <c r="B159" s="344">
        <v>46030.0</v>
      </c>
      <c r="C159" s="133" t="str">
        <f t="shared" si="22"/>
        <v>Thu</v>
      </c>
      <c r="D159" s="136">
        <f t="shared" si="23"/>
        <v>0</v>
      </c>
      <c r="E159" s="137" t="s">
        <v>174</v>
      </c>
      <c r="F159" s="137" t="s">
        <v>174</v>
      </c>
      <c r="G159" s="137" t="s">
        <v>174</v>
      </c>
      <c r="H159" s="137" t="s">
        <v>174</v>
      </c>
      <c r="I159" s="137" t="s">
        <v>174</v>
      </c>
      <c r="J159" s="137" t="s">
        <v>174</v>
      </c>
      <c r="K159" s="137" t="s">
        <v>174</v>
      </c>
      <c r="L159" s="137" t="s">
        <v>174</v>
      </c>
      <c r="M159" s="141"/>
      <c r="N159" s="147"/>
    </row>
    <row r="160" hidden="1" outlineLevel="1">
      <c r="A160" s="343" t="s">
        <v>664</v>
      </c>
      <c r="B160" s="344">
        <v>46030.0</v>
      </c>
      <c r="C160" s="133" t="str">
        <f t="shared" si="22"/>
        <v>Thu</v>
      </c>
      <c r="D160" s="136">
        <f t="shared" si="23"/>
        <v>0</v>
      </c>
      <c r="E160" s="137" t="s">
        <v>174</v>
      </c>
      <c r="F160" s="137" t="s">
        <v>174</v>
      </c>
      <c r="G160" s="137" t="s">
        <v>174</v>
      </c>
      <c r="H160" s="137" t="s">
        <v>174</v>
      </c>
      <c r="I160" s="137" t="s">
        <v>174</v>
      </c>
      <c r="J160" s="137" t="s">
        <v>174</v>
      </c>
      <c r="K160" s="137" t="s">
        <v>174</v>
      </c>
      <c r="L160" s="137" t="s">
        <v>174</v>
      </c>
      <c r="M160" s="141"/>
      <c r="N160" s="143"/>
    </row>
    <row r="161" hidden="1" outlineLevel="1">
      <c r="A161" s="255" t="s">
        <v>2224</v>
      </c>
      <c r="B161" s="344">
        <v>46031.0</v>
      </c>
      <c r="C161" s="186" t="str">
        <f t="shared" si="22"/>
        <v>Fri</v>
      </c>
      <c r="D161" s="136">
        <f t="shared" si="23"/>
        <v>1</v>
      </c>
      <c r="E161" s="137" t="s">
        <v>129</v>
      </c>
      <c r="F161" s="137" t="s">
        <v>129</v>
      </c>
      <c r="G161" s="137" t="s">
        <v>129</v>
      </c>
      <c r="H161" s="137" t="s">
        <v>129</v>
      </c>
      <c r="I161" s="137" t="s">
        <v>129</v>
      </c>
      <c r="J161" s="137" t="s">
        <v>129</v>
      </c>
      <c r="K161" s="137" t="s">
        <v>129</v>
      </c>
      <c r="L161" s="137" t="s">
        <v>129</v>
      </c>
      <c r="M161" s="141"/>
      <c r="N161" s="143"/>
    </row>
    <row r="162" hidden="1" outlineLevel="1">
      <c r="A162" s="255" t="s">
        <v>2225</v>
      </c>
      <c r="B162" s="344">
        <v>46031.0</v>
      </c>
      <c r="C162" s="186" t="str">
        <f t="shared" si="22"/>
        <v>Fri</v>
      </c>
      <c r="D162" s="136">
        <f t="shared" si="23"/>
        <v>1</v>
      </c>
      <c r="E162" s="137" t="s">
        <v>129</v>
      </c>
      <c r="F162" s="137" t="s">
        <v>129</v>
      </c>
      <c r="G162" s="137" t="s">
        <v>129</v>
      </c>
      <c r="H162" s="137" t="s">
        <v>129</v>
      </c>
      <c r="I162" s="137" t="s">
        <v>129</v>
      </c>
      <c r="J162" s="137" t="s">
        <v>129</v>
      </c>
      <c r="K162" s="137" t="s">
        <v>129</v>
      </c>
      <c r="L162" s="137" t="s">
        <v>129</v>
      </c>
      <c r="M162" s="141"/>
      <c r="N162" s="143"/>
    </row>
    <row r="163" ht="15.0" hidden="1" customHeight="1" outlineLevel="1">
      <c r="A163" s="255" t="s">
        <v>2227</v>
      </c>
      <c r="B163" s="344">
        <v>46031.0</v>
      </c>
      <c r="C163" s="186" t="str">
        <f t="shared" si="22"/>
        <v>Fri</v>
      </c>
      <c r="D163" s="136">
        <f t="shared" si="23"/>
        <v>1</v>
      </c>
      <c r="E163" s="137" t="s">
        <v>129</v>
      </c>
      <c r="F163" s="137" t="s">
        <v>129</v>
      </c>
      <c r="G163" s="137" t="s">
        <v>129</v>
      </c>
      <c r="H163" s="137" t="s">
        <v>129</v>
      </c>
      <c r="I163" s="137" t="s">
        <v>129</v>
      </c>
      <c r="J163" s="137" t="s">
        <v>129</v>
      </c>
      <c r="K163" s="137" t="s">
        <v>129</v>
      </c>
      <c r="L163" s="137" t="s">
        <v>129</v>
      </c>
      <c r="M163" s="141"/>
      <c r="N163" s="147"/>
    </row>
    <row r="164" hidden="1" outlineLevel="1">
      <c r="B164" s="189"/>
      <c r="C164" s="191" t="s">
        <v>194</v>
      </c>
      <c r="D164" s="204">
        <f>AVERAGE(D149:D163)</f>
        <v>0.8</v>
      </c>
      <c r="E164" s="200"/>
      <c r="L164" s="191" t="s">
        <v>194</v>
      </c>
      <c r="M164" s="204">
        <f>SUM(M149:M163)/75*0.1</f>
        <v>0</v>
      </c>
    </row>
    <row r="165" hidden="1" collapsed="1">
      <c r="A165" s="206" t="s">
        <v>516</v>
      </c>
      <c r="B165" s="207"/>
      <c r="C165" s="207"/>
      <c r="D165" s="208"/>
      <c r="E165" s="109"/>
      <c r="F165" s="109"/>
      <c r="G165" s="110"/>
      <c r="H165" s="110"/>
      <c r="I165" s="110"/>
      <c r="J165" s="110"/>
      <c r="K165" s="110"/>
      <c r="L165" s="110"/>
      <c r="M165" s="111"/>
      <c r="N165" s="113"/>
    </row>
    <row r="166" hidden="1" outlineLevel="1">
      <c r="A166" s="115" t="s">
        <v>98</v>
      </c>
      <c r="B166" s="115" t="s">
        <v>100</v>
      </c>
      <c r="C166" s="115" t="s">
        <v>102</v>
      </c>
      <c r="D166" s="119" t="s">
        <v>103</v>
      </c>
      <c r="E166" s="275" t="s">
        <v>269</v>
      </c>
      <c r="F166" s="275" t="s">
        <v>272</v>
      </c>
      <c r="G166" s="276" t="s">
        <v>328</v>
      </c>
      <c r="H166" s="121" t="s">
        <v>107</v>
      </c>
      <c r="I166" s="121" t="s">
        <v>108</v>
      </c>
      <c r="J166" s="276" t="s">
        <v>329</v>
      </c>
      <c r="K166" s="121" t="s">
        <v>111</v>
      </c>
      <c r="L166" s="276" t="s">
        <v>274</v>
      </c>
      <c r="M166" s="115" t="s">
        <v>114</v>
      </c>
      <c r="N166" s="119" t="s">
        <v>115</v>
      </c>
    </row>
    <row r="167" hidden="1" outlineLevel="1">
      <c r="A167" s="219" t="s">
        <v>2230</v>
      </c>
      <c r="B167" s="344">
        <v>46034.0</v>
      </c>
      <c r="C167" s="133" t="str">
        <f t="shared" ref="C167:C181" si="24">IF(B167="", "", TEXT(B167, "ddd"))</f>
        <v>Mon</v>
      </c>
      <c r="D167" s="136">
        <f t="shared" ref="D167:D181" si="25">IF(E167="Yes",0.05,0)
+IF(F167="Yes",0.1,0)
+IF(G167="Yes",0.15,0)
+IF(H167="Yes",0.15,0)
+IF(I167="Yes",0.05,0)
+IF(J167="Yes",0.05,0)
+IF(K167="Yes",0.15,0)
+IF(L167="Yes",0.3,0)
</f>
        <v>1</v>
      </c>
      <c r="E167" s="137" t="s">
        <v>129</v>
      </c>
      <c r="F167" s="137" t="s">
        <v>129</v>
      </c>
      <c r="G167" s="137" t="s">
        <v>129</v>
      </c>
      <c r="H167" s="137" t="s">
        <v>129</v>
      </c>
      <c r="I167" s="137" t="s">
        <v>129</v>
      </c>
      <c r="J167" s="137" t="s">
        <v>129</v>
      </c>
      <c r="K167" s="137" t="s">
        <v>129</v>
      </c>
      <c r="L167" s="137" t="s">
        <v>129</v>
      </c>
      <c r="M167" s="141"/>
      <c r="N167" s="143"/>
    </row>
    <row r="168" hidden="1" outlineLevel="1">
      <c r="A168" s="219" t="s">
        <v>2238</v>
      </c>
      <c r="B168" s="344">
        <v>46034.0</v>
      </c>
      <c r="C168" s="133" t="str">
        <f t="shared" si="24"/>
        <v>Mon</v>
      </c>
      <c r="D168" s="136">
        <f t="shared" si="25"/>
        <v>1</v>
      </c>
      <c r="E168" s="137" t="s">
        <v>129</v>
      </c>
      <c r="F168" s="137" t="s">
        <v>129</v>
      </c>
      <c r="G168" s="137" t="s">
        <v>129</v>
      </c>
      <c r="H168" s="137" t="s">
        <v>129</v>
      </c>
      <c r="I168" s="137" t="s">
        <v>129</v>
      </c>
      <c r="J168" s="137" t="s">
        <v>129</v>
      </c>
      <c r="K168" s="137" t="s">
        <v>129</v>
      </c>
      <c r="L168" s="137" t="s">
        <v>129</v>
      </c>
      <c r="M168" s="141"/>
      <c r="N168" s="147"/>
    </row>
    <row r="169" hidden="1" outlineLevel="1">
      <c r="A169" s="219" t="s">
        <v>2242</v>
      </c>
      <c r="B169" s="344">
        <v>46034.0</v>
      </c>
      <c r="C169" s="133" t="str">
        <f t="shared" si="24"/>
        <v>Mon</v>
      </c>
      <c r="D169" s="136">
        <f t="shared" si="25"/>
        <v>1</v>
      </c>
      <c r="E169" s="137" t="s">
        <v>129</v>
      </c>
      <c r="F169" s="137" t="s">
        <v>129</v>
      </c>
      <c r="G169" s="137" t="s">
        <v>129</v>
      </c>
      <c r="H169" s="137" t="s">
        <v>129</v>
      </c>
      <c r="I169" s="137" t="s">
        <v>129</v>
      </c>
      <c r="J169" s="137" t="s">
        <v>129</v>
      </c>
      <c r="K169" s="137" t="s">
        <v>129</v>
      </c>
      <c r="L169" s="137" t="s">
        <v>129</v>
      </c>
      <c r="M169" s="141"/>
      <c r="N169" s="147"/>
    </row>
    <row r="170" hidden="1" outlineLevel="1">
      <c r="A170" s="255" t="s">
        <v>2244</v>
      </c>
      <c r="B170" s="344">
        <v>46035.0</v>
      </c>
      <c r="C170" s="133" t="str">
        <f t="shared" si="24"/>
        <v>Tue</v>
      </c>
      <c r="D170" s="136">
        <f t="shared" si="25"/>
        <v>1</v>
      </c>
      <c r="E170" s="137" t="s">
        <v>129</v>
      </c>
      <c r="F170" s="137" t="s">
        <v>129</v>
      </c>
      <c r="G170" s="137" t="s">
        <v>129</v>
      </c>
      <c r="H170" s="137" t="s">
        <v>129</v>
      </c>
      <c r="I170" s="137" t="s">
        <v>129</v>
      </c>
      <c r="J170" s="137" t="s">
        <v>129</v>
      </c>
      <c r="K170" s="137" t="s">
        <v>129</v>
      </c>
      <c r="L170" s="137" t="s">
        <v>129</v>
      </c>
      <c r="M170" s="141"/>
      <c r="N170" s="143"/>
    </row>
    <row r="171" hidden="1" outlineLevel="1">
      <c r="A171" s="255" t="s">
        <v>2247</v>
      </c>
      <c r="B171" s="344">
        <v>46035.0</v>
      </c>
      <c r="C171" s="133" t="str">
        <f t="shared" si="24"/>
        <v>Tue</v>
      </c>
      <c r="D171" s="136">
        <f t="shared" si="25"/>
        <v>1</v>
      </c>
      <c r="E171" s="137" t="s">
        <v>129</v>
      </c>
      <c r="F171" s="137" t="s">
        <v>129</v>
      </c>
      <c r="G171" s="137" t="s">
        <v>129</v>
      </c>
      <c r="H171" s="137" t="s">
        <v>129</v>
      </c>
      <c r="I171" s="137" t="s">
        <v>129</v>
      </c>
      <c r="J171" s="137" t="s">
        <v>129</v>
      </c>
      <c r="K171" s="137" t="s">
        <v>129</v>
      </c>
      <c r="L171" s="137" t="s">
        <v>129</v>
      </c>
      <c r="M171" s="141"/>
      <c r="N171" s="143"/>
    </row>
    <row r="172" hidden="1" outlineLevel="1">
      <c r="A172" s="255" t="s">
        <v>2250</v>
      </c>
      <c r="B172" s="344">
        <v>46035.0</v>
      </c>
      <c r="C172" s="133" t="str">
        <f t="shared" si="24"/>
        <v>Tue</v>
      </c>
      <c r="D172" s="136">
        <f t="shared" si="25"/>
        <v>1</v>
      </c>
      <c r="E172" s="137" t="s">
        <v>129</v>
      </c>
      <c r="F172" s="137" t="s">
        <v>129</v>
      </c>
      <c r="G172" s="137" t="s">
        <v>129</v>
      </c>
      <c r="H172" s="137" t="s">
        <v>129</v>
      </c>
      <c r="I172" s="137" t="s">
        <v>129</v>
      </c>
      <c r="J172" s="137" t="s">
        <v>129</v>
      </c>
      <c r="K172" s="137" t="s">
        <v>129</v>
      </c>
      <c r="L172" s="137" t="s">
        <v>129</v>
      </c>
      <c r="M172" s="141"/>
      <c r="N172" s="143"/>
    </row>
    <row r="173" hidden="1" outlineLevel="1">
      <c r="A173" s="255" t="s">
        <v>2253</v>
      </c>
      <c r="B173" s="344">
        <v>46036.0</v>
      </c>
      <c r="C173" s="133" t="str">
        <f t="shared" si="24"/>
        <v>Wed</v>
      </c>
      <c r="D173" s="136">
        <f t="shared" si="25"/>
        <v>1</v>
      </c>
      <c r="E173" s="137" t="s">
        <v>129</v>
      </c>
      <c r="F173" s="137" t="s">
        <v>129</v>
      </c>
      <c r="G173" s="137" t="s">
        <v>129</v>
      </c>
      <c r="H173" s="137" t="s">
        <v>129</v>
      </c>
      <c r="I173" s="137" t="s">
        <v>129</v>
      </c>
      <c r="J173" s="137" t="s">
        <v>129</v>
      </c>
      <c r="K173" s="137" t="s">
        <v>129</v>
      </c>
      <c r="L173" s="137" t="s">
        <v>129</v>
      </c>
      <c r="M173" s="141"/>
      <c r="N173" s="143"/>
    </row>
    <row r="174" hidden="1" outlineLevel="1">
      <c r="A174" s="255" t="s">
        <v>2256</v>
      </c>
      <c r="B174" s="344">
        <v>46036.0</v>
      </c>
      <c r="C174" s="133" t="str">
        <f t="shared" si="24"/>
        <v>Wed</v>
      </c>
      <c r="D174" s="136">
        <f t="shared" si="25"/>
        <v>1</v>
      </c>
      <c r="E174" s="137" t="s">
        <v>129</v>
      </c>
      <c r="F174" s="137" t="s">
        <v>129</v>
      </c>
      <c r="G174" s="137" t="s">
        <v>129</v>
      </c>
      <c r="H174" s="137" t="s">
        <v>129</v>
      </c>
      <c r="I174" s="137" t="s">
        <v>129</v>
      </c>
      <c r="J174" s="137" t="s">
        <v>129</v>
      </c>
      <c r="K174" s="137" t="s">
        <v>129</v>
      </c>
      <c r="L174" s="137" t="s">
        <v>129</v>
      </c>
      <c r="M174" s="141"/>
      <c r="N174" s="147"/>
    </row>
    <row r="175" hidden="1" outlineLevel="1">
      <c r="A175" s="255" t="s">
        <v>2260</v>
      </c>
      <c r="B175" s="344">
        <v>46036.0</v>
      </c>
      <c r="C175" s="133" t="str">
        <f t="shared" si="24"/>
        <v>Wed</v>
      </c>
      <c r="D175" s="136">
        <f t="shared" si="25"/>
        <v>1</v>
      </c>
      <c r="E175" s="137" t="s">
        <v>129</v>
      </c>
      <c r="F175" s="137" t="s">
        <v>129</v>
      </c>
      <c r="G175" s="137" t="s">
        <v>129</v>
      </c>
      <c r="H175" s="137" t="s">
        <v>129</v>
      </c>
      <c r="I175" s="137" t="s">
        <v>129</v>
      </c>
      <c r="J175" s="137" t="s">
        <v>129</v>
      </c>
      <c r="K175" s="137" t="s">
        <v>129</v>
      </c>
      <c r="L175" s="137" t="s">
        <v>129</v>
      </c>
      <c r="M175" s="141"/>
      <c r="N175" s="143"/>
    </row>
    <row r="176" hidden="1" outlineLevel="1">
      <c r="A176" s="255" t="s">
        <v>2264</v>
      </c>
      <c r="B176" s="344">
        <v>46037.0</v>
      </c>
      <c r="C176" s="133" t="str">
        <f t="shared" si="24"/>
        <v>Thu</v>
      </c>
      <c r="D176" s="136">
        <f t="shared" si="25"/>
        <v>1</v>
      </c>
      <c r="E176" s="137" t="s">
        <v>129</v>
      </c>
      <c r="F176" s="137" t="s">
        <v>129</v>
      </c>
      <c r="G176" s="137" t="s">
        <v>129</v>
      </c>
      <c r="H176" s="137" t="s">
        <v>129</v>
      </c>
      <c r="I176" s="137" t="s">
        <v>129</v>
      </c>
      <c r="J176" s="137" t="s">
        <v>129</v>
      </c>
      <c r="K176" s="137" t="s">
        <v>129</v>
      </c>
      <c r="L176" s="137" t="s">
        <v>129</v>
      </c>
      <c r="M176" s="141"/>
      <c r="N176" s="143"/>
    </row>
    <row r="177" hidden="1" outlineLevel="1">
      <c r="A177" s="255" t="s">
        <v>2267</v>
      </c>
      <c r="B177" s="344">
        <v>46037.0</v>
      </c>
      <c r="C177" s="133" t="str">
        <f t="shared" si="24"/>
        <v>Thu</v>
      </c>
      <c r="D177" s="136">
        <f t="shared" si="25"/>
        <v>1</v>
      </c>
      <c r="E177" s="137" t="s">
        <v>129</v>
      </c>
      <c r="F177" s="137" t="s">
        <v>129</v>
      </c>
      <c r="G177" s="137" t="s">
        <v>129</v>
      </c>
      <c r="H177" s="137" t="s">
        <v>129</v>
      </c>
      <c r="I177" s="137" t="s">
        <v>129</v>
      </c>
      <c r="J177" s="137" t="s">
        <v>129</v>
      </c>
      <c r="K177" s="137" t="s">
        <v>129</v>
      </c>
      <c r="L177" s="137" t="s">
        <v>129</v>
      </c>
      <c r="M177" s="141"/>
      <c r="N177" s="147"/>
    </row>
    <row r="178" hidden="1" outlineLevel="1">
      <c r="A178" s="255" t="s">
        <v>2270</v>
      </c>
      <c r="B178" s="344">
        <v>46037.0</v>
      </c>
      <c r="C178" s="133" t="str">
        <f t="shared" si="24"/>
        <v>Thu</v>
      </c>
      <c r="D178" s="136">
        <f t="shared" si="25"/>
        <v>1</v>
      </c>
      <c r="E178" s="137" t="s">
        <v>129</v>
      </c>
      <c r="F178" s="137" t="s">
        <v>129</v>
      </c>
      <c r="G178" s="137" t="s">
        <v>129</v>
      </c>
      <c r="H178" s="137" t="s">
        <v>129</v>
      </c>
      <c r="I178" s="137" t="s">
        <v>129</v>
      </c>
      <c r="J178" s="137" t="s">
        <v>129</v>
      </c>
      <c r="K178" s="137" t="s">
        <v>129</v>
      </c>
      <c r="L178" s="137" t="s">
        <v>129</v>
      </c>
      <c r="M178" s="141"/>
      <c r="N178" s="143"/>
    </row>
    <row r="179" hidden="1" outlineLevel="1">
      <c r="A179" s="219" t="s">
        <v>2275</v>
      </c>
      <c r="B179" s="344">
        <v>46038.0</v>
      </c>
      <c r="C179" s="186" t="str">
        <f t="shared" si="24"/>
        <v>Fri</v>
      </c>
      <c r="D179" s="136">
        <f t="shared" si="25"/>
        <v>1</v>
      </c>
      <c r="E179" s="137" t="s">
        <v>129</v>
      </c>
      <c r="F179" s="137" t="s">
        <v>129</v>
      </c>
      <c r="G179" s="137" t="s">
        <v>129</v>
      </c>
      <c r="H179" s="137" t="s">
        <v>129</v>
      </c>
      <c r="I179" s="137" t="s">
        <v>129</v>
      </c>
      <c r="J179" s="137" t="s">
        <v>129</v>
      </c>
      <c r="K179" s="137" t="s">
        <v>129</v>
      </c>
      <c r="L179" s="137" t="s">
        <v>129</v>
      </c>
      <c r="M179" s="141"/>
      <c r="N179" s="143"/>
    </row>
    <row r="180" hidden="1" outlineLevel="1">
      <c r="A180" s="219" t="s">
        <v>2279</v>
      </c>
      <c r="B180" s="344">
        <v>46038.0</v>
      </c>
      <c r="C180" s="186" t="str">
        <f t="shared" si="24"/>
        <v>Fri</v>
      </c>
      <c r="D180" s="136">
        <f t="shared" si="25"/>
        <v>1</v>
      </c>
      <c r="E180" s="137" t="s">
        <v>129</v>
      </c>
      <c r="F180" s="137" t="s">
        <v>129</v>
      </c>
      <c r="G180" s="137" t="s">
        <v>129</v>
      </c>
      <c r="H180" s="137" t="s">
        <v>129</v>
      </c>
      <c r="I180" s="137" t="s">
        <v>129</v>
      </c>
      <c r="J180" s="137" t="s">
        <v>129</v>
      </c>
      <c r="K180" s="137" t="s">
        <v>129</v>
      </c>
      <c r="L180" s="137" t="s">
        <v>129</v>
      </c>
      <c r="M180" s="141"/>
      <c r="N180" s="143"/>
    </row>
    <row r="181" ht="15.0" hidden="1" customHeight="1" outlineLevel="1">
      <c r="A181" s="219" t="s">
        <v>2280</v>
      </c>
      <c r="B181" s="344">
        <v>46038.0</v>
      </c>
      <c r="C181" s="186" t="str">
        <f t="shared" si="24"/>
        <v>Fri</v>
      </c>
      <c r="D181" s="136">
        <f t="shared" si="25"/>
        <v>1</v>
      </c>
      <c r="E181" s="137" t="s">
        <v>129</v>
      </c>
      <c r="F181" s="137" t="s">
        <v>129</v>
      </c>
      <c r="G181" s="137" t="s">
        <v>129</v>
      </c>
      <c r="H181" s="137" t="s">
        <v>129</v>
      </c>
      <c r="I181" s="137" t="s">
        <v>129</v>
      </c>
      <c r="J181" s="137" t="s">
        <v>129</v>
      </c>
      <c r="K181" s="137" t="s">
        <v>129</v>
      </c>
      <c r="L181" s="137" t="s">
        <v>129</v>
      </c>
      <c r="M181" s="141"/>
      <c r="N181" s="147"/>
    </row>
    <row r="182" hidden="1" outlineLevel="1">
      <c r="B182" s="189"/>
      <c r="C182" s="191" t="s">
        <v>194</v>
      </c>
      <c r="D182" s="204">
        <f>AVERAGE(D167:D181)</f>
        <v>1</v>
      </c>
      <c r="E182" s="200"/>
      <c r="L182" s="191" t="s">
        <v>194</v>
      </c>
      <c r="M182" s="204">
        <f>SUM(M167:M181)/75*0.1</f>
        <v>0</v>
      </c>
    </row>
    <row r="183" hidden="1" collapsed="1">
      <c r="A183" s="206" t="s">
        <v>549</v>
      </c>
      <c r="B183" s="207"/>
      <c r="C183" s="207"/>
      <c r="D183" s="208"/>
      <c r="E183" s="109"/>
      <c r="F183" s="109"/>
      <c r="G183" s="110"/>
      <c r="H183" s="110"/>
      <c r="I183" s="110"/>
      <c r="J183" s="110"/>
      <c r="K183" s="110"/>
      <c r="L183" s="110"/>
      <c r="M183" s="111"/>
      <c r="N183" s="113"/>
    </row>
    <row r="184" hidden="1" outlineLevel="1">
      <c r="A184" s="115" t="s">
        <v>98</v>
      </c>
      <c r="B184" s="115" t="s">
        <v>100</v>
      </c>
      <c r="C184" s="115" t="s">
        <v>102</v>
      </c>
      <c r="D184" s="119" t="s">
        <v>103</v>
      </c>
      <c r="E184" s="275" t="s">
        <v>269</v>
      </c>
      <c r="F184" s="275" t="s">
        <v>272</v>
      </c>
      <c r="G184" s="276" t="s">
        <v>328</v>
      </c>
      <c r="H184" s="121" t="s">
        <v>107</v>
      </c>
      <c r="I184" s="121" t="s">
        <v>108</v>
      </c>
      <c r="J184" s="276" t="s">
        <v>329</v>
      </c>
      <c r="K184" s="121" t="s">
        <v>111</v>
      </c>
      <c r="L184" s="276" t="s">
        <v>274</v>
      </c>
      <c r="M184" s="115" t="s">
        <v>114</v>
      </c>
      <c r="N184" s="119" t="s">
        <v>115</v>
      </c>
    </row>
    <row r="185" hidden="1" outlineLevel="1">
      <c r="A185" s="219" t="s">
        <v>2285</v>
      </c>
      <c r="B185" s="344">
        <v>46041.0</v>
      </c>
      <c r="C185" s="133" t="str">
        <f t="shared" ref="C185:C199" si="26">IF(B185="", "", TEXT(B185, "ddd"))</f>
        <v>Mon</v>
      </c>
      <c r="D185" s="136">
        <f t="shared" ref="D185:D199" si="27">IF(E185="Yes",0.05,0)
+IF(F185="Yes",0.1,0)
+IF(G185="Yes",0.15,0)
+IF(H185="Yes",0.15,0)
+IF(I185="Yes",0.05,0)
+IF(J185="Yes",0.05,0)
+IF(K185="Yes",0.15,0)
+IF(L185="Yes",0.3,0)
</f>
        <v>1</v>
      </c>
      <c r="E185" s="137" t="s">
        <v>129</v>
      </c>
      <c r="F185" s="137" t="s">
        <v>129</v>
      </c>
      <c r="G185" s="137" t="s">
        <v>129</v>
      </c>
      <c r="H185" s="137" t="s">
        <v>129</v>
      </c>
      <c r="I185" s="137" t="s">
        <v>129</v>
      </c>
      <c r="J185" s="137" t="s">
        <v>129</v>
      </c>
      <c r="K185" s="137" t="s">
        <v>129</v>
      </c>
      <c r="L185" s="137" t="s">
        <v>129</v>
      </c>
      <c r="M185" s="141"/>
      <c r="N185" s="143"/>
    </row>
    <row r="186" hidden="1" outlineLevel="1">
      <c r="A186" s="219" t="s">
        <v>2290</v>
      </c>
      <c r="B186" s="344">
        <v>46041.0</v>
      </c>
      <c r="C186" s="133" t="str">
        <f t="shared" si="26"/>
        <v>Mon</v>
      </c>
      <c r="D186" s="136">
        <f t="shared" si="27"/>
        <v>1</v>
      </c>
      <c r="E186" s="137" t="s">
        <v>129</v>
      </c>
      <c r="F186" s="137" t="s">
        <v>129</v>
      </c>
      <c r="G186" s="137" t="s">
        <v>129</v>
      </c>
      <c r="H186" s="137" t="s">
        <v>129</v>
      </c>
      <c r="I186" s="137" t="s">
        <v>129</v>
      </c>
      <c r="J186" s="137" t="s">
        <v>129</v>
      </c>
      <c r="K186" s="137" t="s">
        <v>129</v>
      </c>
      <c r="L186" s="137" t="s">
        <v>129</v>
      </c>
      <c r="M186" s="141"/>
      <c r="N186" s="147"/>
    </row>
    <row r="187" hidden="1" outlineLevel="1">
      <c r="A187" s="219" t="s">
        <v>2292</v>
      </c>
      <c r="B187" s="344">
        <v>46041.0</v>
      </c>
      <c r="C187" s="133" t="str">
        <f t="shared" si="26"/>
        <v>Mon</v>
      </c>
      <c r="D187" s="136">
        <f t="shared" si="27"/>
        <v>1</v>
      </c>
      <c r="E187" s="137" t="s">
        <v>129</v>
      </c>
      <c r="F187" s="137" t="s">
        <v>129</v>
      </c>
      <c r="G187" s="137" t="s">
        <v>129</v>
      </c>
      <c r="H187" s="137" t="s">
        <v>129</v>
      </c>
      <c r="I187" s="137" t="s">
        <v>129</v>
      </c>
      <c r="J187" s="137" t="s">
        <v>129</v>
      </c>
      <c r="K187" s="137" t="s">
        <v>129</v>
      </c>
      <c r="L187" s="137" t="s">
        <v>129</v>
      </c>
      <c r="M187" s="141"/>
      <c r="N187" s="147"/>
    </row>
    <row r="188" hidden="1" outlineLevel="1">
      <c r="A188" s="219" t="s">
        <v>2298</v>
      </c>
      <c r="B188" s="344">
        <v>46042.0</v>
      </c>
      <c r="C188" s="133" t="str">
        <f t="shared" si="26"/>
        <v>Tue</v>
      </c>
      <c r="D188" s="136">
        <f t="shared" si="27"/>
        <v>1</v>
      </c>
      <c r="E188" s="137" t="s">
        <v>129</v>
      </c>
      <c r="F188" s="137" t="s">
        <v>129</v>
      </c>
      <c r="G188" s="137" t="s">
        <v>129</v>
      </c>
      <c r="H188" s="137" t="s">
        <v>129</v>
      </c>
      <c r="I188" s="137" t="s">
        <v>129</v>
      </c>
      <c r="J188" s="137" t="s">
        <v>129</v>
      </c>
      <c r="K188" s="137" t="s">
        <v>129</v>
      </c>
      <c r="L188" s="137" t="s">
        <v>129</v>
      </c>
      <c r="M188" s="141"/>
      <c r="N188" s="143"/>
    </row>
    <row r="189" hidden="1" outlineLevel="1">
      <c r="A189" s="219" t="s">
        <v>2300</v>
      </c>
      <c r="B189" s="344">
        <v>46042.0</v>
      </c>
      <c r="C189" s="133" t="str">
        <f t="shared" si="26"/>
        <v>Tue</v>
      </c>
      <c r="D189" s="136">
        <f t="shared" si="27"/>
        <v>1</v>
      </c>
      <c r="E189" s="137" t="s">
        <v>129</v>
      </c>
      <c r="F189" s="137" t="s">
        <v>129</v>
      </c>
      <c r="G189" s="137" t="s">
        <v>129</v>
      </c>
      <c r="H189" s="137" t="s">
        <v>129</v>
      </c>
      <c r="I189" s="137" t="s">
        <v>129</v>
      </c>
      <c r="J189" s="137" t="s">
        <v>129</v>
      </c>
      <c r="K189" s="137" t="s">
        <v>129</v>
      </c>
      <c r="L189" s="137" t="s">
        <v>129</v>
      </c>
      <c r="M189" s="141"/>
      <c r="N189" s="143"/>
    </row>
    <row r="190" hidden="1" outlineLevel="1">
      <c r="A190" s="219" t="s">
        <v>2304</v>
      </c>
      <c r="B190" s="344">
        <v>46042.0</v>
      </c>
      <c r="C190" s="133" t="str">
        <f t="shared" si="26"/>
        <v>Tue</v>
      </c>
      <c r="D190" s="136">
        <f t="shared" si="27"/>
        <v>1</v>
      </c>
      <c r="E190" s="137" t="s">
        <v>129</v>
      </c>
      <c r="F190" s="137" t="s">
        <v>129</v>
      </c>
      <c r="G190" s="137" t="s">
        <v>129</v>
      </c>
      <c r="H190" s="137" t="s">
        <v>129</v>
      </c>
      <c r="I190" s="137" t="s">
        <v>129</v>
      </c>
      <c r="J190" s="137" t="s">
        <v>129</v>
      </c>
      <c r="K190" s="137" t="s">
        <v>129</v>
      </c>
      <c r="L190" s="137" t="s">
        <v>129</v>
      </c>
      <c r="M190" s="141"/>
      <c r="N190" s="143"/>
    </row>
    <row r="191" hidden="1" outlineLevel="1">
      <c r="A191" s="255" t="s">
        <v>2306</v>
      </c>
      <c r="B191" s="344">
        <v>46043.0</v>
      </c>
      <c r="C191" s="133" t="str">
        <f t="shared" si="26"/>
        <v>Wed</v>
      </c>
      <c r="D191" s="136">
        <f t="shared" si="27"/>
        <v>1</v>
      </c>
      <c r="E191" s="137" t="s">
        <v>129</v>
      </c>
      <c r="F191" s="137" t="s">
        <v>129</v>
      </c>
      <c r="G191" s="137" t="s">
        <v>129</v>
      </c>
      <c r="H191" s="137" t="s">
        <v>129</v>
      </c>
      <c r="I191" s="137" t="s">
        <v>129</v>
      </c>
      <c r="J191" s="137" t="s">
        <v>129</v>
      </c>
      <c r="K191" s="137" t="s">
        <v>129</v>
      </c>
      <c r="L191" s="137" t="s">
        <v>129</v>
      </c>
      <c r="M191" s="141"/>
      <c r="N191" s="143"/>
    </row>
    <row r="192" hidden="1" outlineLevel="1">
      <c r="A192" s="255" t="s">
        <v>2307</v>
      </c>
      <c r="B192" s="344">
        <v>46043.0</v>
      </c>
      <c r="C192" s="133" t="str">
        <f t="shared" si="26"/>
        <v>Wed</v>
      </c>
      <c r="D192" s="136">
        <f t="shared" si="27"/>
        <v>1</v>
      </c>
      <c r="E192" s="137" t="s">
        <v>129</v>
      </c>
      <c r="F192" s="137" t="s">
        <v>129</v>
      </c>
      <c r="G192" s="137" t="s">
        <v>129</v>
      </c>
      <c r="H192" s="137" t="s">
        <v>129</v>
      </c>
      <c r="I192" s="137" t="s">
        <v>129</v>
      </c>
      <c r="J192" s="137" t="s">
        <v>129</v>
      </c>
      <c r="K192" s="137" t="s">
        <v>129</v>
      </c>
      <c r="L192" s="137" t="s">
        <v>129</v>
      </c>
      <c r="M192" s="141"/>
      <c r="N192" s="147"/>
    </row>
    <row r="193" hidden="1" outlineLevel="1">
      <c r="A193" s="255" t="s">
        <v>2309</v>
      </c>
      <c r="B193" s="344">
        <v>46043.0</v>
      </c>
      <c r="C193" s="133" t="str">
        <f t="shared" si="26"/>
        <v>Wed</v>
      </c>
      <c r="D193" s="136">
        <f t="shared" si="27"/>
        <v>1</v>
      </c>
      <c r="E193" s="137" t="s">
        <v>129</v>
      </c>
      <c r="F193" s="137" t="s">
        <v>129</v>
      </c>
      <c r="G193" s="137" t="s">
        <v>129</v>
      </c>
      <c r="H193" s="137" t="s">
        <v>129</v>
      </c>
      <c r="I193" s="137" t="s">
        <v>129</v>
      </c>
      <c r="J193" s="137" t="s">
        <v>129</v>
      </c>
      <c r="K193" s="137" t="s">
        <v>129</v>
      </c>
      <c r="L193" s="137" t="s">
        <v>129</v>
      </c>
      <c r="M193" s="141"/>
      <c r="N193" s="143"/>
    </row>
    <row r="194" hidden="1" outlineLevel="1">
      <c r="A194" s="255" t="s">
        <v>2311</v>
      </c>
      <c r="B194" s="344">
        <v>46044.0</v>
      </c>
      <c r="C194" s="133" t="str">
        <f t="shared" si="26"/>
        <v>Thu</v>
      </c>
      <c r="D194" s="136">
        <f t="shared" si="27"/>
        <v>1</v>
      </c>
      <c r="E194" s="137" t="s">
        <v>129</v>
      </c>
      <c r="F194" s="137" t="s">
        <v>129</v>
      </c>
      <c r="G194" s="137" t="s">
        <v>129</v>
      </c>
      <c r="H194" s="137" t="s">
        <v>129</v>
      </c>
      <c r="I194" s="137" t="s">
        <v>129</v>
      </c>
      <c r="J194" s="137" t="s">
        <v>129</v>
      </c>
      <c r="K194" s="137" t="s">
        <v>129</v>
      </c>
      <c r="L194" s="137" t="s">
        <v>129</v>
      </c>
      <c r="M194" s="141"/>
      <c r="N194" s="143"/>
    </row>
    <row r="195" hidden="1" outlineLevel="1">
      <c r="A195" s="255" t="s">
        <v>2312</v>
      </c>
      <c r="B195" s="344">
        <v>46044.0</v>
      </c>
      <c r="C195" s="133" t="str">
        <f t="shared" si="26"/>
        <v>Thu</v>
      </c>
      <c r="D195" s="136">
        <f t="shared" si="27"/>
        <v>1</v>
      </c>
      <c r="E195" s="137" t="s">
        <v>129</v>
      </c>
      <c r="F195" s="137" t="s">
        <v>129</v>
      </c>
      <c r="G195" s="137" t="s">
        <v>129</v>
      </c>
      <c r="H195" s="137" t="s">
        <v>129</v>
      </c>
      <c r="I195" s="137" t="s">
        <v>129</v>
      </c>
      <c r="J195" s="137" t="s">
        <v>129</v>
      </c>
      <c r="K195" s="137" t="s">
        <v>129</v>
      </c>
      <c r="L195" s="137" t="s">
        <v>129</v>
      </c>
      <c r="M195" s="141"/>
      <c r="N195" s="147"/>
    </row>
    <row r="196" hidden="1" outlineLevel="1">
      <c r="A196" s="255" t="s">
        <v>2313</v>
      </c>
      <c r="B196" s="344">
        <v>46044.0</v>
      </c>
      <c r="C196" s="133" t="str">
        <f t="shared" si="26"/>
        <v>Thu</v>
      </c>
      <c r="D196" s="136">
        <f t="shared" si="27"/>
        <v>1</v>
      </c>
      <c r="E196" s="137" t="s">
        <v>129</v>
      </c>
      <c r="F196" s="137" t="s">
        <v>129</v>
      </c>
      <c r="G196" s="137" t="s">
        <v>129</v>
      </c>
      <c r="H196" s="137" t="s">
        <v>129</v>
      </c>
      <c r="I196" s="137" t="s">
        <v>129</v>
      </c>
      <c r="J196" s="137" t="s">
        <v>129</v>
      </c>
      <c r="K196" s="137" t="s">
        <v>129</v>
      </c>
      <c r="L196" s="137" t="s">
        <v>129</v>
      </c>
      <c r="M196" s="141"/>
      <c r="N196" s="143"/>
    </row>
    <row r="197" hidden="1" outlineLevel="1">
      <c r="A197" s="303" t="s">
        <v>2314</v>
      </c>
      <c r="B197" s="344">
        <v>46045.0</v>
      </c>
      <c r="C197" s="133" t="str">
        <f t="shared" si="26"/>
        <v>Fri</v>
      </c>
      <c r="D197" s="136">
        <f t="shared" si="27"/>
        <v>1</v>
      </c>
      <c r="E197" s="137" t="s">
        <v>129</v>
      </c>
      <c r="F197" s="137" t="s">
        <v>129</v>
      </c>
      <c r="G197" s="137" t="s">
        <v>129</v>
      </c>
      <c r="H197" s="137" t="s">
        <v>129</v>
      </c>
      <c r="I197" s="137" t="s">
        <v>129</v>
      </c>
      <c r="J197" s="137" t="s">
        <v>129</v>
      </c>
      <c r="K197" s="137" t="s">
        <v>129</v>
      </c>
      <c r="L197" s="137" t="s">
        <v>129</v>
      </c>
      <c r="M197" s="141"/>
      <c r="N197" s="143"/>
    </row>
    <row r="198" hidden="1" outlineLevel="1">
      <c r="A198" s="303" t="s">
        <v>2315</v>
      </c>
      <c r="B198" s="344">
        <v>46045.0</v>
      </c>
      <c r="C198" s="133" t="str">
        <f t="shared" si="26"/>
        <v>Fri</v>
      </c>
      <c r="D198" s="136">
        <f t="shared" si="27"/>
        <v>1</v>
      </c>
      <c r="E198" s="137" t="s">
        <v>129</v>
      </c>
      <c r="F198" s="137" t="s">
        <v>129</v>
      </c>
      <c r="G198" s="137" t="s">
        <v>129</v>
      </c>
      <c r="H198" s="137" t="s">
        <v>129</v>
      </c>
      <c r="I198" s="137" t="s">
        <v>129</v>
      </c>
      <c r="J198" s="137" t="s">
        <v>129</v>
      </c>
      <c r="K198" s="137" t="s">
        <v>129</v>
      </c>
      <c r="L198" s="137" t="s">
        <v>129</v>
      </c>
      <c r="M198" s="141"/>
      <c r="N198" s="143"/>
    </row>
    <row r="199" ht="15.0" hidden="1" customHeight="1" outlineLevel="1">
      <c r="A199" s="303" t="s">
        <v>2317</v>
      </c>
      <c r="B199" s="344">
        <v>46045.0</v>
      </c>
      <c r="C199" s="133" t="str">
        <f t="shared" si="26"/>
        <v>Fri</v>
      </c>
      <c r="D199" s="136">
        <f t="shared" si="27"/>
        <v>1</v>
      </c>
      <c r="E199" s="137" t="s">
        <v>129</v>
      </c>
      <c r="F199" s="137" t="s">
        <v>129</v>
      </c>
      <c r="G199" s="137" t="s">
        <v>129</v>
      </c>
      <c r="H199" s="137" t="s">
        <v>129</v>
      </c>
      <c r="I199" s="137" t="s">
        <v>129</v>
      </c>
      <c r="J199" s="137" t="s">
        <v>129</v>
      </c>
      <c r="K199" s="137" t="s">
        <v>129</v>
      </c>
      <c r="L199" s="137" t="s">
        <v>129</v>
      </c>
      <c r="M199" s="141"/>
      <c r="N199" s="147"/>
    </row>
    <row r="200" hidden="1" outlineLevel="1">
      <c r="B200" s="189"/>
      <c r="C200" s="191" t="s">
        <v>194</v>
      </c>
      <c r="D200" s="204">
        <f>AVERAGE(D185:D199)</f>
        <v>1</v>
      </c>
      <c r="E200" s="200"/>
      <c r="L200" s="191" t="s">
        <v>194</v>
      </c>
      <c r="M200" s="204">
        <f>SUM(M185:M199)/75*0.1</f>
        <v>0</v>
      </c>
    </row>
    <row r="201" hidden="1" collapsed="1">
      <c r="A201" s="206" t="s">
        <v>578</v>
      </c>
      <c r="B201" s="207"/>
      <c r="C201" s="207"/>
      <c r="D201" s="208"/>
      <c r="E201" s="109"/>
      <c r="F201" s="109"/>
      <c r="G201" s="110"/>
      <c r="H201" s="110"/>
      <c r="I201" s="110"/>
      <c r="J201" s="110"/>
      <c r="K201" s="110"/>
      <c r="L201" s="110"/>
      <c r="M201" s="111"/>
      <c r="N201" s="113"/>
    </row>
    <row r="202" hidden="1" outlineLevel="1">
      <c r="A202" s="115" t="s">
        <v>98</v>
      </c>
      <c r="B202" s="115" t="s">
        <v>100</v>
      </c>
      <c r="C202" s="115" t="s">
        <v>102</v>
      </c>
      <c r="D202" s="119" t="s">
        <v>103</v>
      </c>
      <c r="E202" s="275" t="s">
        <v>269</v>
      </c>
      <c r="F202" s="275" t="s">
        <v>272</v>
      </c>
      <c r="G202" s="276" t="s">
        <v>328</v>
      </c>
      <c r="H202" s="121" t="s">
        <v>107</v>
      </c>
      <c r="I202" s="121" t="s">
        <v>108</v>
      </c>
      <c r="J202" s="276" t="s">
        <v>329</v>
      </c>
      <c r="K202" s="121" t="s">
        <v>111</v>
      </c>
      <c r="L202" s="276" t="s">
        <v>274</v>
      </c>
      <c r="M202" s="115" t="s">
        <v>114</v>
      </c>
      <c r="N202" s="119" t="s">
        <v>115</v>
      </c>
    </row>
    <row r="203" hidden="1" outlineLevel="1">
      <c r="A203" s="303" t="s">
        <v>2320</v>
      </c>
      <c r="B203" s="344">
        <v>46048.0</v>
      </c>
      <c r="C203" s="133" t="str">
        <f t="shared" ref="C203:C217" si="28">IF(B203="", "", TEXT(B203, "ddd"))</f>
        <v>Mon</v>
      </c>
      <c r="D203" s="136">
        <f t="shared" ref="D203:D217" si="29">IF(E203="Yes",0.05,0)
+IF(F203="Yes",0.1,0)
+IF(G203="Yes",0.15,0)
+IF(H203="Yes",0.15,0)
+IF(I203="Yes",0.05,0)
+IF(J203="Yes",0.05,0)
+IF(K203="Yes",0.15,0)
+IF(L203="Yes",0.3,0)
</f>
        <v>1</v>
      </c>
      <c r="E203" s="137" t="s">
        <v>129</v>
      </c>
      <c r="F203" s="137" t="s">
        <v>129</v>
      </c>
      <c r="G203" s="137" t="s">
        <v>129</v>
      </c>
      <c r="H203" s="137" t="s">
        <v>129</v>
      </c>
      <c r="I203" s="137" t="s">
        <v>129</v>
      </c>
      <c r="J203" s="137" t="s">
        <v>129</v>
      </c>
      <c r="K203" s="137" t="s">
        <v>129</v>
      </c>
      <c r="L203" s="137" t="s">
        <v>129</v>
      </c>
      <c r="M203" s="141"/>
      <c r="N203" s="143"/>
    </row>
    <row r="204" hidden="1" outlineLevel="1">
      <c r="A204" s="303" t="s">
        <v>2322</v>
      </c>
      <c r="B204" s="344">
        <v>46048.0</v>
      </c>
      <c r="C204" s="133" t="str">
        <f t="shared" si="28"/>
        <v>Mon</v>
      </c>
      <c r="D204" s="136">
        <f t="shared" si="29"/>
        <v>1</v>
      </c>
      <c r="E204" s="137" t="s">
        <v>129</v>
      </c>
      <c r="F204" s="137" t="s">
        <v>129</v>
      </c>
      <c r="G204" s="137" t="s">
        <v>129</v>
      </c>
      <c r="H204" s="137" t="s">
        <v>129</v>
      </c>
      <c r="I204" s="137" t="s">
        <v>129</v>
      </c>
      <c r="J204" s="137" t="s">
        <v>129</v>
      </c>
      <c r="K204" s="137" t="s">
        <v>129</v>
      </c>
      <c r="L204" s="137" t="s">
        <v>129</v>
      </c>
      <c r="M204" s="141"/>
      <c r="N204" s="147"/>
    </row>
    <row r="205" hidden="1" outlineLevel="1">
      <c r="A205" s="303" t="s">
        <v>2324</v>
      </c>
      <c r="B205" s="344">
        <v>46048.0</v>
      </c>
      <c r="C205" s="133" t="str">
        <f t="shared" si="28"/>
        <v>Mon</v>
      </c>
      <c r="D205" s="136">
        <f t="shared" si="29"/>
        <v>1</v>
      </c>
      <c r="E205" s="137" t="s">
        <v>129</v>
      </c>
      <c r="F205" s="137" t="s">
        <v>129</v>
      </c>
      <c r="G205" s="137" t="s">
        <v>129</v>
      </c>
      <c r="H205" s="137" t="s">
        <v>129</v>
      </c>
      <c r="I205" s="137" t="s">
        <v>129</v>
      </c>
      <c r="J205" s="137" t="s">
        <v>129</v>
      </c>
      <c r="K205" s="137" t="s">
        <v>129</v>
      </c>
      <c r="L205" s="137" t="s">
        <v>129</v>
      </c>
      <c r="M205" s="141"/>
      <c r="N205" s="147"/>
    </row>
    <row r="206" hidden="1" outlineLevel="1">
      <c r="A206" s="303" t="s">
        <v>2325</v>
      </c>
      <c r="B206" s="344">
        <v>46049.0</v>
      </c>
      <c r="C206" s="133" t="str">
        <f t="shared" si="28"/>
        <v>Tue</v>
      </c>
      <c r="D206" s="136">
        <f t="shared" si="29"/>
        <v>1</v>
      </c>
      <c r="E206" s="137" t="s">
        <v>129</v>
      </c>
      <c r="F206" s="137" t="s">
        <v>129</v>
      </c>
      <c r="G206" s="137" t="s">
        <v>129</v>
      </c>
      <c r="H206" s="137" t="s">
        <v>129</v>
      </c>
      <c r="I206" s="137" t="s">
        <v>129</v>
      </c>
      <c r="J206" s="137" t="s">
        <v>129</v>
      </c>
      <c r="K206" s="137" t="s">
        <v>129</v>
      </c>
      <c r="L206" s="137" t="s">
        <v>129</v>
      </c>
      <c r="M206" s="141"/>
      <c r="N206" s="143"/>
    </row>
    <row r="207" hidden="1" outlineLevel="1">
      <c r="A207" s="303" t="s">
        <v>2326</v>
      </c>
      <c r="B207" s="344">
        <v>46049.0</v>
      </c>
      <c r="C207" s="133" t="str">
        <f t="shared" si="28"/>
        <v>Tue</v>
      </c>
      <c r="D207" s="136">
        <f t="shared" si="29"/>
        <v>1</v>
      </c>
      <c r="E207" s="137" t="s">
        <v>129</v>
      </c>
      <c r="F207" s="137" t="s">
        <v>129</v>
      </c>
      <c r="G207" s="137" t="s">
        <v>129</v>
      </c>
      <c r="H207" s="137" t="s">
        <v>129</v>
      </c>
      <c r="I207" s="137" t="s">
        <v>129</v>
      </c>
      <c r="J207" s="137" t="s">
        <v>129</v>
      </c>
      <c r="K207" s="137" t="s">
        <v>129</v>
      </c>
      <c r="L207" s="137" t="s">
        <v>129</v>
      </c>
      <c r="M207" s="141"/>
      <c r="N207" s="143"/>
    </row>
    <row r="208" hidden="1" outlineLevel="1">
      <c r="A208" s="303" t="s">
        <v>2327</v>
      </c>
      <c r="B208" s="344">
        <v>46049.0</v>
      </c>
      <c r="C208" s="133" t="str">
        <f t="shared" si="28"/>
        <v>Tue</v>
      </c>
      <c r="D208" s="136">
        <f t="shared" si="29"/>
        <v>1</v>
      </c>
      <c r="E208" s="137" t="s">
        <v>129</v>
      </c>
      <c r="F208" s="137" t="s">
        <v>129</v>
      </c>
      <c r="G208" s="137" t="s">
        <v>129</v>
      </c>
      <c r="H208" s="137" t="s">
        <v>129</v>
      </c>
      <c r="I208" s="137" t="s">
        <v>129</v>
      </c>
      <c r="J208" s="137" t="s">
        <v>129</v>
      </c>
      <c r="K208" s="137" t="s">
        <v>129</v>
      </c>
      <c r="L208" s="137" t="s">
        <v>129</v>
      </c>
      <c r="M208" s="141"/>
      <c r="N208" s="143"/>
    </row>
    <row r="209" hidden="1" outlineLevel="1">
      <c r="A209" s="255" t="s">
        <v>2328</v>
      </c>
      <c r="B209" s="344">
        <v>46050.0</v>
      </c>
      <c r="C209" s="133" t="str">
        <f t="shared" si="28"/>
        <v>Wed</v>
      </c>
      <c r="D209" s="136">
        <f t="shared" si="29"/>
        <v>1</v>
      </c>
      <c r="E209" s="137" t="s">
        <v>129</v>
      </c>
      <c r="F209" s="137" t="s">
        <v>129</v>
      </c>
      <c r="G209" s="137" t="s">
        <v>129</v>
      </c>
      <c r="H209" s="137" t="s">
        <v>129</v>
      </c>
      <c r="I209" s="137" t="s">
        <v>129</v>
      </c>
      <c r="J209" s="137" t="s">
        <v>129</v>
      </c>
      <c r="K209" s="137" t="s">
        <v>129</v>
      </c>
      <c r="L209" s="137" t="s">
        <v>129</v>
      </c>
      <c r="M209" s="141"/>
      <c r="N209" s="143"/>
    </row>
    <row r="210" hidden="1" outlineLevel="1">
      <c r="A210" s="255" t="s">
        <v>2331</v>
      </c>
      <c r="B210" s="344">
        <v>46050.0</v>
      </c>
      <c r="C210" s="133" t="str">
        <f t="shared" si="28"/>
        <v>Wed</v>
      </c>
      <c r="D210" s="136">
        <f t="shared" si="29"/>
        <v>1</v>
      </c>
      <c r="E210" s="137" t="s">
        <v>129</v>
      </c>
      <c r="F210" s="137" t="s">
        <v>129</v>
      </c>
      <c r="G210" s="137" t="s">
        <v>129</v>
      </c>
      <c r="H210" s="137" t="s">
        <v>129</v>
      </c>
      <c r="I210" s="137" t="s">
        <v>129</v>
      </c>
      <c r="J210" s="137" t="s">
        <v>129</v>
      </c>
      <c r="K210" s="137" t="s">
        <v>129</v>
      </c>
      <c r="L210" s="137" t="s">
        <v>129</v>
      </c>
      <c r="M210" s="141"/>
      <c r="N210" s="147"/>
    </row>
    <row r="211" hidden="1" outlineLevel="1">
      <c r="A211" s="255" t="s">
        <v>2332</v>
      </c>
      <c r="B211" s="344">
        <v>46050.0</v>
      </c>
      <c r="C211" s="133" t="str">
        <f t="shared" si="28"/>
        <v>Wed</v>
      </c>
      <c r="D211" s="136">
        <f t="shared" si="29"/>
        <v>1</v>
      </c>
      <c r="E211" s="137" t="s">
        <v>129</v>
      </c>
      <c r="F211" s="137" t="s">
        <v>129</v>
      </c>
      <c r="G211" s="137" t="s">
        <v>129</v>
      </c>
      <c r="H211" s="137" t="s">
        <v>129</v>
      </c>
      <c r="I211" s="137" t="s">
        <v>129</v>
      </c>
      <c r="J211" s="137" t="s">
        <v>129</v>
      </c>
      <c r="K211" s="137" t="s">
        <v>129</v>
      </c>
      <c r="L211" s="137" t="s">
        <v>129</v>
      </c>
      <c r="M211" s="141"/>
      <c r="N211" s="143"/>
    </row>
    <row r="212" hidden="1" outlineLevel="1">
      <c r="A212" s="255" t="s">
        <v>2333</v>
      </c>
      <c r="B212" s="344">
        <v>46051.0</v>
      </c>
      <c r="C212" s="133" t="str">
        <f t="shared" si="28"/>
        <v>Thu</v>
      </c>
      <c r="D212" s="136">
        <f t="shared" si="29"/>
        <v>1</v>
      </c>
      <c r="E212" s="137" t="s">
        <v>129</v>
      </c>
      <c r="F212" s="137" t="s">
        <v>129</v>
      </c>
      <c r="G212" s="137" t="s">
        <v>129</v>
      </c>
      <c r="H212" s="137" t="s">
        <v>129</v>
      </c>
      <c r="I212" s="137" t="s">
        <v>129</v>
      </c>
      <c r="J212" s="137" t="s">
        <v>129</v>
      </c>
      <c r="K212" s="137" t="s">
        <v>129</v>
      </c>
      <c r="L212" s="137" t="s">
        <v>129</v>
      </c>
      <c r="M212" s="141"/>
      <c r="N212" s="147"/>
    </row>
    <row r="213" hidden="1" outlineLevel="1">
      <c r="A213" s="255" t="s">
        <v>2339</v>
      </c>
      <c r="B213" s="344">
        <v>46051.0</v>
      </c>
      <c r="C213" s="133" t="str">
        <f t="shared" si="28"/>
        <v>Thu</v>
      </c>
      <c r="D213" s="136">
        <f t="shared" si="29"/>
        <v>1</v>
      </c>
      <c r="E213" s="137" t="s">
        <v>129</v>
      </c>
      <c r="F213" s="137" t="s">
        <v>129</v>
      </c>
      <c r="G213" s="137" t="s">
        <v>129</v>
      </c>
      <c r="H213" s="137" t="s">
        <v>129</v>
      </c>
      <c r="I213" s="137" t="s">
        <v>129</v>
      </c>
      <c r="J213" s="137" t="s">
        <v>129</v>
      </c>
      <c r="K213" s="137" t="s">
        <v>129</v>
      </c>
      <c r="L213" s="137" t="s">
        <v>129</v>
      </c>
      <c r="M213" s="141"/>
      <c r="N213" s="147"/>
    </row>
    <row r="214" hidden="1" outlineLevel="1">
      <c r="A214" s="255" t="s">
        <v>2342</v>
      </c>
      <c r="B214" s="344">
        <v>46051.0</v>
      </c>
      <c r="C214" s="133" t="str">
        <f t="shared" si="28"/>
        <v>Thu</v>
      </c>
      <c r="D214" s="136">
        <f t="shared" si="29"/>
        <v>1</v>
      </c>
      <c r="E214" s="137" t="s">
        <v>129</v>
      </c>
      <c r="F214" s="137" t="s">
        <v>129</v>
      </c>
      <c r="G214" s="137" t="s">
        <v>129</v>
      </c>
      <c r="H214" s="137" t="s">
        <v>129</v>
      </c>
      <c r="I214" s="137" t="s">
        <v>129</v>
      </c>
      <c r="J214" s="137" t="s">
        <v>129</v>
      </c>
      <c r="K214" s="137" t="s">
        <v>129</v>
      </c>
      <c r="L214" s="137" t="s">
        <v>129</v>
      </c>
      <c r="M214" s="141"/>
      <c r="N214" s="147"/>
    </row>
    <row r="215" hidden="1" outlineLevel="1">
      <c r="A215" s="219" t="s">
        <v>2346</v>
      </c>
      <c r="B215" s="344">
        <v>46052.0</v>
      </c>
      <c r="C215" s="133" t="str">
        <f t="shared" si="28"/>
        <v>Fri</v>
      </c>
      <c r="D215" s="136">
        <f t="shared" si="29"/>
        <v>1</v>
      </c>
      <c r="E215" s="137" t="s">
        <v>129</v>
      </c>
      <c r="F215" s="137" t="s">
        <v>129</v>
      </c>
      <c r="G215" s="137" t="s">
        <v>129</v>
      </c>
      <c r="H215" s="137" t="s">
        <v>129</v>
      </c>
      <c r="I215" s="137" t="s">
        <v>129</v>
      </c>
      <c r="J215" s="137" t="s">
        <v>129</v>
      </c>
      <c r="K215" s="137" t="s">
        <v>129</v>
      </c>
      <c r="L215" s="137" t="s">
        <v>129</v>
      </c>
      <c r="M215" s="141"/>
      <c r="N215" s="143"/>
    </row>
    <row r="216" hidden="1" outlineLevel="1">
      <c r="A216" s="219" t="s">
        <v>2349</v>
      </c>
      <c r="B216" s="344">
        <v>46052.0</v>
      </c>
      <c r="C216" s="133" t="str">
        <f t="shared" si="28"/>
        <v>Fri</v>
      </c>
      <c r="D216" s="136">
        <f t="shared" si="29"/>
        <v>1</v>
      </c>
      <c r="E216" s="137" t="s">
        <v>129</v>
      </c>
      <c r="F216" s="137" t="s">
        <v>129</v>
      </c>
      <c r="G216" s="137" t="s">
        <v>129</v>
      </c>
      <c r="H216" s="137" t="s">
        <v>129</v>
      </c>
      <c r="I216" s="137" t="s">
        <v>129</v>
      </c>
      <c r="J216" s="137" t="s">
        <v>129</v>
      </c>
      <c r="K216" s="137" t="s">
        <v>129</v>
      </c>
      <c r="L216" s="137" t="s">
        <v>129</v>
      </c>
      <c r="M216" s="141"/>
      <c r="N216" s="143"/>
    </row>
    <row r="217" ht="15.0" hidden="1" customHeight="1" outlineLevel="1">
      <c r="A217" s="219" t="s">
        <v>2352</v>
      </c>
      <c r="B217" s="344">
        <v>46052.0</v>
      </c>
      <c r="C217" s="133" t="str">
        <f t="shared" si="28"/>
        <v>Fri</v>
      </c>
      <c r="D217" s="136">
        <f t="shared" si="29"/>
        <v>1</v>
      </c>
      <c r="E217" s="137" t="s">
        <v>129</v>
      </c>
      <c r="F217" s="137" t="s">
        <v>129</v>
      </c>
      <c r="G217" s="137" t="s">
        <v>129</v>
      </c>
      <c r="H217" s="137" t="s">
        <v>129</v>
      </c>
      <c r="I217" s="137" t="s">
        <v>129</v>
      </c>
      <c r="J217" s="137" t="s">
        <v>129</v>
      </c>
      <c r="K217" s="137" t="s">
        <v>129</v>
      </c>
      <c r="L217" s="137" t="s">
        <v>129</v>
      </c>
      <c r="M217" s="141"/>
      <c r="N217" s="147"/>
    </row>
    <row r="218" hidden="1" outlineLevel="1">
      <c r="B218" s="189"/>
      <c r="C218" s="191" t="s">
        <v>194</v>
      </c>
      <c r="D218" s="204">
        <f>AVERAGE(D203:D217)</f>
        <v>1</v>
      </c>
      <c r="E218" s="200"/>
      <c r="L218" s="191" t="s">
        <v>194</v>
      </c>
      <c r="M218" s="204">
        <f>SUM(M203:M217)/75*0.1</f>
        <v>0</v>
      </c>
    </row>
    <row r="219" hidden="1" collapsed="1">
      <c r="A219" s="206" t="s">
        <v>613</v>
      </c>
      <c r="B219" s="207"/>
      <c r="C219" s="207"/>
      <c r="D219" s="208"/>
      <c r="E219" s="109"/>
      <c r="F219" s="109"/>
      <c r="G219" s="110"/>
      <c r="H219" s="110"/>
      <c r="I219" s="110"/>
      <c r="J219" s="110"/>
      <c r="K219" s="110"/>
      <c r="L219" s="110"/>
      <c r="M219" s="111"/>
      <c r="N219" s="113"/>
    </row>
    <row r="220" hidden="1" outlineLevel="1">
      <c r="A220" s="115" t="s">
        <v>98</v>
      </c>
      <c r="B220" s="115" t="s">
        <v>100</v>
      </c>
      <c r="C220" s="115" t="s">
        <v>102</v>
      </c>
      <c r="D220" s="119" t="s">
        <v>103</v>
      </c>
      <c r="E220" s="275" t="s">
        <v>269</v>
      </c>
      <c r="F220" s="275" t="s">
        <v>272</v>
      </c>
      <c r="G220" s="276" t="s">
        <v>328</v>
      </c>
      <c r="H220" s="121" t="s">
        <v>107</v>
      </c>
      <c r="I220" s="121" t="s">
        <v>108</v>
      </c>
      <c r="J220" s="276" t="s">
        <v>329</v>
      </c>
      <c r="K220" s="121" t="s">
        <v>111</v>
      </c>
      <c r="L220" s="276" t="s">
        <v>274</v>
      </c>
      <c r="M220" s="115" t="s">
        <v>114</v>
      </c>
      <c r="N220" s="119" t="s">
        <v>115</v>
      </c>
    </row>
    <row r="221" hidden="1" outlineLevel="1">
      <c r="A221" s="303" t="s">
        <v>2358</v>
      </c>
      <c r="B221" s="344">
        <v>46055.0</v>
      </c>
      <c r="C221" s="133" t="str">
        <f t="shared" ref="C221:C235" si="30">IF(B221="", "", TEXT(B221, "ddd"))</f>
        <v>Mon</v>
      </c>
      <c r="D221" s="136">
        <f t="shared" ref="D221:D235" si="31">IF(E221="Yes",0.05,0)
+IF(F221="Yes",0.1,0)
+IF(G221="Yes",0.15,0)
+IF(H221="Yes",0.15,0)
+IF(I221="Yes",0.05,0)
+IF(J221="Yes",0.05,0)
+IF(K221="Yes",0.15,0)
+IF(L221="Yes",0.3,0)
</f>
        <v>1</v>
      </c>
      <c r="E221" s="137" t="s">
        <v>129</v>
      </c>
      <c r="F221" s="137" t="s">
        <v>129</v>
      </c>
      <c r="G221" s="137" t="s">
        <v>129</v>
      </c>
      <c r="H221" s="137" t="s">
        <v>129</v>
      </c>
      <c r="I221" s="137" t="s">
        <v>129</v>
      </c>
      <c r="J221" s="137" t="s">
        <v>129</v>
      </c>
      <c r="K221" s="137" t="s">
        <v>129</v>
      </c>
      <c r="L221" s="137" t="s">
        <v>129</v>
      </c>
      <c r="M221" s="141"/>
      <c r="N221" s="143"/>
    </row>
    <row r="222" hidden="1" outlineLevel="1">
      <c r="A222" s="303" t="s">
        <v>2364</v>
      </c>
      <c r="B222" s="344">
        <v>46055.0</v>
      </c>
      <c r="C222" s="133" t="str">
        <f t="shared" si="30"/>
        <v>Mon</v>
      </c>
      <c r="D222" s="136">
        <f t="shared" si="31"/>
        <v>1</v>
      </c>
      <c r="E222" s="137" t="s">
        <v>129</v>
      </c>
      <c r="F222" s="137" t="s">
        <v>129</v>
      </c>
      <c r="G222" s="137" t="s">
        <v>129</v>
      </c>
      <c r="H222" s="137" t="s">
        <v>129</v>
      </c>
      <c r="I222" s="137" t="s">
        <v>129</v>
      </c>
      <c r="J222" s="137" t="s">
        <v>129</v>
      </c>
      <c r="K222" s="137" t="s">
        <v>129</v>
      </c>
      <c r="L222" s="137" t="s">
        <v>129</v>
      </c>
      <c r="M222" s="141"/>
      <c r="N222" s="147"/>
    </row>
    <row r="223" hidden="1" outlineLevel="1">
      <c r="A223" s="303" t="s">
        <v>2365</v>
      </c>
      <c r="B223" s="344">
        <v>46055.0</v>
      </c>
      <c r="C223" s="133" t="str">
        <f t="shared" si="30"/>
        <v>Mon</v>
      </c>
      <c r="D223" s="136">
        <f t="shared" si="31"/>
        <v>1</v>
      </c>
      <c r="E223" s="137" t="s">
        <v>129</v>
      </c>
      <c r="F223" s="137" t="s">
        <v>129</v>
      </c>
      <c r="G223" s="137" t="s">
        <v>129</v>
      </c>
      <c r="H223" s="137" t="s">
        <v>129</v>
      </c>
      <c r="I223" s="137" t="s">
        <v>129</v>
      </c>
      <c r="J223" s="137" t="s">
        <v>129</v>
      </c>
      <c r="K223" s="137" t="s">
        <v>129</v>
      </c>
      <c r="L223" s="137" t="s">
        <v>129</v>
      </c>
      <c r="M223" s="141"/>
      <c r="N223" s="147"/>
    </row>
    <row r="224" hidden="1" outlineLevel="1">
      <c r="A224" s="219" t="s">
        <v>2368</v>
      </c>
      <c r="B224" s="344">
        <v>46056.0</v>
      </c>
      <c r="C224" s="133" t="str">
        <f t="shared" si="30"/>
        <v>Tue</v>
      </c>
      <c r="D224" s="136">
        <f t="shared" si="31"/>
        <v>1</v>
      </c>
      <c r="E224" s="137" t="s">
        <v>129</v>
      </c>
      <c r="F224" s="137" t="s">
        <v>129</v>
      </c>
      <c r="G224" s="137" t="s">
        <v>129</v>
      </c>
      <c r="H224" s="137" t="s">
        <v>129</v>
      </c>
      <c r="I224" s="137" t="s">
        <v>129</v>
      </c>
      <c r="J224" s="137" t="s">
        <v>129</v>
      </c>
      <c r="K224" s="137" t="s">
        <v>129</v>
      </c>
      <c r="L224" s="137" t="s">
        <v>129</v>
      </c>
      <c r="M224" s="141"/>
      <c r="N224" s="143"/>
    </row>
    <row r="225" hidden="1" outlineLevel="1">
      <c r="A225" s="219" t="s">
        <v>2370</v>
      </c>
      <c r="B225" s="344">
        <v>46056.0</v>
      </c>
      <c r="C225" s="133" t="str">
        <f t="shared" si="30"/>
        <v>Tue</v>
      </c>
      <c r="D225" s="136">
        <f t="shared" si="31"/>
        <v>1</v>
      </c>
      <c r="E225" s="137" t="s">
        <v>129</v>
      </c>
      <c r="F225" s="137" t="s">
        <v>129</v>
      </c>
      <c r="G225" s="137" t="s">
        <v>129</v>
      </c>
      <c r="H225" s="137" t="s">
        <v>129</v>
      </c>
      <c r="I225" s="137" t="s">
        <v>129</v>
      </c>
      <c r="J225" s="137" t="s">
        <v>129</v>
      </c>
      <c r="K225" s="137" t="s">
        <v>129</v>
      </c>
      <c r="L225" s="137" t="s">
        <v>129</v>
      </c>
      <c r="M225" s="141"/>
      <c r="N225" s="143"/>
    </row>
    <row r="226" hidden="1" outlineLevel="1">
      <c r="A226" s="219" t="s">
        <v>2373</v>
      </c>
      <c r="B226" s="344">
        <v>46056.0</v>
      </c>
      <c r="C226" s="133" t="str">
        <f t="shared" si="30"/>
        <v>Tue</v>
      </c>
      <c r="D226" s="136">
        <f t="shared" si="31"/>
        <v>1</v>
      </c>
      <c r="E226" s="137" t="s">
        <v>129</v>
      </c>
      <c r="F226" s="137" t="s">
        <v>129</v>
      </c>
      <c r="G226" s="137" t="s">
        <v>129</v>
      </c>
      <c r="H226" s="137" t="s">
        <v>129</v>
      </c>
      <c r="I226" s="137" t="s">
        <v>129</v>
      </c>
      <c r="J226" s="137" t="s">
        <v>129</v>
      </c>
      <c r="K226" s="137" t="s">
        <v>129</v>
      </c>
      <c r="L226" s="137" t="s">
        <v>129</v>
      </c>
      <c r="M226" s="141"/>
      <c r="N226" s="143"/>
    </row>
    <row r="227" hidden="1" outlineLevel="1">
      <c r="A227" s="255" t="s">
        <v>2377</v>
      </c>
      <c r="B227" s="344">
        <v>46057.0</v>
      </c>
      <c r="C227" s="133" t="str">
        <f t="shared" si="30"/>
        <v>Wed</v>
      </c>
      <c r="D227" s="136">
        <f t="shared" si="31"/>
        <v>1</v>
      </c>
      <c r="E227" s="137" t="s">
        <v>129</v>
      </c>
      <c r="F227" s="137" t="s">
        <v>129</v>
      </c>
      <c r="G227" s="137" t="s">
        <v>129</v>
      </c>
      <c r="H227" s="137" t="s">
        <v>129</v>
      </c>
      <c r="I227" s="137" t="s">
        <v>129</v>
      </c>
      <c r="J227" s="137" t="s">
        <v>129</v>
      </c>
      <c r="K227" s="137" t="s">
        <v>129</v>
      </c>
      <c r="L227" s="137" t="s">
        <v>129</v>
      </c>
      <c r="M227" s="141"/>
      <c r="N227" s="143"/>
    </row>
    <row r="228" hidden="1" outlineLevel="1">
      <c r="A228" s="255" t="s">
        <v>2380</v>
      </c>
      <c r="B228" s="344">
        <v>46057.0</v>
      </c>
      <c r="C228" s="133" t="str">
        <f t="shared" si="30"/>
        <v>Wed</v>
      </c>
      <c r="D228" s="136">
        <f t="shared" si="31"/>
        <v>1</v>
      </c>
      <c r="E228" s="137" t="s">
        <v>129</v>
      </c>
      <c r="F228" s="137" t="s">
        <v>129</v>
      </c>
      <c r="G228" s="137" t="s">
        <v>129</v>
      </c>
      <c r="H228" s="137" t="s">
        <v>129</v>
      </c>
      <c r="I228" s="137" t="s">
        <v>129</v>
      </c>
      <c r="J228" s="137" t="s">
        <v>129</v>
      </c>
      <c r="K228" s="137" t="s">
        <v>129</v>
      </c>
      <c r="L228" s="137" t="s">
        <v>129</v>
      </c>
      <c r="M228" s="141"/>
      <c r="N228" s="147"/>
    </row>
    <row r="229" hidden="1" outlineLevel="1">
      <c r="A229" s="380" t="s">
        <v>2384</v>
      </c>
      <c r="B229" s="344">
        <v>46057.0</v>
      </c>
      <c r="C229" s="133" t="str">
        <f t="shared" si="30"/>
        <v>Wed</v>
      </c>
      <c r="D229" s="136">
        <f t="shared" si="31"/>
        <v>1</v>
      </c>
      <c r="E229" s="137" t="s">
        <v>129</v>
      </c>
      <c r="F229" s="137" t="s">
        <v>129</v>
      </c>
      <c r="G229" s="137" t="s">
        <v>129</v>
      </c>
      <c r="H229" s="137" t="s">
        <v>129</v>
      </c>
      <c r="I229" s="137" t="s">
        <v>129</v>
      </c>
      <c r="J229" s="137" t="s">
        <v>129</v>
      </c>
      <c r="K229" s="137" t="s">
        <v>129</v>
      </c>
      <c r="L229" s="137" t="s">
        <v>129</v>
      </c>
      <c r="M229" s="141"/>
      <c r="N229" s="143"/>
    </row>
    <row r="230" hidden="1" outlineLevel="1">
      <c r="A230" s="255" t="s">
        <v>2386</v>
      </c>
      <c r="B230" s="344">
        <v>46058.0</v>
      </c>
      <c r="C230" s="133" t="str">
        <f t="shared" si="30"/>
        <v>Thu</v>
      </c>
      <c r="D230" s="136">
        <f t="shared" si="31"/>
        <v>1</v>
      </c>
      <c r="E230" s="137" t="s">
        <v>129</v>
      </c>
      <c r="F230" s="137" t="s">
        <v>129</v>
      </c>
      <c r="G230" s="137" t="s">
        <v>129</v>
      </c>
      <c r="H230" s="137" t="s">
        <v>129</v>
      </c>
      <c r="I230" s="137" t="s">
        <v>129</v>
      </c>
      <c r="J230" s="137" t="s">
        <v>129</v>
      </c>
      <c r="K230" s="137" t="s">
        <v>129</v>
      </c>
      <c r="L230" s="137" t="s">
        <v>129</v>
      </c>
      <c r="M230" s="141"/>
      <c r="N230" s="147"/>
    </row>
    <row r="231" hidden="1" outlineLevel="1">
      <c r="A231" s="219" t="s">
        <v>2388</v>
      </c>
      <c r="B231" s="344">
        <v>46058.0</v>
      </c>
      <c r="C231" s="133" t="str">
        <f t="shared" si="30"/>
        <v>Thu</v>
      </c>
      <c r="D231" s="136">
        <f t="shared" si="31"/>
        <v>1</v>
      </c>
      <c r="E231" s="137" t="s">
        <v>129</v>
      </c>
      <c r="F231" s="137" t="s">
        <v>129</v>
      </c>
      <c r="G231" s="137" t="s">
        <v>129</v>
      </c>
      <c r="H231" s="137" t="s">
        <v>129</v>
      </c>
      <c r="I231" s="137" t="s">
        <v>129</v>
      </c>
      <c r="J231" s="137" t="s">
        <v>129</v>
      </c>
      <c r="K231" s="137" t="s">
        <v>129</v>
      </c>
      <c r="L231" s="137" t="s">
        <v>129</v>
      </c>
      <c r="M231" s="141"/>
      <c r="N231" s="147"/>
    </row>
    <row r="232" hidden="1" outlineLevel="1">
      <c r="A232" s="255" t="s">
        <v>2391</v>
      </c>
      <c r="B232" s="344">
        <v>46058.0</v>
      </c>
      <c r="C232" s="133" t="str">
        <f t="shared" si="30"/>
        <v>Thu</v>
      </c>
      <c r="D232" s="136">
        <f t="shared" si="31"/>
        <v>1</v>
      </c>
      <c r="E232" s="374" t="s">
        <v>129</v>
      </c>
      <c r="F232" s="375" t="s">
        <v>129</v>
      </c>
      <c r="G232" s="375" t="s">
        <v>129</v>
      </c>
      <c r="H232" s="375" t="s">
        <v>129</v>
      </c>
      <c r="I232" s="375" t="s">
        <v>129</v>
      </c>
      <c r="J232" s="375" t="s">
        <v>129</v>
      </c>
      <c r="K232" s="375" t="s">
        <v>129</v>
      </c>
      <c r="L232" s="375" t="s">
        <v>129</v>
      </c>
      <c r="M232" s="141"/>
      <c r="N232" s="147"/>
    </row>
    <row r="233" hidden="1" outlineLevel="1">
      <c r="A233" s="255" t="s">
        <v>2394</v>
      </c>
      <c r="B233" s="344">
        <v>46059.0</v>
      </c>
      <c r="C233" s="133" t="str">
        <f t="shared" si="30"/>
        <v>Fri</v>
      </c>
      <c r="D233" s="136">
        <f t="shared" si="31"/>
        <v>1</v>
      </c>
      <c r="E233" s="374" t="s">
        <v>129</v>
      </c>
      <c r="F233" s="375" t="s">
        <v>129</v>
      </c>
      <c r="G233" s="375" t="s">
        <v>129</v>
      </c>
      <c r="H233" s="375" t="s">
        <v>129</v>
      </c>
      <c r="I233" s="375" t="s">
        <v>129</v>
      </c>
      <c r="J233" s="375" t="s">
        <v>129</v>
      </c>
      <c r="K233" s="375" t="s">
        <v>129</v>
      </c>
      <c r="L233" s="375" t="s">
        <v>129</v>
      </c>
      <c r="M233" s="141"/>
      <c r="N233" s="143"/>
    </row>
    <row r="234" hidden="1" outlineLevel="1">
      <c r="A234" s="255" t="s">
        <v>2396</v>
      </c>
      <c r="B234" s="344">
        <v>46059.0</v>
      </c>
      <c r="C234" s="133" t="str">
        <f t="shared" si="30"/>
        <v>Fri</v>
      </c>
      <c r="D234" s="136">
        <f t="shared" si="31"/>
        <v>1</v>
      </c>
      <c r="E234" s="374" t="s">
        <v>129</v>
      </c>
      <c r="F234" s="375" t="s">
        <v>129</v>
      </c>
      <c r="G234" s="375" t="s">
        <v>129</v>
      </c>
      <c r="H234" s="375" t="s">
        <v>129</v>
      </c>
      <c r="I234" s="375" t="s">
        <v>129</v>
      </c>
      <c r="J234" s="375" t="s">
        <v>129</v>
      </c>
      <c r="K234" s="375" t="s">
        <v>129</v>
      </c>
      <c r="L234" s="375" t="s">
        <v>129</v>
      </c>
      <c r="M234" s="141"/>
      <c r="N234" s="143"/>
    </row>
    <row r="235" ht="15.0" hidden="1" customHeight="1" outlineLevel="1">
      <c r="A235" s="255" t="s">
        <v>2399</v>
      </c>
      <c r="B235" s="344">
        <v>46059.0</v>
      </c>
      <c r="C235" s="133" t="str">
        <f t="shared" si="30"/>
        <v>Fri</v>
      </c>
      <c r="D235" s="136">
        <f t="shared" si="31"/>
        <v>1</v>
      </c>
      <c r="E235" s="374" t="s">
        <v>129</v>
      </c>
      <c r="F235" s="375" t="s">
        <v>129</v>
      </c>
      <c r="G235" s="375" t="s">
        <v>129</v>
      </c>
      <c r="H235" s="375" t="s">
        <v>129</v>
      </c>
      <c r="I235" s="375" t="s">
        <v>129</v>
      </c>
      <c r="J235" s="375" t="s">
        <v>129</v>
      </c>
      <c r="K235" s="375" t="s">
        <v>129</v>
      </c>
      <c r="L235" s="375" t="s">
        <v>129</v>
      </c>
      <c r="M235" s="141"/>
      <c r="N235" s="147"/>
    </row>
    <row r="236" hidden="1" outlineLevel="1">
      <c r="B236" s="189"/>
      <c r="C236" s="191" t="s">
        <v>194</v>
      </c>
      <c r="D236" s="204">
        <f>AVERAGE(D221:D235)</f>
        <v>1</v>
      </c>
      <c r="E236" s="200"/>
      <c r="L236" s="191" t="s">
        <v>194</v>
      </c>
      <c r="M236" s="204">
        <f>SUM(M221:M235)/75*0.1</f>
        <v>0</v>
      </c>
    </row>
    <row r="237" hidden="1" collapsed="1">
      <c r="A237" s="206" t="s">
        <v>638</v>
      </c>
      <c r="B237" s="207"/>
      <c r="C237" s="207"/>
      <c r="D237" s="208"/>
      <c r="E237" s="109"/>
      <c r="F237" s="109"/>
      <c r="G237" s="110"/>
      <c r="H237" s="110"/>
      <c r="I237" s="110"/>
      <c r="J237" s="110"/>
      <c r="K237" s="110"/>
      <c r="L237" s="110"/>
      <c r="M237" s="111"/>
      <c r="N237" s="113"/>
    </row>
    <row r="238" hidden="1" outlineLevel="1">
      <c r="A238" s="373" t="s">
        <v>98</v>
      </c>
      <c r="B238" s="115" t="s">
        <v>100</v>
      </c>
      <c r="C238" s="115" t="s">
        <v>102</v>
      </c>
      <c r="D238" s="119" t="s">
        <v>103</v>
      </c>
      <c r="E238" s="275" t="s">
        <v>269</v>
      </c>
      <c r="F238" s="275" t="s">
        <v>272</v>
      </c>
      <c r="G238" s="276" t="s">
        <v>328</v>
      </c>
      <c r="H238" s="121" t="s">
        <v>107</v>
      </c>
      <c r="I238" s="121" t="s">
        <v>108</v>
      </c>
      <c r="J238" s="276" t="s">
        <v>329</v>
      </c>
      <c r="K238" s="121" t="s">
        <v>111</v>
      </c>
      <c r="L238" s="276" t="s">
        <v>274</v>
      </c>
      <c r="M238" s="115" t="s">
        <v>114</v>
      </c>
      <c r="N238" s="119" t="s">
        <v>115</v>
      </c>
    </row>
    <row r="239" hidden="1" outlineLevel="1">
      <c r="A239" s="255" t="s">
        <v>2404</v>
      </c>
      <c r="B239" s="344">
        <v>46063.0</v>
      </c>
      <c r="C239" s="133" t="str">
        <f t="shared" ref="C239:C253" si="32">IF(B239="", "", TEXT(B239, "ddd"))</f>
        <v>Tue</v>
      </c>
      <c r="D239" s="136">
        <f t="shared" ref="D239:D253" si="33">IF(E239="Yes",0.05,0)
+IF(F239="Yes",0.1,0)
+IF(G239="Yes",0.15,0)
+IF(H239="Yes",0.15,0)
+IF(I239="Yes",0.05,0)
+IF(J239="Yes",0.05,0)
+IF(K239="Yes",0.15,0)
+IF(L239="Yes",0.3,0)
</f>
        <v>1</v>
      </c>
      <c r="E239" s="137" t="s">
        <v>129</v>
      </c>
      <c r="F239" s="137" t="s">
        <v>129</v>
      </c>
      <c r="G239" s="137" t="s">
        <v>129</v>
      </c>
      <c r="H239" s="137" t="s">
        <v>129</v>
      </c>
      <c r="I239" s="137" t="s">
        <v>129</v>
      </c>
      <c r="J239" s="137" t="s">
        <v>129</v>
      </c>
      <c r="K239" s="137" t="s">
        <v>129</v>
      </c>
      <c r="L239" s="137" t="s">
        <v>129</v>
      </c>
      <c r="M239" s="141"/>
      <c r="N239" s="143"/>
    </row>
    <row r="240" hidden="1" outlineLevel="1">
      <c r="A240" s="255" t="s">
        <v>2408</v>
      </c>
      <c r="B240" s="344">
        <v>46063.0</v>
      </c>
      <c r="C240" s="133" t="str">
        <f t="shared" si="32"/>
        <v>Tue</v>
      </c>
      <c r="D240" s="136">
        <f t="shared" si="33"/>
        <v>1</v>
      </c>
      <c r="E240" s="137" t="s">
        <v>129</v>
      </c>
      <c r="F240" s="137" t="s">
        <v>129</v>
      </c>
      <c r="G240" s="137" t="s">
        <v>129</v>
      </c>
      <c r="H240" s="137" t="s">
        <v>129</v>
      </c>
      <c r="I240" s="137" t="s">
        <v>129</v>
      </c>
      <c r="J240" s="137" t="s">
        <v>129</v>
      </c>
      <c r="K240" s="137" t="s">
        <v>129</v>
      </c>
      <c r="L240" s="137" t="s">
        <v>129</v>
      </c>
      <c r="M240" s="141"/>
      <c r="N240" s="147"/>
    </row>
    <row r="241" hidden="1" outlineLevel="1">
      <c r="A241" s="255" t="s">
        <v>2413</v>
      </c>
      <c r="B241" s="344">
        <v>46063.0</v>
      </c>
      <c r="C241" s="133" t="str">
        <f t="shared" si="32"/>
        <v>Tue</v>
      </c>
      <c r="D241" s="136">
        <f t="shared" si="33"/>
        <v>1</v>
      </c>
      <c r="E241" s="137" t="s">
        <v>129</v>
      </c>
      <c r="F241" s="137" t="s">
        <v>129</v>
      </c>
      <c r="G241" s="137" t="s">
        <v>129</v>
      </c>
      <c r="H241" s="137" t="s">
        <v>129</v>
      </c>
      <c r="I241" s="137" t="s">
        <v>129</v>
      </c>
      <c r="J241" s="137" t="s">
        <v>129</v>
      </c>
      <c r="K241" s="137" t="s">
        <v>129</v>
      </c>
      <c r="L241" s="137" t="s">
        <v>129</v>
      </c>
      <c r="M241" s="141"/>
      <c r="N241" s="147"/>
    </row>
    <row r="242" hidden="1" outlineLevel="1">
      <c r="A242" s="255" t="s">
        <v>2416</v>
      </c>
      <c r="B242" s="344">
        <v>46064.0</v>
      </c>
      <c r="C242" s="133" t="str">
        <f t="shared" si="32"/>
        <v>Wed</v>
      </c>
      <c r="D242" s="136">
        <f t="shared" si="33"/>
        <v>1</v>
      </c>
      <c r="E242" s="137" t="s">
        <v>129</v>
      </c>
      <c r="F242" s="137" t="s">
        <v>129</v>
      </c>
      <c r="G242" s="137" t="s">
        <v>129</v>
      </c>
      <c r="H242" s="137" t="s">
        <v>129</v>
      </c>
      <c r="I242" s="137" t="s">
        <v>129</v>
      </c>
      <c r="J242" s="137" t="s">
        <v>129</v>
      </c>
      <c r="K242" s="137" t="s">
        <v>129</v>
      </c>
      <c r="L242" s="137" t="s">
        <v>129</v>
      </c>
      <c r="M242" s="141"/>
      <c r="N242" s="143"/>
    </row>
    <row r="243" hidden="1" outlineLevel="1">
      <c r="A243" s="255" t="s">
        <v>2419</v>
      </c>
      <c r="B243" s="344">
        <v>46064.0</v>
      </c>
      <c r="C243" s="133" t="str">
        <f t="shared" si="32"/>
        <v>Wed</v>
      </c>
      <c r="D243" s="136">
        <f t="shared" si="33"/>
        <v>1</v>
      </c>
      <c r="E243" s="137" t="s">
        <v>129</v>
      </c>
      <c r="F243" s="137" t="s">
        <v>129</v>
      </c>
      <c r="G243" s="137" t="s">
        <v>129</v>
      </c>
      <c r="H243" s="137" t="s">
        <v>129</v>
      </c>
      <c r="I243" s="137" t="s">
        <v>129</v>
      </c>
      <c r="J243" s="137" t="s">
        <v>129</v>
      </c>
      <c r="K243" s="137" t="s">
        <v>129</v>
      </c>
      <c r="L243" s="137" t="s">
        <v>129</v>
      </c>
      <c r="M243" s="141"/>
      <c r="N243" s="143"/>
    </row>
    <row r="244" hidden="1" outlineLevel="1">
      <c r="A244" s="255" t="s">
        <v>2423</v>
      </c>
      <c r="B244" s="344">
        <v>46064.0</v>
      </c>
      <c r="C244" s="133" t="str">
        <f t="shared" si="32"/>
        <v>Wed</v>
      </c>
      <c r="D244" s="136">
        <f t="shared" si="33"/>
        <v>1</v>
      </c>
      <c r="E244" s="137" t="s">
        <v>129</v>
      </c>
      <c r="F244" s="137" t="s">
        <v>129</v>
      </c>
      <c r="G244" s="137" t="s">
        <v>129</v>
      </c>
      <c r="H244" s="137" t="s">
        <v>129</v>
      </c>
      <c r="I244" s="137" t="s">
        <v>129</v>
      </c>
      <c r="J244" s="137" t="s">
        <v>129</v>
      </c>
      <c r="K244" s="137" t="s">
        <v>129</v>
      </c>
      <c r="L244" s="137" t="s">
        <v>129</v>
      </c>
      <c r="M244" s="141"/>
      <c r="N244" s="143"/>
    </row>
    <row r="245" hidden="1" outlineLevel="1">
      <c r="A245" s="255" t="s">
        <v>2426</v>
      </c>
      <c r="B245" s="344">
        <v>46065.0</v>
      </c>
      <c r="C245" s="133" t="str">
        <f t="shared" si="32"/>
        <v>Thu</v>
      </c>
      <c r="D245" s="136">
        <f t="shared" si="33"/>
        <v>1</v>
      </c>
      <c r="E245" s="137" t="s">
        <v>129</v>
      </c>
      <c r="F245" s="137" t="s">
        <v>129</v>
      </c>
      <c r="G245" s="137" t="s">
        <v>129</v>
      </c>
      <c r="H245" s="137" t="s">
        <v>129</v>
      </c>
      <c r="I245" s="137" t="s">
        <v>129</v>
      </c>
      <c r="J245" s="137" t="s">
        <v>129</v>
      </c>
      <c r="K245" s="137" t="s">
        <v>129</v>
      </c>
      <c r="L245" s="137" t="s">
        <v>129</v>
      </c>
      <c r="M245" s="141"/>
      <c r="N245" s="143"/>
    </row>
    <row r="246" hidden="1" outlineLevel="1">
      <c r="A246" s="255" t="s">
        <v>2429</v>
      </c>
      <c r="B246" s="344">
        <v>46065.0</v>
      </c>
      <c r="C246" s="133" t="str">
        <f t="shared" si="32"/>
        <v>Thu</v>
      </c>
      <c r="D246" s="136">
        <f t="shared" si="33"/>
        <v>1</v>
      </c>
      <c r="E246" s="137" t="s">
        <v>129</v>
      </c>
      <c r="F246" s="137" t="s">
        <v>129</v>
      </c>
      <c r="G246" s="137" t="s">
        <v>129</v>
      </c>
      <c r="H246" s="137" t="s">
        <v>129</v>
      </c>
      <c r="I246" s="137" t="s">
        <v>129</v>
      </c>
      <c r="J246" s="137" t="s">
        <v>129</v>
      </c>
      <c r="K246" s="137" t="s">
        <v>129</v>
      </c>
      <c r="L246" s="137" t="s">
        <v>129</v>
      </c>
      <c r="M246" s="141"/>
      <c r="N246" s="147"/>
    </row>
    <row r="247" hidden="1" outlineLevel="1">
      <c r="A247" s="255" t="s">
        <v>2432</v>
      </c>
      <c r="B247" s="344">
        <v>46065.0</v>
      </c>
      <c r="C247" s="133" t="str">
        <f t="shared" si="32"/>
        <v>Thu</v>
      </c>
      <c r="D247" s="136">
        <f t="shared" si="33"/>
        <v>1</v>
      </c>
      <c r="E247" s="137" t="s">
        <v>129</v>
      </c>
      <c r="F247" s="137" t="s">
        <v>129</v>
      </c>
      <c r="G247" s="137" t="s">
        <v>129</v>
      </c>
      <c r="H247" s="137" t="s">
        <v>129</v>
      </c>
      <c r="I247" s="137" t="s">
        <v>129</v>
      </c>
      <c r="J247" s="137" t="s">
        <v>129</v>
      </c>
      <c r="K247" s="137" t="s">
        <v>129</v>
      </c>
      <c r="L247" s="137" t="s">
        <v>129</v>
      </c>
      <c r="M247" s="141"/>
      <c r="N247" s="143"/>
    </row>
    <row r="248" hidden="1" outlineLevel="1">
      <c r="A248" s="255" t="s">
        <v>2435</v>
      </c>
      <c r="B248" s="344">
        <v>46066.0</v>
      </c>
      <c r="C248" s="133" t="str">
        <f t="shared" si="32"/>
        <v>Fri</v>
      </c>
      <c r="D248" s="136">
        <f t="shared" si="33"/>
        <v>1</v>
      </c>
      <c r="E248" s="137" t="s">
        <v>129</v>
      </c>
      <c r="F248" s="137" t="s">
        <v>129</v>
      </c>
      <c r="G248" s="137" t="s">
        <v>129</v>
      </c>
      <c r="H248" s="137" t="s">
        <v>129</v>
      </c>
      <c r="I248" s="137" t="s">
        <v>129</v>
      </c>
      <c r="J248" s="137" t="s">
        <v>129</v>
      </c>
      <c r="K248" s="137" t="s">
        <v>129</v>
      </c>
      <c r="L248" s="137" t="s">
        <v>129</v>
      </c>
      <c r="M248" s="141"/>
      <c r="N248" s="147"/>
    </row>
    <row r="249" hidden="1" outlineLevel="1">
      <c r="A249" s="255" t="s">
        <v>2438</v>
      </c>
      <c r="B249" s="344">
        <v>46066.0</v>
      </c>
      <c r="C249" s="133" t="str">
        <f t="shared" si="32"/>
        <v>Fri</v>
      </c>
      <c r="D249" s="136">
        <f t="shared" si="33"/>
        <v>1</v>
      </c>
      <c r="E249" s="137" t="s">
        <v>129</v>
      </c>
      <c r="F249" s="137" t="s">
        <v>129</v>
      </c>
      <c r="G249" s="137" t="s">
        <v>129</v>
      </c>
      <c r="H249" s="137" t="s">
        <v>129</v>
      </c>
      <c r="I249" s="137" t="s">
        <v>129</v>
      </c>
      <c r="J249" s="137" t="s">
        <v>129</v>
      </c>
      <c r="K249" s="137" t="s">
        <v>129</v>
      </c>
      <c r="L249" s="137" t="s">
        <v>129</v>
      </c>
      <c r="M249" s="141"/>
      <c r="N249" s="147"/>
    </row>
    <row r="250" hidden="1" outlineLevel="1">
      <c r="A250" s="255" t="s">
        <v>2439</v>
      </c>
      <c r="B250" s="344">
        <v>46066.0</v>
      </c>
      <c r="C250" s="133" t="str">
        <f t="shared" si="32"/>
        <v>Fri</v>
      </c>
      <c r="D250" s="136">
        <f t="shared" si="33"/>
        <v>1</v>
      </c>
      <c r="E250" s="137" t="s">
        <v>129</v>
      </c>
      <c r="F250" s="137" t="s">
        <v>129</v>
      </c>
      <c r="G250" s="137" t="s">
        <v>129</v>
      </c>
      <c r="H250" s="137" t="s">
        <v>129</v>
      </c>
      <c r="I250" s="137" t="s">
        <v>129</v>
      </c>
      <c r="J250" s="137" t="s">
        <v>129</v>
      </c>
      <c r="K250" s="137" t="s">
        <v>129</v>
      </c>
      <c r="L250" s="137" t="s">
        <v>129</v>
      </c>
      <c r="M250" s="141"/>
      <c r="N250" s="147"/>
    </row>
    <row r="251" hidden="1" outlineLevel="1">
      <c r="A251" s="255" t="s">
        <v>2442</v>
      </c>
      <c r="B251" s="344">
        <v>46067.0</v>
      </c>
      <c r="C251" s="133" t="str">
        <f t="shared" si="32"/>
        <v>Sat</v>
      </c>
      <c r="D251" s="136">
        <f t="shared" si="33"/>
        <v>1</v>
      </c>
      <c r="E251" s="137" t="s">
        <v>129</v>
      </c>
      <c r="F251" s="137" t="s">
        <v>129</v>
      </c>
      <c r="G251" s="137" t="s">
        <v>129</v>
      </c>
      <c r="H251" s="137" t="s">
        <v>129</v>
      </c>
      <c r="I251" s="137" t="s">
        <v>129</v>
      </c>
      <c r="J251" s="137" t="s">
        <v>129</v>
      </c>
      <c r="K251" s="137" t="s">
        <v>129</v>
      </c>
      <c r="L251" s="137" t="s">
        <v>129</v>
      </c>
      <c r="M251" s="141"/>
      <c r="N251" s="143"/>
    </row>
    <row r="252" hidden="1" outlineLevel="1">
      <c r="A252" s="255" t="s">
        <v>2443</v>
      </c>
      <c r="B252" s="344">
        <v>46067.0</v>
      </c>
      <c r="C252" s="133" t="str">
        <f t="shared" si="32"/>
        <v>Sat</v>
      </c>
      <c r="D252" s="136">
        <f t="shared" si="33"/>
        <v>1</v>
      </c>
      <c r="E252" s="137" t="s">
        <v>129</v>
      </c>
      <c r="F252" s="137" t="s">
        <v>129</v>
      </c>
      <c r="G252" s="137" t="s">
        <v>129</v>
      </c>
      <c r="H252" s="137" t="s">
        <v>129</v>
      </c>
      <c r="I252" s="137" t="s">
        <v>129</v>
      </c>
      <c r="J252" s="137" t="s">
        <v>129</v>
      </c>
      <c r="K252" s="137" t="s">
        <v>129</v>
      </c>
      <c r="L252" s="137" t="s">
        <v>129</v>
      </c>
      <c r="M252" s="141"/>
      <c r="N252" s="143"/>
    </row>
    <row r="253" ht="15.0" hidden="1" customHeight="1" outlineLevel="1">
      <c r="A253" s="255" t="s">
        <v>2446</v>
      </c>
      <c r="B253" s="344">
        <v>46067.0</v>
      </c>
      <c r="C253" s="133" t="str">
        <f t="shared" si="32"/>
        <v>Sat</v>
      </c>
      <c r="D253" s="136">
        <f t="shared" si="33"/>
        <v>1</v>
      </c>
      <c r="E253" s="137" t="s">
        <v>129</v>
      </c>
      <c r="F253" s="137" t="s">
        <v>129</v>
      </c>
      <c r="G253" s="137" t="s">
        <v>129</v>
      </c>
      <c r="H253" s="137" t="s">
        <v>129</v>
      </c>
      <c r="I253" s="137" t="s">
        <v>129</v>
      </c>
      <c r="J253" s="137" t="s">
        <v>129</v>
      </c>
      <c r="K253" s="137" t="s">
        <v>129</v>
      </c>
      <c r="L253" s="137" t="s">
        <v>129</v>
      </c>
      <c r="M253" s="141"/>
      <c r="N253" s="147"/>
    </row>
    <row r="254" hidden="1" outlineLevel="1">
      <c r="B254" s="189"/>
      <c r="C254" s="191" t="s">
        <v>194</v>
      </c>
      <c r="D254" s="204">
        <f>AVERAGE(D239:D253)</f>
        <v>1</v>
      </c>
      <c r="E254" s="200"/>
      <c r="L254" s="191" t="s">
        <v>194</v>
      </c>
      <c r="M254" s="204">
        <f>SUM(M239:M253)/75*0.1</f>
        <v>0</v>
      </c>
    </row>
    <row r="255" hidden="1" collapsed="1">
      <c r="A255" s="206" t="s">
        <v>670</v>
      </c>
      <c r="B255" s="207"/>
      <c r="C255" s="207"/>
      <c r="D255" s="208"/>
      <c r="E255" s="109"/>
      <c r="F255" s="109"/>
      <c r="G255" s="110"/>
      <c r="H255" s="110"/>
      <c r="I255" s="110"/>
      <c r="J255" s="110"/>
      <c r="K255" s="110"/>
      <c r="L255" s="110"/>
      <c r="M255" s="111"/>
      <c r="N255" s="113"/>
    </row>
    <row r="256" hidden="1" outlineLevel="1">
      <c r="A256" s="373" t="s">
        <v>98</v>
      </c>
      <c r="B256" s="115" t="s">
        <v>100</v>
      </c>
      <c r="C256" s="115" t="s">
        <v>102</v>
      </c>
      <c r="D256" s="119" t="s">
        <v>103</v>
      </c>
      <c r="E256" s="275" t="s">
        <v>269</v>
      </c>
      <c r="F256" s="275" t="s">
        <v>272</v>
      </c>
      <c r="G256" s="276" t="s">
        <v>328</v>
      </c>
      <c r="H256" s="121" t="s">
        <v>107</v>
      </c>
      <c r="I256" s="121" t="s">
        <v>108</v>
      </c>
      <c r="J256" s="276" t="s">
        <v>329</v>
      </c>
      <c r="K256" s="121" t="s">
        <v>111</v>
      </c>
      <c r="L256" s="276" t="s">
        <v>274</v>
      </c>
      <c r="M256" s="115" t="s">
        <v>114</v>
      </c>
      <c r="N256" s="119" t="s">
        <v>115</v>
      </c>
    </row>
    <row r="257" hidden="1" outlineLevel="1">
      <c r="A257" s="219" t="s">
        <v>2454</v>
      </c>
      <c r="B257" s="344">
        <v>46069.0</v>
      </c>
      <c r="C257" s="133" t="str">
        <f t="shared" ref="C257:C271" si="34">IF(B257="", "", TEXT(B257, "ddd"))</f>
        <v>Mon</v>
      </c>
      <c r="D257" s="136">
        <f t="shared" ref="D257:D271" si="35">IF(E257="Yes",0.05,0)
+IF(F257="Yes",0.1,0)
+IF(G257="Yes",0.15,0)
+IF(H257="Yes",0.15,0)
+IF(I257="Yes",0.05,0)
+IF(J257="Yes",0.05,0)
+IF(K257="Yes",0.15,0)
+IF(L257="Yes",0.3,0)
</f>
        <v>1</v>
      </c>
      <c r="E257" s="137" t="s">
        <v>129</v>
      </c>
      <c r="F257" s="137" t="s">
        <v>129</v>
      </c>
      <c r="G257" s="137" t="s">
        <v>129</v>
      </c>
      <c r="H257" s="137" t="s">
        <v>129</v>
      </c>
      <c r="I257" s="137" t="s">
        <v>129</v>
      </c>
      <c r="J257" s="137" t="s">
        <v>129</v>
      </c>
      <c r="K257" s="137" t="s">
        <v>129</v>
      </c>
      <c r="L257" s="137" t="s">
        <v>129</v>
      </c>
      <c r="M257" s="141"/>
      <c r="N257" s="143"/>
    </row>
    <row r="258" hidden="1" outlineLevel="1">
      <c r="A258" s="255" t="s">
        <v>2459</v>
      </c>
      <c r="B258" s="344">
        <v>46069.0</v>
      </c>
      <c r="C258" s="133" t="str">
        <f t="shared" si="34"/>
        <v>Mon</v>
      </c>
      <c r="D258" s="136">
        <f t="shared" si="35"/>
        <v>1</v>
      </c>
      <c r="E258" s="137" t="s">
        <v>129</v>
      </c>
      <c r="F258" s="137" t="s">
        <v>129</v>
      </c>
      <c r="G258" s="137" t="s">
        <v>129</v>
      </c>
      <c r="H258" s="137" t="s">
        <v>129</v>
      </c>
      <c r="I258" s="137" t="s">
        <v>129</v>
      </c>
      <c r="J258" s="137" t="s">
        <v>129</v>
      </c>
      <c r="K258" s="137" t="s">
        <v>129</v>
      </c>
      <c r="L258" s="137" t="s">
        <v>129</v>
      </c>
      <c r="M258" s="141"/>
      <c r="N258" s="147"/>
    </row>
    <row r="259" hidden="1" outlineLevel="1">
      <c r="A259" s="255" t="s">
        <v>2462</v>
      </c>
      <c r="B259" s="344">
        <v>46069.0</v>
      </c>
      <c r="C259" s="133" t="str">
        <f t="shared" si="34"/>
        <v>Mon</v>
      </c>
      <c r="D259" s="136">
        <f t="shared" si="35"/>
        <v>1</v>
      </c>
      <c r="E259" s="137" t="s">
        <v>129</v>
      </c>
      <c r="F259" s="137" t="s">
        <v>129</v>
      </c>
      <c r="G259" s="137" t="s">
        <v>129</v>
      </c>
      <c r="H259" s="137" t="s">
        <v>129</v>
      </c>
      <c r="I259" s="137" t="s">
        <v>129</v>
      </c>
      <c r="J259" s="137" t="s">
        <v>129</v>
      </c>
      <c r="K259" s="137" t="s">
        <v>129</v>
      </c>
      <c r="L259" s="137" t="s">
        <v>129</v>
      </c>
      <c r="M259" s="141"/>
      <c r="N259" s="147"/>
    </row>
    <row r="260" hidden="1" outlineLevel="1">
      <c r="A260" s="255" t="s">
        <v>2464</v>
      </c>
      <c r="B260" s="344">
        <v>46070.0</v>
      </c>
      <c r="C260" s="133" t="str">
        <f t="shared" si="34"/>
        <v>Tue</v>
      </c>
      <c r="D260" s="136">
        <f t="shared" si="35"/>
        <v>1</v>
      </c>
      <c r="E260" s="137" t="s">
        <v>129</v>
      </c>
      <c r="F260" s="137" t="s">
        <v>129</v>
      </c>
      <c r="G260" s="137" t="s">
        <v>129</v>
      </c>
      <c r="H260" s="137" t="s">
        <v>129</v>
      </c>
      <c r="I260" s="137" t="s">
        <v>129</v>
      </c>
      <c r="J260" s="137" t="s">
        <v>129</v>
      </c>
      <c r="K260" s="137" t="s">
        <v>129</v>
      </c>
      <c r="L260" s="137" t="s">
        <v>129</v>
      </c>
      <c r="M260" s="141"/>
      <c r="N260" s="143"/>
    </row>
    <row r="261" hidden="1" outlineLevel="1">
      <c r="A261" s="255" t="s">
        <v>2467</v>
      </c>
      <c r="B261" s="344">
        <v>46070.0</v>
      </c>
      <c r="C261" s="133" t="str">
        <f t="shared" si="34"/>
        <v>Tue</v>
      </c>
      <c r="D261" s="136">
        <f t="shared" si="35"/>
        <v>1</v>
      </c>
      <c r="E261" s="137" t="s">
        <v>129</v>
      </c>
      <c r="F261" s="137" t="s">
        <v>129</v>
      </c>
      <c r="G261" s="137" t="s">
        <v>129</v>
      </c>
      <c r="H261" s="137" t="s">
        <v>129</v>
      </c>
      <c r="I261" s="137" t="s">
        <v>129</v>
      </c>
      <c r="J261" s="137" t="s">
        <v>129</v>
      </c>
      <c r="K261" s="137" t="s">
        <v>129</v>
      </c>
      <c r="L261" s="137" t="s">
        <v>129</v>
      </c>
      <c r="M261" s="141"/>
      <c r="N261" s="143"/>
    </row>
    <row r="262" hidden="1" outlineLevel="1">
      <c r="A262" s="255" t="s">
        <v>2471</v>
      </c>
      <c r="B262" s="344">
        <v>46070.0</v>
      </c>
      <c r="C262" s="133" t="str">
        <f t="shared" si="34"/>
        <v>Tue</v>
      </c>
      <c r="D262" s="136">
        <f t="shared" si="35"/>
        <v>1</v>
      </c>
      <c r="E262" s="137" t="s">
        <v>129</v>
      </c>
      <c r="F262" s="137" t="s">
        <v>129</v>
      </c>
      <c r="G262" s="137" t="s">
        <v>129</v>
      </c>
      <c r="H262" s="137" t="s">
        <v>129</v>
      </c>
      <c r="I262" s="137" t="s">
        <v>129</v>
      </c>
      <c r="J262" s="137" t="s">
        <v>129</v>
      </c>
      <c r="K262" s="137" t="s">
        <v>129</v>
      </c>
      <c r="L262" s="137" t="s">
        <v>129</v>
      </c>
      <c r="M262" s="141"/>
      <c r="N262" s="143"/>
    </row>
    <row r="263" hidden="1" outlineLevel="1">
      <c r="A263" s="255" t="s">
        <v>2473</v>
      </c>
      <c r="B263" s="344">
        <v>46071.0</v>
      </c>
      <c r="C263" s="133" t="str">
        <f t="shared" si="34"/>
        <v>Wed</v>
      </c>
      <c r="D263" s="136">
        <f t="shared" si="35"/>
        <v>1</v>
      </c>
      <c r="E263" s="137" t="s">
        <v>129</v>
      </c>
      <c r="F263" s="137" t="s">
        <v>129</v>
      </c>
      <c r="G263" s="137" t="s">
        <v>129</v>
      </c>
      <c r="H263" s="137" t="s">
        <v>129</v>
      </c>
      <c r="I263" s="137" t="s">
        <v>129</v>
      </c>
      <c r="J263" s="137" t="s">
        <v>129</v>
      </c>
      <c r="K263" s="137" t="s">
        <v>129</v>
      </c>
      <c r="L263" s="137" t="s">
        <v>129</v>
      </c>
      <c r="M263" s="141"/>
      <c r="N263" s="143"/>
    </row>
    <row r="264" hidden="1" outlineLevel="1">
      <c r="A264" s="255" t="s">
        <v>2476</v>
      </c>
      <c r="B264" s="344">
        <v>46071.0</v>
      </c>
      <c r="C264" s="133" t="str">
        <f t="shared" si="34"/>
        <v>Wed</v>
      </c>
      <c r="D264" s="136">
        <f t="shared" si="35"/>
        <v>1</v>
      </c>
      <c r="E264" s="137" t="s">
        <v>129</v>
      </c>
      <c r="F264" s="137" t="s">
        <v>129</v>
      </c>
      <c r="G264" s="137" t="s">
        <v>129</v>
      </c>
      <c r="H264" s="137" t="s">
        <v>129</v>
      </c>
      <c r="I264" s="137" t="s">
        <v>129</v>
      </c>
      <c r="J264" s="137" t="s">
        <v>129</v>
      </c>
      <c r="K264" s="137" t="s">
        <v>129</v>
      </c>
      <c r="L264" s="137" t="s">
        <v>129</v>
      </c>
      <c r="M264" s="141"/>
      <c r="N264" s="147"/>
    </row>
    <row r="265" hidden="1" outlineLevel="1">
      <c r="A265" s="255" t="s">
        <v>2478</v>
      </c>
      <c r="B265" s="344">
        <v>46071.0</v>
      </c>
      <c r="C265" s="133" t="str">
        <f t="shared" si="34"/>
        <v>Wed</v>
      </c>
      <c r="D265" s="136">
        <f t="shared" si="35"/>
        <v>1</v>
      </c>
      <c r="E265" s="137" t="s">
        <v>129</v>
      </c>
      <c r="F265" s="137" t="s">
        <v>129</v>
      </c>
      <c r="G265" s="137" t="s">
        <v>129</v>
      </c>
      <c r="H265" s="137" t="s">
        <v>129</v>
      </c>
      <c r="I265" s="137" t="s">
        <v>129</v>
      </c>
      <c r="J265" s="137" t="s">
        <v>129</v>
      </c>
      <c r="K265" s="137" t="s">
        <v>129</v>
      </c>
      <c r="L265" s="137" t="s">
        <v>129</v>
      </c>
      <c r="M265" s="141"/>
      <c r="N265" s="143"/>
    </row>
    <row r="266" hidden="1" outlineLevel="1">
      <c r="A266" s="255" t="s">
        <v>2481</v>
      </c>
      <c r="B266" s="344">
        <v>46072.0</v>
      </c>
      <c r="C266" s="133" t="str">
        <f t="shared" si="34"/>
        <v>Thu</v>
      </c>
      <c r="D266" s="136">
        <f t="shared" si="35"/>
        <v>1</v>
      </c>
      <c r="E266" s="374" t="s">
        <v>129</v>
      </c>
      <c r="F266" s="375" t="s">
        <v>129</v>
      </c>
      <c r="G266" s="375" t="s">
        <v>129</v>
      </c>
      <c r="H266" s="375" t="s">
        <v>129</v>
      </c>
      <c r="I266" s="375" t="s">
        <v>129</v>
      </c>
      <c r="J266" s="375" t="s">
        <v>129</v>
      </c>
      <c r="K266" s="375" t="s">
        <v>129</v>
      </c>
      <c r="L266" s="375" t="s">
        <v>129</v>
      </c>
      <c r="M266" s="141"/>
      <c r="N266" s="147"/>
    </row>
    <row r="267" hidden="1" outlineLevel="1">
      <c r="A267" s="255" t="s">
        <v>2483</v>
      </c>
      <c r="B267" s="344">
        <v>46072.0</v>
      </c>
      <c r="C267" s="133" t="str">
        <f t="shared" si="34"/>
        <v>Thu</v>
      </c>
      <c r="D267" s="136">
        <f t="shared" si="35"/>
        <v>1</v>
      </c>
      <c r="E267" s="137" t="s">
        <v>129</v>
      </c>
      <c r="F267" s="137" t="s">
        <v>129</v>
      </c>
      <c r="G267" s="137" t="s">
        <v>129</v>
      </c>
      <c r="H267" s="137" t="s">
        <v>129</v>
      </c>
      <c r="I267" s="137" t="s">
        <v>129</v>
      </c>
      <c r="J267" s="137" t="s">
        <v>129</v>
      </c>
      <c r="K267" s="137" t="s">
        <v>129</v>
      </c>
      <c r="L267" s="137" t="s">
        <v>129</v>
      </c>
      <c r="M267" s="141"/>
      <c r="N267" s="147"/>
    </row>
    <row r="268" hidden="1" outlineLevel="1">
      <c r="A268" s="255" t="s">
        <v>2486</v>
      </c>
      <c r="B268" s="344">
        <v>46072.0</v>
      </c>
      <c r="C268" s="133" t="str">
        <f t="shared" si="34"/>
        <v>Thu</v>
      </c>
      <c r="D268" s="136">
        <f t="shared" si="35"/>
        <v>1</v>
      </c>
      <c r="E268" s="137" t="s">
        <v>129</v>
      </c>
      <c r="F268" s="137" t="s">
        <v>129</v>
      </c>
      <c r="G268" s="137" t="s">
        <v>129</v>
      </c>
      <c r="H268" s="137" t="s">
        <v>129</v>
      </c>
      <c r="I268" s="137" t="s">
        <v>129</v>
      </c>
      <c r="J268" s="137" t="s">
        <v>129</v>
      </c>
      <c r="K268" s="137" t="s">
        <v>129</v>
      </c>
      <c r="L268" s="137" t="s">
        <v>129</v>
      </c>
      <c r="M268" s="141"/>
      <c r="N268" s="147"/>
    </row>
    <row r="269" hidden="1" outlineLevel="1">
      <c r="A269" s="255" t="s">
        <v>2493</v>
      </c>
      <c r="B269" s="344">
        <v>46073.0</v>
      </c>
      <c r="C269" s="133" t="str">
        <f t="shared" si="34"/>
        <v>Fri</v>
      </c>
      <c r="D269" s="136">
        <f t="shared" si="35"/>
        <v>1</v>
      </c>
      <c r="E269" s="137" t="s">
        <v>129</v>
      </c>
      <c r="F269" s="137" t="s">
        <v>129</v>
      </c>
      <c r="G269" s="137" t="s">
        <v>129</v>
      </c>
      <c r="H269" s="137" t="s">
        <v>129</v>
      </c>
      <c r="I269" s="137" t="s">
        <v>129</v>
      </c>
      <c r="J269" s="137" t="s">
        <v>129</v>
      </c>
      <c r="K269" s="137" t="s">
        <v>129</v>
      </c>
      <c r="L269" s="137" t="s">
        <v>129</v>
      </c>
      <c r="M269" s="141"/>
      <c r="N269" s="143"/>
    </row>
    <row r="270" hidden="1" outlineLevel="1">
      <c r="A270" s="255" t="s">
        <v>2496</v>
      </c>
      <c r="B270" s="344">
        <v>46073.0</v>
      </c>
      <c r="C270" s="133" t="str">
        <f t="shared" si="34"/>
        <v>Fri</v>
      </c>
      <c r="D270" s="136">
        <f t="shared" si="35"/>
        <v>1</v>
      </c>
      <c r="E270" s="137" t="s">
        <v>129</v>
      </c>
      <c r="F270" s="137" t="s">
        <v>129</v>
      </c>
      <c r="G270" s="137" t="s">
        <v>129</v>
      </c>
      <c r="H270" s="137" t="s">
        <v>129</v>
      </c>
      <c r="I270" s="137" t="s">
        <v>129</v>
      </c>
      <c r="J270" s="137" t="s">
        <v>129</v>
      </c>
      <c r="K270" s="137" t="s">
        <v>129</v>
      </c>
      <c r="L270" s="137" t="s">
        <v>129</v>
      </c>
      <c r="M270" s="141"/>
      <c r="N270" s="143"/>
    </row>
    <row r="271" ht="15.0" hidden="1" customHeight="1" outlineLevel="1">
      <c r="A271" s="255" t="s">
        <v>2498</v>
      </c>
      <c r="B271" s="344">
        <v>46073.0</v>
      </c>
      <c r="C271" s="133" t="str">
        <f t="shared" si="34"/>
        <v>Fri</v>
      </c>
      <c r="D271" s="136">
        <f t="shared" si="35"/>
        <v>1</v>
      </c>
      <c r="E271" s="137" t="s">
        <v>129</v>
      </c>
      <c r="F271" s="137" t="s">
        <v>129</v>
      </c>
      <c r="G271" s="137" t="s">
        <v>129</v>
      </c>
      <c r="H271" s="137" t="s">
        <v>129</v>
      </c>
      <c r="I271" s="137" t="s">
        <v>129</v>
      </c>
      <c r="J271" s="137" t="s">
        <v>129</v>
      </c>
      <c r="K271" s="137" t="s">
        <v>129</v>
      </c>
      <c r="L271" s="137" t="s">
        <v>129</v>
      </c>
      <c r="M271" s="141"/>
      <c r="N271" s="147"/>
    </row>
    <row r="272" hidden="1" outlineLevel="1">
      <c r="B272" s="189"/>
      <c r="C272" s="191" t="s">
        <v>194</v>
      </c>
      <c r="D272" s="204">
        <f>AVERAGE(D257:D271)</f>
        <v>1</v>
      </c>
      <c r="E272" s="200"/>
      <c r="L272" s="191" t="s">
        <v>194</v>
      </c>
      <c r="M272" s="204">
        <f>SUM(M257:M271)/75*0.1</f>
        <v>0</v>
      </c>
    </row>
    <row r="273" hidden="1" collapsed="1">
      <c r="A273" s="206" t="s">
        <v>705</v>
      </c>
      <c r="B273" s="207"/>
      <c r="C273" s="207"/>
      <c r="D273" s="208"/>
      <c r="E273" s="109"/>
      <c r="F273" s="109"/>
      <c r="G273" s="110"/>
      <c r="H273" s="110"/>
      <c r="I273" s="110"/>
      <c r="J273" s="110"/>
      <c r="K273" s="110"/>
      <c r="L273" s="110"/>
      <c r="M273" s="111"/>
      <c r="N273" s="113"/>
    </row>
    <row r="274" hidden="1" outlineLevel="1">
      <c r="A274" s="373" t="s">
        <v>98</v>
      </c>
      <c r="B274" s="115" t="s">
        <v>100</v>
      </c>
      <c r="C274" s="115" t="s">
        <v>102</v>
      </c>
      <c r="D274" s="119" t="s">
        <v>103</v>
      </c>
      <c r="E274" s="275" t="s">
        <v>269</v>
      </c>
      <c r="F274" s="275" t="s">
        <v>272</v>
      </c>
      <c r="G274" s="276" t="s">
        <v>328</v>
      </c>
      <c r="H274" s="121" t="s">
        <v>107</v>
      </c>
      <c r="I274" s="121" t="s">
        <v>108</v>
      </c>
      <c r="J274" s="276" t="s">
        <v>329</v>
      </c>
      <c r="K274" s="121" t="s">
        <v>111</v>
      </c>
      <c r="L274" s="276" t="s">
        <v>274</v>
      </c>
      <c r="M274" s="115" t="s">
        <v>114</v>
      </c>
      <c r="N274" s="119" t="s">
        <v>115</v>
      </c>
    </row>
    <row r="275" hidden="1" outlineLevel="1">
      <c r="A275" s="303" t="s">
        <v>2506</v>
      </c>
      <c r="B275" s="344">
        <v>46076.0</v>
      </c>
      <c r="C275" s="133" t="str">
        <f t="shared" ref="C275:C289" si="36">IF(B275="", "", TEXT(B275, "ddd"))</f>
        <v>Mon</v>
      </c>
      <c r="D275" s="136">
        <f t="shared" ref="D275:D289" si="37">IF(E275="Yes",0.05,0)
+IF(F275="Yes",0.1,0)
+IF(G275="Yes",0.15,0)
+IF(H275="Yes",0.15,0)
+IF(I275="Yes",0.05,0)
+IF(J275="Yes",0.05,0)
+IF(K275="Yes",0.15,0)
+IF(L275="Yes",0.3,0)
</f>
        <v>1</v>
      </c>
      <c r="E275" s="137" t="s">
        <v>129</v>
      </c>
      <c r="F275" s="137" t="s">
        <v>129</v>
      </c>
      <c r="G275" s="137" t="s">
        <v>129</v>
      </c>
      <c r="H275" s="137" t="s">
        <v>129</v>
      </c>
      <c r="I275" s="137" t="s">
        <v>129</v>
      </c>
      <c r="J275" s="137" t="s">
        <v>129</v>
      </c>
      <c r="K275" s="137" t="s">
        <v>129</v>
      </c>
      <c r="L275" s="137" t="s">
        <v>129</v>
      </c>
      <c r="M275" s="141"/>
      <c r="N275" s="143"/>
    </row>
    <row r="276" hidden="1" outlineLevel="1">
      <c r="A276" s="303" t="s">
        <v>2510</v>
      </c>
      <c r="B276" s="344">
        <v>46076.0</v>
      </c>
      <c r="C276" s="133" t="str">
        <f t="shared" si="36"/>
        <v>Mon</v>
      </c>
      <c r="D276" s="136">
        <f t="shared" si="37"/>
        <v>1</v>
      </c>
      <c r="E276" s="137" t="s">
        <v>129</v>
      </c>
      <c r="F276" s="137" t="s">
        <v>129</v>
      </c>
      <c r="G276" s="137" t="s">
        <v>129</v>
      </c>
      <c r="H276" s="137" t="s">
        <v>129</v>
      </c>
      <c r="I276" s="137" t="s">
        <v>129</v>
      </c>
      <c r="J276" s="137" t="s">
        <v>129</v>
      </c>
      <c r="K276" s="137" t="s">
        <v>129</v>
      </c>
      <c r="L276" s="137" t="s">
        <v>129</v>
      </c>
      <c r="M276" s="141"/>
      <c r="N276" s="147"/>
    </row>
    <row r="277" hidden="1" outlineLevel="1">
      <c r="A277" s="303" t="s">
        <v>2513</v>
      </c>
      <c r="B277" s="344">
        <v>46076.0</v>
      </c>
      <c r="C277" s="133" t="str">
        <f t="shared" si="36"/>
        <v>Mon</v>
      </c>
      <c r="D277" s="136">
        <f t="shared" si="37"/>
        <v>1</v>
      </c>
      <c r="E277" s="137" t="s">
        <v>129</v>
      </c>
      <c r="F277" s="137" t="s">
        <v>129</v>
      </c>
      <c r="G277" s="137" t="s">
        <v>129</v>
      </c>
      <c r="H277" s="137" t="s">
        <v>129</v>
      </c>
      <c r="I277" s="137" t="s">
        <v>129</v>
      </c>
      <c r="J277" s="137" t="s">
        <v>129</v>
      </c>
      <c r="K277" s="137" t="s">
        <v>129</v>
      </c>
      <c r="L277" s="137" t="s">
        <v>129</v>
      </c>
      <c r="M277" s="141"/>
      <c r="N277" s="147"/>
    </row>
    <row r="278" hidden="1" outlineLevel="1">
      <c r="A278" s="303" t="s">
        <v>2515</v>
      </c>
      <c r="B278" s="344">
        <v>46077.0</v>
      </c>
      <c r="C278" s="133" t="str">
        <f t="shared" si="36"/>
        <v>Tue</v>
      </c>
      <c r="D278" s="136">
        <f t="shared" si="37"/>
        <v>1</v>
      </c>
      <c r="E278" s="137" t="s">
        <v>129</v>
      </c>
      <c r="F278" s="137" t="s">
        <v>129</v>
      </c>
      <c r="G278" s="137" t="s">
        <v>129</v>
      </c>
      <c r="H278" s="137" t="s">
        <v>129</v>
      </c>
      <c r="I278" s="137" t="s">
        <v>129</v>
      </c>
      <c r="J278" s="137" t="s">
        <v>129</v>
      </c>
      <c r="K278" s="137" t="s">
        <v>129</v>
      </c>
      <c r="L278" s="137" t="s">
        <v>129</v>
      </c>
      <c r="M278" s="141"/>
      <c r="N278" s="143"/>
    </row>
    <row r="279" hidden="1" outlineLevel="1">
      <c r="A279" s="303" t="s">
        <v>2517</v>
      </c>
      <c r="B279" s="344">
        <v>46077.0</v>
      </c>
      <c r="C279" s="133" t="str">
        <f t="shared" si="36"/>
        <v>Tue</v>
      </c>
      <c r="D279" s="136">
        <f t="shared" si="37"/>
        <v>1</v>
      </c>
      <c r="E279" s="137" t="s">
        <v>129</v>
      </c>
      <c r="F279" s="137" t="s">
        <v>129</v>
      </c>
      <c r="G279" s="137" t="s">
        <v>129</v>
      </c>
      <c r="H279" s="137" t="s">
        <v>129</v>
      </c>
      <c r="I279" s="137" t="s">
        <v>129</v>
      </c>
      <c r="J279" s="137" t="s">
        <v>129</v>
      </c>
      <c r="K279" s="137" t="s">
        <v>129</v>
      </c>
      <c r="L279" s="137" t="s">
        <v>129</v>
      </c>
      <c r="M279" s="141"/>
      <c r="N279" s="143"/>
    </row>
    <row r="280" hidden="1" outlineLevel="1">
      <c r="A280" s="303" t="s">
        <v>2519</v>
      </c>
      <c r="B280" s="344">
        <v>46077.0</v>
      </c>
      <c r="C280" s="133" t="str">
        <f t="shared" si="36"/>
        <v>Tue</v>
      </c>
      <c r="D280" s="136">
        <f t="shared" si="37"/>
        <v>1</v>
      </c>
      <c r="E280" s="137" t="s">
        <v>129</v>
      </c>
      <c r="F280" s="137" t="s">
        <v>129</v>
      </c>
      <c r="G280" s="137" t="s">
        <v>129</v>
      </c>
      <c r="H280" s="137" t="s">
        <v>129</v>
      </c>
      <c r="I280" s="137" t="s">
        <v>129</v>
      </c>
      <c r="J280" s="137" t="s">
        <v>129</v>
      </c>
      <c r="K280" s="137" t="s">
        <v>129</v>
      </c>
      <c r="L280" s="137" t="s">
        <v>129</v>
      </c>
      <c r="M280" s="141"/>
      <c r="N280" s="143"/>
    </row>
    <row r="281" hidden="1" outlineLevel="1">
      <c r="A281" s="303" t="s">
        <v>2523</v>
      </c>
      <c r="B281" s="344">
        <v>46078.0</v>
      </c>
      <c r="C281" s="133" t="str">
        <f t="shared" si="36"/>
        <v>Wed</v>
      </c>
      <c r="D281" s="136">
        <f t="shared" si="37"/>
        <v>1</v>
      </c>
      <c r="E281" s="137" t="s">
        <v>129</v>
      </c>
      <c r="F281" s="137" t="s">
        <v>129</v>
      </c>
      <c r="G281" s="137" t="s">
        <v>129</v>
      </c>
      <c r="H281" s="137" t="s">
        <v>129</v>
      </c>
      <c r="I281" s="137" t="s">
        <v>129</v>
      </c>
      <c r="J281" s="137" t="s">
        <v>129</v>
      </c>
      <c r="K281" s="137" t="s">
        <v>129</v>
      </c>
      <c r="L281" s="137" t="s">
        <v>129</v>
      </c>
      <c r="M281" s="141"/>
      <c r="N281" s="143"/>
    </row>
    <row r="282" hidden="1" outlineLevel="1">
      <c r="A282" s="303" t="s">
        <v>2526</v>
      </c>
      <c r="B282" s="344">
        <v>46078.0</v>
      </c>
      <c r="C282" s="133" t="str">
        <f t="shared" si="36"/>
        <v>Wed</v>
      </c>
      <c r="D282" s="136">
        <f t="shared" si="37"/>
        <v>1</v>
      </c>
      <c r="E282" s="137" t="s">
        <v>129</v>
      </c>
      <c r="F282" s="137" t="s">
        <v>129</v>
      </c>
      <c r="G282" s="137" t="s">
        <v>129</v>
      </c>
      <c r="H282" s="137" t="s">
        <v>129</v>
      </c>
      <c r="I282" s="137" t="s">
        <v>129</v>
      </c>
      <c r="J282" s="137" t="s">
        <v>129</v>
      </c>
      <c r="K282" s="137" t="s">
        <v>129</v>
      </c>
      <c r="L282" s="137" t="s">
        <v>129</v>
      </c>
      <c r="M282" s="141"/>
      <c r="N282" s="147"/>
    </row>
    <row r="283" hidden="1" outlineLevel="1">
      <c r="A283" s="303" t="s">
        <v>2528</v>
      </c>
      <c r="B283" s="344">
        <v>46078.0</v>
      </c>
      <c r="C283" s="133" t="str">
        <f t="shared" si="36"/>
        <v>Wed</v>
      </c>
      <c r="D283" s="136">
        <f t="shared" si="37"/>
        <v>1</v>
      </c>
      <c r="E283" s="137" t="s">
        <v>129</v>
      </c>
      <c r="F283" s="137" t="s">
        <v>129</v>
      </c>
      <c r="G283" s="137" t="s">
        <v>129</v>
      </c>
      <c r="H283" s="137" t="s">
        <v>129</v>
      </c>
      <c r="I283" s="137" t="s">
        <v>129</v>
      </c>
      <c r="J283" s="137" t="s">
        <v>129</v>
      </c>
      <c r="K283" s="137" t="s">
        <v>129</v>
      </c>
      <c r="L283" s="137" t="s">
        <v>129</v>
      </c>
      <c r="M283" s="141"/>
      <c r="N283" s="143"/>
    </row>
    <row r="284" hidden="1" outlineLevel="1">
      <c r="A284" s="303" t="s">
        <v>2531</v>
      </c>
      <c r="B284" s="344">
        <v>46079.0</v>
      </c>
      <c r="C284" s="133" t="str">
        <f t="shared" si="36"/>
        <v>Thu</v>
      </c>
      <c r="D284" s="136">
        <f t="shared" si="37"/>
        <v>1</v>
      </c>
      <c r="E284" s="137" t="s">
        <v>129</v>
      </c>
      <c r="F284" s="137" t="s">
        <v>129</v>
      </c>
      <c r="G284" s="137" t="s">
        <v>129</v>
      </c>
      <c r="H284" s="137" t="s">
        <v>129</v>
      </c>
      <c r="I284" s="137" t="s">
        <v>129</v>
      </c>
      <c r="J284" s="137" t="s">
        <v>129</v>
      </c>
      <c r="K284" s="137" t="s">
        <v>129</v>
      </c>
      <c r="L284" s="137" t="s">
        <v>129</v>
      </c>
      <c r="M284" s="141"/>
      <c r="N284" s="147"/>
    </row>
    <row r="285" hidden="1" outlineLevel="1">
      <c r="A285" s="303" t="s">
        <v>2534</v>
      </c>
      <c r="B285" s="344">
        <v>46079.0</v>
      </c>
      <c r="C285" s="133" t="str">
        <f t="shared" si="36"/>
        <v>Thu</v>
      </c>
      <c r="D285" s="136">
        <f t="shared" si="37"/>
        <v>0.95</v>
      </c>
      <c r="E285" s="137" t="s">
        <v>174</v>
      </c>
      <c r="F285" s="137" t="s">
        <v>129</v>
      </c>
      <c r="G285" s="137" t="s">
        <v>129</v>
      </c>
      <c r="H285" s="137" t="s">
        <v>129</v>
      </c>
      <c r="I285" s="137" t="s">
        <v>129</v>
      </c>
      <c r="J285" s="137" t="s">
        <v>129</v>
      </c>
      <c r="K285" s="137" t="s">
        <v>129</v>
      </c>
      <c r="L285" s="137" t="s">
        <v>129</v>
      </c>
      <c r="M285" s="141"/>
      <c r="N285" s="147" t="s">
        <v>2538</v>
      </c>
    </row>
    <row r="286" hidden="1" outlineLevel="1">
      <c r="A286" s="303" t="s">
        <v>2540</v>
      </c>
      <c r="B286" s="344">
        <v>46079.0</v>
      </c>
      <c r="C286" s="133" t="str">
        <f t="shared" si="36"/>
        <v>Thu</v>
      </c>
      <c r="D286" s="136">
        <f t="shared" si="37"/>
        <v>0.95</v>
      </c>
      <c r="E286" s="137" t="s">
        <v>174</v>
      </c>
      <c r="F286" s="137" t="s">
        <v>129</v>
      </c>
      <c r="G286" s="137" t="s">
        <v>129</v>
      </c>
      <c r="H286" s="137" t="s">
        <v>129</v>
      </c>
      <c r="I286" s="137" t="s">
        <v>129</v>
      </c>
      <c r="J286" s="137" t="s">
        <v>129</v>
      </c>
      <c r="K286" s="137" t="s">
        <v>129</v>
      </c>
      <c r="L286" s="137" t="s">
        <v>129</v>
      </c>
      <c r="M286" s="141"/>
      <c r="N286" s="147" t="s">
        <v>2538</v>
      </c>
    </row>
    <row r="287" hidden="1" outlineLevel="1">
      <c r="A287" s="303" t="s">
        <v>2543</v>
      </c>
      <c r="B287" s="344">
        <v>46080.0</v>
      </c>
      <c r="C287" s="133" t="str">
        <f t="shared" si="36"/>
        <v>Fri</v>
      </c>
      <c r="D287" s="136">
        <f t="shared" si="37"/>
        <v>0.95</v>
      </c>
      <c r="E287" s="137" t="s">
        <v>174</v>
      </c>
      <c r="F287" s="137" t="s">
        <v>129</v>
      </c>
      <c r="G287" s="137" t="s">
        <v>129</v>
      </c>
      <c r="H287" s="137" t="s">
        <v>129</v>
      </c>
      <c r="I287" s="137" t="s">
        <v>129</v>
      </c>
      <c r="J287" s="137" t="s">
        <v>129</v>
      </c>
      <c r="K287" s="137" t="s">
        <v>129</v>
      </c>
      <c r="L287" s="137" t="s">
        <v>129</v>
      </c>
      <c r="M287" s="141"/>
      <c r="N287" s="147" t="s">
        <v>2538</v>
      </c>
    </row>
    <row r="288" hidden="1" outlineLevel="1">
      <c r="A288" s="303" t="s">
        <v>2547</v>
      </c>
      <c r="B288" s="344">
        <v>46080.0</v>
      </c>
      <c r="C288" s="133" t="str">
        <f t="shared" si="36"/>
        <v>Fri</v>
      </c>
      <c r="D288" s="136">
        <f t="shared" si="37"/>
        <v>1</v>
      </c>
      <c r="E288" s="137" t="s">
        <v>129</v>
      </c>
      <c r="F288" s="137" t="s">
        <v>129</v>
      </c>
      <c r="G288" s="137" t="s">
        <v>129</v>
      </c>
      <c r="H288" s="137" t="s">
        <v>129</v>
      </c>
      <c r="I288" s="137" t="s">
        <v>129</v>
      </c>
      <c r="J288" s="137" t="s">
        <v>129</v>
      </c>
      <c r="K288" s="137" t="s">
        <v>129</v>
      </c>
      <c r="L288" s="137" t="s">
        <v>129</v>
      </c>
      <c r="M288" s="141"/>
      <c r="N288" s="143"/>
    </row>
    <row r="289" ht="15.0" hidden="1" customHeight="1" outlineLevel="1">
      <c r="A289" s="303" t="s">
        <v>2549</v>
      </c>
      <c r="B289" s="344">
        <v>46080.0</v>
      </c>
      <c r="C289" s="133" t="str">
        <f t="shared" si="36"/>
        <v>Fri</v>
      </c>
      <c r="D289" s="136">
        <f t="shared" si="37"/>
        <v>1</v>
      </c>
      <c r="E289" s="137" t="s">
        <v>129</v>
      </c>
      <c r="F289" s="137" t="s">
        <v>129</v>
      </c>
      <c r="G289" s="137" t="s">
        <v>129</v>
      </c>
      <c r="H289" s="137" t="s">
        <v>129</v>
      </c>
      <c r="I289" s="137" t="s">
        <v>129</v>
      </c>
      <c r="J289" s="137" t="s">
        <v>129</v>
      </c>
      <c r="K289" s="137" t="s">
        <v>129</v>
      </c>
      <c r="L289" s="137" t="s">
        <v>129</v>
      </c>
      <c r="M289" s="141"/>
      <c r="N289" s="147"/>
    </row>
    <row r="290" hidden="1" outlineLevel="1">
      <c r="B290" s="189"/>
      <c r="C290" s="191" t="s">
        <v>194</v>
      </c>
      <c r="D290" s="204">
        <f>AVERAGE(D275:D289)</f>
        <v>0.99</v>
      </c>
      <c r="E290" s="200"/>
      <c r="L290" s="191" t="s">
        <v>194</v>
      </c>
      <c r="M290" s="204">
        <f>SUM(M275:M289)/75*0.1</f>
        <v>0</v>
      </c>
    </row>
    <row r="291" hidden="1" collapsed="1">
      <c r="A291" s="206" t="s">
        <v>731</v>
      </c>
      <c r="B291" s="207"/>
      <c r="C291" s="207"/>
      <c r="D291" s="208"/>
      <c r="E291" s="109"/>
      <c r="F291" s="109"/>
      <c r="G291" s="110"/>
      <c r="H291" s="110"/>
      <c r="I291" s="110"/>
      <c r="J291" s="110"/>
      <c r="K291" s="110"/>
      <c r="L291" s="110"/>
      <c r="M291" s="111"/>
      <c r="N291" s="113"/>
    </row>
    <row r="292" hidden="1" outlineLevel="1">
      <c r="A292" s="373" t="s">
        <v>98</v>
      </c>
      <c r="B292" s="115" t="s">
        <v>100</v>
      </c>
      <c r="C292" s="115" t="s">
        <v>102</v>
      </c>
      <c r="D292" s="119" t="s">
        <v>103</v>
      </c>
      <c r="E292" s="275" t="s">
        <v>269</v>
      </c>
      <c r="F292" s="275" t="s">
        <v>272</v>
      </c>
      <c r="G292" s="276" t="s">
        <v>328</v>
      </c>
      <c r="H292" s="121" t="s">
        <v>107</v>
      </c>
      <c r="I292" s="121" t="s">
        <v>108</v>
      </c>
      <c r="J292" s="276" t="s">
        <v>329</v>
      </c>
      <c r="K292" s="121" t="s">
        <v>111</v>
      </c>
      <c r="L292" s="276" t="s">
        <v>274</v>
      </c>
      <c r="M292" s="115" t="s">
        <v>114</v>
      </c>
      <c r="N292" s="119" t="s">
        <v>115</v>
      </c>
    </row>
    <row r="293" hidden="1" outlineLevel="1">
      <c r="A293" s="255" t="s">
        <v>2551</v>
      </c>
      <c r="B293" s="344">
        <v>46083.0</v>
      </c>
      <c r="C293" s="133" t="str">
        <f t="shared" ref="C293:C307" si="38">IF(B293="", "", TEXT(B293, "ddd"))</f>
        <v>Mon</v>
      </c>
      <c r="D293" s="136">
        <f t="shared" ref="D293:D307" si="39">IF(E293="Yes",0.05,0)
+IF(F293="Yes",0.1,0)
+IF(G293="Yes",0.15,0)
+IF(H293="Yes",0.15,0)
+IF(I293="Yes",0.05,0)
+IF(J293="Yes",0.05,0)
+IF(K293="Yes",0.15,0)
+IF(L293="Yes",0.3,0)
</f>
        <v>1</v>
      </c>
      <c r="E293" s="137" t="s">
        <v>129</v>
      </c>
      <c r="F293" s="137" t="s">
        <v>129</v>
      </c>
      <c r="G293" s="137" t="s">
        <v>129</v>
      </c>
      <c r="H293" s="137" t="s">
        <v>129</v>
      </c>
      <c r="I293" s="137" t="s">
        <v>129</v>
      </c>
      <c r="J293" s="137" t="s">
        <v>129</v>
      </c>
      <c r="K293" s="137" t="s">
        <v>129</v>
      </c>
      <c r="L293" s="137" t="s">
        <v>129</v>
      </c>
      <c r="M293" s="141"/>
      <c r="N293" s="143"/>
    </row>
    <row r="294" hidden="1" outlineLevel="1">
      <c r="A294" s="255" t="s">
        <v>2557</v>
      </c>
      <c r="B294" s="344">
        <v>46083.0</v>
      </c>
      <c r="C294" s="133" t="str">
        <f t="shared" si="38"/>
        <v>Mon</v>
      </c>
      <c r="D294" s="136">
        <f t="shared" si="39"/>
        <v>1</v>
      </c>
      <c r="E294" s="137" t="s">
        <v>129</v>
      </c>
      <c r="F294" s="137" t="s">
        <v>129</v>
      </c>
      <c r="G294" s="137" t="s">
        <v>129</v>
      </c>
      <c r="H294" s="137" t="s">
        <v>129</v>
      </c>
      <c r="I294" s="137" t="s">
        <v>129</v>
      </c>
      <c r="J294" s="137" t="s">
        <v>129</v>
      </c>
      <c r="K294" s="137" t="s">
        <v>129</v>
      </c>
      <c r="L294" s="137" t="s">
        <v>129</v>
      </c>
      <c r="M294" s="141"/>
      <c r="N294" s="147"/>
    </row>
    <row r="295" hidden="1" outlineLevel="1">
      <c r="A295" s="255" t="s">
        <v>2558</v>
      </c>
      <c r="B295" s="344">
        <v>46083.0</v>
      </c>
      <c r="C295" s="133" t="str">
        <f t="shared" si="38"/>
        <v>Mon</v>
      </c>
      <c r="D295" s="136">
        <f t="shared" si="39"/>
        <v>1</v>
      </c>
      <c r="E295" s="137" t="s">
        <v>129</v>
      </c>
      <c r="F295" s="137" t="s">
        <v>129</v>
      </c>
      <c r="G295" s="137" t="s">
        <v>129</v>
      </c>
      <c r="H295" s="137" t="s">
        <v>129</v>
      </c>
      <c r="I295" s="137" t="s">
        <v>129</v>
      </c>
      <c r="J295" s="137" t="s">
        <v>129</v>
      </c>
      <c r="K295" s="137" t="s">
        <v>129</v>
      </c>
      <c r="L295" s="137" t="s">
        <v>129</v>
      </c>
      <c r="M295" s="141"/>
      <c r="N295" s="147"/>
    </row>
    <row r="296" hidden="1" outlineLevel="1">
      <c r="A296" s="255" t="s">
        <v>2560</v>
      </c>
      <c r="B296" s="344">
        <v>46084.0</v>
      </c>
      <c r="C296" s="133" t="str">
        <f t="shared" si="38"/>
        <v>Tue</v>
      </c>
      <c r="D296" s="136">
        <f t="shared" si="39"/>
        <v>1</v>
      </c>
      <c r="E296" s="137" t="s">
        <v>129</v>
      </c>
      <c r="F296" s="137" t="s">
        <v>129</v>
      </c>
      <c r="G296" s="137" t="s">
        <v>129</v>
      </c>
      <c r="H296" s="137" t="s">
        <v>129</v>
      </c>
      <c r="I296" s="137" t="s">
        <v>129</v>
      </c>
      <c r="J296" s="137" t="s">
        <v>129</v>
      </c>
      <c r="K296" s="137" t="s">
        <v>129</v>
      </c>
      <c r="L296" s="137" t="s">
        <v>129</v>
      </c>
      <c r="M296" s="141"/>
      <c r="N296" s="143"/>
    </row>
    <row r="297" hidden="1" outlineLevel="1">
      <c r="A297" s="255" t="s">
        <v>2563</v>
      </c>
      <c r="B297" s="344">
        <v>46084.0</v>
      </c>
      <c r="C297" s="133" t="str">
        <f t="shared" si="38"/>
        <v>Tue</v>
      </c>
      <c r="D297" s="136">
        <f t="shared" si="39"/>
        <v>1</v>
      </c>
      <c r="E297" s="137" t="s">
        <v>129</v>
      </c>
      <c r="F297" s="137" t="s">
        <v>129</v>
      </c>
      <c r="G297" s="137" t="s">
        <v>129</v>
      </c>
      <c r="H297" s="137" t="s">
        <v>129</v>
      </c>
      <c r="I297" s="137" t="s">
        <v>129</v>
      </c>
      <c r="J297" s="137" t="s">
        <v>129</v>
      </c>
      <c r="K297" s="137" t="s">
        <v>129</v>
      </c>
      <c r="L297" s="137" t="s">
        <v>129</v>
      </c>
      <c r="M297" s="141"/>
      <c r="N297" s="143"/>
    </row>
    <row r="298" hidden="1" outlineLevel="1">
      <c r="A298" s="255" t="s">
        <v>2566</v>
      </c>
      <c r="B298" s="344">
        <v>46084.0</v>
      </c>
      <c r="C298" s="133" t="str">
        <f t="shared" si="38"/>
        <v>Tue</v>
      </c>
      <c r="D298" s="136">
        <f t="shared" si="39"/>
        <v>1</v>
      </c>
      <c r="E298" s="137" t="s">
        <v>129</v>
      </c>
      <c r="F298" s="137" t="s">
        <v>129</v>
      </c>
      <c r="G298" s="137" t="s">
        <v>129</v>
      </c>
      <c r="H298" s="137" t="s">
        <v>129</v>
      </c>
      <c r="I298" s="137" t="s">
        <v>129</v>
      </c>
      <c r="J298" s="137" t="s">
        <v>129</v>
      </c>
      <c r="K298" s="137" t="s">
        <v>129</v>
      </c>
      <c r="L298" s="137" t="s">
        <v>129</v>
      </c>
      <c r="M298" s="141"/>
      <c r="N298" s="143"/>
    </row>
    <row r="299" hidden="1" outlineLevel="1">
      <c r="A299" s="219" t="s">
        <v>2568</v>
      </c>
      <c r="B299" s="344">
        <v>46085.0</v>
      </c>
      <c r="C299" s="133" t="str">
        <f t="shared" si="38"/>
        <v>Wed</v>
      </c>
      <c r="D299" s="136">
        <f t="shared" si="39"/>
        <v>1</v>
      </c>
      <c r="E299" s="137" t="s">
        <v>129</v>
      </c>
      <c r="F299" s="137" t="s">
        <v>129</v>
      </c>
      <c r="G299" s="137" t="s">
        <v>129</v>
      </c>
      <c r="H299" s="137" t="s">
        <v>129</v>
      </c>
      <c r="I299" s="137" t="s">
        <v>129</v>
      </c>
      <c r="J299" s="137" t="s">
        <v>129</v>
      </c>
      <c r="K299" s="137" t="s">
        <v>129</v>
      </c>
      <c r="L299" s="137" t="s">
        <v>129</v>
      </c>
      <c r="M299" s="141"/>
      <c r="N299" s="143"/>
    </row>
    <row r="300" hidden="1" outlineLevel="1">
      <c r="A300" s="219" t="s">
        <v>2570</v>
      </c>
      <c r="B300" s="344">
        <v>46085.0</v>
      </c>
      <c r="C300" s="133" t="str">
        <f t="shared" si="38"/>
        <v>Wed</v>
      </c>
      <c r="D300" s="136">
        <f t="shared" si="39"/>
        <v>1</v>
      </c>
      <c r="E300" s="137" t="s">
        <v>129</v>
      </c>
      <c r="F300" s="137" t="s">
        <v>129</v>
      </c>
      <c r="G300" s="137" t="s">
        <v>129</v>
      </c>
      <c r="H300" s="137" t="s">
        <v>129</v>
      </c>
      <c r="I300" s="137" t="s">
        <v>129</v>
      </c>
      <c r="J300" s="137" t="s">
        <v>129</v>
      </c>
      <c r="K300" s="137" t="s">
        <v>129</v>
      </c>
      <c r="L300" s="137" t="s">
        <v>129</v>
      </c>
      <c r="M300" s="141"/>
      <c r="N300" s="147"/>
    </row>
    <row r="301" hidden="1" outlineLevel="1">
      <c r="A301" s="219" t="s">
        <v>2573</v>
      </c>
      <c r="B301" s="344">
        <v>46085.0</v>
      </c>
      <c r="C301" s="133" t="str">
        <f t="shared" si="38"/>
        <v>Wed</v>
      </c>
      <c r="D301" s="136">
        <f t="shared" si="39"/>
        <v>0.7</v>
      </c>
      <c r="E301" s="137" t="s">
        <v>129</v>
      </c>
      <c r="F301" s="137" t="s">
        <v>129</v>
      </c>
      <c r="G301" s="137" t="s">
        <v>129</v>
      </c>
      <c r="H301" s="137" t="s">
        <v>129</v>
      </c>
      <c r="I301" s="137" t="s">
        <v>129</v>
      </c>
      <c r="J301" s="137" t="s">
        <v>129</v>
      </c>
      <c r="K301" s="137" t="s">
        <v>129</v>
      </c>
      <c r="L301" s="137" t="s">
        <v>174</v>
      </c>
      <c r="M301" s="141"/>
      <c r="N301" s="147" t="s">
        <v>2576</v>
      </c>
    </row>
    <row r="302" hidden="1" outlineLevel="1">
      <c r="A302" s="255" t="s">
        <v>2577</v>
      </c>
      <c r="B302" s="344">
        <v>46086.0</v>
      </c>
      <c r="C302" s="133" t="str">
        <f t="shared" si="38"/>
        <v>Thu</v>
      </c>
      <c r="D302" s="136">
        <f t="shared" si="39"/>
        <v>1</v>
      </c>
      <c r="E302" s="137" t="s">
        <v>129</v>
      </c>
      <c r="F302" s="137" t="s">
        <v>129</v>
      </c>
      <c r="G302" s="137" t="s">
        <v>129</v>
      </c>
      <c r="H302" s="137" t="s">
        <v>129</v>
      </c>
      <c r="I302" s="137" t="s">
        <v>129</v>
      </c>
      <c r="J302" s="137" t="s">
        <v>129</v>
      </c>
      <c r="K302" s="137" t="s">
        <v>129</v>
      </c>
      <c r="L302" s="137" t="s">
        <v>129</v>
      </c>
      <c r="M302" s="141"/>
      <c r="N302" s="147"/>
    </row>
    <row r="303" hidden="1" outlineLevel="1">
      <c r="A303" s="255" t="s">
        <v>2582</v>
      </c>
      <c r="B303" s="344">
        <v>46086.0</v>
      </c>
      <c r="C303" s="133" t="str">
        <f t="shared" si="38"/>
        <v>Thu</v>
      </c>
      <c r="D303" s="136">
        <f t="shared" si="39"/>
        <v>1</v>
      </c>
      <c r="E303" s="137" t="s">
        <v>129</v>
      </c>
      <c r="F303" s="137" t="s">
        <v>129</v>
      </c>
      <c r="G303" s="137" t="s">
        <v>129</v>
      </c>
      <c r="H303" s="137" t="s">
        <v>129</v>
      </c>
      <c r="I303" s="137" t="s">
        <v>129</v>
      </c>
      <c r="J303" s="137" t="s">
        <v>129</v>
      </c>
      <c r="K303" s="137" t="s">
        <v>129</v>
      </c>
      <c r="L303" s="137" t="s">
        <v>129</v>
      </c>
      <c r="M303" s="141"/>
      <c r="N303" s="147"/>
    </row>
    <row r="304" hidden="1" outlineLevel="1">
      <c r="A304" s="255" t="s">
        <v>2585</v>
      </c>
      <c r="B304" s="344">
        <v>46086.0</v>
      </c>
      <c r="C304" s="133" t="str">
        <f t="shared" si="38"/>
        <v>Thu</v>
      </c>
      <c r="D304" s="136">
        <f t="shared" si="39"/>
        <v>1</v>
      </c>
      <c r="E304" s="137" t="s">
        <v>129</v>
      </c>
      <c r="F304" s="137" t="s">
        <v>129</v>
      </c>
      <c r="G304" s="137" t="s">
        <v>129</v>
      </c>
      <c r="H304" s="137" t="s">
        <v>129</v>
      </c>
      <c r="I304" s="137" t="s">
        <v>129</v>
      </c>
      <c r="J304" s="137" t="s">
        <v>129</v>
      </c>
      <c r="K304" s="137" t="s">
        <v>129</v>
      </c>
      <c r="L304" s="137" t="s">
        <v>129</v>
      </c>
      <c r="M304" s="141"/>
      <c r="N304" s="147"/>
    </row>
    <row r="305" hidden="1" outlineLevel="1">
      <c r="A305" s="255" t="s">
        <v>2588</v>
      </c>
      <c r="B305" s="344">
        <v>46087.0</v>
      </c>
      <c r="C305" s="133" t="str">
        <f t="shared" si="38"/>
        <v>Fri</v>
      </c>
      <c r="D305" s="136">
        <f t="shared" si="39"/>
        <v>1</v>
      </c>
      <c r="E305" s="137" t="s">
        <v>129</v>
      </c>
      <c r="F305" s="137" t="s">
        <v>129</v>
      </c>
      <c r="G305" s="137" t="s">
        <v>129</v>
      </c>
      <c r="H305" s="137" t="s">
        <v>129</v>
      </c>
      <c r="I305" s="137" t="s">
        <v>129</v>
      </c>
      <c r="J305" s="137" t="s">
        <v>129</v>
      </c>
      <c r="K305" s="137" t="s">
        <v>129</v>
      </c>
      <c r="L305" s="137" t="s">
        <v>129</v>
      </c>
      <c r="M305" s="141"/>
      <c r="N305" s="143"/>
    </row>
    <row r="306" hidden="1" outlineLevel="1">
      <c r="A306" s="255" t="s">
        <v>2590</v>
      </c>
      <c r="B306" s="344">
        <v>46087.0</v>
      </c>
      <c r="C306" s="133" t="str">
        <f t="shared" si="38"/>
        <v>Fri</v>
      </c>
      <c r="D306" s="136">
        <f t="shared" si="39"/>
        <v>1</v>
      </c>
      <c r="E306" s="137" t="s">
        <v>129</v>
      </c>
      <c r="F306" s="137" t="s">
        <v>129</v>
      </c>
      <c r="G306" s="137" t="s">
        <v>129</v>
      </c>
      <c r="H306" s="137" t="s">
        <v>129</v>
      </c>
      <c r="I306" s="137" t="s">
        <v>129</v>
      </c>
      <c r="J306" s="137" t="s">
        <v>129</v>
      </c>
      <c r="K306" s="137" t="s">
        <v>129</v>
      </c>
      <c r="L306" s="137" t="s">
        <v>129</v>
      </c>
      <c r="M306" s="141"/>
      <c r="N306" s="143"/>
    </row>
    <row r="307" ht="15.0" hidden="1" customHeight="1" outlineLevel="1">
      <c r="A307" s="255" t="s">
        <v>2593</v>
      </c>
      <c r="B307" s="344">
        <v>46087.0</v>
      </c>
      <c r="C307" s="133" t="str">
        <f t="shared" si="38"/>
        <v>Fri</v>
      </c>
      <c r="D307" s="136">
        <f t="shared" si="39"/>
        <v>1</v>
      </c>
      <c r="E307" s="137" t="s">
        <v>129</v>
      </c>
      <c r="F307" s="137" t="s">
        <v>129</v>
      </c>
      <c r="G307" s="137" t="s">
        <v>129</v>
      </c>
      <c r="H307" s="137" t="s">
        <v>129</v>
      </c>
      <c r="I307" s="137" t="s">
        <v>129</v>
      </c>
      <c r="J307" s="137" t="s">
        <v>129</v>
      </c>
      <c r="K307" s="137" t="s">
        <v>129</v>
      </c>
      <c r="L307" s="137" t="s">
        <v>129</v>
      </c>
      <c r="M307" s="141"/>
      <c r="N307" s="147"/>
    </row>
    <row r="308" hidden="1" outlineLevel="1">
      <c r="B308" s="189"/>
      <c r="C308" s="191" t="s">
        <v>194</v>
      </c>
      <c r="D308" s="204">
        <f>AVERAGE(D293:D307)</f>
        <v>0.98</v>
      </c>
      <c r="E308" s="200"/>
      <c r="L308" s="191" t="s">
        <v>194</v>
      </c>
      <c r="M308" s="204">
        <f>SUM(M293:M307)/75*0.1</f>
        <v>0</v>
      </c>
    </row>
    <row r="309" hidden="1" collapsed="1">
      <c r="A309" s="206" t="s">
        <v>766</v>
      </c>
      <c r="B309" s="207"/>
      <c r="C309" s="207"/>
      <c r="D309" s="208"/>
      <c r="E309" s="109"/>
      <c r="F309" s="109"/>
      <c r="G309" s="110"/>
      <c r="H309" s="110"/>
      <c r="I309" s="110"/>
      <c r="J309" s="110"/>
      <c r="K309" s="110"/>
      <c r="L309" s="110"/>
      <c r="M309" s="111"/>
      <c r="N309" s="113"/>
    </row>
    <row r="310" hidden="1" outlineLevel="1">
      <c r="A310" s="373" t="s">
        <v>98</v>
      </c>
      <c r="B310" s="115" t="s">
        <v>100</v>
      </c>
      <c r="C310" s="115" t="s">
        <v>102</v>
      </c>
      <c r="D310" s="119" t="s">
        <v>103</v>
      </c>
      <c r="E310" s="275" t="s">
        <v>269</v>
      </c>
      <c r="F310" s="275" t="s">
        <v>272</v>
      </c>
      <c r="G310" s="276" t="s">
        <v>328</v>
      </c>
      <c r="H310" s="121" t="s">
        <v>107</v>
      </c>
      <c r="I310" s="121" t="s">
        <v>108</v>
      </c>
      <c r="J310" s="276" t="s">
        <v>329</v>
      </c>
      <c r="K310" s="121" t="s">
        <v>111</v>
      </c>
      <c r="L310" s="276" t="s">
        <v>274</v>
      </c>
      <c r="M310" s="115" t="s">
        <v>114</v>
      </c>
      <c r="N310" s="119" t="s">
        <v>115</v>
      </c>
    </row>
    <row r="311" hidden="1" outlineLevel="1">
      <c r="A311" s="255" t="s">
        <v>2599</v>
      </c>
      <c r="B311" s="344">
        <v>46090.0</v>
      </c>
      <c r="C311" s="133" t="str">
        <f t="shared" ref="C311:C325" si="40">IF(B311="", "", TEXT(B311, "ddd"))</f>
        <v>Mon</v>
      </c>
      <c r="D311" s="136">
        <f t="shared" ref="D311:D325" si="41">IF(E311="Yes",0.05,0)
+IF(F311="Yes",0.1,0)
+IF(G311="Yes",0.15,0)
+IF(H311="Yes",0.15,0)
+IF(I311="Yes",0.05,0)
+IF(J311="Yes",0.05,0)
+IF(K311="Yes",0.15,0)
+IF(L311="Yes",0.3,0)
</f>
        <v>1</v>
      </c>
      <c r="E311" s="137" t="s">
        <v>129</v>
      </c>
      <c r="F311" s="137" t="s">
        <v>129</v>
      </c>
      <c r="G311" s="137" t="s">
        <v>129</v>
      </c>
      <c r="H311" s="137" t="s">
        <v>129</v>
      </c>
      <c r="I311" s="137" t="s">
        <v>129</v>
      </c>
      <c r="J311" s="137" t="s">
        <v>129</v>
      </c>
      <c r="K311" s="137" t="s">
        <v>129</v>
      </c>
      <c r="L311" s="137" t="s">
        <v>129</v>
      </c>
      <c r="M311" s="141"/>
      <c r="N311" s="143"/>
    </row>
    <row r="312" hidden="1" outlineLevel="1">
      <c r="A312" s="255" t="s">
        <v>2604</v>
      </c>
      <c r="B312" s="344">
        <v>46090.0</v>
      </c>
      <c r="C312" s="133" t="str">
        <f t="shared" si="40"/>
        <v>Mon</v>
      </c>
      <c r="D312" s="136">
        <f t="shared" si="41"/>
        <v>1</v>
      </c>
      <c r="E312" s="137" t="s">
        <v>129</v>
      </c>
      <c r="F312" s="137" t="s">
        <v>129</v>
      </c>
      <c r="G312" s="137" t="s">
        <v>129</v>
      </c>
      <c r="H312" s="137" t="s">
        <v>129</v>
      </c>
      <c r="I312" s="137" t="s">
        <v>129</v>
      </c>
      <c r="J312" s="137" t="s">
        <v>129</v>
      </c>
      <c r="K312" s="137" t="s">
        <v>129</v>
      </c>
      <c r="L312" s="137" t="s">
        <v>129</v>
      </c>
      <c r="M312" s="141"/>
      <c r="N312" s="147"/>
    </row>
    <row r="313" hidden="1" outlineLevel="1">
      <c r="A313" s="255" t="s">
        <v>2606</v>
      </c>
      <c r="B313" s="344">
        <v>46090.0</v>
      </c>
      <c r="C313" s="133" t="str">
        <f t="shared" si="40"/>
        <v>Mon</v>
      </c>
      <c r="D313" s="136">
        <f t="shared" si="41"/>
        <v>1</v>
      </c>
      <c r="E313" s="137" t="s">
        <v>129</v>
      </c>
      <c r="F313" s="137" t="s">
        <v>129</v>
      </c>
      <c r="G313" s="137" t="s">
        <v>129</v>
      </c>
      <c r="H313" s="137" t="s">
        <v>129</v>
      </c>
      <c r="I313" s="137" t="s">
        <v>129</v>
      </c>
      <c r="J313" s="137" t="s">
        <v>129</v>
      </c>
      <c r="K313" s="137" t="s">
        <v>129</v>
      </c>
      <c r="L313" s="137" t="s">
        <v>129</v>
      </c>
      <c r="M313" s="141"/>
      <c r="N313" s="147"/>
    </row>
    <row r="314" hidden="1" outlineLevel="1">
      <c r="A314" s="219" t="s">
        <v>2609</v>
      </c>
      <c r="B314" s="344">
        <v>46091.0</v>
      </c>
      <c r="C314" s="133" t="str">
        <f t="shared" si="40"/>
        <v>Tue</v>
      </c>
      <c r="D314" s="136">
        <f t="shared" si="41"/>
        <v>1</v>
      </c>
      <c r="E314" s="137" t="s">
        <v>129</v>
      </c>
      <c r="F314" s="137" t="s">
        <v>129</v>
      </c>
      <c r="G314" s="137" t="s">
        <v>129</v>
      </c>
      <c r="H314" s="137" t="s">
        <v>129</v>
      </c>
      <c r="I314" s="137" t="s">
        <v>129</v>
      </c>
      <c r="J314" s="137" t="s">
        <v>129</v>
      </c>
      <c r="K314" s="137" t="s">
        <v>129</v>
      </c>
      <c r="L314" s="137" t="s">
        <v>129</v>
      </c>
      <c r="M314" s="141"/>
      <c r="N314" s="143"/>
    </row>
    <row r="315" hidden="1" outlineLevel="1">
      <c r="A315" s="219" t="s">
        <v>2613</v>
      </c>
      <c r="B315" s="344">
        <v>46091.0</v>
      </c>
      <c r="C315" s="133" t="str">
        <f t="shared" si="40"/>
        <v>Tue</v>
      </c>
      <c r="D315" s="136">
        <f t="shared" si="41"/>
        <v>1</v>
      </c>
      <c r="E315" s="137" t="s">
        <v>129</v>
      </c>
      <c r="F315" s="137" t="s">
        <v>129</v>
      </c>
      <c r="G315" s="137" t="s">
        <v>129</v>
      </c>
      <c r="H315" s="137" t="s">
        <v>129</v>
      </c>
      <c r="I315" s="137" t="s">
        <v>129</v>
      </c>
      <c r="J315" s="137" t="s">
        <v>129</v>
      </c>
      <c r="K315" s="137" t="s">
        <v>129</v>
      </c>
      <c r="L315" s="137" t="s">
        <v>129</v>
      </c>
      <c r="M315" s="141"/>
      <c r="N315" s="143"/>
    </row>
    <row r="316" hidden="1" outlineLevel="1">
      <c r="A316" s="219" t="s">
        <v>2615</v>
      </c>
      <c r="B316" s="344">
        <v>46091.0</v>
      </c>
      <c r="C316" s="133" t="str">
        <f t="shared" si="40"/>
        <v>Tue</v>
      </c>
      <c r="D316" s="136">
        <f t="shared" si="41"/>
        <v>1</v>
      </c>
      <c r="E316" s="137" t="s">
        <v>129</v>
      </c>
      <c r="F316" s="137" t="s">
        <v>129</v>
      </c>
      <c r="G316" s="137" t="s">
        <v>129</v>
      </c>
      <c r="H316" s="137" t="s">
        <v>129</v>
      </c>
      <c r="I316" s="137" t="s">
        <v>129</v>
      </c>
      <c r="J316" s="137" t="s">
        <v>129</v>
      </c>
      <c r="K316" s="137" t="s">
        <v>129</v>
      </c>
      <c r="L316" s="137" t="s">
        <v>129</v>
      </c>
      <c r="M316" s="141"/>
      <c r="N316" s="143"/>
    </row>
    <row r="317" hidden="1" outlineLevel="1">
      <c r="A317" s="255" t="s">
        <v>2619</v>
      </c>
      <c r="B317" s="344">
        <v>46092.0</v>
      </c>
      <c r="C317" s="133" t="str">
        <f t="shared" si="40"/>
        <v>Wed</v>
      </c>
      <c r="D317" s="136">
        <f t="shared" si="41"/>
        <v>1</v>
      </c>
      <c r="E317" s="137" t="s">
        <v>129</v>
      </c>
      <c r="F317" s="137" t="s">
        <v>129</v>
      </c>
      <c r="G317" s="137" t="s">
        <v>129</v>
      </c>
      <c r="H317" s="137" t="s">
        <v>129</v>
      </c>
      <c r="I317" s="137" t="s">
        <v>129</v>
      </c>
      <c r="J317" s="137" t="s">
        <v>129</v>
      </c>
      <c r="K317" s="137" t="s">
        <v>129</v>
      </c>
      <c r="L317" s="137" t="s">
        <v>129</v>
      </c>
      <c r="M317" s="141"/>
      <c r="N317" s="143"/>
    </row>
    <row r="318" hidden="1" outlineLevel="1">
      <c r="A318" s="255" t="s">
        <v>2622</v>
      </c>
      <c r="B318" s="344">
        <v>46092.0</v>
      </c>
      <c r="C318" s="133" t="str">
        <f t="shared" si="40"/>
        <v>Wed</v>
      </c>
      <c r="D318" s="136">
        <f t="shared" si="41"/>
        <v>1</v>
      </c>
      <c r="E318" s="137" t="s">
        <v>129</v>
      </c>
      <c r="F318" s="137" t="s">
        <v>129</v>
      </c>
      <c r="G318" s="137" t="s">
        <v>129</v>
      </c>
      <c r="H318" s="137" t="s">
        <v>129</v>
      </c>
      <c r="I318" s="137" t="s">
        <v>129</v>
      </c>
      <c r="J318" s="137" t="s">
        <v>129</v>
      </c>
      <c r="K318" s="137" t="s">
        <v>129</v>
      </c>
      <c r="L318" s="137" t="s">
        <v>129</v>
      </c>
      <c r="M318" s="141"/>
      <c r="N318" s="147"/>
    </row>
    <row r="319" hidden="1" outlineLevel="1">
      <c r="A319" s="255" t="s">
        <v>2624</v>
      </c>
      <c r="B319" s="344">
        <v>46092.0</v>
      </c>
      <c r="C319" s="133" t="str">
        <f t="shared" si="40"/>
        <v>Wed</v>
      </c>
      <c r="D319" s="136">
        <f t="shared" si="41"/>
        <v>1</v>
      </c>
      <c r="E319" s="137" t="s">
        <v>129</v>
      </c>
      <c r="F319" s="137" t="s">
        <v>129</v>
      </c>
      <c r="G319" s="137" t="s">
        <v>129</v>
      </c>
      <c r="H319" s="137" t="s">
        <v>129</v>
      </c>
      <c r="I319" s="137" t="s">
        <v>129</v>
      </c>
      <c r="J319" s="137" t="s">
        <v>129</v>
      </c>
      <c r="K319" s="137" t="s">
        <v>129</v>
      </c>
      <c r="L319" s="137" t="s">
        <v>129</v>
      </c>
      <c r="M319" s="141"/>
      <c r="N319" s="143"/>
    </row>
    <row r="320" hidden="1" outlineLevel="1">
      <c r="A320" s="255" t="s">
        <v>2628</v>
      </c>
      <c r="B320" s="344">
        <v>46093.0</v>
      </c>
      <c r="C320" s="133" t="str">
        <f t="shared" si="40"/>
        <v>Thu</v>
      </c>
      <c r="D320" s="136">
        <f t="shared" si="41"/>
        <v>1</v>
      </c>
      <c r="E320" s="137" t="s">
        <v>129</v>
      </c>
      <c r="F320" s="137" t="s">
        <v>129</v>
      </c>
      <c r="G320" s="137" t="s">
        <v>129</v>
      </c>
      <c r="H320" s="137" t="s">
        <v>129</v>
      </c>
      <c r="I320" s="137" t="s">
        <v>129</v>
      </c>
      <c r="J320" s="137" t="s">
        <v>129</v>
      </c>
      <c r="K320" s="137" t="s">
        <v>129</v>
      </c>
      <c r="L320" s="137" t="s">
        <v>129</v>
      </c>
      <c r="M320" s="141"/>
      <c r="N320" s="147"/>
    </row>
    <row r="321" hidden="1" outlineLevel="1">
      <c r="A321" s="255" t="s">
        <v>2631</v>
      </c>
      <c r="B321" s="344">
        <v>46093.0</v>
      </c>
      <c r="C321" s="133" t="str">
        <f t="shared" si="40"/>
        <v>Thu</v>
      </c>
      <c r="D321" s="136">
        <f t="shared" si="41"/>
        <v>1</v>
      </c>
      <c r="E321" s="137" t="s">
        <v>129</v>
      </c>
      <c r="F321" s="137" t="s">
        <v>129</v>
      </c>
      <c r="G321" s="137" t="s">
        <v>129</v>
      </c>
      <c r="H321" s="137" t="s">
        <v>129</v>
      </c>
      <c r="I321" s="137" t="s">
        <v>129</v>
      </c>
      <c r="J321" s="137" t="s">
        <v>129</v>
      </c>
      <c r="K321" s="137" t="s">
        <v>129</v>
      </c>
      <c r="L321" s="137" t="s">
        <v>129</v>
      </c>
      <c r="M321" s="141"/>
      <c r="N321" s="147"/>
    </row>
    <row r="322" hidden="1" outlineLevel="1">
      <c r="A322" s="255" t="s">
        <v>2633</v>
      </c>
      <c r="B322" s="344">
        <v>46093.0</v>
      </c>
      <c r="C322" s="133" t="str">
        <f t="shared" si="40"/>
        <v>Thu</v>
      </c>
      <c r="D322" s="136">
        <f t="shared" si="41"/>
        <v>1</v>
      </c>
      <c r="E322" s="137" t="s">
        <v>129</v>
      </c>
      <c r="F322" s="137" t="s">
        <v>129</v>
      </c>
      <c r="G322" s="137" t="s">
        <v>129</v>
      </c>
      <c r="H322" s="137" t="s">
        <v>129</v>
      </c>
      <c r="I322" s="137" t="s">
        <v>129</v>
      </c>
      <c r="J322" s="137" t="s">
        <v>129</v>
      </c>
      <c r="K322" s="137" t="s">
        <v>129</v>
      </c>
      <c r="L322" s="137" t="s">
        <v>129</v>
      </c>
      <c r="M322" s="141"/>
      <c r="N322" s="147"/>
    </row>
    <row r="323" hidden="1" outlineLevel="1">
      <c r="A323" s="255" t="s">
        <v>2636</v>
      </c>
      <c r="B323" s="344">
        <v>46095.0</v>
      </c>
      <c r="C323" s="133" t="str">
        <f t="shared" si="40"/>
        <v>Sat</v>
      </c>
      <c r="D323" s="136">
        <f t="shared" si="41"/>
        <v>1</v>
      </c>
      <c r="E323" s="137" t="s">
        <v>129</v>
      </c>
      <c r="F323" s="137" t="s">
        <v>129</v>
      </c>
      <c r="G323" s="137" t="s">
        <v>129</v>
      </c>
      <c r="H323" s="137" t="s">
        <v>129</v>
      </c>
      <c r="I323" s="137" t="s">
        <v>129</v>
      </c>
      <c r="J323" s="137" t="s">
        <v>129</v>
      </c>
      <c r="K323" s="137" t="s">
        <v>129</v>
      </c>
      <c r="L323" s="137" t="s">
        <v>129</v>
      </c>
      <c r="M323" s="141"/>
      <c r="N323" s="143"/>
    </row>
    <row r="324" hidden="1" outlineLevel="1">
      <c r="A324" s="255" t="s">
        <v>2638</v>
      </c>
      <c r="B324" s="344">
        <v>46095.0</v>
      </c>
      <c r="C324" s="133" t="str">
        <f t="shared" si="40"/>
        <v>Sat</v>
      </c>
      <c r="D324" s="136">
        <f t="shared" si="41"/>
        <v>1</v>
      </c>
      <c r="E324" s="137" t="s">
        <v>129</v>
      </c>
      <c r="F324" s="137" t="s">
        <v>129</v>
      </c>
      <c r="G324" s="137" t="s">
        <v>129</v>
      </c>
      <c r="H324" s="137" t="s">
        <v>129</v>
      </c>
      <c r="I324" s="137" t="s">
        <v>129</v>
      </c>
      <c r="J324" s="137" t="s">
        <v>129</v>
      </c>
      <c r="K324" s="137" t="s">
        <v>129</v>
      </c>
      <c r="L324" s="137" t="s">
        <v>129</v>
      </c>
      <c r="M324" s="141"/>
      <c r="N324" s="143"/>
    </row>
    <row r="325" ht="15.0" hidden="1" customHeight="1" outlineLevel="1">
      <c r="A325" s="255" t="s">
        <v>2644</v>
      </c>
      <c r="B325" s="344">
        <v>46095.0</v>
      </c>
      <c r="C325" s="133" t="str">
        <f t="shared" si="40"/>
        <v>Sat</v>
      </c>
      <c r="D325" s="136">
        <f t="shared" si="41"/>
        <v>1</v>
      </c>
      <c r="E325" s="137" t="s">
        <v>129</v>
      </c>
      <c r="F325" s="137" t="s">
        <v>129</v>
      </c>
      <c r="G325" s="137" t="s">
        <v>129</v>
      </c>
      <c r="H325" s="137" t="s">
        <v>129</v>
      </c>
      <c r="I325" s="137" t="s">
        <v>129</v>
      </c>
      <c r="J325" s="137" t="s">
        <v>129</v>
      </c>
      <c r="K325" s="137" t="s">
        <v>129</v>
      </c>
      <c r="L325" s="137" t="s">
        <v>129</v>
      </c>
      <c r="M325" s="141"/>
      <c r="N325" s="147"/>
    </row>
    <row r="326" hidden="1" outlineLevel="1">
      <c r="B326" s="189"/>
      <c r="C326" s="191" t="s">
        <v>194</v>
      </c>
      <c r="D326" s="204">
        <f>AVERAGE(D311:D325)</f>
        <v>1</v>
      </c>
      <c r="E326" s="200"/>
      <c r="L326" s="191" t="s">
        <v>194</v>
      </c>
      <c r="M326" s="204">
        <f>SUM(M311:M325)/75*0.1</f>
        <v>0</v>
      </c>
    </row>
    <row r="327" hidden="1" collapsed="1">
      <c r="A327" s="206" t="s">
        <v>792</v>
      </c>
      <c r="B327" s="207"/>
      <c r="C327" s="207"/>
      <c r="D327" s="208"/>
      <c r="E327" s="109"/>
      <c r="F327" s="109"/>
      <c r="G327" s="110"/>
      <c r="H327" s="110"/>
      <c r="I327" s="110"/>
      <c r="J327" s="110"/>
      <c r="K327" s="110"/>
      <c r="L327" s="110"/>
      <c r="M327" s="111"/>
      <c r="N327" s="113"/>
    </row>
    <row r="328" hidden="1" outlineLevel="1">
      <c r="A328" s="373" t="s">
        <v>98</v>
      </c>
      <c r="B328" s="115" t="s">
        <v>100</v>
      </c>
      <c r="C328" s="115" t="s">
        <v>102</v>
      </c>
      <c r="D328" s="119" t="s">
        <v>103</v>
      </c>
      <c r="E328" s="275" t="s">
        <v>269</v>
      </c>
      <c r="F328" s="275" t="s">
        <v>272</v>
      </c>
      <c r="G328" s="276" t="s">
        <v>328</v>
      </c>
      <c r="H328" s="121" t="s">
        <v>107</v>
      </c>
      <c r="I328" s="121" t="s">
        <v>108</v>
      </c>
      <c r="J328" s="276" t="s">
        <v>329</v>
      </c>
      <c r="K328" s="121" t="s">
        <v>111</v>
      </c>
      <c r="L328" s="276" t="s">
        <v>274</v>
      </c>
      <c r="M328" s="115" t="s">
        <v>114</v>
      </c>
      <c r="N328" s="119" t="s">
        <v>115</v>
      </c>
    </row>
    <row r="329" hidden="1" outlineLevel="1">
      <c r="A329" s="219" t="s">
        <v>2648</v>
      </c>
      <c r="B329" s="344">
        <v>46098.0</v>
      </c>
      <c r="C329" s="133" t="str">
        <f t="shared" ref="C329:C343" si="42">IF(B329="", "", TEXT(B329, "ddd"))</f>
        <v>Tue</v>
      </c>
      <c r="D329" s="136">
        <f t="shared" ref="D329:D343" si="43">IF(E329="Yes",0.05,0)
+IF(F329="Yes",0.1,0)
+IF(G329="Yes",0.15,0)
+IF(H329="Yes",0.15,0)
+IF(I329="Yes",0.05,0)
+IF(J329="Yes",0.05,0)
+IF(K329="Yes",0.15,0)
+IF(L329="Yes",0.3,0)
</f>
        <v>1</v>
      </c>
      <c r="E329" s="137" t="s">
        <v>129</v>
      </c>
      <c r="F329" s="137" t="s">
        <v>129</v>
      </c>
      <c r="G329" s="137" t="s">
        <v>129</v>
      </c>
      <c r="H329" s="137" t="s">
        <v>129</v>
      </c>
      <c r="I329" s="137" t="s">
        <v>129</v>
      </c>
      <c r="J329" s="137" t="s">
        <v>129</v>
      </c>
      <c r="K329" s="137" t="s">
        <v>129</v>
      </c>
      <c r="L329" s="137" t="s">
        <v>129</v>
      </c>
      <c r="M329" s="141"/>
      <c r="N329" s="143"/>
    </row>
    <row r="330" hidden="1" outlineLevel="1">
      <c r="A330" s="219" t="s">
        <v>2650</v>
      </c>
      <c r="B330" s="344">
        <v>46098.0</v>
      </c>
      <c r="C330" s="133" t="str">
        <f t="shared" si="42"/>
        <v>Tue</v>
      </c>
      <c r="D330" s="136">
        <f t="shared" si="43"/>
        <v>1</v>
      </c>
      <c r="E330" s="137" t="s">
        <v>129</v>
      </c>
      <c r="F330" s="137" t="s">
        <v>129</v>
      </c>
      <c r="G330" s="137" t="s">
        <v>129</v>
      </c>
      <c r="H330" s="137" t="s">
        <v>129</v>
      </c>
      <c r="I330" s="137" t="s">
        <v>129</v>
      </c>
      <c r="J330" s="137" t="s">
        <v>129</v>
      </c>
      <c r="K330" s="137" t="s">
        <v>129</v>
      </c>
      <c r="L330" s="137" t="s">
        <v>129</v>
      </c>
      <c r="M330" s="141"/>
      <c r="N330" s="147"/>
    </row>
    <row r="331" hidden="1" outlineLevel="1">
      <c r="A331" s="219" t="s">
        <v>2652</v>
      </c>
      <c r="B331" s="344">
        <v>46098.0</v>
      </c>
      <c r="C331" s="133" t="str">
        <f t="shared" si="42"/>
        <v>Tue</v>
      </c>
      <c r="D331" s="136">
        <f t="shared" si="43"/>
        <v>1</v>
      </c>
      <c r="E331" s="137" t="s">
        <v>129</v>
      </c>
      <c r="F331" s="137" t="s">
        <v>129</v>
      </c>
      <c r="G331" s="137" t="s">
        <v>129</v>
      </c>
      <c r="H331" s="137" t="s">
        <v>129</v>
      </c>
      <c r="I331" s="137" t="s">
        <v>129</v>
      </c>
      <c r="J331" s="137" t="s">
        <v>129</v>
      </c>
      <c r="K331" s="137" t="s">
        <v>129</v>
      </c>
      <c r="L331" s="137" t="s">
        <v>129</v>
      </c>
      <c r="M331" s="141"/>
      <c r="N331" s="147"/>
    </row>
    <row r="332" hidden="1" outlineLevel="1">
      <c r="A332" s="303" t="s">
        <v>2656</v>
      </c>
      <c r="B332" s="344">
        <v>46099.0</v>
      </c>
      <c r="C332" s="133" t="str">
        <f t="shared" si="42"/>
        <v>Wed</v>
      </c>
      <c r="D332" s="136">
        <f t="shared" si="43"/>
        <v>1</v>
      </c>
      <c r="E332" s="137" t="s">
        <v>129</v>
      </c>
      <c r="F332" s="137" t="s">
        <v>129</v>
      </c>
      <c r="G332" s="137" t="s">
        <v>129</v>
      </c>
      <c r="H332" s="137" t="s">
        <v>129</v>
      </c>
      <c r="I332" s="137" t="s">
        <v>129</v>
      </c>
      <c r="J332" s="137" t="s">
        <v>129</v>
      </c>
      <c r="K332" s="137" t="s">
        <v>129</v>
      </c>
      <c r="L332" s="137" t="s">
        <v>129</v>
      </c>
      <c r="M332" s="141"/>
      <c r="N332" s="143"/>
    </row>
    <row r="333" hidden="1" outlineLevel="1">
      <c r="A333" s="303" t="s">
        <v>2660</v>
      </c>
      <c r="B333" s="344">
        <v>46099.0</v>
      </c>
      <c r="C333" s="133" t="str">
        <f t="shared" si="42"/>
        <v>Wed</v>
      </c>
      <c r="D333" s="136">
        <f t="shared" si="43"/>
        <v>1</v>
      </c>
      <c r="E333" s="137" t="s">
        <v>129</v>
      </c>
      <c r="F333" s="137" t="s">
        <v>129</v>
      </c>
      <c r="G333" s="137" t="s">
        <v>129</v>
      </c>
      <c r="H333" s="137" t="s">
        <v>129</v>
      </c>
      <c r="I333" s="137" t="s">
        <v>129</v>
      </c>
      <c r="J333" s="137" t="s">
        <v>129</v>
      </c>
      <c r="K333" s="137" t="s">
        <v>129</v>
      </c>
      <c r="L333" s="137" t="s">
        <v>129</v>
      </c>
      <c r="M333" s="141"/>
      <c r="N333" s="143"/>
    </row>
    <row r="334" hidden="1" outlineLevel="1">
      <c r="A334" s="303" t="s">
        <v>2666</v>
      </c>
      <c r="B334" s="344">
        <v>46099.0</v>
      </c>
      <c r="C334" s="133" t="str">
        <f t="shared" si="42"/>
        <v>Wed</v>
      </c>
      <c r="D334" s="136">
        <f t="shared" si="43"/>
        <v>1</v>
      </c>
      <c r="E334" s="137" t="s">
        <v>129</v>
      </c>
      <c r="F334" s="137" t="s">
        <v>129</v>
      </c>
      <c r="G334" s="137" t="s">
        <v>129</v>
      </c>
      <c r="H334" s="137" t="s">
        <v>129</v>
      </c>
      <c r="I334" s="137" t="s">
        <v>129</v>
      </c>
      <c r="J334" s="137" t="s">
        <v>129</v>
      </c>
      <c r="K334" s="137" t="s">
        <v>129</v>
      </c>
      <c r="L334" s="137" t="s">
        <v>129</v>
      </c>
      <c r="M334" s="141"/>
      <c r="N334" s="143"/>
    </row>
    <row r="335" hidden="1" outlineLevel="1">
      <c r="A335" s="303" t="s">
        <v>2669</v>
      </c>
      <c r="B335" s="344">
        <v>46100.0</v>
      </c>
      <c r="C335" s="133" t="str">
        <f t="shared" si="42"/>
        <v>Thu</v>
      </c>
      <c r="D335" s="136">
        <f t="shared" si="43"/>
        <v>1</v>
      </c>
      <c r="E335" s="137" t="s">
        <v>129</v>
      </c>
      <c r="F335" s="137" t="s">
        <v>129</v>
      </c>
      <c r="G335" s="137" t="s">
        <v>129</v>
      </c>
      <c r="H335" s="137" t="s">
        <v>129</v>
      </c>
      <c r="I335" s="137" t="s">
        <v>129</v>
      </c>
      <c r="J335" s="137" t="s">
        <v>129</v>
      </c>
      <c r="K335" s="137" t="s">
        <v>129</v>
      </c>
      <c r="L335" s="137" t="s">
        <v>129</v>
      </c>
      <c r="M335" s="141"/>
      <c r="N335" s="143"/>
    </row>
    <row r="336" hidden="1" outlineLevel="1">
      <c r="A336" s="303" t="s">
        <v>2673</v>
      </c>
      <c r="B336" s="344">
        <v>46100.0</v>
      </c>
      <c r="C336" s="133" t="str">
        <f t="shared" si="42"/>
        <v>Thu</v>
      </c>
      <c r="D336" s="136">
        <f t="shared" si="43"/>
        <v>1</v>
      </c>
      <c r="E336" s="137" t="s">
        <v>129</v>
      </c>
      <c r="F336" s="137" t="s">
        <v>129</v>
      </c>
      <c r="G336" s="137" t="s">
        <v>129</v>
      </c>
      <c r="H336" s="137" t="s">
        <v>129</v>
      </c>
      <c r="I336" s="137" t="s">
        <v>129</v>
      </c>
      <c r="J336" s="137" t="s">
        <v>129</v>
      </c>
      <c r="K336" s="137" t="s">
        <v>129</v>
      </c>
      <c r="L336" s="137" t="s">
        <v>129</v>
      </c>
      <c r="M336" s="141"/>
      <c r="N336" s="147"/>
    </row>
    <row r="337" hidden="1" outlineLevel="1">
      <c r="A337" s="303" t="s">
        <v>2676</v>
      </c>
      <c r="B337" s="344">
        <v>46100.0</v>
      </c>
      <c r="C337" s="133" t="str">
        <f t="shared" si="42"/>
        <v>Thu</v>
      </c>
      <c r="D337" s="136">
        <f t="shared" si="43"/>
        <v>1</v>
      </c>
      <c r="E337" s="137" t="s">
        <v>129</v>
      </c>
      <c r="F337" s="137" t="s">
        <v>129</v>
      </c>
      <c r="G337" s="137" t="s">
        <v>129</v>
      </c>
      <c r="H337" s="137" t="s">
        <v>129</v>
      </c>
      <c r="I337" s="137" t="s">
        <v>129</v>
      </c>
      <c r="J337" s="137" t="s">
        <v>129</v>
      </c>
      <c r="K337" s="137" t="s">
        <v>129</v>
      </c>
      <c r="L337" s="137" t="s">
        <v>129</v>
      </c>
      <c r="M337" s="141"/>
      <c r="N337" s="143"/>
    </row>
    <row r="338" hidden="1" outlineLevel="1">
      <c r="A338" s="303" t="s">
        <v>2679</v>
      </c>
      <c r="B338" s="344">
        <v>46101.0</v>
      </c>
      <c r="C338" s="133" t="str">
        <f t="shared" si="42"/>
        <v>Fri</v>
      </c>
      <c r="D338" s="136">
        <f t="shared" si="43"/>
        <v>1</v>
      </c>
      <c r="E338" s="137" t="s">
        <v>129</v>
      </c>
      <c r="F338" s="137" t="s">
        <v>129</v>
      </c>
      <c r="G338" s="137" t="s">
        <v>129</v>
      </c>
      <c r="H338" s="137" t="s">
        <v>129</v>
      </c>
      <c r="I338" s="137" t="s">
        <v>129</v>
      </c>
      <c r="J338" s="137" t="s">
        <v>129</v>
      </c>
      <c r="K338" s="137" t="s">
        <v>129</v>
      </c>
      <c r="L338" s="137" t="s">
        <v>129</v>
      </c>
      <c r="M338" s="141"/>
      <c r="N338" s="147"/>
    </row>
    <row r="339" hidden="1" outlineLevel="1">
      <c r="A339" s="303" t="s">
        <v>2682</v>
      </c>
      <c r="B339" s="344">
        <v>46101.0</v>
      </c>
      <c r="C339" s="133" t="str">
        <f t="shared" si="42"/>
        <v>Fri</v>
      </c>
      <c r="D339" s="136">
        <f t="shared" si="43"/>
        <v>1</v>
      </c>
      <c r="E339" s="137" t="s">
        <v>129</v>
      </c>
      <c r="F339" s="137" t="s">
        <v>129</v>
      </c>
      <c r="G339" s="137" t="s">
        <v>129</v>
      </c>
      <c r="H339" s="137" t="s">
        <v>129</v>
      </c>
      <c r="I339" s="137" t="s">
        <v>129</v>
      </c>
      <c r="J339" s="137" t="s">
        <v>129</v>
      </c>
      <c r="K339" s="137" t="s">
        <v>129</v>
      </c>
      <c r="L339" s="137" t="s">
        <v>129</v>
      </c>
      <c r="M339" s="141"/>
      <c r="N339" s="147"/>
    </row>
    <row r="340" hidden="1" outlineLevel="1">
      <c r="A340" s="303" t="s">
        <v>2685</v>
      </c>
      <c r="B340" s="344">
        <v>46101.0</v>
      </c>
      <c r="C340" s="133" t="str">
        <f t="shared" si="42"/>
        <v>Fri</v>
      </c>
      <c r="D340" s="136">
        <f t="shared" si="43"/>
        <v>1</v>
      </c>
      <c r="E340" s="137" t="s">
        <v>129</v>
      </c>
      <c r="F340" s="137" t="s">
        <v>129</v>
      </c>
      <c r="G340" s="137" t="s">
        <v>129</v>
      </c>
      <c r="H340" s="137" t="s">
        <v>129</v>
      </c>
      <c r="I340" s="137" t="s">
        <v>129</v>
      </c>
      <c r="J340" s="137" t="s">
        <v>129</v>
      </c>
      <c r="K340" s="137" t="s">
        <v>129</v>
      </c>
      <c r="L340" s="137" t="s">
        <v>129</v>
      </c>
      <c r="M340" s="141"/>
      <c r="N340" s="147"/>
    </row>
    <row r="341" hidden="1" outlineLevel="1">
      <c r="A341" s="255"/>
      <c r="B341" s="344">
        <v>46102.0</v>
      </c>
      <c r="C341" s="133" t="str">
        <f t="shared" si="42"/>
        <v>Sat</v>
      </c>
      <c r="D341" s="136">
        <f t="shared" si="43"/>
        <v>0</v>
      </c>
      <c r="E341" s="137"/>
      <c r="F341" s="137"/>
      <c r="G341" s="137"/>
      <c r="H341" s="137"/>
      <c r="I341" s="137"/>
      <c r="J341" s="137"/>
      <c r="K341" s="137"/>
      <c r="L341" s="137"/>
      <c r="M341" s="141"/>
      <c r="N341" s="143"/>
    </row>
    <row r="342" hidden="1" outlineLevel="1">
      <c r="A342" s="255"/>
      <c r="B342" s="344">
        <v>46102.0</v>
      </c>
      <c r="C342" s="133" t="str">
        <f t="shared" si="42"/>
        <v>Sat</v>
      </c>
      <c r="D342" s="136">
        <f t="shared" si="43"/>
        <v>0</v>
      </c>
      <c r="E342" s="137"/>
      <c r="F342" s="137"/>
      <c r="G342" s="137"/>
      <c r="H342" s="137"/>
      <c r="I342" s="137"/>
      <c r="J342" s="137"/>
      <c r="K342" s="137"/>
      <c r="L342" s="137"/>
      <c r="M342" s="141"/>
      <c r="N342" s="143"/>
    </row>
    <row r="343" ht="15.0" hidden="1" customHeight="1" outlineLevel="1">
      <c r="A343" s="255"/>
      <c r="B343" s="344">
        <v>46102.0</v>
      </c>
      <c r="C343" s="133" t="str">
        <f t="shared" si="42"/>
        <v>Sat</v>
      </c>
      <c r="D343" s="136">
        <f t="shared" si="43"/>
        <v>0</v>
      </c>
      <c r="E343" s="137"/>
      <c r="F343" s="137"/>
      <c r="G343" s="137"/>
      <c r="H343" s="137"/>
      <c r="I343" s="137"/>
      <c r="J343" s="137"/>
      <c r="K343" s="137"/>
      <c r="L343" s="137"/>
      <c r="M343" s="141"/>
      <c r="N343" s="147"/>
    </row>
    <row r="344" hidden="1" outlineLevel="1">
      <c r="B344" s="189"/>
      <c r="C344" s="191" t="s">
        <v>194</v>
      </c>
      <c r="D344" s="204">
        <f>AVERAGE(D329:D340)</f>
        <v>1</v>
      </c>
      <c r="E344" s="200"/>
      <c r="L344" s="191" t="s">
        <v>194</v>
      </c>
      <c r="M344" s="204">
        <f>SUM(M329:M343)/75*0.1</f>
        <v>0</v>
      </c>
    </row>
    <row r="345" hidden="1" collapsed="1">
      <c r="A345" s="206" t="s">
        <v>831</v>
      </c>
      <c r="B345" s="207"/>
      <c r="C345" s="207"/>
      <c r="D345" s="208"/>
      <c r="E345" s="109"/>
      <c r="F345" s="109"/>
      <c r="G345" s="110"/>
      <c r="H345" s="110"/>
      <c r="I345" s="110"/>
      <c r="J345" s="110"/>
      <c r="K345" s="110"/>
      <c r="L345" s="110"/>
      <c r="M345" s="111"/>
      <c r="N345" s="113"/>
    </row>
    <row r="346" hidden="1" outlineLevel="1">
      <c r="A346" s="373" t="s">
        <v>98</v>
      </c>
      <c r="B346" s="115" t="s">
        <v>100</v>
      </c>
      <c r="C346" s="115" t="s">
        <v>102</v>
      </c>
      <c r="D346" s="119" t="s">
        <v>103</v>
      </c>
      <c r="E346" s="275" t="s">
        <v>269</v>
      </c>
      <c r="F346" s="275" t="s">
        <v>272</v>
      </c>
      <c r="G346" s="276" t="s">
        <v>328</v>
      </c>
      <c r="H346" s="121" t="s">
        <v>107</v>
      </c>
      <c r="I346" s="121" t="s">
        <v>108</v>
      </c>
      <c r="J346" s="276" t="s">
        <v>329</v>
      </c>
      <c r="K346" s="121" t="s">
        <v>111</v>
      </c>
      <c r="L346" s="276" t="s">
        <v>274</v>
      </c>
      <c r="M346" s="115" t="s">
        <v>114</v>
      </c>
      <c r="N346" s="119" t="s">
        <v>115</v>
      </c>
    </row>
    <row r="347" hidden="1" outlineLevel="1">
      <c r="A347" s="219" t="s">
        <v>2695</v>
      </c>
      <c r="B347" s="344">
        <v>46105.0</v>
      </c>
      <c r="C347" s="133" t="str">
        <f t="shared" ref="C347:C361" si="44">IF(B347="", "", TEXT(B347, "ddd"))</f>
        <v>Tue</v>
      </c>
      <c r="D347" s="136">
        <f t="shared" ref="D347:D361" si="45">IF(E347="Yes",0.05,0)
+IF(F347="Yes",0.1,0)
+IF(G347="Yes",0.15,0)
+IF(H347="Yes",0.15,0)
+IF(I347="Yes",0.05,0)
+IF(J347="Yes",0.05,0)
+IF(K347="Yes",0.15,0)
+IF(L347="Yes",0.3,0)
</f>
        <v>1</v>
      </c>
      <c r="E347" s="137" t="s">
        <v>129</v>
      </c>
      <c r="F347" s="137" t="s">
        <v>129</v>
      </c>
      <c r="G347" s="137" t="s">
        <v>129</v>
      </c>
      <c r="H347" s="137" t="s">
        <v>129</v>
      </c>
      <c r="I347" s="137" t="s">
        <v>129</v>
      </c>
      <c r="J347" s="137" t="s">
        <v>129</v>
      </c>
      <c r="K347" s="137" t="s">
        <v>129</v>
      </c>
      <c r="L347" s="137" t="s">
        <v>129</v>
      </c>
      <c r="M347" s="141"/>
      <c r="N347" s="143"/>
    </row>
    <row r="348" hidden="1" outlineLevel="1">
      <c r="A348" s="219" t="s">
        <v>2702</v>
      </c>
      <c r="B348" s="344">
        <v>46105.0</v>
      </c>
      <c r="C348" s="133" t="str">
        <f t="shared" si="44"/>
        <v>Tue</v>
      </c>
      <c r="D348" s="136">
        <f t="shared" si="45"/>
        <v>1</v>
      </c>
      <c r="E348" s="137" t="s">
        <v>129</v>
      </c>
      <c r="F348" s="137" t="s">
        <v>129</v>
      </c>
      <c r="G348" s="137" t="s">
        <v>129</v>
      </c>
      <c r="H348" s="137" t="s">
        <v>129</v>
      </c>
      <c r="I348" s="137" t="s">
        <v>129</v>
      </c>
      <c r="J348" s="137" t="s">
        <v>129</v>
      </c>
      <c r="K348" s="137" t="s">
        <v>129</v>
      </c>
      <c r="L348" s="137" t="s">
        <v>129</v>
      </c>
      <c r="M348" s="141"/>
      <c r="N348" s="147"/>
    </row>
    <row r="349" hidden="1" outlineLevel="1">
      <c r="A349" s="219" t="s">
        <v>2704</v>
      </c>
      <c r="B349" s="344">
        <v>46105.0</v>
      </c>
      <c r="C349" s="133" t="str">
        <f t="shared" si="44"/>
        <v>Tue</v>
      </c>
      <c r="D349" s="136">
        <f t="shared" si="45"/>
        <v>1</v>
      </c>
      <c r="E349" s="137" t="s">
        <v>129</v>
      </c>
      <c r="F349" s="137" t="s">
        <v>129</v>
      </c>
      <c r="G349" s="137" t="s">
        <v>129</v>
      </c>
      <c r="H349" s="137" t="s">
        <v>129</v>
      </c>
      <c r="I349" s="137" t="s">
        <v>129</v>
      </c>
      <c r="J349" s="137" t="s">
        <v>129</v>
      </c>
      <c r="K349" s="137" t="s">
        <v>129</v>
      </c>
      <c r="L349" s="137" t="s">
        <v>129</v>
      </c>
      <c r="M349" s="141"/>
      <c r="N349" s="147"/>
    </row>
    <row r="350" hidden="1" outlineLevel="1">
      <c r="A350" s="303" t="s">
        <v>2708</v>
      </c>
      <c r="B350" s="344">
        <v>46106.0</v>
      </c>
      <c r="C350" s="133" t="str">
        <f t="shared" si="44"/>
        <v>Wed</v>
      </c>
      <c r="D350" s="136">
        <f t="shared" si="45"/>
        <v>1</v>
      </c>
      <c r="E350" s="137" t="s">
        <v>129</v>
      </c>
      <c r="F350" s="137" t="s">
        <v>129</v>
      </c>
      <c r="G350" s="137" t="s">
        <v>129</v>
      </c>
      <c r="H350" s="137" t="s">
        <v>129</v>
      </c>
      <c r="I350" s="137" t="s">
        <v>129</v>
      </c>
      <c r="J350" s="137" t="s">
        <v>129</v>
      </c>
      <c r="K350" s="137" t="s">
        <v>129</v>
      </c>
      <c r="L350" s="137" t="s">
        <v>129</v>
      </c>
      <c r="M350" s="141"/>
      <c r="N350" s="143"/>
    </row>
    <row r="351" hidden="1" outlineLevel="1">
      <c r="A351" s="303" t="s">
        <v>2710</v>
      </c>
      <c r="B351" s="344">
        <v>46106.0</v>
      </c>
      <c r="C351" s="133" t="str">
        <f t="shared" si="44"/>
        <v>Wed</v>
      </c>
      <c r="D351" s="136">
        <f t="shared" si="45"/>
        <v>1</v>
      </c>
      <c r="E351" s="137" t="s">
        <v>129</v>
      </c>
      <c r="F351" s="137" t="s">
        <v>129</v>
      </c>
      <c r="G351" s="137" t="s">
        <v>129</v>
      </c>
      <c r="H351" s="137" t="s">
        <v>129</v>
      </c>
      <c r="I351" s="137" t="s">
        <v>129</v>
      </c>
      <c r="J351" s="137" t="s">
        <v>129</v>
      </c>
      <c r="K351" s="137" t="s">
        <v>129</v>
      </c>
      <c r="L351" s="137" t="s">
        <v>129</v>
      </c>
      <c r="M351" s="141"/>
      <c r="N351" s="143"/>
    </row>
    <row r="352" hidden="1" outlineLevel="1">
      <c r="A352" s="303" t="s">
        <v>2713</v>
      </c>
      <c r="B352" s="344">
        <v>46106.0</v>
      </c>
      <c r="C352" s="133" t="str">
        <f t="shared" si="44"/>
        <v>Wed</v>
      </c>
      <c r="D352" s="136">
        <f t="shared" si="45"/>
        <v>1</v>
      </c>
      <c r="E352" s="137" t="s">
        <v>129</v>
      </c>
      <c r="F352" s="137" t="s">
        <v>129</v>
      </c>
      <c r="G352" s="137" t="s">
        <v>129</v>
      </c>
      <c r="H352" s="137" t="s">
        <v>129</v>
      </c>
      <c r="I352" s="137" t="s">
        <v>129</v>
      </c>
      <c r="J352" s="137" t="s">
        <v>129</v>
      </c>
      <c r="K352" s="137" t="s">
        <v>129</v>
      </c>
      <c r="L352" s="137" t="s">
        <v>129</v>
      </c>
      <c r="M352" s="141"/>
      <c r="N352" s="143"/>
    </row>
    <row r="353" hidden="1" outlineLevel="1">
      <c r="A353" s="303" t="s">
        <v>2718</v>
      </c>
      <c r="B353" s="344">
        <v>46107.0</v>
      </c>
      <c r="C353" s="133" t="str">
        <f t="shared" si="44"/>
        <v>Thu</v>
      </c>
      <c r="D353" s="136">
        <f t="shared" si="45"/>
        <v>1</v>
      </c>
      <c r="E353" s="137" t="s">
        <v>129</v>
      </c>
      <c r="F353" s="137" t="s">
        <v>129</v>
      </c>
      <c r="G353" s="137" t="s">
        <v>129</v>
      </c>
      <c r="H353" s="137" t="s">
        <v>129</v>
      </c>
      <c r="I353" s="137" t="s">
        <v>129</v>
      </c>
      <c r="J353" s="137" t="s">
        <v>129</v>
      </c>
      <c r="K353" s="137" t="s">
        <v>129</v>
      </c>
      <c r="L353" s="137" t="s">
        <v>129</v>
      </c>
      <c r="M353" s="141"/>
      <c r="N353" s="143"/>
    </row>
    <row r="354" hidden="1" outlineLevel="1">
      <c r="A354" s="403" t="s">
        <v>2724</v>
      </c>
      <c r="B354" s="344">
        <v>46107.0</v>
      </c>
      <c r="C354" s="133" t="str">
        <f t="shared" si="44"/>
        <v>Thu</v>
      </c>
      <c r="D354" s="136">
        <f t="shared" si="45"/>
        <v>1</v>
      </c>
      <c r="E354" s="137" t="s">
        <v>129</v>
      </c>
      <c r="F354" s="137" t="s">
        <v>129</v>
      </c>
      <c r="G354" s="137" t="s">
        <v>129</v>
      </c>
      <c r="H354" s="137" t="s">
        <v>129</v>
      </c>
      <c r="I354" s="137" t="s">
        <v>129</v>
      </c>
      <c r="J354" s="137" t="s">
        <v>129</v>
      </c>
      <c r="K354" s="137" t="s">
        <v>129</v>
      </c>
      <c r="L354" s="137" t="s">
        <v>129</v>
      </c>
      <c r="M354" s="141"/>
      <c r="N354" s="147"/>
    </row>
    <row r="355" hidden="1" outlineLevel="1">
      <c r="A355" s="303" t="s">
        <v>2728</v>
      </c>
      <c r="B355" s="344">
        <v>46107.0</v>
      </c>
      <c r="C355" s="133" t="str">
        <f t="shared" si="44"/>
        <v>Thu</v>
      </c>
      <c r="D355" s="136">
        <f t="shared" si="45"/>
        <v>1</v>
      </c>
      <c r="E355" s="137" t="s">
        <v>129</v>
      </c>
      <c r="F355" s="137" t="s">
        <v>129</v>
      </c>
      <c r="G355" s="137" t="s">
        <v>129</v>
      </c>
      <c r="H355" s="137" t="s">
        <v>129</v>
      </c>
      <c r="I355" s="137" t="s">
        <v>129</v>
      </c>
      <c r="J355" s="137" t="s">
        <v>129</v>
      </c>
      <c r="K355" s="137" t="s">
        <v>129</v>
      </c>
      <c r="L355" s="137" t="s">
        <v>129</v>
      </c>
      <c r="M355" s="141"/>
      <c r="N355" s="143"/>
    </row>
    <row r="356" hidden="1" outlineLevel="1">
      <c r="A356" s="303" t="s">
        <v>2733</v>
      </c>
      <c r="B356" s="344">
        <v>46108.0</v>
      </c>
      <c r="C356" s="133" t="str">
        <f t="shared" si="44"/>
        <v>Fri</v>
      </c>
      <c r="D356" s="136">
        <f t="shared" si="45"/>
        <v>1</v>
      </c>
      <c r="E356" s="137" t="s">
        <v>129</v>
      </c>
      <c r="F356" s="137" t="s">
        <v>129</v>
      </c>
      <c r="G356" s="137" t="s">
        <v>129</v>
      </c>
      <c r="H356" s="137" t="s">
        <v>129</v>
      </c>
      <c r="I356" s="137" t="s">
        <v>129</v>
      </c>
      <c r="J356" s="137" t="s">
        <v>129</v>
      </c>
      <c r="K356" s="137" t="s">
        <v>129</v>
      </c>
      <c r="L356" s="137" t="s">
        <v>129</v>
      </c>
      <c r="M356" s="141"/>
      <c r="N356" s="147"/>
    </row>
    <row r="357" hidden="1" outlineLevel="1">
      <c r="A357" s="303" t="s">
        <v>2737</v>
      </c>
      <c r="B357" s="344">
        <v>46108.0</v>
      </c>
      <c r="C357" s="133" t="str">
        <f t="shared" si="44"/>
        <v>Fri</v>
      </c>
      <c r="D357" s="136">
        <f t="shared" si="45"/>
        <v>1</v>
      </c>
      <c r="E357" s="137" t="s">
        <v>129</v>
      </c>
      <c r="F357" s="137" t="s">
        <v>129</v>
      </c>
      <c r="G357" s="137" t="s">
        <v>129</v>
      </c>
      <c r="H357" s="137" t="s">
        <v>129</v>
      </c>
      <c r="I357" s="137" t="s">
        <v>129</v>
      </c>
      <c r="J357" s="137" t="s">
        <v>129</v>
      </c>
      <c r="K357" s="137" t="s">
        <v>129</v>
      </c>
      <c r="L357" s="137" t="s">
        <v>129</v>
      </c>
      <c r="M357" s="141"/>
      <c r="N357" s="147"/>
    </row>
    <row r="358" hidden="1" outlineLevel="1">
      <c r="A358" s="376" t="s">
        <v>2739</v>
      </c>
      <c r="B358" s="344">
        <v>46108.0</v>
      </c>
      <c r="C358" s="133" t="str">
        <f t="shared" si="44"/>
        <v>Fri</v>
      </c>
      <c r="D358" s="136">
        <f t="shared" si="45"/>
        <v>1</v>
      </c>
      <c r="E358" s="137" t="s">
        <v>129</v>
      </c>
      <c r="F358" s="137" t="s">
        <v>129</v>
      </c>
      <c r="G358" s="137" t="s">
        <v>129</v>
      </c>
      <c r="H358" s="137" t="s">
        <v>129</v>
      </c>
      <c r="I358" s="137" t="s">
        <v>129</v>
      </c>
      <c r="J358" s="137" t="s">
        <v>129</v>
      </c>
      <c r="K358" s="137" t="s">
        <v>129</v>
      </c>
      <c r="L358" s="137" t="s">
        <v>129</v>
      </c>
      <c r="M358" s="141"/>
      <c r="N358" s="147"/>
    </row>
    <row r="359" hidden="1" outlineLevel="1">
      <c r="A359" s="219" t="s">
        <v>2747</v>
      </c>
      <c r="B359" s="344">
        <v>46109.0</v>
      </c>
      <c r="C359" s="133" t="str">
        <f t="shared" si="44"/>
        <v>Sat</v>
      </c>
      <c r="D359" s="136">
        <f t="shared" si="45"/>
        <v>1</v>
      </c>
      <c r="E359" s="137" t="s">
        <v>129</v>
      </c>
      <c r="F359" s="137" t="s">
        <v>129</v>
      </c>
      <c r="G359" s="137" t="s">
        <v>129</v>
      </c>
      <c r="H359" s="137" t="s">
        <v>129</v>
      </c>
      <c r="I359" s="137" t="s">
        <v>129</v>
      </c>
      <c r="J359" s="137" t="s">
        <v>129</v>
      </c>
      <c r="K359" s="137" t="s">
        <v>129</v>
      </c>
      <c r="L359" s="137" t="s">
        <v>129</v>
      </c>
      <c r="M359" s="141"/>
      <c r="N359" s="143"/>
    </row>
    <row r="360" hidden="1" outlineLevel="1">
      <c r="A360" s="387" t="s">
        <v>2753</v>
      </c>
      <c r="B360" s="344">
        <v>46109.0</v>
      </c>
      <c r="C360" s="133" t="str">
        <f t="shared" si="44"/>
        <v>Sat</v>
      </c>
      <c r="D360" s="136">
        <f t="shared" si="45"/>
        <v>1</v>
      </c>
      <c r="E360" s="137" t="s">
        <v>129</v>
      </c>
      <c r="F360" s="137" t="s">
        <v>129</v>
      </c>
      <c r="G360" s="137" t="s">
        <v>129</v>
      </c>
      <c r="H360" s="137" t="s">
        <v>129</v>
      </c>
      <c r="I360" s="137" t="s">
        <v>129</v>
      </c>
      <c r="J360" s="137" t="s">
        <v>129</v>
      </c>
      <c r="K360" s="137" t="s">
        <v>129</v>
      </c>
      <c r="L360" s="137" t="s">
        <v>129</v>
      </c>
      <c r="M360" s="141"/>
      <c r="N360" s="143"/>
    </row>
    <row r="361" ht="15.0" hidden="1" customHeight="1" outlineLevel="1">
      <c r="A361" s="219" t="s">
        <v>2756</v>
      </c>
      <c r="B361" s="344">
        <v>46109.0</v>
      </c>
      <c r="C361" s="133" t="str">
        <f t="shared" si="44"/>
        <v>Sat</v>
      </c>
      <c r="D361" s="136">
        <f t="shared" si="45"/>
        <v>1</v>
      </c>
      <c r="E361" s="137" t="s">
        <v>129</v>
      </c>
      <c r="F361" s="137" t="s">
        <v>129</v>
      </c>
      <c r="G361" s="137" t="s">
        <v>129</v>
      </c>
      <c r="H361" s="137" t="s">
        <v>129</v>
      </c>
      <c r="I361" s="137" t="s">
        <v>129</v>
      </c>
      <c r="J361" s="137" t="s">
        <v>129</v>
      </c>
      <c r="K361" s="137" t="s">
        <v>129</v>
      </c>
      <c r="L361" s="137" t="s">
        <v>129</v>
      </c>
      <c r="M361" s="141"/>
      <c r="N361" s="147"/>
    </row>
    <row r="362" hidden="1" outlineLevel="1">
      <c r="B362" s="189"/>
      <c r="C362" s="191" t="s">
        <v>194</v>
      </c>
      <c r="D362" s="204">
        <f>AVERAGE(D347:D361)</f>
        <v>1</v>
      </c>
      <c r="E362" s="200"/>
      <c r="L362" s="191" t="s">
        <v>194</v>
      </c>
      <c r="M362" s="204">
        <f>SUM(M347:M361)/75*0.1</f>
        <v>0</v>
      </c>
    </row>
    <row r="363" hidden="1" collapsed="1">
      <c r="A363" s="206" t="s">
        <v>858</v>
      </c>
      <c r="B363" s="207"/>
      <c r="C363" s="207"/>
      <c r="D363" s="208"/>
      <c r="E363" s="109"/>
      <c r="F363" s="109"/>
      <c r="G363" s="110"/>
      <c r="H363" s="110"/>
      <c r="I363" s="110"/>
      <c r="J363" s="110"/>
      <c r="K363" s="110"/>
      <c r="L363" s="110"/>
      <c r="M363" s="111"/>
      <c r="N363" s="113"/>
    </row>
    <row r="364" hidden="1" outlineLevel="1">
      <c r="A364" s="373" t="s">
        <v>98</v>
      </c>
      <c r="B364" s="115" t="s">
        <v>100</v>
      </c>
      <c r="C364" s="115" t="s">
        <v>102</v>
      </c>
      <c r="D364" s="119" t="s">
        <v>103</v>
      </c>
      <c r="E364" s="275" t="s">
        <v>269</v>
      </c>
      <c r="F364" s="275" t="s">
        <v>272</v>
      </c>
      <c r="G364" s="276" t="s">
        <v>328</v>
      </c>
      <c r="H364" s="121" t="s">
        <v>107</v>
      </c>
      <c r="I364" s="121" t="s">
        <v>108</v>
      </c>
      <c r="J364" s="276" t="s">
        <v>329</v>
      </c>
      <c r="K364" s="121" t="s">
        <v>111</v>
      </c>
      <c r="L364" s="276" t="s">
        <v>274</v>
      </c>
      <c r="M364" s="115" t="s">
        <v>114</v>
      </c>
      <c r="N364" s="119" t="s">
        <v>115</v>
      </c>
    </row>
    <row r="365" hidden="1" outlineLevel="1">
      <c r="A365" s="255" t="s">
        <v>2761</v>
      </c>
      <c r="B365" s="344">
        <v>46113.0</v>
      </c>
      <c r="C365" s="133" t="str">
        <f t="shared" ref="C365:C379" si="46">IF(B365="", "", TEXT(B365, "ddd"))</f>
        <v>Wed</v>
      </c>
      <c r="D365" s="136">
        <f t="shared" ref="D365:D379" si="47">IF(E365="Yes",0.05,0)
+IF(F365="Yes",0.1,0)
+IF(G365="Yes",0.15,0)
+IF(H365="Yes",0.15,0)
+IF(I365="Yes",0.05,0)
+IF(J365="Yes",0.05,0)
+IF(K365="Yes",0.15,0)
+IF(L365="Yes",0.3,0)
</f>
        <v>1</v>
      </c>
      <c r="E365" s="137" t="s">
        <v>129</v>
      </c>
      <c r="F365" s="137" t="s">
        <v>129</v>
      </c>
      <c r="G365" s="137" t="s">
        <v>129</v>
      </c>
      <c r="H365" s="137" t="s">
        <v>129</v>
      </c>
      <c r="I365" s="137" t="s">
        <v>129</v>
      </c>
      <c r="J365" s="137" t="s">
        <v>129</v>
      </c>
      <c r="K365" s="137" t="s">
        <v>129</v>
      </c>
      <c r="L365" s="137" t="s">
        <v>129</v>
      </c>
      <c r="M365" s="141"/>
      <c r="N365" s="143"/>
    </row>
    <row r="366" hidden="1" outlineLevel="1">
      <c r="A366" s="255" t="s">
        <v>2765</v>
      </c>
      <c r="B366" s="344">
        <v>46113.0</v>
      </c>
      <c r="C366" s="133" t="str">
        <f t="shared" si="46"/>
        <v>Wed</v>
      </c>
      <c r="D366" s="136">
        <f t="shared" si="47"/>
        <v>1</v>
      </c>
      <c r="E366" s="137" t="s">
        <v>129</v>
      </c>
      <c r="F366" s="137" t="s">
        <v>129</v>
      </c>
      <c r="G366" s="137" t="s">
        <v>129</v>
      </c>
      <c r="H366" s="137" t="s">
        <v>129</v>
      </c>
      <c r="I366" s="137" t="s">
        <v>129</v>
      </c>
      <c r="J366" s="137" t="s">
        <v>129</v>
      </c>
      <c r="K366" s="137" t="s">
        <v>129</v>
      </c>
      <c r="L366" s="137" t="s">
        <v>129</v>
      </c>
      <c r="M366" s="141"/>
      <c r="N366" s="147"/>
    </row>
    <row r="367" hidden="1" outlineLevel="1">
      <c r="A367" s="255" t="s">
        <v>2767</v>
      </c>
      <c r="B367" s="344">
        <v>46113.0</v>
      </c>
      <c r="C367" s="133" t="str">
        <f t="shared" si="46"/>
        <v>Wed</v>
      </c>
      <c r="D367" s="136">
        <f t="shared" si="47"/>
        <v>1</v>
      </c>
      <c r="E367" s="137" t="s">
        <v>129</v>
      </c>
      <c r="F367" s="137" t="s">
        <v>129</v>
      </c>
      <c r="G367" s="137" t="s">
        <v>129</v>
      </c>
      <c r="H367" s="137" t="s">
        <v>129</v>
      </c>
      <c r="I367" s="137" t="s">
        <v>129</v>
      </c>
      <c r="J367" s="137" t="s">
        <v>129</v>
      </c>
      <c r="K367" s="137" t="s">
        <v>129</v>
      </c>
      <c r="L367" s="137" t="s">
        <v>129</v>
      </c>
      <c r="M367" s="141"/>
      <c r="N367" s="147"/>
    </row>
    <row r="368" hidden="1" outlineLevel="1">
      <c r="A368" s="255" t="s">
        <v>2769</v>
      </c>
      <c r="B368" s="344">
        <v>46114.0</v>
      </c>
      <c r="C368" s="133" t="str">
        <f t="shared" si="46"/>
        <v>Thu</v>
      </c>
      <c r="D368" s="136">
        <f t="shared" si="47"/>
        <v>1</v>
      </c>
      <c r="E368" s="137" t="s">
        <v>129</v>
      </c>
      <c r="F368" s="137" t="s">
        <v>129</v>
      </c>
      <c r="G368" s="137" t="s">
        <v>129</v>
      </c>
      <c r="H368" s="137" t="s">
        <v>129</v>
      </c>
      <c r="I368" s="137" t="s">
        <v>129</v>
      </c>
      <c r="J368" s="137" t="s">
        <v>129</v>
      </c>
      <c r="K368" s="137" t="s">
        <v>129</v>
      </c>
      <c r="L368" s="137" t="s">
        <v>129</v>
      </c>
      <c r="M368" s="141"/>
      <c r="N368" s="143"/>
    </row>
    <row r="369" hidden="1" outlineLevel="1">
      <c r="A369" s="255" t="s">
        <v>2776</v>
      </c>
      <c r="B369" s="344">
        <v>46114.0</v>
      </c>
      <c r="C369" s="133" t="str">
        <f t="shared" si="46"/>
        <v>Thu</v>
      </c>
      <c r="D369" s="136">
        <f t="shared" si="47"/>
        <v>1</v>
      </c>
      <c r="E369" s="137" t="s">
        <v>129</v>
      </c>
      <c r="F369" s="137" t="s">
        <v>129</v>
      </c>
      <c r="G369" s="137" t="s">
        <v>129</v>
      </c>
      <c r="H369" s="137" t="s">
        <v>129</v>
      </c>
      <c r="I369" s="137" t="s">
        <v>129</v>
      </c>
      <c r="J369" s="137" t="s">
        <v>129</v>
      </c>
      <c r="K369" s="137" t="s">
        <v>129</v>
      </c>
      <c r="L369" s="137" t="s">
        <v>129</v>
      </c>
      <c r="M369" s="141"/>
      <c r="N369" s="143"/>
    </row>
    <row r="370" hidden="1" outlineLevel="1">
      <c r="A370" s="255" t="s">
        <v>2779</v>
      </c>
      <c r="B370" s="344">
        <v>46114.0</v>
      </c>
      <c r="C370" s="133" t="str">
        <f t="shared" si="46"/>
        <v>Thu</v>
      </c>
      <c r="D370" s="136">
        <f t="shared" si="47"/>
        <v>1</v>
      </c>
      <c r="E370" s="137" t="s">
        <v>129</v>
      </c>
      <c r="F370" s="137" t="s">
        <v>129</v>
      </c>
      <c r="G370" s="137" t="s">
        <v>129</v>
      </c>
      <c r="H370" s="137" t="s">
        <v>129</v>
      </c>
      <c r="I370" s="137" t="s">
        <v>129</v>
      </c>
      <c r="J370" s="137" t="s">
        <v>129</v>
      </c>
      <c r="K370" s="137" t="s">
        <v>129</v>
      </c>
      <c r="L370" s="137" t="s">
        <v>129</v>
      </c>
      <c r="M370" s="141"/>
      <c r="N370" s="143"/>
    </row>
    <row r="371" hidden="1" outlineLevel="1">
      <c r="A371" s="303" t="s">
        <v>2783</v>
      </c>
      <c r="B371" s="344">
        <v>46115.0</v>
      </c>
      <c r="C371" s="133" t="str">
        <f t="shared" si="46"/>
        <v>Fri</v>
      </c>
      <c r="D371" s="136">
        <f t="shared" si="47"/>
        <v>1</v>
      </c>
      <c r="E371" s="137" t="s">
        <v>129</v>
      </c>
      <c r="F371" s="137" t="s">
        <v>129</v>
      </c>
      <c r="G371" s="137" t="s">
        <v>129</v>
      </c>
      <c r="H371" s="137" t="s">
        <v>129</v>
      </c>
      <c r="I371" s="137" t="s">
        <v>129</v>
      </c>
      <c r="J371" s="137" t="s">
        <v>129</v>
      </c>
      <c r="K371" s="137" t="s">
        <v>129</v>
      </c>
      <c r="L371" s="137" t="s">
        <v>129</v>
      </c>
      <c r="M371" s="141"/>
      <c r="N371" s="143"/>
    </row>
    <row r="372" hidden="1" outlineLevel="1">
      <c r="A372" s="303" t="s">
        <v>2787</v>
      </c>
      <c r="B372" s="344">
        <v>46115.0</v>
      </c>
      <c r="C372" s="133" t="str">
        <f t="shared" si="46"/>
        <v>Fri</v>
      </c>
      <c r="D372" s="136">
        <f t="shared" si="47"/>
        <v>1</v>
      </c>
      <c r="E372" s="137" t="s">
        <v>129</v>
      </c>
      <c r="F372" s="137" t="s">
        <v>129</v>
      </c>
      <c r="G372" s="137" t="s">
        <v>129</v>
      </c>
      <c r="H372" s="137" t="s">
        <v>129</v>
      </c>
      <c r="I372" s="137" t="s">
        <v>129</v>
      </c>
      <c r="J372" s="137" t="s">
        <v>129</v>
      </c>
      <c r="K372" s="137" t="s">
        <v>129</v>
      </c>
      <c r="L372" s="137" t="s">
        <v>129</v>
      </c>
      <c r="M372" s="141"/>
      <c r="N372" s="147"/>
    </row>
    <row r="373" hidden="1" outlineLevel="1">
      <c r="A373" s="303" t="s">
        <v>2790</v>
      </c>
      <c r="B373" s="344">
        <v>46115.0</v>
      </c>
      <c r="C373" s="133" t="str">
        <f t="shared" si="46"/>
        <v>Fri</v>
      </c>
      <c r="D373" s="136">
        <f t="shared" si="47"/>
        <v>1</v>
      </c>
      <c r="E373" s="137" t="s">
        <v>129</v>
      </c>
      <c r="F373" s="137" t="s">
        <v>129</v>
      </c>
      <c r="G373" s="137" t="s">
        <v>129</v>
      </c>
      <c r="H373" s="137" t="s">
        <v>129</v>
      </c>
      <c r="I373" s="137" t="s">
        <v>129</v>
      </c>
      <c r="J373" s="137" t="s">
        <v>129</v>
      </c>
      <c r="K373" s="137" t="s">
        <v>129</v>
      </c>
      <c r="L373" s="137" t="s">
        <v>129</v>
      </c>
      <c r="M373" s="141"/>
      <c r="N373" s="143"/>
    </row>
    <row r="374" hidden="1" outlineLevel="1">
      <c r="A374" s="303" t="s">
        <v>2792</v>
      </c>
      <c r="B374" s="344">
        <v>46116.0</v>
      </c>
      <c r="C374" s="133" t="str">
        <f t="shared" si="46"/>
        <v>Sat</v>
      </c>
      <c r="D374" s="136">
        <f t="shared" si="47"/>
        <v>1</v>
      </c>
      <c r="E374" s="137" t="s">
        <v>129</v>
      </c>
      <c r="F374" s="137" t="s">
        <v>129</v>
      </c>
      <c r="G374" s="137" t="s">
        <v>129</v>
      </c>
      <c r="H374" s="137" t="s">
        <v>129</v>
      </c>
      <c r="I374" s="137" t="s">
        <v>129</v>
      </c>
      <c r="J374" s="137" t="s">
        <v>129</v>
      </c>
      <c r="K374" s="137" t="s">
        <v>129</v>
      </c>
      <c r="L374" s="137" t="s">
        <v>129</v>
      </c>
      <c r="M374" s="141"/>
      <c r="N374" s="147"/>
    </row>
    <row r="375" hidden="1" outlineLevel="1">
      <c r="A375" s="303" t="s">
        <v>2797</v>
      </c>
      <c r="B375" s="344">
        <v>46116.0</v>
      </c>
      <c r="C375" s="133" t="str">
        <f t="shared" si="46"/>
        <v>Sat</v>
      </c>
      <c r="D375" s="136">
        <f t="shared" si="47"/>
        <v>1</v>
      </c>
      <c r="E375" s="137" t="s">
        <v>129</v>
      </c>
      <c r="F375" s="137" t="s">
        <v>129</v>
      </c>
      <c r="G375" s="137" t="s">
        <v>129</v>
      </c>
      <c r="H375" s="137" t="s">
        <v>129</v>
      </c>
      <c r="I375" s="137" t="s">
        <v>129</v>
      </c>
      <c r="J375" s="137" t="s">
        <v>129</v>
      </c>
      <c r="K375" s="137" t="s">
        <v>129</v>
      </c>
      <c r="L375" s="137" t="s">
        <v>129</v>
      </c>
      <c r="M375" s="141"/>
      <c r="N375" s="147"/>
    </row>
    <row r="376" hidden="1" outlineLevel="1">
      <c r="A376" s="303" t="s">
        <v>2800</v>
      </c>
      <c r="B376" s="344">
        <v>46116.0</v>
      </c>
      <c r="C376" s="133" t="str">
        <f t="shared" si="46"/>
        <v>Sat</v>
      </c>
      <c r="D376" s="136">
        <f t="shared" si="47"/>
        <v>1</v>
      </c>
      <c r="E376" s="137" t="s">
        <v>129</v>
      </c>
      <c r="F376" s="137" t="s">
        <v>129</v>
      </c>
      <c r="G376" s="137" t="s">
        <v>129</v>
      </c>
      <c r="H376" s="137" t="s">
        <v>129</v>
      </c>
      <c r="I376" s="137" t="s">
        <v>129</v>
      </c>
      <c r="J376" s="137" t="s">
        <v>129</v>
      </c>
      <c r="K376" s="137" t="s">
        <v>129</v>
      </c>
      <c r="L376" s="137" t="s">
        <v>129</v>
      </c>
      <c r="M376" s="141"/>
      <c r="N376" s="147"/>
    </row>
    <row r="377" hidden="1" outlineLevel="1">
      <c r="A377" s="255"/>
      <c r="B377" s="344"/>
      <c r="C377" s="133" t="str">
        <f t="shared" si="46"/>
        <v/>
      </c>
      <c r="D377" s="136">
        <f t="shared" si="47"/>
        <v>1</v>
      </c>
      <c r="E377" s="137" t="s">
        <v>129</v>
      </c>
      <c r="F377" s="137" t="s">
        <v>129</v>
      </c>
      <c r="G377" s="137" t="s">
        <v>129</v>
      </c>
      <c r="H377" s="137" t="s">
        <v>129</v>
      </c>
      <c r="I377" s="137" t="s">
        <v>129</v>
      </c>
      <c r="J377" s="137" t="s">
        <v>129</v>
      </c>
      <c r="K377" s="137" t="s">
        <v>129</v>
      </c>
      <c r="L377" s="137" t="s">
        <v>129</v>
      </c>
      <c r="M377" s="141"/>
      <c r="N377" s="143"/>
    </row>
    <row r="378" hidden="1" outlineLevel="1">
      <c r="A378" s="255"/>
      <c r="B378" s="344"/>
      <c r="C378" s="133" t="str">
        <f t="shared" si="46"/>
        <v/>
      </c>
      <c r="D378" s="136">
        <f t="shared" si="47"/>
        <v>1</v>
      </c>
      <c r="E378" s="137" t="s">
        <v>129</v>
      </c>
      <c r="F378" s="137" t="s">
        <v>129</v>
      </c>
      <c r="G378" s="137" t="s">
        <v>129</v>
      </c>
      <c r="H378" s="137" t="s">
        <v>129</v>
      </c>
      <c r="I378" s="137" t="s">
        <v>129</v>
      </c>
      <c r="J378" s="137" t="s">
        <v>129</v>
      </c>
      <c r="K378" s="137" t="s">
        <v>129</v>
      </c>
      <c r="L378" s="137" t="s">
        <v>129</v>
      </c>
      <c r="M378" s="141"/>
      <c r="N378" s="143"/>
    </row>
    <row r="379" ht="15.0" hidden="1" customHeight="1" outlineLevel="1">
      <c r="A379" s="487"/>
      <c r="B379" s="344"/>
      <c r="C379" s="133" t="str">
        <f t="shared" si="46"/>
        <v/>
      </c>
      <c r="D379" s="136">
        <f t="shared" si="47"/>
        <v>1</v>
      </c>
      <c r="E379" s="137" t="s">
        <v>129</v>
      </c>
      <c r="F379" s="137" t="s">
        <v>129</v>
      </c>
      <c r="G379" s="137" t="s">
        <v>129</v>
      </c>
      <c r="H379" s="137" t="s">
        <v>129</v>
      </c>
      <c r="I379" s="137" t="s">
        <v>129</v>
      </c>
      <c r="J379" s="137" t="s">
        <v>129</v>
      </c>
      <c r="K379" s="137" t="s">
        <v>129</v>
      </c>
      <c r="L379" s="137" t="s">
        <v>129</v>
      </c>
      <c r="M379" s="141"/>
      <c r="N379" s="147"/>
    </row>
    <row r="380" hidden="1" outlineLevel="1">
      <c r="B380" s="189"/>
      <c r="C380" s="191" t="s">
        <v>194</v>
      </c>
      <c r="D380" s="204">
        <f>AVERAGE(D365:D379)</f>
        <v>1</v>
      </c>
      <c r="E380" s="200"/>
      <c r="L380" s="191" t="s">
        <v>194</v>
      </c>
      <c r="M380" s="204">
        <f>SUM(M365:M379)/75*0.1</f>
        <v>0</v>
      </c>
    </row>
    <row r="381" hidden="1" collapsed="1">
      <c r="A381" s="206" t="s">
        <v>886</v>
      </c>
      <c r="B381" s="207"/>
      <c r="C381" s="207"/>
      <c r="D381" s="208"/>
      <c r="E381" s="109"/>
      <c r="F381" s="109"/>
      <c r="G381" s="110"/>
      <c r="H381" s="110"/>
      <c r="I381" s="110"/>
      <c r="J381" s="110"/>
      <c r="K381" s="110"/>
      <c r="L381" s="110"/>
      <c r="M381" s="111"/>
      <c r="N381" s="113"/>
    </row>
    <row r="382" hidden="1" outlineLevel="1">
      <c r="A382" s="373" t="s">
        <v>98</v>
      </c>
      <c r="B382" s="115" t="s">
        <v>100</v>
      </c>
      <c r="C382" s="115" t="s">
        <v>102</v>
      </c>
      <c r="D382" s="119" t="s">
        <v>103</v>
      </c>
      <c r="E382" s="275" t="s">
        <v>269</v>
      </c>
      <c r="F382" s="275" t="s">
        <v>272</v>
      </c>
      <c r="G382" s="276" t="s">
        <v>328</v>
      </c>
      <c r="H382" s="121" t="s">
        <v>107</v>
      </c>
      <c r="I382" s="121" t="s">
        <v>108</v>
      </c>
      <c r="J382" s="276" t="s">
        <v>329</v>
      </c>
      <c r="K382" s="121" t="s">
        <v>111</v>
      </c>
      <c r="L382" s="276" t="s">
        <v>274</v>
      </c>
      <c r="M382" s="115" t="s">
        <v>114</v>
      </c>
      <c r="N382" s="119" t="s">
        <v>115</v>
      </c>
    </row>
    <row r="383" hidden="1" outlineLevel="1">
      <c r="A383" s="303" t="s">
        <v>2814</v>
      </c>
      <c r="B383" s="344">
        <v>46118.0</v>
      </c>
      <c r="C383" s="133" t="str">
        <f t="shared" ref="C383:C397" si="48">IF(B383="", "", TEXT(B383, "ddd"))</f>
        <v>Mon</v>
      </c>
      <c r="D383" s="136">
        <f t="shared" ref="D383:D397" si="49">IF(E383="Yes",0.05,0)
+IF(F383="Yes",0.1,0)
+IF(G383="Yes",0.15,0)
+IF(H383="Yes",0.15,0)
+IF(I383="Yes",0.05,0)
+IF(J383="Yes",0.05,0)
+IF(K383="Yes",0.15,0)
+IF(L383="Yes",0.3,0)
</f>
        <v>1</v>
      </c>
      <c r="E383" s="137" t="s">
        <v>129</v>
      </c>
      <c r="F383" s="137" t="s">
        <v>129</v>
      </c>
      <c r="G383" s="137" t="s">
        <v>129</v>
      </c>
      <c r="H383" s="137" t="s">
        <v>129</v>
      </c>
      <c r="I383" s="137" t="s">
        <v>129</v>
      </c>
      <c r="J383" s="137" t="s">
        <v>129</v>
      </c>
      <c r="K383" s="137" t="s">
        <v>129</v>
      </c>
      <c r="L383" s="137" t="s">
        <v>129</v>
      </c>
      <c r="M383" s="141"/>
      <c r="N383" s="143"/>
    </row>
    <row r="384" hidden="1" outlineLevel="1">
      <c r="A384" s="303" t="s">
        <v>2820</v>
      </c>
      <c r="B384" s="344">
        <v>46118.0</v>
      </c>
      <c r="C384" s="133" t="str">
        <f t="shared" si="48"/>
        <v>Mon</v>
      </c>
      <c r="D384" s="136">
        <f t="shared" si="49"/>
        <v>1</v>
      </c>
      <c r="E384" s="137" t="s">
        <v>129</v>
      </c>
      <c r="F384" s="137" t="s">
        <v>129</v>
      </c>
      <c r="G384" s="137" t="s">
        <v>129</v>
      </c>
      <c r="H384" s="137" t="s">
        <v>129</v>
      </c>
      <c r="I384" s="137" t="s">
        <v>129</v>
      </c>
      <c r="J384" s="137" t="s">
        <v>129</v>
      </c>
      <c r="K384" s="137" t="s">
        <v>129</v>
      </c>
      <c r="L384" s="137" t="s">
        <v>129</v>
      </c>
      <c r="M384" s="141"/>
      <c r="N384" s="147"/>
    </row>
    <row r="385" hidden="1" outlineLevel="1">
      <c r="A385" s="303" t="s">
        <v>2821</v>
      </c>
      <c r="B385" s="344">
        <v>46118.0</v>
      </c>
      <c r="C385" s="133" t="str">
        <f t="shared" si="48"/>
        <v>Mon</v>
      </c>
      <c r="D385" s="136">
        <f t="shared" si="49"/>
        <v>1</v>
      </c>
      <c r="E385" s="137" t="s">
        <v>129</v>
      </c>
      <c r="F385" s="137" t="s">
        <v>129</v>
      </c>
      <c r="G385" s="137" t="s">
        <v>129</v>
      </c>
      <c r="H385" s="137" t="s">
        <v>129</v>
      </c>
      <c r="I385" s="137" t="s">
        <v>129</v>
      </c>
      <c r="J385" s="137" t="s">
        <v>129</v>
      </c>
      <c r="K385" s="137" t="s">
        <v>129</v>
      </c>
      <c r="L385" s="137" t="s">
        <v>129</v>
      </c>
      <c r="M385" s="141"/>
      <c r="N385" s="147"/>
    </row>
    <row r="386" hidden="1" outlineLevel="1">
      <c r="A386" s="219" t="s">
        <v>2824</v>
      </c>
      <c r="B386" s="344">
        <v>46119.0</v>
      </c>
      <c r="C386" s="133" t="str">
        <f t="shared" si="48"/>
        <v>Tue</v>
      </c>
      <c r="D386" s="136">
        <f t="shared" si="49"/>
        <v>0.9</v>
      </c>
      <c r="E386" s="137" t="s">
        <v>174</v>
      </c>
      <c r="F386" s="137" t="s">
        <v>129</v>
      </c>
      <c r="G386" s="137" t="s">
        <v>129</v>
      </c>
      <c r="H386" s="137" t="s">
        <v>129</v>
      </c>
      <c r="I386" s="137" t="s">
        <v>174</v>
      </c>
      <c r="J386" s="137" t="s">
        <v>129</v>
      </c>
      <c r="K386" s="137" t="s">
        <v>129</v>
      </c>
      <c r="L386" s="137" t="s">
        <v>129</v>
      </c>
      <c r="M386" s="141"/>
      <c r="N386" s="147" t="s">
        <v>2828</v>
      </c>
    </row>
    <row r="387" hidden="1" outlineLevel="1">
      <c r="A387" s="219" t="s">
        <v>2829</v>
      </c>
      <c r="B387" s="344">
        <v>46119.0</v>
      </c>
      <c r="C387" s="133" t="str">
        <f t="shared" si="48"/>
        <v>Tue</v>
      </c>
      <c r="D387" s="136">
        <f t="shared" si="49"/>
        <v>1</v>
      </c>
      <c r="E387" s="137" t="s">
        <v>129</v>
      </c>
      <c r="F387" s="137" t="s">
        <v>129</v>
      </c>
      <c r="G387" s="137" t="s">
        <v>129</v>
      </c>
      <c r="H387" s="137" t="s">
        <v>129</v>
      </c>
      <c r="I387" s="137" t="s">
        <v>129</v>
      </c>
      <c r="J387" s="137" t="s">
        <v>129</v>
      </c>
      <c r="K387" s="137" t="s">
        <v>129</v>
      </c>
      <c r="L387" s="137" t="s">
        <v>129</v>
      </c>
      <c r="M387" s="141"/>
      <c r="N387" s="143"/>
    </row>
    <row r="388" hidden="1" outlineLevel="1">
      <c r="A388" s="219" t="s">
        <v>2838</v>
      </c>
      <c r="B388" s="344">
        <v>46119.0</v>
      </c>
      <c r="C388" s="133" t="str">
        <f t="shared" si="48"/>
        <v>Tue</v>
      </c>
      <c r="D388" s="136">
        <f t="shared" si="49"/>
        <v>1</v>
      </c>
      <c r="E388" s="137" t="s">
        <v>129</v>
      </c>
      <c r="F388" s="137" t="s">
        <v>129</v>
      </c>
      <c r="G388" s="137" t="s">
        <v>129</v>
      </c>
      <c r="H388" s="137" t="s">
        <v>129</v>
      </c>
      <c r="I388" s="137" t="s">
        <v>129</v>
      </c>
      <c r="J388" s="137" t="s">
        <v>129</v>
      </c>
      <c r="K388" s="137" t="s">
        <v>129</v>
      </c>
      <c r="L388" s="137" t="s">
        <v>129</v>
      </c>
      <c r="M388" s="141"/>
      <c r="N388" s="143"/>
    </row>
    <row r="389" hidden="1" outlineLevel="1">
      <c r="A389" s="303" t="s">
        <v>2842</v>
      </c>
      <c r="B389" s="344">
        <v>46120.0</v>
      </c>
      <c r="C389" s="133" t="str">
        <f t="shared" si="48"/>
        <v>Wed</v>
      </c>
      <c r="D389" s="136">
        <f t="shared" si="49"/>
        <v>1</v>
      </c>
      <c r="E389" s="137" t="s">
        <v>129</v>
      </c>
      <c r="F389" s="137" t="s">
        <v>129</v>
      </c>
      <c r="G389" s="137" t="s">
        <v>129</v>
      </c>
      <c r="H389" s="137" t="s">
        <v>129</v>
      </c>
      <c r="I389" s="137" t="s">
        <v>129</v>
      </c>
      <c r="J389" s="137" t="s">
        <v>129</v>
      </c>
      <c r="K389" s="137" t="s">
        <v>129</v>
      </c>
      <c r="L389" s="137" t="s">
        <v>129</v>
      </c>
      <c r="M389" s="141"/>
      <c r="N389" s="143"/>
    </row>
    <row r="390" hidden="1" outlineLevel="1">
      <c r="A390" s="303" t="s">
        <v>2846</v>
      </c>
      <c r="B390" s="344">
        <v>46120.0</v>
      </c>
      <c r="C390" s="133" t="str">
        <f t="shared" si="48"/>
        <v>Wed</v>
      </c>
      <c r="D390" s="136">
        <f t="shared" si="49"/>
        <v>1</v>
      </c>
      <c r="E390" s="137" t="s">
        <v>129</v>
      </c>
      <c r="F390" s="137" t="s">
        <v>129</v>
      </c>
      <c r="G390" s="137" t="s">
        <v>129</v>
      </c>
      <c r="H390" s="137" t="s">
        <v>129</v>
      </c>
      <c r="I390" s="137" t="s">
        <v>129</v>
      </c>
      <c r="J390" s="137" t="s">
        <v>129</v>
      </c>
      <c r="K390" s="137" t="s">
        <v>129</v>
      </c>
      <c r="L390" s="137" t="s">
        <v>129</v>
      </c>
      <c r="M390" s="141"/>
      <c r="N390" s="147"/>
    </row>
    <row r="391" hidden="1" outlineLevel="1">
      <c r="A391" s="303" t="s">
        <v>2850</v>
      </c>
      <c r="B391" s="344">
        <v>46120.0</v>
      </c>
      <c r="C391" s="133" t="str">
        <f t="shared" si="48"/>
        <v>Wed</v>
      </c>
      <c r="D391" s="136">
        <f t="shared" si="49"/>
        <v>1</v>
      </c>
      <c r="E391" s="137" t="s">
        <v>129</v>
      </c>
      <c r="F391" s="137" t="s">
        <v>129</v>
      </c>
      <c r="G391" s="137" t="s">
        <v>129</v>
      </c>
      <c r="H391" s="137" t="s">
        <v>129</v>
      </c>
      <c r="I391" s="137" t="s">
        <v>129</v>
      </c>
      <c r="J391" s="137" t="s">
        <v>129</v>
      </c>
      <c r="K391" s="137" t="s">
        <v>129</v>
      </c>
      <c r="L391" s="137" t="s">
        <v>129</v>
      </c>
      <c r="M391" s="141"/>
      <c r="N391" s="143"/>
    </row>
    <row r="392" hidden="1" outlineLevel="1">
      <c r="A392" s="303" t="s">
        <v>2852</v>
      </c>
      <c r="B392" s="344">
        <v>46121.0</v>
      </c>
      <c r="C392" s="133" t="str">
        <f t="shared" si="48"/>
        <v>Thu</v>
      </c>
      <c r="D392" s="136">
        <f t="shared" si="49"/>
        <v>1</v>
      </c>
      <c r="E392" s="137" t="s">
        <v>129</v>
      </c>
      <c r="F392" s="137" t="s">
        <v>129</v>
      </c>
      <c r="G392" s="137" t="s">
        <v>129</v>
      </c>
      <c r="H392" s="137" t="s">
        <v>129</v>
      </c>
      <c r="I392" s="137" t="s">
        <v>129</v>
      </c>
      <c r="J392" s="137" t="s">
        <v>129</v>
      </c>
      <c r="K392" s="137" t="s">
        <v>129</v>
      </c>
      <c r="L392" s="137" t="s">
        <v>129</v>
      </c>
      <c r="M392" s="141"/>
      <c r="N392" s="147"/>
    </row>
    <row r="393" hidden="1" outlineLevel="1">
      <c r="A393" s="303" t="s">
        <v>2854</v>
      </c>
      <c r="B393" s="344">
        <v>46121.0</v>
      </c>
      <c r="C393" s="133" t="str">
        <f t="shared" si="48"/>
        <v>Thu</v>
      </c>
      <c r="D393" s="136">
        <f t="shared" si="49"/>
        <v>1</v>
      </c>
      <c r="E393" s="137" t="s">
        <v>129</v>
      </c>
      <c r="F393" s="137" t="s">
        <v>129</v>
      </c>
      <c r="G393" s="137" t="s">
        <v>129</v>
      </c>
      <c r="H393" s="137" t="s">
        <v>129</v>
      </c>
      <c r="I393" s="137" t="s">
        <v>129</v>
      </c>
      <c r="J393" s="137" t="s">
        <v>129</v>
      </c>
      <c r="K393" s="137" t="s">
        <v>129</v>
      </c>
      <c r="L393" s="137" t="s">
        <v>129</v>
      </c>
      <c r="M393" s="141"/>
      <c r="N393" s="147"/>
    </row>
    <row r="394" hidden="1" outlineLevel="1">
      <c r="A394" s="303" t="s">
        <v>2858</v>
      </c>
      <c r="B394" s="344">
        <v>46121.0</v>
      </c>
      <c r="C394" s="133" t="str">
        <f t="shared" si="48"/>
        <v>Thu</v>
      </c>
      <c r="D394" s="136">
        <f t="shared" si="49"/>
        <v>1</v>
      </c>
      <c r="E394" s="137" t="s">
        <v>129</v>
      </c>
      <c r="F394" s="137" t="s">
        <v>129</v>
      </c>
      <c r="G394" s="137" t="s">
        <v>129</v>
      </c>
      <c r="H394" s="137" t="s">
        <v>129</v>
      </c>
      <c r="I394" s="137" t="s">
        <v>129</v>
      </c>
      <c r="J394" s="137" t="s">
        <v>129</v>
      </c>
      <c r="K394" s="137" t="s">
        <v>129</v>
      </c>
      <c r="L394" s="137" t="s">
        <v>129</v>
      </c>
      <c r="M394" s="141"/>
      <c r="N394" s="147"/>
    </row>
    <row r="395" hidden="1" outlineLevel="1">
      <c r="A395" s="219" t="s">
        <v>2860</v>
      </c>
      <c r="B395" s="344">
        <v>46122.0</v>
      </c>
      <c r="C395" s="133" t="str">
        <f t="shared" si="48"/>
        <v>Fri</v>
      </c>
      <c r="D395" s="136">
        <f t="shared" si="49"/>
        <v>1</v>
      </c>
      <c r="E395" s="137" t="s">
        <v>129</v>
      </c>
      <c r="F395" s="137" t="s">
        <v>129</v>
      </c>
      <c r="G395" s="137" t="s">
        <v>129</v>
      </c>
      <c r="H395" s="137" t="s">
        <v>129</v>
      </c>
      <c r="I395" s="137" t="s">
        <v>129</v>
      </c>
      <c r="J395" s="137" t="s">
        <v>129</v>
      </c>
      <c r="K395" s="137" t="s">
        <v>129</v>
      </c>
      <c r="L395" s="137" t="s">
        <v>129</v>
      </c>
      <c r="M395" s="141"/>
      <c r="N395" s="143"/>
    </row>
    <row r="396" hidden="1" outlineLevel="1">
      <c r="A396" s="219" t="s">
        <v>2863</v>
      </c>
      <c r="B396" s="344">
        <v>46122.0</v>
      </c>
      <c r="C396" s="133" t="str">
        <f t="shared" si="48"/>
        <v>Fri</v>
      </c>
      <c r="D396" s="136">
        <f t="shared" si="49"/>
        <v>1</v>
      </c>
      <c r="E396" s="137" t="s">
        <v>129</v>
      </c>
      <c r="F396" s="137" t="s">
        <v>129</v>
      </c>
      <c r="G396" s="137" t="s">
        <v>129</v>
      </c>
      <c r="H396" s="137" t="s">
        <v>129</v>
      </c>
      <c r="I396" s="137" t="s">
        <v>129</v>
      </c>
      <c r="J396" s="137" t="s">
        <v>129</v>
      </c>
      <c r="K396" s="137" t="s">
        <v>129</v>
      </c>
      <c r="L396" s="137" t="s">
        <v>129</v>
      </c>
      <c r="M396" s="141"/>
      <c r="N396" s="143"/>
    </row>
    <row r="397" ht="15.0" hidden="1" customHeight="1" outlineLevel="1">
      <c r="A397" s="219" t="s">
        <v>2868</v>
      </c>
      <c r="B397" s="344">
        <v>46122.0</v>
      </c>
      <c r="C397" s="133" t="str">
        <f t="shared" si="48"/>
        <v>Fri</v>
      </c>
      <c r="D397" s="136">
        <f t="shared" si="49"/>
        <v>1</v>
      </c>
      <c r="E397" s="137" t="s">
        <v>129</v>
      </c>
      <c r="F397" s="137" t="s">
        <v>129</v>
      </c>
      <c r="G397" s="137" t="s">
        <v>129</v>
      </c>
      <c r="H397" s="137" t="s">
        <v>129</v>
      </c>
      <c r="I397" s="137" t="s">
        <v>129</v>
      </c>
      <c r="J397" s="137" t="s">
        <v>129</v>
      </c>
      <c r="K397" s="137" t="s">
        <v>129</v>
      </c>
      <c r="L397" s="137" t="s">
        <v>129</v>
      </c>
      <c r="M397" s="141"/>
      <c r="N397" s="147"/>
    </row>
    <row r="398" hidden="1" outlineLevel="1">
      <c r="B398" s="189"/>
      <c r="C398" s="191" t="s">
        <v>194</v>
      </c>
      <c r="D398" s="204">
        <f>AVERAGE(D383:D397)</f>
        <v>0.9933333333</v>
      </c>
      <c r="E398" s="200"/>
      <c r="L398" s="191" t="s">
        <v>194</v>
      </c>
      <c r="M398" s="204">
        <f>SUM(M383:M397)/75*0.1</f>
        <v>0</v>
      </c>
    </row>
    <row r="399" hidden="1" collapsed="1">
      <c r="A399" s="206" t="s">
        <v>917</v>
      </c>
      <c r="B399" s="207"/>
      <c r="C399" s="207"/>
      <c r="D399" s="208"/>
      <c r="E399" s="109"/>
      <c r="F399" s="109"/>
      <c r="G399" s="110"/>
      <c r="H399" s="110"/>
      <c r="I399" s="110"/>
      <c r="J399" s="110"/>
      <c r="K399" s="110"/>
      <c r="L399" s="110"/>
      <c r="M399" s="111"/>
      <c r="N399" s="113"/>
    </row>
    <row r="400" hidden="1" outlineLevel="1">
      <c r="A400" s="373" t="s">
        <v>98</v>
      </c>
      <c r="B400" s="115" t="s">
        <v>100</v>
      </c>
      <c r="C400" s="115" t="s">
        <v>102</v>
      </c>
      <c r="D400" s="119" t="s">
        <v>103</v>
      </c>
      <c r="E400" s="275" t="s">
        <v>269</v>
      </c>
      <c r="F400" s="275" t="s">
        <v>272</v>
      </c>
      <c r="G400" s="276" t="s">
        <v>328</v>
      </c>
      <c r="H400" s="121" t="s">
        <v>107</v>
      </c>
      <c r="I400" s="121" t="s">
        <v>108</v>
      </c>
      <c r="J400" s="276" t="s">
        <v>329</v>
      </c>
      <c r="K400" s="121" t="s">
        <v>111</v>
      </c>
      <c r="L400" s="276" t="s">
        <v>274</v>
      </c>
      <c r="M400" s="115" t="s">
        <v>114</v>
      </c>
      <c r="N400" s="119" t="s">
        <v>115</v>
      </c>
    </row>
    <row r="401" hidden="1" outlineLevel="1">
      <c r="A401" s="255" t="s">
        <v>2875</v>
      </c>
      <c r="B401" s="344">
        <v>46125.0</v>
      </c>
      <c r="C401" s="133" t="str">
        <f t="shared" ref="C401:C415" si="50">IF(B401="", "", TEXT(B401, "ddd"))</f>
        <v>Mon</v>
      </c>
      <c r="D401" s="381">
        <f t="shared" ref="D401:D415" si="51">IF(E401="Yes",0.05,0)
+IF(F401="Yes",0.1,0)
+IF(G401="Yes",0.15,0)
+IF(H401="Yes",0.15,0)
+IF(I401="Yes",0.05,0)
+IF(J401="Yes",0.05,0)
+IF(K401="Yes",0.15,0)
+IF(L401="Yes",0.3,0)
</f>
        <v>1</v>
      </c>
      <c r="E401" s="382" t="s">
        <v>129</v>
      </c>
      <c r="F401" s="137" t="s">
        <v>129</v>
      </c>
      <c r="G401" s="137" t="s">
        <v>129</v>
      </c>
      <c r="H401" s="137" t="s">
        <v>129</v>
      </c>
      <c r="I401" s="137" t="s">
        <v>129</v>
      </c>
      <c r="J401" s="137" t="s">
        <v>129</v>
      </c>
      <c r="K401" s="137" t="s">
        <v>129</v>
      </c>
      <c r="L401" s="137" t="s">
        <v>129</v>
      </c>
      <c r="M401" s="141"/>
      <c r="N401" s="143"/>
    </row>
    <row r="402" hidden="1" outlineLevel="1">
      <c r="A402" s="255" t="s">
        <v>2878</v>
      </c>
      <c r="B402" s="344">
        <v>46125.0</v>
      </c>
      <c r="C402" s="133" t="str">
        <f t="shared" si="50"/>
        <v>Mon</v>
      </c>
      <c r="D402" s="383">
        <f t="shared" si="51"/>
        <v>1</v>
      </c>
      <c r="E402" s="147" t="s">
        <v>129</v>
      </c>
      <c r="F402" s="137" t="s">
        <v>129</v>
      </c>
      <c r="G402" s="137" t="s">
        <v>129</v>
      </c>
      <c r="H402" s="137" t="s">
        <v>129</v>
      </c>
      <c r="I402" s="137" t="s">
        <v>129</v>
      </c>
      <c r="J402" s="137" t="s">
        <v>129</v>
      </c>
      <c r="K402" s="137" t="s">
        <v>129</v>
      </c>
      <c r="L402" s="137" t="s">
        <v>129</v>
      </c>
      <c r="M402" s="141"/>
      <c r="N402" s="147"/>
    </row>
    <row r="403" hidden="1" outlineLevel="1">
      <c r="A403" s="255" t="s">
        <v>2881</v>
      </c>
      <c r="B403" s="344">
        <v>46125.0</v>
      </c>
      <c r="C403" s="133" t="str">
        <f t="shared" si="50"/>
        <v>Mon</v>
      </c>
      <c r="D403" s="381">
        <f t="shared" si="51"/>
        <v>1</v>
      </c>
      <c r="E403" s="382" t="s">
        <v>129</v>
      </c>
      <c r="F403" s="137" t="s">
        <v>129</v>
      </c>
      <c r="G403" s="137" t="s">
        <v>129</v>
      </c>
      <c r="H403" s="137" t="s">
        <v>129</v>
      </c>
      <c r="I403" s="137" t="s">
        <v>129</v>
      </c>
      <c r="J403" s="137" t="s">
        <v>129</v>
      </c>
      <c r="K403" s="137" t="s">
        <v>129</v>
      </c>
      <c r="L403" s="137" t="s">
        <v>129</v>
      </c>
      <c r="M403" s="141"/>
      <c r="N403" s="147"/>
    </row>
    <row r="404" hidden="1" outlineLevel="1">
      <c r="A404" s="219" t="s">
        <v>2883</v>
      </c>
      <c r="B404" s="344">
        <v>46126.0</v>
      </c>
      <c r="C404" s="133" t="str">
        <f t="shared" si="50"/>
        <v>Tue</v>
      </c>
      <c r="D404" s="383">
        <f t="shared" si="51"/>
        <v>1</v>
      </c>
      <c r="E404" s="147" t="s">
        <v>129</v>
      </c>
      <c r="F404" s="137" t="s">
        <v>129</v>
      </c>
      <c r="G404" s="137" t="s">
        <v>129</v>
      </c>
      <c r="H404" s="137" t="s">
        <v>129</v>
      </c>
      <c r="I404" s="137" t="s">
        <v>129</v>
      </c>
      <c r="J404" s="137" t="s">
        <v>129</v>
      </c>
      <c r="K404" s="137" t="s">
        <v>129</v>
      </c>
      <c r="L404" s="137" t="s">
        <v>129</v>
      </c>
      <c r="M404" s="141"/>
      <c r="N404" s="143"/>
    </row>
    <row r="405" hidden="1" outlineLevel="1">
      <c r="A405" s="219" t="s">
        <v>2885</v>
      </c>
      <c r="B405" s="344">
        <v>46126.0</v>
      </c>
      <c r="C405" s="133" t="str">
        <f t="shared" si="50"/>
        <v>Tue</v>
      </c>
      <c r="D405" s="381">
        <f t="shared" si="51"/>
        <v>1</v>
      </c>
      <c r="E405" s="382" t="s">
        <v>129</v>
      </c>
      <c r="F405" s="137" t="s">
        <v>129</v>
      </c>
      <c r="G405" s="137" t="s">
        <v>129</v>
      </c>
      <c r="H405" s="137" t="s">
        <v>129</v>
      </c>
      <c r="I405" s="137" t="s">
        <v>129</v>
      </c>
      <c r="J405" s="137" t="s">
        <v>129</v>
      </c>
      <c r="K405" s="137" t="s">
        <v>129</v>
      </c>
      <c r="L405" s="137" t="s">
        <v>129</v>
      </c>
      <c r="M405" s="141"/>
      <c r="N405" s="143"/>
    </row>
    <row r="406" hidden="1" outlineLevel="1">
      <c r="A406" s="219" t="s">
        <v>2886</v>
      </c>
      <c r="B406" s="344">
        <v>46126.0</v>
      </c>
      <c r="C406" s="133" t="str">
        <f t="shared" si="50"/>
        <v>Tue</v>
      </c>
      <c r="D406" s="383">
        <f t="shared" si="51"/>
        <v>1</v>
      </c>
      <c r="E406" s="147" t="s">
        <v>129</v>
      </c>
      <c r="F406" s="137" t="s">
        <v>129</v>
      </c>
      <c r="G406" s="137" t="s">
        <v>129</v>
      </c>
      <c r="H406" s="137" t="s">
        <v>129</v>
      </c>
      <c r="I406" s="137" t="s">
        <v>129</v>
      </c>
      <c r="J406" s="137" t="s">
        <v>129</v>
      </c>
      <c r="K406" s="137" t="s">
        <v>129</v>
      </c>
      <c r="L406" s="137" t="s">
        <v>129</v>
      </c>
      <c r="M406" s="141"/>
      <c r="N406" s="143"/>
    </row>
    <row r="407" hidden="1" outlineLevel="1">
      <c r="A407" s="219" t="s">
        <v>145</v>
      </c>
      <c r="B407" s="344">
        <v>46127.0</v>
      </c>
      <c r="C407" s="133" t="str">
        <f t="shared" si="50"/>
        <v>Wed</v>
      </c>
      <c r="D407" s="381">
        <f t="shared" si="51"/>
        <v>1</v>
      </c>
      <c r="E407" s="382" t="s">
        <v>129</v>
      </c>
      <c r="F407" s="137" t="s">
        <v>129</v>
      </c>
      <c r="G407" s="137" t="s">
        <v>129</v>
      </c>
      <c r="H407" s="137" t="s">
        <v>129</v>
      </c>
      <c r="I407" s="137" t="s">
        <v>129</v>
      </c>
      <c r="J407" s="137" t="s">
        <v>129</v>
      </c>
      <c r="K407" s="137" t="s">
        <v>129</v>
      </c>
      <c r="L407" s="137" t="s">
        <v>129</v>
      </c>
      <c r="M407" s="141"/>
      <c r="N407" s="143"/>
    </row>
    <row r="408" hidden="1" outlineLevel="1">
      <c r="A408" s="219" t="s">
        <v>145</v>
      </c>
      <c r="B408" s="344">
        <v>46127.0</v>
      </c>
      <c r="C408" s="133" t="str">
        <f t="shared" si="50"/>
        <v>Wed</v>
      </c>
      <c r="D408" s="383">
        <f t="shared" si="51"/>
        <v>1</v>
      </c>
      <c r="E408" s="147" t="s">
        <v>129</v>
      </c>
      <c r="F408" s="137" t="s">
        <v>129</v>
      </c>
      <c r="G408" s="137" t="s">
        <v>129</v>
      </c>
      <c r="H408" s="137" t="s">
        <v>129</v>
      </c>
      <c r="I408" s="137" t="s">
        <v>129</v>
      </c>
      <c r="J408" s="137" t="s">
        <v>129</v>
      </c>
      <c r="K408" s="137" t="s">
        <v>129</v>
      </c>
      <c r="L408" s="137" t="s">
        <v>129</v>
      </c>
      <c r="M408" s="141"/>
      <c r="N408" s="147"/>
    </row>
    <row r="409" hidden="1" outlineLevel="1">
      <c r="A409" s="219" t="s">
        <v>145</v>
      </c>
      <c r="B409" s="344">
        <v>46127.0</v>
      </c>
      <c r="C409" s="133" t="str">
        <f t="shared" si="50"/>
        <v>Wed</v>
      </c>
      <c r="D409" s="381">
        <f t="shared" si="51"/>
        <v>1</v>
      </c>
      <c r="E409" s="382" t="s">
        <v>129</v>
      </c>
      <c r="F409" s="137" t="s">
        <v>129</v>
      </c>
      <c r="G409" s="137" t="s">
        <v>129</v>
      </c>
      <c r="H409" s="137" t="s">
        <v>129</v>
      </c>
      <c r="I409" s="137" t="s">
        <v>129</v>
      </c>
      <c r="J409" s="137" t="s">
        <v>129</v>
      </c>
      <c r="K409" s="137" t="s">
        <v>129</v>
      </c>
      <c r="L409" s="137" t="s">
        <v>129</v>
      </c>
      <c r="M409" s="141"/>
      <c r="N409" s="143"/>
    </row>
    <row r="410" hidden="1" outlineLevel="1">
      <c r="A410" s="303" t="s">
        <v>2894</v>
      </c>
      <c r="B410" s="344">
        <v>46128.0</v>
      </c>
      <c r="C410" s="133" t="str">
        <f t="shared" si="50"/>
        <v>Thu</v>
      </c>
      <c r="D410" s="383">
        <f t="shared" si="51"/>
        <v>1</v>
      </c>
      <c r="E410" s="147" t="s">
        <v>129</v>
      </c>
      <c r="F410" s="137" t="s">
        <v>129</v>
      </c>
      <c r="G410" s="137" t="s">
        <v>129</v>
      </c>
      <c r="H410" s="137" t="s">
        <v>129</v>
      </c>
      <c r="I410" s="137" t="s">
        <v>129</v>
      </c>
      <c r="J410" s="137" t="s">
        <v>129</v>
      </c>
      <c r="K410" s="137" t="s">
        <v>129</v>
      </c>
      <c r="L410" s="137" t="s">
        <v>129</v>
      </c>
      <c r="M410" s="141"/>
      <c r="N410" s="147"/>
    </row>
    <row r="411" hidden="1" outlineLevel="1">
      <c r="A411" s="303" t="s">
        <v>2895</v>
      </c>
      <c r="B411" s="344">
        <v>46128.0</v>
      </c>
      <c r="C411" s="133" t="str">
        <f t="shared" si="50"/>
        <v>Thu</v>
      </c>
      <c r="D411" s="381">
        <f t="shared" si="51"/>
        <v>1</v>
      </c>
      <c r="E411" s="382" t="s">
        <v>129</v>
      </c>
      <c r="F411" s="137" t="s">
        <v>129</v>
      </c>
      <c r="G411" s="137" t="s">
        <v>129</v>
      </c>
      <c r="H411" s="137" t="s">
        <v>129</v>
      </c>
      <c r="I411" s="137" t="s">
        <v>129</v>
      </c>
      <c r="J411" s="137" t="s">
        <v>129</v>
      </c>
      <c r="K411" s="137" t="s">
        <v>129</v>
      </c>
      <c r="L411" s="137" t="s">
        <v>129</v>
      </c>
      <c r="M411" s="141"/>
      <c r="N411" s="147"/>
    </row>
    <row r="412" hidden="1" outlineLevel="1">
      <c r="A412" s="303" t="s">
        <v>2897</v>
      </c>
      <c r="B412" s="344">
        <v>46128.0</v>
      </c>
      <c r="C412" s="133" t="str">
        <f t="shared" si="50"/>
        <v>Thu</v>
      </c>
      <c r="D412" s="383">
        <f t="shared" si="51"/>
        <v>1</v>
      </c>
      <c r="E412" s="147" t="s">
        <v>129</v>
      </c>
      <c r="F412" s="137" t="s">
        <v>129</v>
      </c>
      <c r="G412" s="137" t="s">
        <v>129</v>
      </c>
      <c r="H412" s="137" t="s">
        <v>129</v>
      </c>
      <c r="I412" s="137" t="s">
        <v>129</v>
      </c>
      <c r="J412" s="137" t="s">
        <v>129</v>
      </c>
      <c r="K412" s="137" t="s">
        <v>129</v>
      </c>
      <c r="L412" s="137" t="s">
        <v>129</v>
      </c>
      <c r="M412" s="141"/>
      <c r="N412" s="147"/>
    </row>
    <row r="413" hidden="1" outlineLevel="1">
      <c r="A413" s="219" t="s">
        <v>2898</v>
      </c>
      <c r="B413" s="344">
        <v>46129.0</v>
      </c>
      <c r="C413" s="133" t="str">
        <f t="shared" si="50"/>
        <v>Fri</v>
      </c>
      <c r="D413" s="381">
        <f t="shared" si="51"/>
        <v>1</v>
      </c>
      <c r="E413" s="382" t="s">
        <v>129</v>
      </c>
      <c r="F413" s="137" t="s">
        <v>129</v>
      </c>
      <c r="G413" s="137" t="s">
        <v>129</v>
      </c>
      <c r="H413" s="137" t="s">
        <v>129</v>
      </c>
      <c r="I413" s="137" t="s">
        <v>129</v>
      </c>
      <c r="J413" s="137" t="s">
        <v>129</v>
      </c>
      <c r="K413" s="137" t="s">
        <v>129</v>
      </c>
      <c r="L413" s="137" t="s">
        <v>129</v>
      </c>
      <c r="M413" s="141"/>
      <c r="N413" s="143"/>
    </row>
    <row r="414" hidden="1" outlineLevel="1">
      <c r="A414" s="219" t="s">
        <v>2900</v>
      </c>
      <c r="B414" s="344">
        <v>46129.0</v>
      </c>
      <c r="C414" s="133" t="str">
        <f t="shared" si="50"/>
        <v>Fri</v>
      </c>
      <c r="D414" s="383">
        <f t="shared" si="51"/>
        <v>1</v>
      </c>
      <c r="E414" s="147" t="s">
        <v>129</v>
      </c>
      <c r="F414" s="137" t="s">
        <v>129</v>
      </c>
      <c r="G414" s="137" t="s">
        <v>129</v>
      </c>
      <c r="H414" s="137" t="s">
        <v>129</v>
      </c>
      <c r="I414" s="137" t="s">
        <v>129</v>
      </c>
      <c r="J414" s="137" t="s">
        <v>129</v>
      </c>
      <c r="K414" s="137" t="s">
        <v>129</v>
      </c>
      <c r="L414" s="137" t="s">
        <v>129</v>
      </c>
      <c r="M414" s="141"/>
      <c r="N414" s="143"/>
    </row>
    <row r="415" ht="15.0" hidden="1" customHeight="1" outlineLevel="1">
      <c r="A415" s="219" t="s">
        <v>2902</v>
      </c>
      <c r="B415" s="344">
        <v>46129.0</v>
      </c>
      <c r="C415" s="133" t="str">
        <f t="shared" si="50"/>
        <v>Fri</v>
      </c>
      <c r="D415" s="381">
        <f t="shared" si="51"/>
        <v>1</v>
      </c>
      <c r="E415" s="382" t="s">
        <v>129</v>
      </c>
      <c r="F415" s="137" t="s">
        <v>129</v>
      </c>
      <c r="G415" s="137" t="s">
        <v>129</v>
      </c>
      <c r="H415" s="137" t="s">
        <v>129</v>
      </c>
      <c r="I415" s="137" t="s">
        <v>129</v>
      </c>
      <c r="J415" s="137" t="s">
        <v>129</v>
      </c>
      <c r="K415" s="137" t="s">
        <v>129</v>
      </c>
      <c r="L415" s="137" t="s">
        <v>129</v>
      </c>
      <c r="M415" s="141"/>
      <c r="N415" s="147"/>
    </row>
    <row r="416" hidden="1" outlineLevel="1">
      <c r="B416" s="189"/>
      <c r="C416" s="191" t="s">
        <v>194</v>
      </c>
      <c r="D416" s="204">
        <f>AVERAGE(D401:D415)</f>
        <v>1</v>
      </c>
      <c r="E416" s="384"/>
      <c r="L416" s="191" t="s">
        <v>194</v>
      </c>
      <c r="M416" s="204">
        <f>SUM(M401:M415)/75*0.1</f>
        <v>0</v>
      </c>
    </row>
    <row r="417" hidden="1" collapsed="1">
      <c r="A417" s="206" t="s">
        <v>946</v>
      </c>
      <c r="B417" s="207"/>
      <c r="C417" s="207"/>
      <c r="D417" s="385"/>
      <c r="E417" s="109"/>
      <c r="F417" s="109"/>
      <c r="G417" s="110"/>
      <c r="H417" s="110"/>
      <c r="I417" s="110"/>
      <c r="J417" s="110"/>
      <c r="K417" s="110"/>
      <c r="L417" s="110"/>
      <c r="M417" s="111"/>
      <c r="N417" s="113"/>
    </row>
    <row r="418" hidden="1" outlineLevel="1">
      <c r="A418" s="373" t="s">
        <v>98</v>
      </c>
      <c r="B418" s="115" t="s">
        <v>100</v>
      </c>
      <c r="C418" s="115" t="s">
        <v>102</v>
      </c>
      <c r="D418" s="119" t="s">
        <v>103</v>
      </c>
      <c r="E418" s="275" t="s">
        <v>269</v>
      </c>
      <c r="F418" s="275" t="s">
        <v>272</v>
      </c>
      <c r="G418" s="276" t="s">
        <v>328</v>
      </c>
      <c r="H418" s="121" t="s">
        <v>107</v>
      </c>
      <c r="I418" s="121" t="s">
        <v>108</v>
      </c>
      <c r="J418" s="276" t="s">
        <v>329</v>
      </c>
      <c r="K418" s="121" t="s">
        <v>111</v>
      </c>
      <c r="L418" s="276" t="s">
        <v>274</v>
      </c>
      <c r="M418" s="115" t="s">
        <v>114</v>
      </c>
      <c r="N418" s="119" t="s">
        <v>115</v>
      </c>
    </row>
    <row r="419" hidden="1" outlineLevel="1">
      <c r="A419" s="388" t="s">
        <v>2911</v>
      </c>
      <c r="B419" s="344">
        <v>46133.0</v>
      </c>
      <c r="C419" s="133" t="str">
        <f t="shared" ref="C419:C433" si="52">IF(B419="", "", TEXT(B419, "ddd"))</f>
        <v>Tue</v>
      </c>
      <c r="D419" s="381">
        <f t="shared" ref="D419:D433" si="53">IF(E419="Yes",0.05,0)
+IF(F419="Yes",0.1,0)
+IF(G419="Yes",0.15,0)
+IF(H419="Yes",0.15,0)
+IF(I419="Yes",0.05,0)
+IF(J419="Yes",0.05,0)
+IF(K419="Yes",0.15,0)
+IF(L419="Yes",0.3,0)
</f>
        <v>1</v>
      </c>
      <c r="E419" s="382" t="s">
        <v>129</v>
      </c>
      <c r="F419" s="137" t="s">
        <v>129</v>
      </c>
      <c r="G419" s="137" t="s">
        <v>129</v>
      </c>
      <c r="H419" s="137" t="s">
        <v>129</v>
      </c>
      <c r="I419" s="137" t="s">
        <v>129</v>
      </c>
      <c r="J419" s="137" t="s">
        <v>129</v>
      </c>
      <c r="K419" s="137" t="s">
        <v>129</v>
      </c>
      <c r="L419" s="137" t="s">
        <v>129</v>
      </c>
      <c r="M419" s="141"/>
      <c r="N419" s="143"/>
    </row>
    <row r="420" hidden="1" outlineLevel="1">
      <c r="A420" s="389" t="s">
        <v>2916</v>
      </c>
      <c r="B420" s="344">
        <v>46133.0</v>
      </c>
      <c r="C420" s="133" t="str">
        <f t="shared" si="52"/>
        <v>Tue</v>
      </c>
      <c r="D420" s="383">
        <f t="shared" si="53"/>
        <v>1</v>
      </c>
      <c r="E420" s="147" t="s">
        <v>129</v>
      </c>
      <c r="F420" s="137" t="s">
        <v>129</v>
      </c>
      <c r="G420" s="137" t="s">
        <v>129</v>
      </c>
      <c r="H420" s="137" t="s">
        <v>129</v>
      </c>
      <c r="I420" s="137" t="s">
        <v>129</v>
      </c>
      <c r="J420" s="137" t="s">
        <v>129</v>
      </c>
      <c r="K420" s="137" t="s">
        <v>129</v>
      </c>
      <c r="L420" s="137" t="s">
        <v>129</v>
      </c>
      <c r="M420" s="141"/>
      <c r="N420" s="147"/>
    </row>
    <row r="421" hidden="1" outlineLevel="1">
      <c r="A421" s="388" t="s">
        <v>2918</v>
      </c>
      <c r="B421" s="344">
        <v>46133.0</v>
      </c>
      <c r="C421" s="133" t="str">
        <f t="shared" si="52"/>
        <v>Tue</v>
      </c>
      <c r="D421" s="381">
        <f t="shared" si="53"/>
        <v>1</v>
      </c>
      <c r="E421" s="382" t="s">
        <v>129</v>
      </c>
      <c r="F421" s="137" t="s">
        <v>129</v>
      </c>
      <c r="G421" s="137" t="s">
        <v>129</v>
      </c>
      <c r="H421" s="137" t="s">
        <v>129</v>
      </c>
      <c r="I421" s="137" t="s">
        <v>129</v>
      </c>
      <c r="J421" s="137" t="s">
        <v>129</v>
      </c>
      <c r="K421" s="137" t="s">
        <v>129</v>
      </c>
      <c r="L421" s="137" t="s">
        <v>129</v>
      </c>
      <c r="M421" s="141"/>
      <c r="N421" s="147"/>
    </row>
    <row r="422" hidden="1" outlineLevel="1">
      <c r="A422" s="389" t="s">
        <v>2920</v>
      </c>
      <c r="B422" s="344">
        <v>46134.0</v>
      </c>
      <c r="C422" s="133" t="str">
        <f t="shared" si="52"/>
        <v>Wed</v>
      </c>
      <c r="D422" s="383">
        <f t="shared" si="53"/>
        <v>1</v>
      </c>
      <c r="E422" s="147" t="s">
        <v>129</v>
      </c>
      <c r="F422" s="137" t="s">
        <v>129</v>
      </c>
      <c r="G422" s="137" t="s">
        <v>129</v>
      </c>
      <c r="H422" s="137" t="s">
        <v>129</v>
      </c>
      <c r="I422" s="137" t="s">
        <v>129</v>
      </c>
      <c r="J422" s="137" t="s">
        <v>129</v>
      </c>
      <c r="K422" s="137" t="s">
        <v>129</v>
      </c>
      <c r="L422" s="137" t="s">
        <v>129</v>
      </c>
      <c r="M422" s="141"/>
      <c r="N422" s="143"/>
    </row>
    <row r="423" hidden="1" outlineLevel="1">
      <c r="A423" s="388" t="s">
        <v>2923</v>
      </c>
      <c r="B423" s="344">
        <v>46134.0</v>
      </c>
      <c r="C423" s="133" t="str">
        <f t="shared" si="52"/>
        <v>Wed</v>
      </c>
      <c r="D423" s="381">
        <f t="shared" si="53"/>
        <v>1</v>
      </c>
      <c r="E423" s="382" t="s">
        <v>129</v>
      </c>
      <c r="F423" s="137" t="s">
        <v>129</v>
      </c>
      <c r="G423" s="137" t="s">
        <v>129</v>
      </c>
      <c r="H423" s="137" t="s">
        <v>129</v>
      </c>
      <c r="I423" s="137" t="s">
        <v>129</v>
      </c>
      <c r="J423" s="137" t="s">
        <v>129</v>
      </c>
      <c r="K423" s="137" t="s">
        <v>129</v>
      </c>
      <c r="L423" s="137" t="s">
        <v>129</v>
      </c>
      <c r="M423" s="141"/>
      <c r="N423" s="143"/>
    </row>
    <row r="424" hidden="1" outlineLevel="1">
      <c r="A424" s="388" t="s">
        <v>2926</v>
      </c>
      <c r="B424" s="344">
        <v>46134.0</v>
      </c>
      <c r="C424" s="133" t="str">
        <f t="shared" si="52"/>
        <v>Wed</v>
      </c>
      <c r="D424" s="383">
        <f t="shared" si="53"/>
        <v>1</v>
      </c>
      <c r="E424" s="147" t="s">
        <v>129</v>
      </c>
      <c r="F424" s="137" t="s">
        <v>129</v>
      </c>
      <c r="G424" s="137" t="s">
        <v>129</v>
      </c>
      <c r="H424" s="137" t="s">
        <v>129</v>
      </c>
      <c r="I424" s="137" t="s">
        <v>129</v>
      </c>
      <c r="J424" s="137" t="s">
        <v>129</v>
      </c>
      <c r="K424" s="137" t="s">
        <v>129</v>
      </c>
      <c r="L424" s="137" t="s">
        <v>129</v>
      </c>
      <c r="M424" s="141"/>
      <c r="N424" s="143"/>
    </row>
    <row r="425" hidden="1" outlineLevel="1">
      <c r="A425" s="389" t="s">
        <v>2931</v>
      </c>
      <c r="B425" s="344">
        <v>46135.0</v>
      </c>
      <c r="C425" s="133" t="str">
        <f t="shared" si="52"/>
        <v>Thu</v>
      </c>
      <c r="D425" s="381">
        <f t="shared" si="53"/>
        <v>1</v>
      </c>
      <c r="E425" s="382" t="s">
        <v>129</v>
      </c>
      <c r="F425" s="137" t="s">
        <v>129</v>
      </c>
      <c r="G425" s="137" t="s">
        <v>129</v>
      </c>
      <c r="H425" s="137" t="s">
        <v>129</v>
      </c>
      <c r="I425" s="137" t="s">
        <v>129</v>
      </c>
      <c r="J425" s="137" t="s">
        <v>129</v>
      </c>
      <c r="K425" s="137" t="s">
        <v>129</v>
      </c>
      <c r="L425" s="137" t="s">
        <v>129</v>
      </c>
      <c r="M425" s="141"/>
      <c r="N425" s="143"/>
    </row>
    <row r="426" hidden="1" outlineLevel="1">
      <c r="A426" s="388" t="s">
        <v>2934</v>
      </c>
      <c r="B426" s="344">
        <v>46135.0</v>
      </c>
      <c r="C426" s="133" t="str">
        <f t="shared" si="52"/>
        <v>Thu</v>
      </c>
      <c r="D426" s="383">
        <f t="shared" si="53"/>
        <v>1</v>
      </c>
      <c r="E426" s="147" t="s">
        <v>129</v>
      </c>
      <c r="F426" s="137" t="s">
        <v>129</v>
      </c>
      <c r="G426" s="137" t="s">
        <v>129</v>
      </c>
      <c r="H426" s="137" t="s">
        <v>129</v>
      </c>
      <c r="I426" s="137" t="s">
        <v>129</v>
      </c>
      <c r="J426" s="137" t="s">
        <v>129</v>
      </c>
      <c r="K426" s="137" t="s">
        <v>129</v>
      </c>
      <c r="L426" s="137" t="s">
        <v>129</v>
      </c>
      <c r="M426" s="141"/>
      <c r="N426" s="147"/>
    </row>
    <row r="427" hidden="1" outlineLevel="1">
      <c r="A427" s="389" t="s">
        <v>2937</v>
      </c>
      <c r="B427" s="344">
        <v>46135.0</v>
      </c>
      <c r="C427" s="133" t="str">
        <f t="shared" si="52"/>
        <v>Thu</v>
      </c>
      <c r="D427" s="381">
        <f t="shared" si="53"/>
        <v>1</v>
      </c>
      <c r="E427" s="382" t="s">
        <v>129</v>
      </c>
      <c r="F427" s="137" t="s">
        <v>129</v>
      </c>
      <c r="G427" s="137" t="s">
        <v>129</v>
      </c>
      <c r="H427" s="137" t="s">
        <v>129</v>
      </c>
      <c r="I427" s="137" t="s">
        <v>129</v>
      </c>
      <c r="J427" s="137" t="s">
        <v>129</v>
      </c>
      <c r="K427" s="137" t="s">
        <v>129</v>
      </c>
      <c r="L427" s="137" t="s">
        <v>129</v>
      </c>
      <c r="M427" s="141"/>
      <c r="N427" s="143"/>
    </row>
    <row r="428" hidden="1" outlineLevel="1">
      <c r="A428" s="219" t="s">
        <v>2940</v>
      </c>
      <c r="B428" s="344">
        <v>46136.0</v>
      </c>
      <c r="C428" s="133" t="str">
        <f t="shared" si="52"/>
        <v>Fri</v>
      </c>
      <c r="D428" s="383">
        <f t="shared" si="53"/>
        <v>1</v>
      </c>
      <c r="E428" s="147" t="s">
        <v>129</v>
      </c>
      <c r="F428" s="137" t="s">
        <v>129</v>
      </c>
      <c r="G428" s="137" t="s">
        <v>129</v>
      </c>
      <c r="H428" s="137" t="s">
        <v>129</v>
      </c>
      <c r="I428" s="137" t="s">
        <v>129</v>
      </c>
      <c r="J428" s="137" t="s">
        <v>129</v>
      </c>
      <c r="K428" s="137" t="s">
        <v>129</v>
      </c>
      <c r="L428" s="137" t="s">
        <v>129</v>
      </c>
      <c r="M428" s="141"/>
      <c r="N428" s="147"/>
    </row>
    <row r="429" hidden="1" outlineLevel="1">
      <c r="A429" s="219" t="s">
        <v>2943</v>
      </c>
      <c r="B429" s="344">
        <v>46136.0</v>
      </c>
      <c r="C429" s="133" t="str">
        <f t="shared" si="52"/>
        <v>Fri</v>
      </c>
      <c r="D429" s="381">
        <f t="shared" si="53"/>
        <v>1</v>
      </c>
      <c r="E429" s="382" t="s">
        <v>129</v>
      </c>
      <c r="F429" s="137" t="s">
        <v>129</v>
      </c>
      <c r="G429" s="137" t="s">
        <v>129</v>
      </c>
      <c r="H429" s="137" t="s">
        <v>129</v>
      </c>
      <c r="I429" s="137" t="s">
        <v>129</v>
      </c>
      <c r="J429" s="137" t="s">
        <v>129</v>
      </c>
      <c r="K429" s="137" t="s">
        <v>129</v>
      </c>
      <c r="L429" s="137" t="s">
        <v>129</v>
      </c>
      <c r="M429" s="141"/>
      <c r="N429" s="147"/>
    </row>
    <row r="430" hidden="1" outlineLevel="1">
      <c r="A430" s="219" t="s">
        <v>2945</v>
      </c>
      <c r="B430" s="344">
        <v>46136.0</v>
      </c>
      <c r="C430" s="133" t="str">
        <f t="shared" si="52"/>
        <v>Fri</v>
      </c>
      <c r="D430" s="383">
        <f t="shared" si="53"/>
        <v>1</v>
      </c>
      <c r="E430" s="147" t="s">
        <v>129</v>
      </c>
      <c r="F430" s="137" t="s">
        <v>129</v>
      </c>
      <c r="G430" s="137" t="s">
        <v>129</v>
      </c>
      <c r="H430" s="137" t="s">
        <v>129</v>
      </c>
      <c r="I430" s="137" t="s">
        <v>129</v>
      </c>
      <c r="J430" s="137" t="s">
        <v>129</v>
      </c>
      <c r="K430" s="137" t="s">
        <v>129</v>
      </c>
      <c r="L430" s="137" t="s">
        <v>129</v>
      </c>
      <c r="M430" s="141"/>
      <c r="N430" s="147"/>
    </row>
    <row r="431" hidden="1" outlineLevel="1">
      <c r="A431" s="303" t="s">
        <v>2949</v>
      </c>
      <c r="B431" s="344">
        <v>46138.0</v>
      </c>
      <c r="C431" s="133" t="str">
        <f t="shared" si="52"/>
        <v>Sun</v>
      </c>
      <c r="D431" s="381">
        <f t="shared" si="53"/>
        <v>1</v>
      </c>
      <c r="E431" s="382" t="s">
        <v>129</v>
      </c>
      <c r="F431" s="137" t="s">
        <v>129</v>
      </c>
      <c r="G431" s="137" t="s">
        <v>129</v>
      </c>
      <c r="H431" s="137" t="s">
        <v>129</v>
      </c>
      <c r="I431" s="137" t="s">
        <v>129</v>
      </c>
      <c r="J431" s="137" t="s">
        <v>129</v>
      </c>
      <c r="K431" s="137" t="s">
        <v>129</v>
      </c>
      <c r="L431" s="137" t="s">
        <v>129</v>
      </c>
      <c r="M431" s="141"/>
      <c r="N431" s="143"/>
    </row>
    <row r="432" hidden="1" outlineLevel="1">
      <c r="A432" s="303" t="s">
        <v>2955</v>
      </c>
      <c r="B432" s="344">
        <v>46138.0</v>
      </c>
      <c r="C432" s="133" t="str">
        <f t="shared" si="52"/>
        <v>Sun</v>
      </c>
      <c r="D432" s="383">
        <f t="shared" si="53"/>
        <v>1</v>
      </c>
      <c r="E432" s="147" t="s">
        <v>129</v>
      </c>
      <c r="F432" s="137" t="s">
        <v>129</v>
      </c>
      <c r="G432" s="137" t="s">
        <v>129</v>
      </c>
      <c r="H432" s="137" t="s">
        <v>129</v>
      </c>
      <c r="I432" s="137" t="s">
        <v>129</v>
      </c>
      <c r="J432" s="137" t="s">
        <v>129</v>
      </c>
      <c r="K432" s="137" t="s">
        <v>129</v>
      </c>
      <c r="L432" s="137" t="s">
        <v>129</v>
      </c>
      <c r="M432" s="141"/>
      <c r="N432" s="143"/>
    </row>
    <row r="433" ht="15.0" hidden="1" customHeight="1" outlineLevel="1">
      <c r="A433" s="303" t="s">
        <v>2958</v>
      </c>
      <c r="B433" s="344">
        <v>46138.0</v>
      </c>
      <c r="C433" s="133" t="str">
        <f t="shared" si="52"/>
        <v>Sun</v>
      </c>
      <c r="D433" s="381">
        <f t="shared" si="53"/>
        <v>1</v>
      </c>
      <c r="E433" s="382" t="s">
        <v>129</v>
      </c>
      <c r="F433" s="137" t="s">
        <v>129</v>
      </c>
      <c r="G433" s="137" t="s">
        <v>129</v>
      </c>
      <c r="H433" s="137" t="s">
        <v>129</v>
      </c>
      <c r="I433" s="137" t="s">
        <v>129</v>
      </c>
      <c r="J433" s="137" t="s">
        <v>129</v>
      </c>
      <c r="K433" s="137" t="s">
        <v>129</v>
      </c>
      <c r="L433" s="137" t="s">
        <v>129</v>
      </c>
      <c r="M433" s="141"/>
      <c r="N433" s="147"/>
    </row>
    <row r="434" hidden="1" outlineLevel="1">
      <c r="B434" s="189"/>
      <c r="C434" s="191" t="s">
        <v>194</v>
      </c>
      <c r="D434" s="204">
        <f>AVERAGE(D419:D433)</f>
        <v>1</v>
      </c>
      <c r="E434" s="384"/>
      <c r="L434" s="191" t="s">
        <v>194</v>
      </c>
      <c r="M434" s="204">
        <f>SUM(M419:M433)/75*0.1</f>
        <v>0</v>
      </c>
    </row>
    <row r="435" hidden="1" collapsed="1">
      <c r="A435" s="206" t="s">
        <v>978</v>
      </c>
      <c r="B435" s="207"/>
      <c r="C435" s="207"/>
      <c r="D435" s="385"/>
      <c r="E435" s="109"/>
      <c r="F435" s="109"/>
      <c r="G435" s="110"/>
      <c r="H435" s="110"/>
      <c r="I435" s="110"/>
      <c r="J435" s="110"/>
      <c r="K435" s="110"/>
      <c r="L435" s="110"/>
      <c r="M435" s="111"/>
      <c r="N435" s="113"/>
    </row>
    <row r="436" hidden="1" outlineLevel="1">
      <c r="A436" s="373" t="s">
        <v>98</v>
      </c>
      <c r="B436" s="115" t="s">
        <v>100</v>
      </c>
      <c r="C436" s="115" t="s">
        <v>102</v>
      </c>
      <c r="D436" s="119" t="s">
        <v>103</v>
      </c>
      <c r="E436" s="275" t="s">
        <v>269</v>
      </c>
      <c r="F436" s="275" t="s">
        <v>272</v>
      </c>
      <c r="G436" s="276" t="s">
        <v>328</v>
      </c>
      <c r="H436" s="121" t="s">
        <v>107</v>
      </c>
      <c r="I436" s="121" t="s">
        <v>108</v>
      </c>
      <c r="J436" s="276" t="s">
        <v>329</v>
      </c>
      <c r="K436" s="121" t="s">
        <v>111</v>
      </c>
      <c r="L436" s="276" t="s">
        <v>274</v>
      </c>
      <c r="M436" s="115" t="s">
        <v>114</v>
      </c>
      <c r="N436" s="119" t="s">
        <v>115</v>
      </c>
    </row>
    <row r="437" hidden="1" outlineLevel="1">
      <c r="A437" s="303" t="s">
        <v>2962</v>
      </c>
      <c r="B437" s="344">
        <v>46139.0</v>
      </c>
      <c r="C437" s="133" t="str">
        <f t="shared" ref="C437:C451" si="54">IF(B437="", "", TEXT(B437, "ddd"))</f>
        <v>Mon</v>
      </c>
      <c r="D437" s="381">
        <f t="shared" ref="D437:D451" si="55">IF(E437="Yes",0.05,0)
+IF(F437="Yes",0.1,0)
+IF(G437="Yes",0.15,0)
+IF(H437="Yes",0.15,0)
+IF(I437="Yes",0.05,0)
+IF(J437="Yes",0.05,0)
+IF(K437="Yes",0.15,0)
+IF(L437="Yes",0.3,0)
</f>
        <v>1</v>
      </c>
      <c r="E437" s="382" t="s">
        <v>129</v>
      </c>
      <c r="F437" s="137" t="s">
        <v>129</v>
      </c>
      <c r="G437" s="137" t="s">
        <v>129</v>
      </c>
      <c r="H437" s="137" t="s">
        <v>129</v>
      </c>
      <c r="I437" s="137" t="s">
        <v>129</v>
      </c>
      <c r="J437" s="137" t="s">
        <v>129</v>
      </c>
      <c r="K437" s="137" t="s">
        <v>129</v>
      </c>
      <c r="L437" s="137" t="s">
        <v>129</v>
      </c>
      <c r="M437" s="141"/>
      <c r="N437" s="143"/>
    </row>
    <row r="438" hidden="1" outlineLevel="1">
      <c r="A438" s="255" t="s">
        <v>2966</v>
      </c>
      <c r="B438" s="344">
        <v>46139.0</v>
      </c>
      <c r="C438" s="133" t="str">
        <f t="shared" si="54"/>
        <v>Mon</v>
      </c>
      <c r="D438" s="383">
        <f t="shared" si="55"/>
        <v>1</v>
      </c>
      <c r="E438" s="147" t="s">
        <v>129</v>
      </c>
      <c r="F438" s="137" t="s">
        <v>129</v>
      </c>
      <c r="G438" s="137" t="s">
        <v>129</v>
      </c>
      <c r="H438" s="137" t="s">
        <v>129</v>
      </c>
      <c r="I438" s="137" t="s">
        <v>129</v>
      </c>
      <c r="J438" s="137" t="s">
        <v>129</v>
      </c>
      <c r="K438" s="137" t="s">
        <v>129</v>
      </c>
      <c r="L438" s="137" t="s">
        <v>129</v>
      </c>
      <c r="M438" s="141"/>
      <c r="N438" s="147"/>
    </row>
    <row r="439" hidden="1" outlineLevel="1">
      <c r="A439" s="255" t="s">
        <v>2969</v>
      </c>
      <c r="B439" s="344">
        <v>46139.0</v>
      </c>
      <c r="C439" s="133" t="str">
        <f t="shared" si="54"/>
        <v>Mon</v>
      </c>
      <c r="D439" s="381">
        <f t="shared" si="55"/>
        <v>1</v>
      </c>
      <c r="E439" s="382" t="s">
        <v>129</v>
      </c>
      <c r="F439" s="137" t="s">
        <v>129</v>
      </c>
      <c r="G439" s="137" t="s">
        <v>129</v>
      </c>
      <c r="H439" s="137" t="s">
        <v>129</v>
      </c>
      <c r="I439" s="137" t="s">
        <v>129</v>
      </c>
      <c r="J439" s="137" t="s">
        <v>129</v>
      </c>
      <c r="K439" s="137" t="s">
        <v>129</v>
      </c>
      <c r="L439" s="137" t="s">
        <v>129</v>
      </c>
      <c r="M439" s="141"/>
      <c r="N439" s="147"/>
    </row>
    <row r="440" hidden="1" outlineLevel="1">
      <c r="A440" s="390" t="s">
        <v>2971</v>
      </c>
      <c r="B440" s="344">
        <v>46140.0</v>
      </c>
      <c r="C440" s="133" t="str">
        <f t="shared" si="54"/>
        <v>Tue</v>
      </c>
      <c r="D440" s="383">
        <f t="shared" si="55"/>
        <v>1</v>
      </c>
      <c r="E440" s="147" t="s">
        <v>129</v>
      </c>
      <c r="F440" s="137" t="s">
        <v>129</v>
      </c>
      <c r="G440" s="137" t="s">
        <v>129</v>
      </c>
      <c r="H440" s="137" t="s">
        <v>129</v>
      </c>
      <c r="I440" s="137" t="s">
        <v>129</v>
      </c>
      <c r="J440" s="137" t="s">
        <v>129</v>
      </c>
      <c r="K440" s="137" t="s">
        <v>129</v>
      </c>
      <c r="L440" s="137" t="s">
        <v>129</v>
      </c>
      <c r="M440" s="141"/>
      <c r="N440" s="143"/>
    </row>
    <row r="441" hidden="1" outlineLevel="1">
      <c r="A441" s="391" t="s">
        <v>2973</v>
      </c>
      <c r="B441" s="344">
        <v>46140.0</v>
      </c>
      <c r="C441" s="133" t="str">
        <f t="shared" si="54"/>
        <v>Tue</v>
      </c>
      <c r="D441" s="381">
        <f t="shared" si="55"/>
        <v>1</v>
      </c>
      <c r="E441" s="382" t="s">
        <v>129</v>
      </c>
      <c r="F441" s="137" t="s">
        <v>129</v>
      </c>
      <c r="G441" s="137" t="s">
        <v>129</v>
      </c>
      <c r="H441" s="137" t="s">
        <v>129</v>
      </c>
      <c r="I441" s="137" t="s">
        <v>129</v>
      </c>
      <c r="J441" s="137" t="s">
        <v>129</v>
      </c>
      <c r="K441" s="137" t="s">
        <v>129</v>
      </c>
      <c r="L441" s="137" t="s">
        <v>129</v>
      </c>
      <c r="M441" s="141"/>
      <c r="N441" s="143"/>
    </row>
    <row r="442" hidden="1" outlineLevel="1">
      <c r="A442" s="390" t="s">
        <v>2976</v>
      </c>
      <c r="B442" s="344">
        <v>46140.0</v>
      </c>
      <c r="C442" s="133" t="str">
        <f t="shared" si="54"/>
        <v>Tue</v>
      </c>
      <c r="D442" s="383">
        <f t="shared" si="55"/>
        <v>1</v>
      </c>
      <c r="E442" s="147" t="s">
        <v>129</v>
      </c>
      <c r="F442" s="137" t="s">
        <v>129</v>
      </c>
      <c r="G442" s="137" t="s">
        <v>129</v>
      </c>
      <c r="H442" s="137" t="s">
        <v>129</v>
      </c>
      <c r="I442" s="137" t="s">
        <v>129</v>
      </c>
      <c r="J442" s="137" t="s">
        <v>129</v>
      </c>
      <c r="K442" s="137" t="s">
        <v>129</v>
      </c>
      <c r="L442" s="137" t="s">
        <v>129</v>
      </c>
      <c r="M442" s="141"/>
      <c r="N442" s="143"/>
    </row>
    <row r="443" hidden="1" outlineLevel="1">
      <c r="A443" s="390" t="s">
        <v>2978</v>
      </c>
      <c r="B443" s="344">
        <v>46141.0</v>
      </c>
      <c r="C443" s="133" t="str">
        <f t="shared" si="54"/>
        <v>Wed</v>
      </c>
      <c r="D443" s="381">
        <f t="shared" si="55"/>
        <v>1</v>
      </c>
      <c r="E443" s="382" t="s">
        <v>129</v>
      </c>
      <c r="F443" s="137" t="s">
        <v>129</v>
      </c>
      <c r="G443" s="137" t="s">
        <v>129</v>
      </c>
      <c r="H443" s="137" t="s">
        <v>129</v>
      </c>
      <c r="I443" s="137" t="s">
        <v>129</v>
      </c>
      <c r="J443" s="137" t="s">
        <v>129</v>
      </c>
      <c r="K443" s="137" t="s">
        <v>129</v>
      </c>
      <c r="L443" s="137" t="s">
        <v>129</v>
      </c>
      <c r="M443" s="141"/>
      <c r="N443" s="143"/>
    </row>
    <row r="444" hidden="1" outlineLevel="1">
      <c r="A444" s="390" t="s">
        <v>2982</v>
      </c>
      <c r="B444" s="344">
        <v>46141.0</v>
      </c>
      <c r="C444" s="133" t="str">
        <f t="shared" si="54"/>
        <v>Wed</v>
      </c>
      <c r="D444" s="383">
        <f t="shared" si="55"/>
        <v>1</v>
      </c>
      <c r="E444" s="147" t="s">
        <v>129</v>
      </c>
      <c r="F444" s="137" t="s">
        <v>129</v>
      </c>
      <c r="G444" s="137" t="s">
        <v>129</v>
      </c>
      <c r="H444" s="137" t="s">
        <v>129</v>
      </c>
      <c r="I444" s="137" t="s">
        <v>129</v>
      </c>
      <c r="J444" s="137" t="s">
        <v>129</v>
      </c>
      <c r="K444" s="137" t="s">
        <v>129</v>
      </c>
      <c r="L444" s="137" t="s">
        <v>129</v>
      </c>
      <c r="M444" s="141"/>
      <c r="N444" s="147"/>
    </row>
    <row r="445" hidden="1" outlineLevel="1">
      <c r="A445" s="391" t="s">
        <v>2986</v>
      </c>
      <c r="B445" s="344">
        <v>46141.0</v>
      </c>
      <c r="C445" s="133" t="str">
        <f t="shared" si="54"/>
        <v>Wed</v>
      </c>
      <c r="D445" s="381">
        <f t="shared" si="55"/>
        <v>1</v>
      </c>
      <c r="E445" s="382" t="s">
        <v>129</v>
      </c>
      <c r="F445" s="137" t="s">
        <v>129</v>
      </c>
      <c r="G445" s="137" t="s">
        <v>129</v>
      </c>
      <c r="H445" s="137" t="s">
        <v>129</v>
      </c>
      <c r="I445" s="137" t="s">
        <v>129</v>
      </c>
      <c r="J445" s="137" t="s">
        <v>129</v>
      </c>
      <c r="K445" s="137" t="s">
        <v>129</v>
      </c>
      <c r="L445" s="137" t="s">
        <v>129</v>
      </c>
      <c r="M445" s="141"/>
      <c r="N445" s="143"/>
    </row>
    <row r="446" hidden="1" outlineLevel="1">
      <c r="A446" s="391" t="s">
        <v>2989</v>
      </c>
      <c r="B446" s="344">
        <v>46143.0</v>
      </c>
      <c r="C446" s="133" t="str">
        <f t="shared" si="54"/>
        <v>Fri</v>
      </c>
      <c r="D446" s="383">
        <f t="shared" si="55"/>
        <v>1</v>
      </c>
      <c r="E446" s="147" t="s">
        <v>129</v>
      </c>
      <c r="F446" s="137" t="s">
        <v>129</v>
      </c>
      <c r="G446" s="137" t="s">
        <v>129</v>
      </c>
      <c r="H446" s="137" t="s">
        <v>129</v>
      </c>
      <c r="I446" s="137" t="s">
        <v>129</v>
      </c>
      <c r="J446" s="137" t="s">
        <v>129</v>
      </c>
      <c r="K446" s="137" t="s">
        <v>129</v>
      </c>
      <c r="L446" s="137" t="s">
        <v>129</v>
      </c>
      <c r="M446" s="141"/>
      <c r="N446" s="147"/>
    </row>
    <row r="447" hidden="1" outlineLevel="1">
      <c r="A447" s="391" t="s">
        <v>2996</v>
      </c>
      <c r="B447" s="344">
        <v>46143.0</v>
      </c>
      <c r="C447" s="133" t="str">
        <f t="shared" si="54"/>
        <v>Fri</v>
      </c>
      <c r="D447" s="381">
        <f t="shared" si="55"/>
        <v>1</v>
      </c>
      <c r="E447" s="382" t="s">
        <v>129</v>
      </c>
      <c r="F447" s="137" t="s">
        <v>129</v>
      </c>
      <c r="G447" s="137" t="s">
        <v>129</v>
      </c>
      <c r="H447" s="137" t="s">
        <v>129</v>
      </c>
      <c r="I447" s="137" t="s">
        <v>129</v>
      </c>
      <c r="J447" s="137" t="s">
        <v>129</v>
      </c>
      <c r="K447" s="137" t="s">
        <v>129</v>
      </c>
      <c r="L447" s="137" t="s">
        <v>129</v>
      </c>
      <c r="M447" s="141"/>
      <c r="N447" s="147"/>
    </row>
    <row r="448" hidden="1" outlineLevel="1">
      <c r="A448" s="390" t="s">
        <v>3000</v>
      </c>
      <c r="B448" s="344">
        <v>46143.0</v>
      </c>
      <c r="C448" s="133" t="str">
        <f t="shared" si="54"/>
        <v>Fri</v>
      </c>
      <c r="D448" s="383">
        <f t="shared" si="55"/>
        <v>1</v>
      </c>
      <c r="E448" s="147" t="s">
        <v>129</v>
      </c>
      <c r="F448" s="137" t="s">
        <v>129</v>
      </c>
      <c r="G448" s="137" t="s">
        <v>129</v>
      </c>
      <c r="H448" s="137" t="s">
        <v>129</v>
      </c>
      <c r="I448" s="137" t="s">
        <v>129</v>
      </c>
      <c r="J448" s="137" t="s">
        <v>129</v>
      </c>
      <c r="K448" s="137" t="s">
        <v>129</v>
      </c>
      <c r="L448" s="137" t="s">
        <v>129</v>
      </c>
      <c r="M448" s="141"/>
      <c r="N448" s="147"/>
    </row>
    <row r="449" hidden="1" outlineLevel="1">
      <c r="A449" s="393" t="s">
        <v>3005</v>
      </c>
      <c r="B449" s="344">
        <v>46144.0</v>
      </c>
      <c r="C449" s="133" t="str">
        <f t="shared" si="54"/>
        <v>Sat</v>
      </c>
      <c r="D449" s="381">
        <f t="shared" si="55"/>
        <v>1</v>
      </c>
      <c r="E449" s="382" t="s">
        <v>129</v>
      </c>
      <c r="F449" s="137" t="s">
        <v>129</v>
      </c>
      <c r="G449" s="137" t="s">
        <v>129</v>
      </c>
      <c r="H449" s="137" t="s">
        <v>129</v>
      </c>
      <c r="I449" s="137" t="s">
        <v>129</v>
      </c>
      <c r="J449" s="137" t="s">
        <v>129</v>
      </c>
      <c r="K449" s="137" t="s">
        <v>129</v>
      </c>
      <c r="L449" s="137" t="s">
        <v>129</v>
      </c>
      <c r="M449" s="141"/>
      <c r="N449" s="143"/>
    </row>
    <row r="450" hidden="1" outlineLevel="1">
      <c r="A450" s="393" t="s">
        <v>3007</v>
      </c>
      <c r="B450" s="344">
        <v>46144.0</v>
      </c>
      <c r="C450" s="133" t="str">
        <f t="shared" si="54"/>
        <v>Sat</v>
      </c>
      <c r="D450" s="383">
        <f t="shared" si="55"/>
        <v>1</v>
      </c>
      <c r="E450" s="147" t="s">
        <v>129</v>
      </c>
      <c r="F450" s="137" t="s">
        <v>129</v>
      </c>
      <c r="G450" s="137" t="s">
        <v>129</v>
      </c>
      <c r="H450" s="137" t="s">
        <v>129</v>
      </c>
      <c r="I450" s="137" t="s">
        <v>129</v>
      </c>
      <c r="J450" s="137" t="s">
        <v>129</v>
      </c>
      <c r="K450" s="137" t="s">
        <v>129</v>
      </c>
      <c r="L450" s="137" t="s">
        <v>129</v>
      </c>
      <c r="M450" s="141"/>
      <c r="N450" s="143"/>
    </row>
    <row r="451" ht="15.0" hidden="1" customHeight="1" outlineLevel="1">
      <c r="A451" s="394" t="s">
        <v>3009</v>
      </c>
      <c r="B451" s="344">
        <v>46144.0</v>
      </c>
      <c r="C451" s="133" t="str">
        <f t="shared" si="54"/>
        <v>Sat</v>
      </c>
      <c r="D451" s="381">
        <f t="shared" si="55"/>
        <v>1</v>
      </c>
      <c r="E451" s="382" t="s">
        <v>129</v>
      </c>
      <c r="F451" s="137" t="s">
        <v>129</v>
      </c>
      <c r="G451" s="137" t="s">
        <v>129</v>
      </c>
      <c r="H451" s="137" t="s">
        <v>129</v>
      </c>
      <c r="I451" s="137" t="s">
        <v>129</v>
      </c>
      <c r="J451" s="137" t="s">
        <v>129</v>
      </c>
      <c r="K451" s="137" t="s">
        <v>129</v>
      </c>
      <c r="L451" s="137" t="s">
        <v>129</v>
      </c>
      <c r="M451" s="141"/>
      <c r="N451" s="147"/>
    </row>
    <row r="452" hidden="1" outlineLevel="1">
      <c r="B452" s="189"/>
      <c r="C452" s="191" t="s">
        <v>194</v>
      </c>
      <c r="D452" s="204">
        <f>AVERAGE(D437:D451)</f>
        <v>1</v>
      </c>
      <c r="E452" s="384"/>
      <c r="L452" s="191" t="s">
        <v>194</v>
      </c>
      <c r="M452" s="204">
        <f>SUM(M437:M451)/75*0.1</f>
        <v>0</v>
      </c>
    </row>
    <row r="453" hidden="1" collapsed="1">
      <c r="A453" s="206" t="s">
        <v>1006</v>
      </c>
      <c r="B453" s="207"/>
      <c r="C453" s="207"/>
      <c r="D453" s="385"/>
      <c r="E453" s="109"/>
      <c r="F453" s="109"/>
      <c r="G453" s="110"/>
      <c r="H453" s="110"/>
      <c r="I453" s="110"/>
      <c r="J453" s="110"/>
      <c r="K453" s="110"/>
      <c r="L453" s="110"/>
      <c r="M453" s="111"/>
      <c r="N453" s="113"/>
    </row>
    <row r="454" hidden="1" outlineLevel="1">
      <c r="A454" s="373" t="s">
        <v>98</v>
      </c>
      <c r="B454" s="115" t="s">
        <v>100</v>
      </c>
      <c r="C454" s="115" t="s">
        <v>102</v>
      </c>
      <c r="D454" s="119" t="s">
        <v>103</v>
      </c>
      <c r="E454" s="275" t="s">
        <v>269</v>
      </c>
      <c r="F454" s="275" t="s">
        <v>272</v>
      </c>
      <c r="G454" s="276" t="s">
        <v>328</v>
      </c>
      <c r="H454" s="121" t="s">
        <v>107</v>
      </c>
      <c r="I454" s="121" t="s">
        <v>108</v>
      </c>
      <c r="J454" s="276" t="s">
        <v>329</v>
      </c>
      <c r="K454" s="121" t="s">
        <v>111</v>
      </c>
      <c r="L454" s="276" t="s">
        <v>274</v>
      </c>
      <c r="M454" s="115" t="s">
        <v>114</v>
      </c>
      <c r="N454" s="119" t="s">
        <v>115</v>
      </c>
    </row>
    <row r="455" hidden="1" outlineLevel="1">
      <c r="A455" s="390" t="s">
        <v>3015</v>
      </c>
      <c r="B455" s="344">
        <v>46146.0</v>
      </c>
      <c r="C455" s="133" t="str">
        <f t="shared" ref="C455:C469" si="56">IF(B455="", "", TEXT(B455, "ddd"))</f>
        <v>Mon</v>
      </c>
      <c r="D455" s="381">
        <f t="shared" ref="D455:D469" si="57">IF(E455="Yes",0.05,0)
+IF(F455="Yes",0.1,0)
+IF(G455="Yes",0.15,0)
+IF(H455="Yes",0.15,0)
+IF(I455="Yes",0.05,0)
+IF(J455="Yes",0.05,0)
+IF(K455="Yes",0.15,0)
+IF(L455="Yes",0.3,0)
</f>
        <v>1</v>
      </c>
      <c r="E455" s="382" t="s">
        <v>129</v>
      </c>
      <c r="F455" s="137" t="s">
        <v>129</v>
      </c>
      <c r="G455" s="137" t="s">
        <v>129</v>
      </c>
      <c r="H455" s="137" t="s">
        <v>129</v>
      </c>
      <c r="I455" s="137" t="s">
        <v>129</v>
      </c>
      <c r="J455" s="137" t="s">
        <v>129</v>
      </c>
      <c r="K455" s="137" t="s">
        <v>129</v>
      </c>
      <c r="L455" s="137" t="s">
        <v>129</v>
      </c>
      <c r="M455" s="141"/>
      <c r="N455" s="143"/>
    </row>
    <row r="456" hidden="1" outlineLevel="1">
      <c r="A456" s="390" t="s">
        <v>3019</v>
      </c>
      <c r="B456" s="344">
        <v>46146.0</v>
      </c>
      <c r="C456" s="133" t="str">
        <f t="shared" si="56"/>
        <v>Mon</v>
      </c>
      <c r="D456" s="383">
        <f t="shared" si="57"/>
        <v>1</v>
      </c>
      <c r="E456" s="147" t="s">
        <v>129</v>
      </c>
      <c r="F456" s="137" t="s">
        <v>129</v>
      </c>
      <c r="G456" s="137" t="s">
        <v>129</v>
      </c>
      <c r="H456" s="137" t="s">
        <v>129</v>
      </c>
      <c r="I456" s="137" t="s">
        <v>129</v>
      </c>
      <c r="J456" s="137" t="s">
        <v>129</v>
      </c>
      <c r="K456" s="137" t="s">
        <v>129</v>
      </c>
      <c r="L456" s="137" t="s">
        <v>129</v>
      </c>
      <c r="M456" s="141"/>
      <c r="N456" s="147"/>
    </row>
    <row r="457" hidden="1" outlineLevel="1">
      <c r="A457" s="391" t="s">
        <v>3022</v>
      </c>
      <c r="B457" s="344">
        <v>46146.0</v>
      </c>
      <c r="C457" s="133" t="str">
        <f t="shared" si="56"/>
        <v>Mon</v>
      </c>
      <c r="D457" s="381">
        <f t="shared" si="57"/>
        <v>1</v>
      </c>
      <c r="E457" s="382" t="s">
        <v>129</v>
      </c>
      <c r="F457" s="137" t="s">
        <v>129</v>
      </c>
      <c r="G457" s="137" t="s">
        <v>129</v>
      </c>
      <c r="H457" s="137" t="s">
        <v>129</v>
      </c>
      <c r="I457" s="137" t="s">
        <v>129</v>
      </c>
      <c r="J457" s="137" t="s">
        <v>129</v>
      </c>
      <c r="K457" s="137" t="s">
        <v>129</v>
      </c>
      <c r="L457" s="137" t="s">
        <v>129</v>
      </c>
      <c r="M457" s="141"/>
      <c r="N457" s="147"/>
    </row>
    <row r="458" hidden="1" outlineLevel="1">
      <c r="A458" s="390" t="s">
        <v>3027</v>
      </c>
      <c r="B458" s="344">
        <v>46147.0</v>
      </c>
      <c r="C458" s="133" t="str">
        <f t="shared" si="56"/>
        <v>Tue</v>
      </c>
      <c r="D458" s="383">
        <f t="shared" si="57"/>
        <v>1</v>
      </c>
      <c r="E458" s="147" t="s">
        <v>129</v>
      </c>
      <c r="F458" s="137" t="s">
        <v>129</v>
      </c>
      <c r="G458" s="137" t="s">
        <v>129</v>
      </c>
      <c r="H458" s="137" t="s">
        <v>129</v>
      </c>
      <c r="I458" s="137" t="s">
        <v>129</v>
      </c>
      <c r="J458" s="137" t="s">
        <v>129</v>
      </c>
      <c r="K458" s="137" t="s">
        <v>129</v>
      </c>
      <c r="L458" s="137" t="s">
        <v>129</v>
      </c>
      <c r="M458" s="141"/>
      <c r="N458" s="143"/>
    </row>
    <row r="459" hidden="1" outlineLevel="1">
      <c r="A459" s="391" t="s">
        <v>3032</v>
      </c>
      <c r="B459" s="344">
        <v>46147.0</v>
      </c>
      <c r="C459" s="133" t="str">
        <f t="shared" si="56"/>
        <v>Tue</v>
      </c>
      <c r="D459" s="381">
        <f t="shared" si="57"/>
        <v>1</v>
      </c>
      <c r="E459" s="382" t="s">
        <v>129</v>
      </c>
      <c r="F459" s="137" t="s">
        <v>129</v>
      </c>
      <c r="G459" s="137" t="s">
        <v>129</v>
      </c>
      <c r="H459" s="137" t="s">
        <v>129</v>
      </c>
      <c r="I459" s="137" t="s">
        <v>129</v>
      </c>
      <c r="J459" s="137" t="s">
        <v>129</v>
      </c>
      <c r="K459" s="137" t="s">
        <v>129</v>
      </c>
      <c r="L459" s="137" t="s">
        <v>129</v>
      </c>
      <c r="M459" s="141"/>
      <c r="N459" s="143"/>
    </row>
    <row r="460" hidden="1" outlineLevel="1">
      <c r="A460" s="390" t="s">
        <v>3034</v>
      </c>
      <c r="B460" s="344">
        <v>46147.0</v>
      </c>
      <c r="C460" s="133" t="str">
        <f t="shared" si="56"/>
        <v>Tue</v>
      </c>
      <c r="D460" s="383">
        <f t="shared" si="57"/>
        <v>1</v>
      </c>
      <c r="E460" s="147" t="s">
        <v>129</v>
      </c>
      <c r="F460" s="137" t="s">
        <v>129</v>
      </c>
      <c r="G460" s="137" t="s">
        <v>129</v>
      </c>
      <c r="H460" s="137" t="s">
        <v>129</v>
      </c>
      <c r="I460" s="137" t="s">
        <v>129</v>
      </c>
      <c r="J460" s="137" t="s">
        <v>129</v>
      </c>
      <c r="K460" s="137" t="s">
        <v>129</v>
      </c>
      <c r="L460" s="137" t="s">
        <v>129</v>
      </c>
      <c r="M460" s="141"/>
      <c r="N460" s="143"/>
    </row>
    <row r="461" hidden="1" outlineLevel="1">
      <c r="A461" s="390" t="s">
        <v>3037</v>
      </c>
      <c r="B461" s="344">
        <v>46148.0</v>
      </c>
      <c r="C461" s="133" t="str">
        <f t="shared" si="56"/>
        <v>Wed</v>
      </c>
      <c r="D461" s="381">
        <f t="shared" si="57"/>
        <v>1</v>
      </c>
      <c r="E461" s="382" t="s">
        <v>129</v>
      </c>
      <c r="F461" s="137" t="s">
        <v>129</v>
      </c>
      <c r="G461" s="137" t="s">
        <v>129</v>
      </c>
      <c r="H461" s="137" t="s">
        <v>129</v>
      </c>
      <c r="I461" s="137" t="s">
        <v>129</v>
      </c>
      <c r="J461" s="137" t="s">
        <v>129</v>
      </c>
      <c r="K461" s="137" t="s">
        <v>129</v>
      </c>
      <c r="L461" s="137" t="s">
        <v>129</v>
      </c>
      <c r="M461" s="141"/>
      <c r="N461" s="143"/>
    </row>
    <row r="462" hidden="1" outlineLevel="1">
      <c r="A462" s="390" t="s">
        <v>3041</v>
      </c>
      <c r="B462" s="344">
        <v>46148.0</v>
      </c>
      <c r="C462" s="133" t="str">
        <f t="shared" si="56"/>
        <v>Wed</v>
      </c>
      <c r="D462" s="383">
        <f t="shared" si="57"/>
        <v>1</v>
      </c>
      <c r="E462" s="147" t="s">
        <v>129</v>
      </c>
      <c r="F462" s="137" t="s">
        <v>129</v>
      </c>
      <c r="G462" s="137" t="s">
        <v>129</v>
      </c>
      <c r="H462" s="137" t="s">
        <v>129</v>
      </c>
      <c r="I462" s="137" t="s">
        <v>129</v>
      </c>
      <c r="J462" s="137" t="s">
        <v>129</v>
      </c>
      <c r="K462" s="137" t="s">
        <v>129</v>
      </c>
      <c r="L462" s="137" t="s">
        <v>129</v>
      </c>
      <c r="M462" s="141"/>
      <c r="N462" s="147"/>
    </row>
    <row r="463" hidden="1" outlineLevel="1">
      <c r="A463" s="391" t="s">
        <v>3045</v>
      </c>
      <c r="B463" s="344">
        <v>46148.0</v>
      </c>
      <c r="C463" s="133" t="str">
        <f t="shared" si="56"/>
        <v>Wed</v>
      </c>
      <c r="D463" s="381">
        <f t="shared" si="57"/>
        <v>1</v>
      </c>
      <c r="E463" s="382" t="s">
        <v>129</v>
      </c>
      <c r="F463" s="137" t="s">
        <v>129</v>
      </c>
      <c r="G463" s="137" t="s">
        <v>129</v>
      </c>
      <c r="H463" s="137" t="s">
        <v>129</v>
      </c>
      <c r="I463" s="137" t="s">
        <v>129</v>
      </c>
      <c r="J463" s="137" t="s">
        <v>129</v>
      </c>
      <c r="K463" s="137" t="s">
        <v>129</v>
      </c>
      <c r="L463" s="137" t="s">
        <v>129</v>
      </c>
      <c r="M463" s="141"/>
      <c r="N463" s="143"/>
    </row>
    <row r="464" hidden="1" outlineLevel="1">
      <c r="A464" s="391" t="s">
        <v>3046</v>
      </c>
      <c r="B464" s="344">
        <v>46149.0</v>
      </c>
      <c r="C464" s="133" t="str">
        <f t="shared" si="56"/>
        <v>Thu</v>
      </c>
      <c r="D464" s="383">
        <f t="shared" si="57"/>
        <v>1</v>
      </c>
      <c r="E464" s="147" t="s">
        <v>129</v>
      </c>
      <c r="F464" s="137" t="s">
        <v>129</v>
      </c>
      <c r="G464" s="137" t="s">
        <v>129</v>
      </c>
      <c r="H464" s="137" t="s">
        <v>129</v>
      </c>
      <c r="I464" s="137" t="s">
        <v>129</v>
      </c>
      <c r="J464" s="137" t="s">
        <v>129</v>
      </c>
      <c r="K464" s="137" t="s">
        <v>129</v>
      </c>
      <c r="L464" s="137" t="s">
        <v>129</v>
      </c>
      <c r="M464" s="141"/>
      <c r="N464" s="147"/>
    </row>
    <row r="465" hidden="1" outlineLevel="1">
      <c r="A465" s="391" t="s">
        <v>3048</v>
      </c>
      <c r="B465" s="344">
        <v>46149.0</v>
      </c>
      <c r="C465" s="133" t="str">
        <f t="shared" si="56"/>
        <v>Thu</v>
      </c>
      <c r="D465" s="381">
        <f t="shared" si="57"/>
        <v>1</v>
      </c>
      <c r="E465" s="382" t="s">
        <v>129</v>
      </c>
      <c r="F465" s="137" t="s">
        <v>129</v>
      </c>
      <c r="G465" s="137" t="s">
        <v>129</v>
      </c>
      <c r="H465" s="137" t="s">
        <v>129</v>
      </c>
      <c r="I465" s="137" t="s">
        <v>129</v>
      </c>
      <c r="J465" s="137" t="s">
        <v>129</v>
      </c>
      <c r="K465" s="137" t="s">
        <v>129</v>
      </c>
      <c r="L465" s="137" t="s">
        <v>129</v>
      </c>
      <c r="M465" s="141"/>
      <c r="N465" s="147"/>
    </row>
    <row r="466" hidden="1" outlineLevel="1">
      <c r="A466" s="390" t="s">
        <v>3050</v>
      </c>
      <c r="B466" s="344">
        <v>46149.0</v>
      </c>
      <c r="C466" s="133" t="str">
        <f t="shared" si="56"/>
        <v>Thu</v>
      </c>
      <c r="D466" s="383">
        <f t="shared" si="57"/>
        <v>1</v>
      </c>
      <c r="E466" s="147" t="s">
        <v>129</v>
      </c>
      <c r="F466" s="137" t="s">
        <v>129</v>
      </c>
      <c r="G466" s="137" t="s">
        <v>129</v>
      </c>
      <c r="H466" s="137" t="s">
        <v>129</v>
      </c>
      <c r="I466" s="137" t="s">
        <v>129</v>
      </c>
      <c r="J466" s="137" t="s">
        <v>129</v>
      </c>
      <c r="K466" s="137" t="s">
        <v>129</v>
      </c>
      <c r="L466" s="137" t="s">
        <v>129</v>
      </c>
      <c r="M466" s="141"/>
      <c r="N466" s="147"/>
    </row>
    <row r="467" hidden="1" outlineLevel="1">
      <c r="A467" s="390" t="s">
        <v>3052</v>
      </c>
      <c r="B467" s="344">
        <v>46152.0</v>
      </c>
      <c r="C467" s="133" t="str">
        <f t="shared" si="56"/>
        <v>Sun</v>
      </c>
      <c r="D467" s="381">
        <f t="shared" si="57"/>
        <v>1</v>
      </c>
      <c r="E467" s="382" t="s">
        <v>129</v>
      </c>
      <c r="F467" s="137" t="s">
        <v>129</v>
      </c>
      <c r="G467" s="137" t="s">
        <v>129</v>
      </c>
      <c r="H467" s="137" t="s">
        <v>129</v>
      </c>
      <c r="I467" s="137" t="s">
        <v>129</v>
      </c>
      <c r="J467" s="137" t="s">
        <v>129</v>
      </c>
      <c r="K467" s="137" t="s">
        <v>129</v>
      </c>
      <c r="L467" s="137" t="s">
        <v>129</v>
      </c>
      <c r="M467" s="141"/>
      <c r="N467" s="143"/>
    </row>
    <row r="468" hidden="1" outlineLevel="1">
      <c r="A468" s="390" t="s">
        <v>3053</v>
      </c>
      <c r="B468" s="344">
        <v>46152.0</v>
      </c>
      <c r="C468" s="133" t="str">
        <f t="shared" si="56"/>
        <v>Sun</v>
      </c>
      <c r="D468" s="383">
        <f t="shared" si="57"/>
        <v>1</v>
      </c>
      <c r="E468" s="147" t="s">
        <v>129</v>
      </c>
      <c r="F468" s="137" t="s">
        <v>129</v>
      </c>
      <c r="G468" s="137" t="s">
        <v>129</v>
      </c>
      <c r="H468" s="137" t="s">
        <v>129</v>
      </c>
      <c r="I468" s="137" t="s">
        <v>129</v>
      </c>
      <c r="J468" s="137" t="s">
        <v>129</v>
      </c>
      <c r="K468" s="137" t="s">
        <v>129</v>
      </c>
      <c r="L468" s="137" t="s">
        <v>129</v>
      </c>
      <c r="M468" s="141"/>
      <c r="N468" s="143"/>
    </row>
    <row r="469" ht="15.0" hidden="1" customHeight="1" outlineLevel="1">
      <c r="A469" s="391" t="s">
        <v>3056</v>
      </c>
      <c r="B469" s="344">
        <v>46152.0</v>
      </c>
      <c r="C469" s="133" t="str">
        <f t="shared" si="56"/>
        <v>Sun</v>
      </c>
      <c r="D469" s="381">
        <f t="shared" si="57"/>
        <v>1</v>
      </c>
      <c r="E469" s="382" t="s">
        <v>129</v>
      </c>
      <c r="F469" s="137" t="s">
        <v>129</v>
      </c>
      <c r="G469" s="137" t="s">
        <v>129</v>
      </c>
      <c r="H469" s="137" t="s">
        <v>129</v>
      </c>
      <c r="I469" s="137" t="s">
        <v>129</v>
      </c>
      <c r="J469" s="137" t="s">
        <v>129</v>
      </c>
      <c r="K469" s="137" t="s">
        <v>129</v>
      </c>
      <c r="L469" s="137" t="s">
        <v>129</v>
      </c>
      <c r="M469" s="141"/>
      <c r="N469" s="147"/>
    </row>
    <row r="470" hidden="1" outlineLevel="1">
      <c r="B470" s="189"/>
      <c r="C470" s="191" t="s">
        <v>194</v>
      </c>
      <c r="D470" s="204">
        <f>AVERAGE(D455:D469)</f>
        <v>1</v>
      </c>
      <c r="E470" s="384"/>
      <c r="L470" s="191" t="s">
        <v>194</v>
      </c>
      <c r="M470" s="204">
        <f>SUM(M455:M469)/75*0.1</f>
        <v>0</v>
      </c>
    </row>
    <row r="471" hidden="1" collapsed="1">
      <c r="A471" s="206" t="s">
        <v>1036</v>
      </c>
      <c r="B471" s="207"/>
      <c r="C471" s="207"/>
      <c r="D471" s="385"/>
      <c r="E471" s="109"/>
      <c r="F471" s="109"/>
      <c r="G471" s="110"/>
      <c r="H471" s="110"/>
      <c r="I471" s="110"/>
      <c r="J471" s="110"/>
      <c r="K471" s="110"/>
      <c r="L471" s="110"/>
      <c r="M471" s="111"/>
      <c r="N471" s="113"/>
    </row>
    <row r="472" hidden="1" outlineLevel="1">
      <c r="A472" s="373" t="s">
        <v>98</v>
      </c>
      <c r="B472" s="115" t="s">
        <v>100</v>
      </c>
      <c r="C472" s="115" t="s">
        <v>102</v>
      </c>
      <c r="D472" s="119" t="s">
        <v>103</v>
      </c>
      <c r="E472" s="275" t="s">
        <v>269</v>
      </c>
      <c r="F472" s="275" t="s">
        <v>272</v>
      </c>
      <c r="G472" s="276" t="s">
        <v>328</v>
      </c>
      <c r="H472" s="121" t="s">
        <v>107</v>
      </c>
      <c r="I472" s="121" t="s">
        <v>108</v>
      </c>
      <c r="J472" s="276" t="s">
        <v>329</v>
      </c>
      <c r="K472" s="121" t="s">
        <v>111</v>
      </c>
      <c r="L472" s="276" t="s">
        <v>274</v>
      </c>
      <c r="M472" s="115" t="s">
        <v>114</v>
      </c>
      <c r="N472" s="119" t="s">
        <v>115</v>
      </c>
    </row>
    <row r="473" hidden="1" outlineLevel="1">
      <c r="A473" s="391" t="s">
        <v>3064</v>
      </c>
      <c r="B473" s="344">
        <v>46153.0</v>
      </c>
      <c r="C473" s="133" t="str">
        <f t="shared" ref="C473:C487" si="58">IF(B473="", "", TEXT(B473, "ddd"))</f>
        <v>Mon</v>
      </c>
      <c r="D473" s="381">
        <f t="shared" ref="D473:D487" si="59">IF(E473="Yes",0.05,0)
+IF(F473="Yes",0.1,0)
+IF(G473="Yes",0.15,0)
+IF(H473="Yes",0.15,0)
+IF(I473="Yes",0.05,0)
+IF(J473="Yes",0.05,0)
+IF(K473="Yes",0.15,0)
+IF(L473="Yes",0.3,0)
</f>
        <v>1</v>
      </c>
      <c r="E473" s="382" t="s">
        <v>129</v>
      </c>
      <c r="F473" s="137" t="s">
        <v>129</v>
      </c>
      <c r="G473" s="137" t="s">
        <v>129</v>
      </c>
      <c r="H473" s="137" t="s">
        <v>129</v>
      </c>
      <c r="I473" s="137" t="s">
        <v>129</v>
      </c>
      <c r="J473" s="137" t="s">
        <v>129</v>
      </c>
      <c r="K473" s="137" t="s">
        <v>129</v>
      </c>
      <c r="L473" s="137" t="s">
        <v>129</v>
      </c>
      <c r="M473" s="141"/>
      <c r="N473" s="143"/>
    </row>
    <row r="474" hidden="1" outlineLevel="1">
      <c r="A474" s="390" t="s">
        <v>3069</v>
      </c>
      <c r="B474" s="344">
        <v>46153.0</v>
      </c>
      <c r="C474" s="133" t="str">
        <f t="shared" si="58"/>
        <v>Mon</v>
      </c>
      <c r="D474" s="383">
        <f t="shared" si="59"/>
        <v>1</v>
      </c>
      <c r="E474" s="147" t="s">
        <v>129</v>
      </c>
      <c r="F474" s="137" t="s">
        <v>129</v>
      </c>
      <c r="G474" s="137" t="s">
        <v>129</v>
      </c>
      <c r="H474" s="137" t="s">
        <v>129</v>
      </c>
      <c r="I474" s="137" t="s">
        <v>129</v>
      </c>
      <c r="J474" s="137" t="s">
        <v>129</v>
      </c>
      <c r="K474" s="137" t="s">
        <v>129</v>
      </c>
      <c r="L474" s="137" t="s">
        <v>129</v>
      </c>
      <c r="M474" s="141"/>
      <c r="N474" s="147"/>
    </row>
    <row r="475" hidden="1" outlineLevel="1">
      <c r="A475" s="391" t="s">
        <v>3073</v>
      </c>
      <c r="B475" s="344">
        <v>46153.0</v>
      </c>
      <c r="C475" s="133" t="str">
        <f t="shared" si="58"/>
        <v>Mon</v>
      </c>
      <c r="D475" s="381">
        <f t="shared" si="59"/>
        <v>1</v>
      </c>
      <c r="E475" s="382" t="s">
        <v>129</v>
      </c>
      <c r="F475" s="137" t="s">
        <v>129</v>
      </c>
      <c r="G475" s="137" t="s">
        <v>129</v>
      </c>
      <c r="H475" s="137" t="s">
        <v>129</v>
      </c>
      <c r="I475" s="137" t="s">
        <v>129</v>
      </c>
      <c r="J475" s="137" t="s">
        <v>129</v>
      </c>
      <c r="K475" s="137" t="s">
        <v>129</v>
      </c>
      <c r="L475" s="137" t="s">
        <v>129</v>
      </c>
      <c r="M475" s="141"/>
      <c r="N475" s="147"/>
    </row>
    <row r="476" hidden="1" outlineLevel="1">
      <c r="A476" s="390" t="s">
        <v>3077</v>
      </c>
      <c r="B476" s="344">
        <v>46154.0</v>
      </c>
      <c r="C476" s="133" t="str">
        <f t="shared" si="58"/>
        <v>Tue</v>
      </c>
      <c r="D476" s="383">
        <f t="shared" si="59"/>
        <v>1</v>
      </c>
      <c r="E476" s="147" t="s">
        <v>129</v>
      </c>
      <c r="F476" s="137" t="s">
        <v>129</v>
      </c>
      <c r="G476" s="137" t="s">
        <v>129</v>
      </c>
      <c r="H476" s="137" t="s">
        <v>129</v>
      </c>
      <c r="I476" s="137" t="s">
        <v>129</v>
      </c>
      <c r="J476" s="137" t="s">
        <v>129</v>
      </c>
      <c r="K476" s="137" t="s">
        <v>129</v>
      </c>
      <c r="L476" s="137" t="s">
        <v>129</v>
      </c>
      <c r="M476" s="141"/>
      <c r="N476" s="143"/>
    </row>
    <row r="477" hidden="1" outlineLevel="1">
      <c r="A477" s="391" t="s">
        <v>3081</v>
      </c>
      <c r="B477" s="344">
        <v>46154.0</v>
      </c>
      <c r="C477" s="133" t="str">
        <f t="shared" si="58"/>
        <v>Tue</v>
      </c>
      <c r="D477" s="381">
        <f t="shared" si="59"/>
        <v>1</v>
      </c>
      <c r="E477" s="382" t="s">
        <v>129</v>
      </c>
      <c r="F477" s="137" t="s">
        <v>129</v>
      </c>
      <c r="G477" s="137" t="s">
        <v>129</v>
      </c>
      <c r="H477" s="137" t="s">
        <v>129</v>
      </c>
      <c r="I477" s="137" t="s">
        <v>129</v>
      </c>
      <c r="J477" s="137" t="s">
        <v>129</v>
      </c>
      <c r="K477" s="137" t="s">
        <v>129</v>
      </c>
      <c r="L477" s="137" t="s">
        <v>129</v>
      </c>
      <c r="M477" s="141"/>
      <c r="N477" s="143"/>
    </row>
    <row r="478" hidden="1" outlineLevel="1">
      <c r="A478" s="390" t="s">
        <v>3086</v>
      </c>
      <c r="B478" s="344">
        <v>46154.0</v>
      </c>
      <c r="C478" s="133" t="str">
        <f t="shared" si="58"/>
        <v>Tue</v>
      </c>
      <c r="D478" s="383">
        <f t="shared" si="59"/>
        <v>1</v>
      </c>
      <c r="E478" s="147" t="s">
        <v>129</v>
      </c>
      <c r="F478" s="137" t="s">
        <v>129</v>
      </c>
      <c r="G478" s="137" t="s">
        <v>129</v>
      </c>
      <c r="H478" s="137" t="s">
        <v>129</v>
      </c>
      <c r="I478" s="137" t="s">
        <v>129</v>
      </c>
      <c r="J478" s="137" t="s">
        <v>129</v>
      </c>
      <c r="K478" s="137" t="s">
        <v>129</v>
      </c>
      <c r="L478" s="137" t="s">
        <v>129</v>
      </c>
      <c r="M478" s="141"/>
      <c r="N478" s="143"/>
    </row>
    <row r="479" hidden="1" outlineLevel="1">
      <c r="A479" s="390" t="s">
        <v>3094</v>
      </c>
      <c r="B479" s="344">
        <v>46155.0</v>
      </c>
      <c r="C479" s="133" t="str">
        <f t="shared" si="58"/>
        <v>Wed</v>
      </c>
      <c r="D479" s="381">
        <f t="shared" si="59"/>
        <v>1</v>
      </c>
      <c r="E479" s="382" t="s">
        <v>129</v>
      </c>
      <c r="F479" s="137" t="s">
        <v>129</v>
      </c>
      <c r="G479" s="137" t="s">
        <v>129</v>
      </c>
      <c r="H479" s="137" t="s">
        <v>129</v>
      </c>
      <c r="I479" s="137" t="s">
        <v>129</v>
      </c>
      <c r="J479" s="137" t="s">
        <v>129</v>
      </c>
      <c r="K479" s="137" t="s">
        <v>129</v>
      </c>
      <c r="L479" s="137" t="s">
        <v>129</v>
      </c>
      <c r="M479" s="141"/>
      <c r="N479" s="143"/>
    </row>
    <row r="480" hidden="1" outlineLevel="1">
      <c r="A480" s="390" t="s">
        <v>3096</v>
      </c>
      <c r="B480" s="344">
        <v>46155.0</v>
      </c>
      <c r="C480" s="133" t="str">
        <f t="shared" si="58"/>
        <v>Wed</v>
      </c>
      <c r="D480" s="383">
        <f t="shared" si="59"/>
        <v>1</v>
      </c>
      <c r="E480" s="147" t="s">
        <v>129</v>
      </c>
      <c r="F480" s="137" t="s">
        <v>129</v>
      </c>
      <c r="G480" s="137" t="s">
        <v>129</v>
      </c>
      <c r="H480" s="137" t="s">
        <v>129</v>
      </c>
      <c r="I480" s="137" t="s">
        <v>129</v>
      </c>
      <c r="J480" s="137" t="s">
        <v>129</v>
      </c>
      <c r="K480" s="137" t="s">
        <v>129</v>
      </c>
      <c r="L480" s="137" t="s">
        <v>129</v>
      </c>
      <c r="M480" s="141"/>
      <c r="N480" s="147"/>
    </row>
    <row r="481" hidden="1" outlineLevel="1">
      <c r="A481" s="391" t="s">
        <v>3097</v>
      </c>
      <c r="B481" s="344">
        <v>46155.0</v>
      </c>
      <c r="C481" s="133" t="str">
        <f t="shared" si="58"/>
        <v>Wed</v>
      </c>
      <c r="D481" s="381">
        <f t="shared" si="59"/>
        <v>1</v>
      </c>
      <c r="E481" s="382" t="s">
        <v>129</v>
      </c>
      <c r="F481" s="137" t="s">
        <v>129</v>
      </c>
      <c r="G481" s="137" t="s">
        <v>129</v>
      </c>
      <c r="H481" s="137" t="s">
        <v>129</v>
      </c>
      <c r="I481" s="137" t="s">
        <v>129</v>
      </c>
      <c r="J481" s="137" t="s">
        <v>129</v>
      </c>
      <c r="K481" s="137" t="s">
        <v>129</v>
      </c>
      <c r="L481" s="137" t="s">
        <v>129</v>
      </c>
      <c r="M481" s="141"/>
      <c r="N481" s="143"/>
    </row>
    <row r="482" hidden="1" outlineLevel="1">
      <c r="A482" s="390" t="s">
        <v>3101</v>
      </c>
      <c r="B482" s="344">
        <v>46156.0</v>
      </c>
      <c r="C482" s="133" t="str">
        <f t="shared" si="58"/>
        <v>Thu</v>
      </c>
      <c r="D482" s="383">
        <f t="shared" si="59"/>
        <v>1</v>
      </c>
      <c r="E482" s="147" t="s">
        <v>129</v>
      </c>
      <c r="F482" s="137" t="s">
        <v>129</v>
      </c>
      <c r="G482" s="137" t="s">
        <v>129</v>
      </c>
      <c r="H482" s="137" t="s">
        <v>129</v>
      </c>
      <c r="I482" s="137" t="s">
        <v>129</v>
      </c>
      <c r="J482" s="137" t="s">
        <v>129</v>
      </c>
      <c r="K482" s="137" t="s">
        <v>129</v>
      </c>
      <c r="L482" s="137" t="s">
        <v>129</v>
      </c>
      <c r="M482" s="141"/>
      <c r="N482" s="147"/>
    </row>
    <row r="483" hidden="1" outlineLevel="1">
      <c r="A483" s="391" t="s">
        <v>3104</v>
      </c>
      <c r="B483" s="344">
        <v>46156.0</v>
      </c>
      <c r="C483" s="133" t="str">
        <f t="shared" si="58"/>
        <v>Thu</v>
      </c>
      <c r="D483" s="381">
        <f t="shared" si="59"/>
        <v>1</v>
      </c>
      <c r="E483" s="382" t="s">
        <v>129</v>
      </c>
      <c r="F483" s="137" t="s">
        <v>129</v>
      </c>
      <c r="G483" s="137" t="s">
        <v>129</v>
      </c>
      <c r="H483" s="137" t="s">
        <v>129</v>
      </c>
      <c r="I483" s="137" t="s">
        <v>129</v>
      </c>
      <c r="J483" s="137" t="s">
        <v>129</v>
      </c>
      <c r="K483" s="137" t="s">
        <v>129</v>
      </c>
      <c r="L483" s="137" t="s">
        <v>129</v>
      </c>
      <c r="M483" s="141"/>
      <c r="N483" s="147"/>
    </row>
    <row r="484" hidden="1" outlineLevel="1">
      <c r="A484" s="390" t="s">
        <v>3110</v>
      </c>
      <c r="B484" s="344">
        <v>46156.0</v>
      </c>
      <c r="C484" s="133" t="str">
        <f t="shared" si="58"/>
        <v>Thu</v>
      </c>
      <c r="D484" s="383">
        <f t="shared" si="59"/>
        <v>1</v>
      </c>
      <c r="E484" s="147" t="s">
        <v>129</v>
      </c>
      <c r="F484" s="137" t="s">
        <v>129</v>
      </c>
      <c r="G484" s="137" t="s">
        <v>129</v>
      </c>
      <c r="H484" s="137" t="s">
        <v>129</v>
      </c>
      <c r="I484" s="137" t="s">
        <v>129</v>
      </c>
      <c r="J484" s="137" t="s">
        <v>129</v>
      </c>
      <c r="K484" s="137" t="s">
        <v>129</v>
      </c>
      <c r="L484" s="137" t="s">
        <v>129</v>
      </c>
      <c r="M484" s="141"/>
      <c r="N484" s="147"/>
    </row>
    <row r="485" hidden="1" outlineLevel="1">
      <c r="A485" s="390" t="s">
        <v>3118</v>
      </c>
      <c r="B485" s="344">
        <v>46158.0</v>
      </c>
      <c r="C485" s="133" t="str">
        <f t="shared" si="58"/>
        <v>Sat</v>
      </c>
      <c r="D485" s="381">
        <f t="shared" si="59"/>
        <v>1</v>
      </c>
      <c r="E485" s="382" t="s">
        <v>129</v>
      </c>
      <c r="F485" s="137" t="s">
        <v>129</v>
      </c>
      <c r="G485" s="137" t="s">
        <v>129</v>
      </c>
      <c r="H485" s="137" t="s">
        <v>129</v>
      </c>
      <c r="I485" s="137" t="s">
        <v>129</v>
      </c>
      <c r="J485" s="137" t="s">
        <v>129</v>
      </c>
      <c r="K485" s="137" t="s">
        <v>129</v>
      </c>
      <c r="L485" s="137" t="s">
        <v>129</v>
      </c>
      <c r="M485" s="141"/>
      <c r="N485" s="143"/>
    </row>
    <row r="486" hidden="1" outlineLevel="1">
      <c r="A486" s="402" t="s">
        <v>3124</v>
      </c>
      <c r="B486" s="344">
        <v>46158.0</v>
      </c>
      <c r="C486" s="133" t="str">
        <f t="shared" si="58"/>
        <v>Sat</v>
      </c>
      <c r="D486" s="383">
        <f t="shared" si="59"/>
        <v>1</v>
      </c>
      <c r="E486" s="147" t="s">
        <v>129</v>
      </c>
      <c r="F486" s="137" t="s">
        <v>129</v>
      </c>
      <c r="G486" s="137" t="s">
        <v>129</v>
      </c>
      <c r="H486" s="137" t="s">
        <v>129</v>
      </c>
      <c r="I486" s="137" t="s">
        <v>129</v>
      </c>
      <c r="J486" s="137" t="s">
        <v>129</v>
      </c>
      <c r="K486" s="137" t="s">
        <v>129</v>
      </c>
      <c r="L486" s="137" t="s">
        <v>129</v>
      </c>
      <c r="M486" s="141"/>
      <c r="N486" s="143"/>
    </row>
    <row r="487" ht="15.0" hidden="1" customHeight="1" outlineLevel="1">
      <c r="A487" s="391" t="s">
        <v>3127</v>
      </c>
      <c r="B487" s="344">
        <v>46158.0</v>
      </c>
      <c r="C487" s="133" t="str">
        <f t="shared" si="58"/>
        <v>Sat</v>
      </c>
      <c r="D487" s="381">
        <f t="shared" si="59"/>
        <v>1</v>
      </c>
      <c r="E487" s="382" t="s">
        <v>129</v>
      </c>
      <c r="F487" s="137" t="s">
        <v>129</v>
      </c>
      <c r="G487" s="137" t="s">
        <v>129</v>
      </c>
      <c r="H487" s="137" t="s">
        <v>129</v>
      </c>
      <c r="I487" s="137" t="s">
        <v>129</v>
      </c>
      <c r="J487" s="137" t="s">
        <v>129</v>
      </c>
      <c r="K487" s="137" t="s">
        <v>129</v>
      </c>
      <c r="L487" s="137" t="s">
        <v>129</v>
      </c>
      <c r="M487" s="141"/>
      <c r="N487" s="147"/>
    </row>
    <row r="488" hidden="1" outlineLevel="1">
      <c r="B488" s="189"/>
      <c r="C488" s="191" t="s">
        <v>194</v>
      </c>
      <c r="D488" s="204">
        <f>AVERAGE(D473:D487)</f>
        <v>1</v>
      </c>
      <c r="E488" s="384"/>
      <c r="L488" s="191" t="s">
        <v>194</v>
      </c>
      <c r="M488" s="204">
        <f>SUM(M473:M487)/75*0.1</f>
        <v>0</v>
      </c>
    </row>
    <row r="489" hidden="1" collapsed="1">
      <c r="A489" s="206" t="s">
        <v>1057</v>
      </c>
      <c r="B489" s="207"/>
      <c r="C489" s="207"/>
      <c r="D489" s="385"/>
      <c r="E489" s="109"/>
      <c r="F489" s="109"/>
      <c r="G489" s="110"/>
      <c r="H489" s="110"/>
      <c r="I489" s="110"/>
      <c r="J489" s="110"/>
      <c r="K489" s="110"/>
      <c r="L489" s="110"/>
      <c r="M489" s="111"/>
      <c r="N489" s="113"/>
    </row>
    <row r="490" hidden="1" outlineLevel="1">
      <c r="A490" s="373" t="s">
        <v>98</v>
      </c>
      <c r="B490" s="115" t="s">
        <v>100</v>
      </c>
      <c r="C490" s="115" t="s">
        <v>102</v>
      </c>
      <c r="D490" s="119" t="s">
        <v>103</v>
      </c>
      <c r="E490" s="275" t="s">
        <v>269</v>
      </c>
      <c r="F490" s="275" t="s">
        <v>272</v>
      </c>
      <c r="G490" s="276" t="s">
        <v>328</v>
      </c>
      <c r="H490" s="121" t="s">
        <v>107</v>
      </c>
      <c r="I490" s="121" t="s">
        <v>108</v>
      </c>
      <c r="J490" s="276" t="s">
        <v>329</v>
      </c>
      <c r="K490" s="121" t="s">
        <v>111</v>
      </c>
      <c r="L490" s="276" t="s">
        <v>274</v>
      </c>
      <c r="M490" s="115" t="s">
        <v>114</v>
      </c>
      <c r="N490" s="119" t="s">
        <v>115</v>
      </c>
    </row>
    <row r="491" hidden="1" outlineLevel="1">
      <c r="A491" s="393" t="s">
        <v>3138</v>
      </c>
      <c r="B491" s="344">
        <v>46160.0</v>
      </c>
      <c r="C491" s="133" t="str">
        <f t="shared" ref="C491:C505" si="60">IF(B491="", "", TEXT(B491, "ddd"))</f>
        <v>Mon</v>
      </c>
      <c r="D491" s="381">
        <f t="shared" ref="D491:D505" si="61">IF(E491="Yes",0.05,0)
+IF(F491="Yes",0.1,0)
+IF(G491="Yes",0.15,0)
+IF(H491="Yes",0.15,0)
+IF(I491="Yes",0.05,0)
+IF(J491="Yes",0.05,0)
+IF(K491="Yes",0.15,0)
+IF(L491="Yes",0.3,0)
</f>
        <v>1</v>
      </c>
      <c r="E491" s="382" t="s">
        <v>129</v>
      </c>
      <c r="F491" s="137" t="s">
        <v>129</v>
      </c>
      <c r="G491" s="137" t="s">
        <v>129</v>
      </c>
      <c r="H491" s="137" t="s">
        <v>129</v>
      </c>
      <c r="I491" s="137" t="s">
        <v>129</v>
      </c>
      <c r="J491" s="137" t="s">
        <v>129</v>
      </c>
      <c r="K491" s="137" t="s">
        <v>129</v>
      </c>
      <c r="L491" s="137" t="s">
        <v>129</v>
      </c>
      <c r="M491" s="141"/>
      <c r="N491" s="143"/>
    </row>
    <row r="492" hidden="1" outlineLevel="1">
      <c r="A492" s="394" t="s">
        <v>3151</v>
      </c>
      <c r="B492" s="344">
        <v>46160.0</v>
      </c>
      <c r="C492" s="133" t="str">
        <f t="shared" si="60"/>
        <v>Mon</v>
      </c>
      <c r="D492" s="383">
        <f t="shared" si="61"/>
        <v>1</v>
      </c>
      <c r="E492" s="147" t="s">
        <v>129</v>
      </c>
      <c r="F492" s="137" t="s">
        <v>129</v>
      </c>
      <c r="G492" s="137" t="s">
        <v>129</v>
      </c>
      <c r="H492" s="137" t="s">
        <v>129</v>
      </c>
      <c r="I492" s="137" t="s">
        <v>129</v>
      </c>
      <c r="J492" s="137" t="s">
        <v>129</v>
      </c>
      <c r="K492" s="137" t="s">
        <v>129</v>
      </c>
      <c r="L492" s="137" t="s">
        <v>129</v>
      </c>
      <c r="M492" s="141"/>
      <c r="N492" s="147"/>
    </row>
    <row r="493" hidden="1" outlineLevel="1">
      <c r="A493" s="393" t="s">
        <v>3154</v>
      </c>
      <c r="B493" s="344">
        <v>46160.0</v>
      </c>
      <c r="C493" s="133" t="str">
        <f t="shared" si="60"/>
        <v>Mon</v>
      </c>
      <c r="D493" s="381">
        <f t="shared" si="61"/>
        <v>1</v>
      </c>
      <c r="E493" s="382" t="s">
        <v>129</v>
      </c>
      <c r="F493" s="137" t="s">
        <v>129</v>
      </c>
      <c r="G493" s="137" t="s">
        <v>129</v>
      </c>
      <c r="H493" s="137" t="s">
        <v>129</v>
      </c>
      <c r="I493" s="137" t="s">
        <v>129</v>
      </c>
      <c r="J493" s="137" t="s">
        <v>129</v>
      </c>
      <c r="K493" s="137" t="s">
        <v>129</v>
      </c>
      <c r="L493" s="137" t="s">
        <v>129</v>
      </c>
      <c r="M493" s="141"/>
      <c r="N493" s="147"/>
    </row>
    <row r="494" hidden="1" outlineLevel="1">
      <c r="A494" s="394" t="s">
        <v>3158</v>
      </c>
      <c r="B494" s="344">
        <v>46161.0</v>
      </c>
      <c r="C494" s="133" t="str">
        <f t="shared" si="60"/>
        <v>Tue</v>
      </c>
      <c r="D494" s="383">
        <f t="shared" si="61"/>
        <v>1</v>
      </c>
      <c r="E494" s="147" t="s">
        <v>129</v>
      </c>
      <c r="F494" s="137" t="s">
        <v>129</v>
      </c>
      <c r="G494" s="137" t="s">
        <v>129</v>
      </c>
      <c r="H494" s="137" t="s">
        <v>129</v>
      </c>
      <c r="I494" s="137" t="s">
        <v>129</v>
      </c>
      <c r="J494" s="137" t="s">
        <v>129</v>
      </c>
      <c r="K494" s="137" t="s">
        <v>129</v>
      </c>
      <c r="L494" s="137" t="s">
        <v>129</v>
      </c>
      <c r="M494" s="141"/>
      <c r="N494" s="143"/>
    </row>
    <row r="495" hidden="1" outlineLevel="1">
      <c r="A495" s="393" t="s">
        <v>3161</v>
      </c>
      <c r="B495" s="344">
        <v>46161.0</v>
      </c>
      <c r="C495" s="133" t="str">
        <f t="shared" si="60"/>
        <v>Tue</v>
      </c>
      <c r="D495" s="381">
        <f t="shared" si="61"/>
        <v>1</v>
      </c>
      <c r="E495" s="382" t="s">
        <v>129</v>
      </c>
      <c r="F495" s="137" t="s">
        <v>129</v>
      </c>
      <c r="G495" s="137" t="s">
        <v>129</v>
      </c>
      <c r="H495" s="137" t="s">
        <v>129</v>
      </c>
      <c r="I495" s="137" t="s">
        <v>129</v>
      </c>
      <c r="J495" s="137" t="s">
        <v>129</v>
      </c>
      <c r="K495" s="137" t="s">
        <v>129</v>
      </c>
      <c r="L495" s="137" t="s">
        <v>129</v>
      </c>
      <c r="M495" s="141"/>
      <c r="N495" s="143"/>
    </row>
    <row r="496" hidden="1" outlineLevel="1">
      <c r="A496" s="393" t="s">
        <v>3163</v>
      </c>
      <c r="B496" s="344">
        <v>46161.0</v>
      </c>
      <c r="C496" s="133" t="str">
        <f t="shared" si="60"/>
        <v>Tue</v>
      </c>
      <c r="D496" s="383">
        <f t="shared" si="61"/>
        <v>1</v>
      </c>
      <c r="E496" s="147" t="s">
        <v>129</v>
      </c>
      <c r="F496" s="137" t="s">
        <v>129</v>
      </c>
      <c r="G496" s="137" t="s">
        <v>129</v>
      </c>
      <c r="H496" s="137" t="s">
        <v>129</v>
      </c>
      <c r="I496" s="137" t="s">
        <v>129</v>
      </c>
      <c r="J496" s="137" t="s">
        <v>129</v>
      </c>
      <c r="K496" s="137" t="s">
        <v>129</v>
      </c>
      <c r="L496" s="137" t="s">
        <v>129</v>
      </c>
      <c r="M496" s="141"/>
      <c r="N496" s="143"/>
    </row>
    <row r="497" hidden="1" outlineLevel="1">
      <c r="A497" s="303" t="s">
        <v>3167</v>
      </c>
      <c r="B497" s="344">
        <v>46162.0</v>
      </c>
      <c r="C497" s="133" t="str">
        <f t="shared" si="60"/>
        <v>Wed</v>
      </c>
      <c r="D497" s="381">
        <f t="shared" si="61"/>
        <v>1</v>
      </c>
      <c r="E497" s="382" t="s">
        <v>129</v>
      </c>
      <c r="F497" s="137" t="s">
        <v>129</v>
      </c>
      <c r="G497" s="137" t="s">
        <v>129</v>
      </c>
      <c r="H497" s="137" t="s">
        <v>129</v>
      </c>
      <c r="I497" s="137" t="s">
        <v>129</v>
      </c>
      <c r="J497" s="137" t="s">
        <v>129</v>
      </c>
      <c r="K497" s="137" t="s">
        <v>129</v>
      </c>
      <c r="L497" s="137" t="s">
        <v>129</v>
      </c>
      <c r="M497" s="141"/>
      <c r="N497" s="143"/>
    </row>
    <row r="498" hidden="1" outlineLevel="1">
      <c r="A498" s="303" t="s">
        <v>3169</v>
      </c>
      <c r="B498" s="344">
        <v>46162.0</v>
      </c>
      <c r="C498" s="133" t="str">
        <f t="shared" si="60"/>
        <v>Wed</v>
      </c>
      <c r="D498" s="383">
        <f t="shared" si="61"/>
        <v>1</v>
      </c>
      <c r="E498" s="147" t="s">
        <v>129</v>
      </c>
      <c r="F498" s="137" t="s">
        <v>129</v>
      </c>
      <c r="G498" s="137" t="s">
        <v>129</v>
      </c>
      <c r="H498" s="137" t="s">
        <v>129</v>
      </c>
      <c r="I498" s="137" t="s">
        <v>129</v>
      </c>
      <c r="J498" s="137" t="s">
        <v>129</v>
      </c>
      <c r="K498" s="137" t="s">
        <v>129</v>
      </c>
      <c r="L498" s="137" t="s">
        <v>129</v>
      </c>
      <c r="M498" s="141"/>
      <c r="N498" s="147"/>
    </row>
    <row r="499" hidden="1" outlineLevel="1">
      <c r="A499" s="303" t="s">
        <v>3174</v>
      </c>
      <c r="B499" s="344">
        <v>46162.0</v>
      </c>
      <c r="C499" s="133" t="str">
        <f t="shared" si="60"/>
        <v>Wed</v>
      </c>
      <c r="D499" s="381">
        <f t="shared" si="61"/>
        <v>1</v>
      </c>
      <c r="E499" s="382" t="s">
        <v>129</v>
      </c>
      <c r="F499" s="137" t="s">
        <v>129</v>
      </c>
      <c r="G499" s="137" t="s">
        <v>129</v>
      </c>
      <c r="H499" s="137" t="s">
        <v>129</v>
      </c>
      <c r="I499" s="137" t="s">
        <v>129</v>
      </c>
      <c r="J499" s="137" t="s">
        <v>129</v>
      </c>
      <c r="K499" s="137" t="s">
        <v>129</v>
      </c>
      <c r="L499" s="137" t="s">
        <v>129</v>
      </c>
      <c r="M499" s="141"/>
      <c r="N499" s="143"/>
    </row>
    <row r="500" hidden="1" outlineLevel="1">
      <c r="A500" s="303" t="s">
        <v>3183</v>
      </c>
      <c r="B500" s="344">
        <v>46163.0</v>
      </c>
      <c r="C500" s="133" t="str">
        <f t="shared" si="60"/>
        <v>Thu</v>
      </c>
      <c r="D500" s="383">
        <f t="shared" si="61"/>
        <v>1</v>
      </c>
      <c r="E500" s="147" t="s">
        <v>129</v>
      </c>
      <c r="F500" s="137" t="s">
        <v>129</v>
      </c>
      <c r="G500" s="137" t="s">
        <v>129</v>
      </c>
      <c r="H500" s="137" t="s">
        <v>129</v>
      </c>
      <c r="I500" s="137" t="s">
        <v>129</v>
      </c>
      <c r="J500" s="137" t="s">
        <v>129</v>
      </c>
      <c r="K500" s="137" t="s">
        <v>129</v>
      </c>
      <c r="L500" s="137" t="s">
        <v>129</v>
      </c>
      <c r="M500" s="141"/>
      <c r="N500" s="147"/>
    </row>
    <row r="501" hidden="1" outlineLevel="1">
      <c r="A501" s="303" t="s">
        <v>3186</v>
      </c>
      <c r="B501" s="344">
        <v>46163.0</v>
      </c>
      <c r="C501" s="133" t="str">
        <f t="shared" si="60"/>
        <v>Thu</v>
      </c>
      <c r="D501" s="381">
        <f t="shared" si="61"/>
        <v>1</v>
      </c>
      <c r="E501" s="382" t="s">
        <v>129</v>
      </c>
      <c r="F501" s="137" t="s">
        <v>129</v>
      </c>
      <c r="G501" s="137" t="s">
        <v>129</v>
      </c>
      <c r="H501" s="137" t="s">
        <v>129</v>
      </c>
      <c r="I501" s="137" t="s">
        <v>129</v>
      </c>
      <c r="J501" s="137" t="s">
        <v>129</v>
      </c>
      <c r="K501" s="137" t="s">
        <v>129</v>
      </c>
      <c r="L501" s="137" t="s">
        <v>129</v>
      </c>
      <c r="M501" s="141"/>
      <c r="N501" s="147"/>
    </row>
    <row r="502" hidden="1" outlineLevel="1">
      <c r="A502" s="303" t="s">
        <v>3189</v>
      </c>
      <c r="B502" s="344">
        <v>46163.0</v>
      </c>
      <c r="C502" s="133" t="str">
        <f t="shared" si="60"/>
        <v>Thu</v>
      </c>
      <c r="D502" s="383">
        <f t="shared" si="61"/>
        <v>1</v>
      </c>
      <c r="E502" s="147" t="s">
        <v>129</v>
      </c>
      <c r="F502" s="137" t="s">
        <v>129</v>
      </c>
      <c r="G502" s="137" t="s">
        <v>129</v>
      </c>
      <c r="H502" s="137" t="s">
        <v>129</v>
      </c>
      <c r="I502" s="137" t="s">
        <v>129</v>
      </c>
      <c r="J502" s="137" t="s">
        <v>129</v>
      </c>
      <c r="K502" s="137" t="s">
        <v>129</v>
      </c>
      <c r="L502" s="137" t="s">
        <v>129</v>
      </c>
      <c r="M502" s="141"/>
      <c r="N502" s="147"/>
    </row>
    <row r="503" hidden="1" outlineLevel="1">
      <c r="A503" s="390"/>
      <c r="B503" s="344"/>
      <c r="C503" s="133" t="str">
        <f t="shared" si="60"/>
        <v/>
      </c>
      <c r="D503" s="381">
        <f t="shared" si="61"/>
        <v>1</v>
      </c>
      <c r="E503" s="382" t="s">
        <v>129</v>
      </c>
      <c r="F503" s="137" t="s">
        <v>129</v>
      </c>
      <c r="G503" s="137" t="s">
        <v>129</v>
      </c>
      <c r="H503" s="137" t="s">
        <v>129</v>
      </c>
      <c r="I503" s="137" t="s">
        <v>129</v>
      </c>
      <c r="J503" s="137" t="s">
        <v>129</v>
      </c>
      <c r="K503" s="137" t="s">
        <v>129</v>
      </c>
      <c r="L503" s="137" t="s">
        <v>129</v>
      </c>
      <c r="M503" s="141"/>
      <c r="N503" s="143"/>
    </row>
    <row r="504" hidden="1" outlineLevel="1">
      <c r="A504" s="391"/>
      <c r="B504" s="344"/>
      <c r="C504" s="133" t="str">
        <f t="shared" si="60"/>
        <v/>
      </c>
      <c r="D504" s="383">
        <f t="shared" si="61"/>
        <v>1</v>
      </c>
      <c r="E504" s="147" t="s">
        <v>129</v>
      </c>
      <c r="F504" s="137" t="s">
        <v>129</v>
      </c>
      <c r="G504" s="137" t="s">
        <v>129</v>
      </c>
      <c r="H504" s="137" t="s">
        <v>129</v>
      </c>
      <c r="I504" s="137" t="s">
        <v>129</v>
      </c>
      <c r="J504" s="137" t="s">
        <v>129</v>
      </c>
      <c r="K504" s="137" t="s">
        <v>129</v>
      </c>
      <c r="L504" s="137" t="s">
        <v>129</v>
      </c>
      <c r="M504" s="141"/>
      <c r="N504" s="143"/>
    </row>
    <row r="505" ht="15.0" hidden="1" customHeight="1" outlineLevel="1">
      <c r="A505" s="391"/>
      <c r="B505" s="344"/>
      <c r="C505" s="133" t="str">
        <f t="shared" si="60"/>
        <v/>
      </c>
      <c r="D505" s="381">
        <f t="shared" si="61"/>
        <v>1</v>
      </c>
      <c r="E505" s="382" t="s">
        <v>129</v>
      </c>
      <c r="F505" s="137" t="s">
        <v>129</v>
      </c>
      <c r="G505" s="137" t="s">
        <v>129</v>
      </c>
      <c r="H505" s="137" t="s">
        <v>129</v>
      </c>
      <c r="I505" s="137" t="s">
        <v>129</v>
      </c>
      <c r="J505" s="137" t="s">
        <v>129</v>
      </c>
      <c r="K505" s="137" t="s">
        <v>129</v>
      </c>
      <c r="L505" s="137" t="s">
        <v>129</v>
      </c>
      <c r="M505" s="141"/>
      <c r="N505" s="147"/>
    </row>
    <row r="506" hidden="1" outlineLevel="1">
      <c r="B506" s="189"/>
      <c r="C506" s="191" t="s">
        <v>194</v>
      </c>
      <c r="D506" s="204">
        <f>AVERAGE(D491:D505)</f>
        <v>1</v>
      </c>
      <c r="E506" s="384"/>
      <c r="L506" s="191" t="s">
        <v>194</v>
      </c>
      <c r="M506" s="204">
        <f>SUM(M491:M505)/75*0.1</f>
        <v>0</v>
      </c>
    </row>
    <row r="507" hidden="1" collapsed="1">
      <c r="A507" s="206" t="s">
        <v>1084</v>
      </c>
      <c r="B507" s="207"/>
      <c r="C507" s="207"/>
      <c r="D507" s="385"/>
      <c r="E507" s="109"/>
      <c r="F507" s="109"/>
      <c r="G507" s="110"/>
      <c r="H507" s="110"/>
      <c r="I507" s="110"/>
      <c r="J507" s="110"/>
      <c r="K507" s="110"/>
      <c r="L507" s="110"/>
      <c r="M507" s="111"/>
      <c r="N507" s="113"/>
    </row>
    <row r="508" hidden="1" outlineLevel="1">
      <c r="A508" s="373" t="s">
        <v>98</v>
      </c>
      <c r="B508" s="115" t="s">
        <v>100</v>
      </c>
      <c r="C508" s="115" t="s">
        <v>102</v>
      </c>
      <c r="D508" s="119" t="s">
        <v>103</v>
      </c>
      <c r="E508" s="275" t="s">
        <v>269</v>
      </c>
      <c r="F508" s="275" t="s">
        <v>272</v>
      </c>
      <c r="G508" s="276" t="s">
        <v>328</v>
      </c>
      <c r="H508" s="121" t="s">
        <v>107</v>
      </c>
      <c r="I508" s="121" t="s">
        <v>108</v>
      </c>
      <c r="J508" s="276" t="s">
        <v>329</v>
      </c>
      <c r="K508" s="121" t="s">
        <v>111</v>
      </c>
      <c r="L508" s="276" t="s">
        <v>274</v>
      </c>
      <c r="M508" s="115" t="s">
        <v>114</v>
      </c>
      <c r="N508" s="119" t="s">
        <v>115</v>
      </c>
    </row>
    <row r="509" hidden="1" outlineLevel="1">
      <c r="A509" s="303" t="s">
        <v>3208</v>
      </c>
      <c r="B509" s="344">
        <v>46169.0</v>
      </c>
      <c r="C509" s="133" t="str">
        <f t="shared" ref="C509:C523" si="62">IF(B509="", "", TEXT(B509, "ddd"))</f>
        <v>Wed</v>
      </c>
      <c r="D509" s="381">
        <f t="shared" ref="D509:D523" si="63">IF(E509="Yes",0.05,0)
+IF(F509="Yes",0.1,0)
+IF(G509="Yes",0.15,0)
+IF(H509="Yes",0.15,0)
+IF(I509="Yes",0.05,0)
+IF(J509="Yes",0.05,0)
+IF(K509="Yes",0.15,0)
+IF(L509="Yes",0.3,0)
</f>
        <v>1</v>
      </c>
      <c r="E509" s="382" t="s">
        <v>129</v>
      </c>
      <c r="F509" s="137" t="s">
        <v>129</v>
      </c>
      <c r="G509" s="137" t="s">
        <v>129</v>
      </c>
      <c r="H509" s="137" t="s">
        <v>129</v>
      </c>
      <c r="I509" s="137" t="s">
        <v>129</v>
      </c>
      <c r="J509" s="137" t="s">
        <v>129</v>
      </c>
      <c r="K509" s="137" t="s">
        <v>129</v>
      </c>
      <c r="L509" s="137" t="s">
        <v>129</v>
      </c>
      <c r="M509" s="141"/>
      <c r="N509" s="143"/>
    </row>
    <row r="510" hidden="1" outlineLevel="1">
      <c r="A510" s="303" t="s">
        <v>3212</v>
      </c>
      <c r="B510" s="344">
        <v>46169.0</v>
      </c>
      <c r="C510" s="133" t="str">
        <f t="shared" si="62"/>
        <v>Wed</v>
      </c>
      <c r="D510" s="383">
        <f t="shared" si="63"/>
        <v>1</v>
      </c>
      <c r="E510" s="147" t="s">
        <v>129</v>
      </c>
      <c r="F510" s="137" t="s">
        <v>129</v>
      </c>
      <c r="G510" s="137" t="s">
        <v>129</v>
      </c>
      <c r="H510" s="137" t="s">
        <v>129</v>
      </c>
      <c r="I510" s="137" t="s">
        <v>129</v>
      </c>
      <c r="J510" s="137" t="s">
        <v>129</v>
      </c>
      <c r="K510" s="137" t="s">
        <v>129</v>
      </c>
      <c r="L510" s="137" t="s">
        <v>129</v>
      </c>
      <c r="M510" s="141"/>
      <c r="N510" s="147"/>
    </row>
    <row r="511" hidden="1" outlineLevel="1">
      <c r="A511" s="303" t="s">
        <v>3214</v>
      </c>
      <c r="B511" s="344">
        <v>46169.0</v>
      </c>
      <c r="C511" s="133" t="str">
        <f t="shared" si="62"/>
        <v>Wed</v>
      </c>
      <c r="D511" s="381">
        <f t="shared" si="63"/>
        <v>1</v>
      </c>
      <c r="E511" s="382" t="s">
        <v>129</v>
      </c>
      <c r="F511" s="137" t="s">
        <v>129</v>
      </c>
      <c r="G511" s="137" t="s">
        <v>129</v>
      </c>
      <c r="H511" s="137" t="s">
        <v>129</v>
      </c>
      <c r="I511" s="137" t="s">
        <v>129</v>
      </c>
      <c r="J511" s="137" t="s">
        <v>129</v>
      </c>
      <c r="K511" s="137" t="s">
        <v>129</v>
      </c>
      <c r="L511" s="137" t="s">
        <v>129</v>
      </c>
      <c r="M511" s="141"/>
      <c r="N511" s="147"/>
    </row>
    <row r="512" hidden="1" outlineLevel="1">
      <c r="A512" s="303" t="s">
        <v>3218</v>
      </c>
      <c r="B512" s="344">
        <v>46170.0</v>
      </c>
      <c r="C512" s="133" t="str">
        <f t="shared" si="62"/>
        <v>Thu</v>
      </c>
      <c r="D512" s="383">
        <f t="shared" si="63"/>
        <v>1</v>
      </c>
      <c r="E512" s="147" t="s">
        <v>129</v>
      </c>
      <c r="F512" s="137" t="s">
        <v>129</v>
      </c>
      <c r="G512" s="137" t="s">
        <v>129</v>
      </c>
      <c r="H512" s="137" t="s">
        <v>129</v>
      </c>
      <c r="I512" s="137" t="s">
        <v>129</v>
      </c>
      <c r="J512" s="137" t="s">
        <v>129</v>
      </c>
      <c r="K512" s="137" t="s">
        <v>129</v>
      </c>
      <c r="L512" s="137" t="s">
        <v>129</v>
      </c>
      <c r="M512" s="141"/>
      <c r="N512" s="143"/>
    </row>
    <row r="513" hidden="1" outlineLevel="1">
      <c r="A513" s="303" t="s">
        <v>3221</v>
      </c>
      <c r="B513" s="344">
        <v>46170.0</v>
      </c>
      <c r="C513" s="133" t="str">
        <f t="shared" si="62"/>
        <v>Thu</v>
      </c>
      <c r="D513" s="381">
        <f t="shared" si="63"/>
        <v>1</v>
      </c>
      <c r="E513" s="382" t="s">
        <v>129</v>
      </c>
      <c r="F513" s="137" t="s">
        <v>129</v>
      </c>
      <c r="G513" s="137" t="s">
        <v>129</v>
      </c>
      <c r="H513" s="137" t="s">
        <v>129</v>
      </c>
      <c r="I513" s="137" t="s">
        <v>129</v>
      </c>
      <c r="J513" s="137" t="s">
        <v>129</v>
      </c>
      <c r="K513" s="137" t="s">
        <v>129</v>
      </c>
      <c r="L513" s="137" t="s">
        <v>129</v>
      </c>
      <c r="M513" s="141"/>
      <c r="N513" s="143"/>
    </row>
    <row r="514" hidden="1" outlineLevel="1">
      <c r="A514" s="303" t="s">
        <v>3231</v>
      </c>
      <c r="B514" s="344">
        <v>46170.0</v>
      </c>
      <c r="C514" s="133" t="str">
        <f t="shared" si="62"/>
        <v>Thu</v>
      </c>
      <c r="D514" s="383">
        <f t="shared" si="63"/>
        <v>1</v>
      </c>
      <c r="E514" s="147" t="s">
        <v>129</v>
      </c>
      <c r="F514" s="137" t="s">
        <v>129</v>
      </c>
      <c r="G514" s="137" t="s">
        <v>129</v>
      </c>
      <c r="H514" s="137" t="s">
        <v>129</v>
      </c>
      <c r="I514" s="137" t="s">
        <v>129</v>
      </c>
      <c r="J514" s="137" t="s">
        <v>129</v>
      </c>
      <c r="K514" s="137" t="s">
        <v>129</v>
      </c>
      <c r="L514" s="137" t="s">
        <v>129</v>
      </c>
      <c r="M514" s="141"/>
      <c r="N514" s="143"/>
    </row>
    <row r="515" hidden="1" outlineLevel="1">
      <c r="A515" s="303" t="s">
        <v>3235</v>
      </c>
      <c r="B515" s="344">
        <v>46172.0</v>
      </c>
      <c r="C515" s="133" t="str">
        <f t="shared" si="62"/>
        <v>Sat</v>
      </c>
      <c r="D515" s="381">
        <f t="shared" si="63"/>
        <v>1</v>
      </c>
      <c r="E515" s="382" t="s">
        <v>129</v>
      </c>
      <c r="F515" s="137" t="s">
        <v>129</v>
      </c>
      <c r="G515" s="137" t="s">
        <v>129</v>
      </c>
      <c r="H515" s="137" t="s">
        <v>129</v>
      </c>
      <c r="I515" s="137" t="s">
        <v>129</v>
      </c>
      <c r="J515" s="137" t="s">
        <v>129</v>
      </c>
      <c r="K515" s="137" t="s">
        <v>129</v>
      </c>
      <c r="L515" s="137" t="s">
        <v>129</v>
      </c>
      <c r="M515" s="141"/>
      <c r="N515" s="143"/>
    </row>
    <row r="516" hidden="1" outlineLevel="1">
      <c r="A516" s="303" t="s">
        <v>3240</v>
      </c>
      <c r="B516" s="344">
        <v>46172.0</v>
      </c>
      <c r="C516" s="133" t="str">
        <f t="shared" si="62"/>
        <v>Sat</v>
      </c>
      <c r="D516" s="383">
        <f t="shared" si="63"/>
        <v>1</v>
      </c>
      <c r="E516" s="147" t="s">
        <v>129</v>
      </c>
      <c r="F516" s="137" t="s">
        <v>129</v>
      </c>
      <c r="G516" s="137" t="s">
        <v>129</v>
      </c>
      <c r="H516" s="137" t="s">
        <v>129</v>
      </c>
      <c r="I516" s="137" t="s">
        <v>129</v>
      </c>
      <c r="J516" s="137" t="s">
        <v>129</v>
      </c>
      <c r="K516" s="137" t="s">
        <v>129</v>
      </c>
      <c r="L516" s="137" t="s">
        <v>129</v>
      </c>
      <c r="M516" s="141"/>
      <c r="N516" s="147"/>
    </row>
    <row r="517" hidden="1" outlineLevel="1">
      <c r="A517" s="303" t="s">
        <v>3242</v>
      </c>
      <c r="B517" s="344">
        <v>46172.0</v>
      </c>
      <c r="C517" s="133" t="str">
        <f t="shared" si="62"/>
        <v>Sat</v>
      </c>
      <c r="D517" s="381">
        <f t="shared" si="63"/>
        <v>1</v>
      </c>
      <c r="E517" s="382" t="s">
        <v>129</v>
      </c>
      <c r="F517" s="137" t="s">
        <v>129</v>
      </c>
      <c r="G517" s="137" t="s">
        <v>129</v>
      </c>
      <c r="H517" s="137" t="s">
        <v>129</v>
      </c>
      <c r="I517" s="137" t="s">
        <v>129</v>
      </c>
      <c r="J517" s="137" t="s">
        <v>129</v>
      </c>
      <c r="K517" s="137" t="s">
        <v>129</v>
      </c>
      <c r="L517" s="137" t="s">
        <v>129</v>
      </c>
      <c r="M517" s="141"/>
      <c r="N517" s="143"/>
    </row>
    <row r="518" hidden="1" outlineLevel="1">
      <c r="A518" s="303" t="s">
        <v>3248</v>
      </c>
      <c r="B518" s="344"/>
      <c r="C518" s="133" t="str">
        <f t="shared" si="62"/>
        <v/>
      </c>
      <c r="D518" s="383">
        <f t="shared" si="63"/>
        <v>1</v>
      </c>
      <c r="E518" s="147" t="s">
        <v>129</v>
      </c>
      <c r="F518" s="137" t="s">
        <v>129</v>
      </c>
      <c r="G518" s="137" t="s">
        <v>129</v>
      </c>
      <c r="H518" s="137" t="s">
        <v>129</v>
      </c>
      <c r="I518" s="137" t="s">
        <v>129</v>
      </c>
      <c r="J518" s="137" t="s">
        <v>129</v>
      </c>
      <c r="K518" s="137" t="s">
        <v>129</v>
      </c>
      <c r="L518" s="137" t="s">
        <v>129</v>
      </c>
      <c r="M518" s="141"/>
      <c r="N518" s="147"/>
    </row>
    <row r="519" hidden="1" outlineLevel="1">
      <c r="A519" s="303" t="s">
        <v>3251</v>
      </c>
      <c r="B519" s="344"/>
      <c r="C519" s="133" t="str">
        <f t="shared" si="62"/>
        <v/>
      </c>
      <c r="D519" s="381">
        <f t="shared" si="63"/>
        <v>1</v>
      </c>
      <c r="E519" s="382" t="s">
        <v>129</v>
      </c>
      <c r="F519" s="137" t="s">
        <v>129</v>
      </c>
      <c r="G519" s="137" t="s">
        <v>129</v>
      </c>
      <c r="H519" s="137" t="s">
        <v>129</v>
      </c>
      <c r="I519" s="137" t="s">
        <v>129</v>
      </c>
      <c r="J519" s="137" t="s">
        <v>129</v>
      </c>
      <c r="K519" s="137" t="s">
        <v>129</v>
      </c>
      <c r="L519" s="137" t="s">
        <v>129</v>
      </c>
      <c r="M519" s="141"/>
      <c r="N519" s="147"/>
    </row>
    <row r="520" hidden="1" outlineLevel="1">
      <c r="A520" s="303" t="s">
        <v>3254</v>
      </c>
      <c r="B520" s="344"/>
      <c r="C520" s="133" t="str">
        <f t="shared" si="62"/>
        <v/>
      </c>
      <c r="D520" s="383">
        <f t="shared" si="63"/>
        <v>1</v>
      </c>
      <c r="E520" s="147" t="s">
        <v>129</v>
      </c>
      <c r="F520" s="137" t="s">
        <v>129</v>
      </c>
      <c r="G520" s="137" t="s">
        <v>129</v>
      </c>
      <c r="H520" s="137" t="s">
        <v>129</v>
      </c>
      <c r="I520" s="137" t="s">
        <v>129</v>
      </c>
      <c r="J520" s="137" t="s">
        <v>129</v>
      </c>
      <c r="K520" s="137" t="s">
        <v>129</v>
      </c>
      <c r="L520" s="137" t="s">
        <v>129</v>
      </c>
      <c r="M520" s="141"/>
      <c r="N520" s="147"/>
    </row>
    <row r="521" hidden="1" outlineLevel="1">
      <c r="A521" s="411" t="s">
        <v>145</v>
      </c>
      <c r="B521" s="344"/>
      <c r="C521" s="133" t="str">
        <f t="shared" si="62"/>
        <v/>
      </c>
      <c r="D521" s="381">
        <f t="shared" si="63"/>
        <v>1</v>
      </c>
      <c r="E521" s="382" t="s">
        <v>129</v>
      </c>
      <c r="F521" s="137" t="s">
        <v>129</v>
      </c>
      <c r="G521" s="137" t="s">
        <v>129</v>
      </c>
      <c r="H521" s="137" t="s">
        <v>129</v>
      </c>
      <c r="I521" s="137" t="s">
        <v>129</v>
      </c>
      <c r="J521" s="137" t="s">
        <v>129</v>
      </c>
      <c r="K521" s="137" t="s">
        <v>129</v>
      </c>
      <c r="L521" s="137" t="s">
        <v>129</v>
      </c>
      <c r="M521" s="141"/>
      <c r="N521" s="143"/>
    </row>
    <row r="522" hidden="1" outlineLevel="1">
      <c r="A522" s="411" t="s">
        <v>145</v>
      </c>
      <c r="B522" s="344"/>
      <c r="C522" s="133" t="str">
        <f t="shared" si="62"/>
        <v/>
      </c>
      <c r="D522" s="383">
        <f t="shared" si="63"/>
        <v>1</v>
      </c>
      <c r="E522" s="147" t="s">
        <v>129</v>
      </c>
      <c r="F522" s="137" t="s">
        <v>129</v>
      </c>
      <c r="G522" s="137" t="s">
        <v>129</v>
      </c>
      <c r="H522" s="137" t="s">
        <v>129</v>
      </c>
      <c r="I522" s="137" t="s">
        <v>129</v>
      </c>
      <c r="J522" s="137" t="s">
        <v>129</v>
      </c>
      <c r="K522" s="137" t="s">
        <v>129</v>
      </c>
      <c r="L522" s="137" t="s">
        <v>129</v>
      </c>
      <c r="M522" s="141"/>
      <c r="N522" s="143"/>
    </row>
    <row r="523" ht="15.0" hidden="1" customHeight="1" outlineLevel="1">
      <c r="A523" s="411" t="s">
        <v>145</v>
      </c>
      <c r="B523" s="344"/>
      <c r="C523" s="133" t="str">
        <f t="shared" si="62"/>
        <v/>
      </c>
      <c r="D523" s="381">
        <f t="shared" si="63"/>
        <v>1</v>
      </c>
      <c r="E523" s="382" t="s">
        <v>129</v>
      </c>
      <c r="F523" s="137" t="s">
        <v>129</v>
      </c>
      <c r="G523" s="137" t="s">
        <v>129</v>
      </c>
      <c r="H523" s="137" t="s">
        <v>129</v>
      </c>
      <c r="I523" s="137" t="s">
        <v>129</v>
      </c>
      <c r="J523" s="137" t="s">
        <v>129</v>
      </c>
      <c r="K523" s="137" t="s">
        <v>129</v>
      </c>
      <c r="L523" s="137" t="s">
        <v>129</v>
      </c>
      <c r="M523" s="141"/>
      <c r="N523" s="147"/>
    </row>
    <row r="524" hidden="1" outlineLevel="1">
      <c r="B524" s="189"/>
      <c r="C524" s="191" t="s">
        <v>194</v>
      </c>
      <c r="D524" s="204">
        <f>AVERAGE(D509:D523)</f>
        <v>1</v>
      </c>
      <c r="E524" s="384"/>
      <c r="L524" s="191" t="s">
        <v>194</v>
      </c>
      <c r="M524" s="204">
        <f>SUM(M509:M523)/75*0.1</f>
        <v>0</v>
      </c>
    </row>
    <row r="525" hidden="1" collapsed="1">
      <c r="A525" s="206" t="s">
        <v>1109</v>
      </c>
      <c r="B525" s="207"/>
      <c r="C525" s="207"/>
      <c r="D525" s="385"/>
      <c r="E525" s="109"/>
      <c r="F525" s="109"/>
      <c r="G525" s="110"/>
      <c r="H525" s="110"/>
      <c r="I525" s="110"/>
      <c r="J525" s="110"/>
      <c r="K525" s="110"/>
      <c r="L525" s="110"/>
      <c r="M525" s="111"/>
      <c r="N525" s="113"/>
    </row>
    <row r="526" hidden="1" outlineLevel="1">
      <c r="A526" s="373" t="s">
        <v>98</v>
      </c>
      <c r="B526" s="115" t="s">
        <v>100</v>
      </c>
      <c r="C526" s="115" t="s">
        <v>102</v>
      </c>
      <c r="D526" s="119" t="s">
        <v>103</v>
      </c>
      <c r="E526" s="275" t="s">
        <v>269</v>
      </c>
      <c r="F526" s="275" t="s">
        <v>272</v>
      </c>
      <c r="G526" s="276" t="s">
        <v>328</v>
      </c>
      <c r="H526" s="121" t="s">
        <v>107</v>
      </c>
      <c r="I526" s="121" t="s">
        <v>108</v>
      </c>
      <c r="J526" s="276" t="s">
        <v>329</v>
      </c>
      <c r="K526" s="121" t="s">
        <v>111</v>
      </c>
      <c r="L526" s="276" t="s">
        <v>274</v>
      </c>
      <c r="M526" s="115" t="s">
        <v>114</v>
      </c>
      <c r="N526" s="119" t="s">
        <v>115</v>
      </c>
    </row>
    <row r="527" hidden="1" outlineLevel="1">
      <c r="A527" s="255" t="s">
        <v>3265</v>
      </c>
      <c r="B527" s="344">
        <v>46174.0</v>
      </c>
      <c r="C527" s="133" t="str">
        <f t="shared" ref="C527:C541" si="64">IF(B527="", "", TEXT(B527, "ddd"))</f>
        <v>Mon</v>
      </c>
      <c r="D527" s="381">
        <f t="shared" ref="D527:D541" si="65">IF(E527="Yes",0.05,0)
+IF(F527="Yes",0.1,0)
+IF(G527="Yes",0.15,0)
+IF(H527="Yes",0.15,0)
+IF(I527="Yes",0.05,0)
+IF(J527="Yes",0.05,0)
+IF(K527="Yes",0.15,0)
+IF(L527="Yes",0.3,0)
</f>
        <v>1</v>
      </c>
      <c r="E527" s="382" t="s">
        <v>129</v>
      </c>
      <c r="F527" s="137" t="s">
        <v>129</v>
      </c>
      <c r="G527" s="137" t="s">
        <v>129</v>
      </c>
      <c r="H527" s="137" t="s">
        <v>129</v>
      </c>
      <c r="I527" s="137" t="s">
        <v>129</v>
      </c>
      <c r="J527" s="137" t="s">
        <v>129</v>
      </c>
      <c r="K527" s="137" t="s">
        <v>129</v>
      </c>
      <c r="L527" s="137" t="s">
        <v>129</v>
      </c>
      <c r="M527" s="141"/>
      <c r="N527" s="143"/>
    </row>
    <row r="528" hidden="1" outlineLevel="1">
      <c r="A528" s="255" t="s">
        <v>3270</v>
      </c>
      <c r="B528" s="344">
        <v>46174.0</v>
      </c>
      <c r="C528" s="133" t="str">
        <f t="shared" si="64"/>
        <v>Mon</v>
      </c>
      <c r="D528" s="383">
        <f t="shared" si="65"/>
        <v>1</v>
      </c>
      <c r="E528" s="147" t="s">
        <v>129</v>
      </c>
      <c r="F528" s="137" t="s">
        <v>129</v>
      </c>
      <c r="G528" s="137" t="s">
        <v>129</v>
      </c>
      <c r="H528" s="137" t="s">
        <v>129</v>
      </c>
      <c r="I528" s="137" t="s">
        <v>129</v>
      </c>
      <c r="J528" s="137" t="s">
        <v>129</v>
      </c>
      <c r="K528" s="137" t="s">
        <v>129</v>
      </c>
      <c r="L528" s="137" t="s">
        <v>129</v>
      </c>
      <c r="M528" s="141"/>
      <c r="N528" s="147"/>
    </row>
    <row r="529" hidden="1" outlineLevel="1">
      <c r="A529" s="255" t="s">
        <v>3273</v>
      </c>
      <c r="B529" s="344">
        <v>46174.0</v>
      </c>
      <c r="C529" s="133" t="str">
        <f t="shared" si="64"/>
        <v>Mon</v>
      </c>
      <c r="D529" s="381">
        <f t="shared" si="65"/>
        <v>1</v>
      </c>
      <c r="E529" s="382" t="s">
        <v>129</v>
      </c>
      <c r="F529" s="137" t="s">
        <v>129</v>
      </c>
      <c r="G529" s="137" t="s">
        <v>129</v>
      </c>
      <c r="H529" s="137" t="s">
        <v>129</v>
      </c>
      <c r="I529" s="137" t="s">
        <v>129</v>
      </c>
      <c r="J529" s="137" t="s">
        <v>129</v>
      </c>
      <c r="K529" s="137" t="s">
        <v>129</v>
      </c>
      <c r="L529" s="137" t="s">
        <v>129</v>
      </c>
      <c r="M529" s="141"/>
      <c r="N529" s="147"/>
    </row>
    <row r="530" hidden="1" outlineLevel="1">
      <c r="A530" s="255" t="s">
        <v>3277</v>
      </c>
      <c r="B530" s="344">
        <v>46175.0</v>
      </c>
      <c r="C530" s="133" t="str">
        <f t="shared" si="64"/>
        <v>Tue</v>
      </c>
      <c r="D530" s="383">
        <f t="shared" si="65"/>
        <v>1</v>
      </c>
      <c r="E530" s="147" t="s">
        <v>129</v>
      </c>
      <c r="F530" s="137" t="s">
        <v>129</v>
      </c>
      <c r="G530" s="137" t="s">
        <v>129</v>
      </c>
      <c r="H530" s="137" t="s">
        <v>129</v>
      </c>
      <c r="I530" s="137" t="s">
        <v>129</v>
      </c>
      <c r="J530" s="137" t="s">
        <v>129</v>
      </c>
      <c r="K530" s="137" t="s">
        <v>129</v>
      </c>
      <c r="L530" s="137" t="s">
        <v>129</v>
      </c>
      <c r="M530" s="141"/>
      <c r="N530" s="143"/>
    </row>
    <row r="531" hidden="1" outlineLevel="1">
      <c r="A531" s="255" t="s">
        <v>3281</v>
      </c>
      <c r="B531" s="344">
        <v>46175.0</v>
      </c>
      <c r="C531" s="133" t="str">
        <f t="shared" si="64"/>
        <v>Tue</v>
      </c>
      <c r="D531" s="381">
        <f t="shared" si="65"/>
        <v>1</v>
      </c>
      <c r="E531" s="382" t="s">
        <v>129</v>
      </c>
      <c r="F531" s="137" t="s">
        <v>129</v>
      </c>
      <c r="G531" s="137" t="s">
        <v>129</v>
      </c>
      <c r="H531" s="137" t="s">
        <v>129</v>
      </c>
      <c r="I531" s="137" t="s">
        <v>129</v>
      </c>
      <c r="J531" s="137" t="s">
        <v>129</v>
      </c>
      <c r="K531" s="137" t="s">
        <v>129</v>
      </c>
      <c r="L531" s="137" t="s">
        <v>129</v>
      </c>
      <c r="M531" s="141"/>
      <c r="N531" s="143"/>
    </row>
    <row r="532" hidden="1" outlineLevel="1">
      <c r="A532" s="255" t="s">
        <v>3283</v>
      </c>
      <c r="B532" s="344">
        <v>46175.0</v>
      </c>
      <c r="C532" s="133" t="str">
        <f t="shared" si="64"/>
        <v>Tue</v>
      </c>
      <c r="D532" s="383">
        <f t="shared" si="65"/>
        <v>1</v>
      </c>
      <c r="E532" s="147" t="s">
        <v>129</v>
      </c>
      <c r="F532" s="137" t="s">
        <v>129</v>
      </c>
      <c r="G532" s="137" t="s">
        <v>129</v>
      </c>
      <c r="H532" s="137" t="s">
        <v>129</v>
      </c>
      <c r="I532" s="137" t="s">
        <v>129</v>
      </c>
      <c r="J532" s="137" t="s">
        <v>129</v>
      </c>
      <c r="K532" s="137" t="s">
        <v>129</v>
      </c>
      <c r="L532" s="137" t="s">
        <v>129</v>
      </c>
      <c r="M532" s="141"/>
      <c r="N532" s="143"/>
    </row>
    <row r="533" hidden="1" outlineLevel="1">
      <c r="A533" s="255" t="s">
        <v>3287</v>
      </c>
      <c r="B533" s="344">
        <v>46176.0</v>
      </c>
      <c r="C533" s="133" t="str">
        <f t="shared" si="64"/>
        <v>Wed</v>
      </c>
      <c r="D533" s="381">
        <f t="shared" si="65"/>
        <v>1</v>
      </c>
      <c r="E533" s="382" t="s">
        <v>129</v>
      </c>
      <c r="F533" s="137" t="s">
        <v>129</v>
      </c>
      <c r="G533" s="137" t="s">
        <v>129</v>
      </c>
      <c r="H533" s="137" t="s">
        <v>129</v>
      </c>
      <c r="I533" s="137" t="s">
        <v>129</v>
      </c>
      <c r="J533" s="137" t="s">
        <v>129</v>
      </c>
      <c r="K533" s="137" t="s">
        <v>129</v>
      </c>
      <c r="L533" s="137" t="s">
        <v>129</v>
      </c>
      <c r="M533" s="141"/>
      <c r="N533" s="143"/>
    </row>
    <row r="534" hidden="1" outlineLevel="1">
      <c r="A534" s="255" t="s">
        <v>3290</v>
      </c>
      <c r="B534" s="344">
        <v>46176.0</v>
      </c>
      <c r="C534" s="133" t="str">
        <f t="shared" si="64"/>
        <v>Wed</v>
      </c>
      <c r="D534" s="383">
        <f t="shared" si="65"/>
        <v>1</v>
      </c>
      <c r="E534" s="147" t="s">
        <v>129</v>
      </c>
      <c r="F534" s="137" t="s">
        <v>129</v>
      </c>
      <c r="G534" s="137" t="s">
        <v>129</v>
      </c>
      <c r="H534" s="137" t="s">
        <v>129</v>
      </c>
      <c r="I534" s="137" t="s">
        <v>129</v>
      </c>
      <c r="J534" s="137" t="s">
        <v>129</v>
      </c>
      <c r="K534" s="137" t="s">
        <v>129</v>
      </c>
      <c r="L534" s="137" t="s">
        <v>129</v>
      </c>
      <c r="M534" s="141"/>
      <c r="N534" s="147"/>
    </row>
    <row r="535" hidden="1" outlineLevel="1">
      <c r="A535" s="255" t="s">
        <v>3293</v>
      </c>
      <c r="B535" s="344">
        <v>46176.0</v>
      </c>
      <c r="C535" s="133" t="str">
        <f t="shared" si="64"/>
        <v>Wed</v>
      </c>
      <c r="D535" s="381">
        <f t="shared" si="65"/>
        <v>1</v>
      </c>
      <c r="E535" s="382" t="s">
        <v>129</v>
      </c>
      <c r="F535" s="137" t="s">
        <v>129</v>
      </c>
      <c r="G535" s="137" t="s">
        <v>129</v>
      </c>
      <c r="H535" s="137" t="s">
        <v>129</v>
      </c>
      <c r="I535" s="137" t="s">
        <v>129</v>
      </c>
      <c r="J535" s="137" t="s">
        <v>129</v>
      </c>
      <c r="K535" s="137" t="s">
        <v>129</v>
      </c>
      <c r="L535" s="137" t="s">
        <v>129</v>
      </c>
      <c r="M535" s="141"/>
      <c r="N535" s="143"/>
    </row>
    <row r="536" hidden="1" outlineLevel="1">
      <c r="A536" s="428" t="s">
        <v>3296</v>
      </c>
      <c r="B536" s="344">
        <v>46179.0</v>
      </c>
      <c r="C536" s="133" t="str">
        <f t="shared" si="64"/>
        <v>Sat</v>
      </c>
      <c r="D536" s="383">
        <f t="shared" si="65"/>
        <v>1</v>
      </c>
      <c r="E536" s="147" t="s">
        <v>129</v>
      </c>
      <c r="F536" s="137" t="s">
        <v>129</v>
      </c>
      <c r="G536" s="137" t="s">
        <v>129</v>
      </c>
      <c r="H536" s="137" t="s">
        <v>129</v>
      </c>
      <c r="I536" s="137" t="s">
        <v>129</v>
      </c>
      <c r="J536" s="137" t="s">
        <v>129</v>
      </c>
      <c r="K536" s="137" t="s">
        <v>129</v>
      </c>
      <c r="L536" s="137" t="s">
        <v>129</v>
      </c>
      <c r="M536" s="141"/>
      <c r="N536" s="147"/>
    </row>
    <row r="537" hidden="1" outlineLevel="1">
      <c r="A537" s="255" t="s">
        <v>3298</v>
      </c>
      <c r="B537" s="344">
        <v>46179.0</v>
      </c>
      <c r="C537" s="133" t="str">
        <f t="shared" si="64"/>
        <v>Sat</v>
      </c>
      <c r="D537" s="381">
        <f t="shared" si="65"/>
        <v>1</v>
      </c>
      <c r="E537" s="382" t="s">
        <v>129</v>
      </c>
      <c r="F537" s="137" t="s">
        <v>129</v>
      </c>
      <c r="G537" s="137" t="s">
        <v>129</v>
      </c>
      <c r="H537" s="137" t="s">
        <v>129</v>
      </c>
      <c r="I537" s="137" t="s">
        <v>129</v>
      </c>
      <c r="J537" s="137" t="s">
        <v>129</v>
      </c>
      <c r="K537" s="137" t="s">
        <v>129</v>
      </c>
      <c r="L537" s="137" t="s">
        <v>129</v>
      </c>
      <c r="M537" s="141"/>
      <c r="N537" s="147"/>
    </row>
    <row r="538" hidden="1" outlineLevel="1">
      <c r="A538" s="255" t="s">
        <v>3301</v>
      </c>
      <c r="B538" s="344">
        <v>46179.0</v>
      </c>
      <c r="C538" s="133" t="str">
        <f t="shared" si="64"/>
        <v>Sat</v>
      </c>
      <c r="D538" s="383">
        <f t="shared" si="65"/>
        <v>1</v>
      </c>
      <c r="E538" s="147" t="s">
        <v>129</v>
      </c>
      <c r="F538" s="137" t="s">
        <v>129</v>
      </c>
      <c r="G538" s="137" t="s">
        <v>129</v>
      </c>
      <c r="H538" s="137" t="s">
        <v>129</v>
      </c>
      <c r="I538" s="137" t="s">
        <v>129</v>
      </c>
      <c r="J538" s="137" t="s">
        <v>129</v>
      </c>
      <c r="K538" s="137" t="s">
        <v>129</v>
      </c>
      <c r="L538" s="137" t="s">
        <v>129</v>
      </c>
      <c r="M538" s="141"/>
      <c r="N538" s="147"/>
    </row>
    <row r="539" hidden="1" outlineLevel="1">
      <c r="A539" s="255" t="s">
        <v>3303</v>
      </c>
      <c r="B539" s="344">
        <v>46180.0</v>
      </c>
      <c r="C539" s="133" t="str">
        <f t="shared" si="64"/>
        <v>Sun</v>
      </c>
      <c r="D539" s="381">
        <f t="shared" si="65"/>
        <v>1</v>
      </c>
      <c r="E539" s="382" t="s">
        <v>129</v>
      </c>
      <c r="F539" s="137" t="s">
        <v>129</v>
      </c>
      <c r="G539" s="137" t="s">
        <v>129</v>
      </c>
      <c r="H539" s="137" t="s">
        <v>129</v>
      </c>
      <c r="I539" s="137" t="s">
        <v>129</v>
      </c>
      <c r="J539" s="137" t="s">
        <v>129</v>
      </c>
      <c r="K539" s="137" t="s">
        <v>129</v>
      </c>
      <c r="L539" s="137" t="s">
        <v>129</v>
      </c>
      <c r="M539" s="141"/>
      <c r="N539" s="143"/>
    </row>
    <row r="540" hidden="1" outlineLevel="1">
      <c r="A540" s="255" t="s">
        <v>3306</v>
      </c>
      <c r="B540" s="344">
        <v>46180.0</v>
      </c>
      <c r="C540" s="133" t="str">
        <f t="shared" si="64"/>
        <v>Sun</v>
      </c>
      <c r="D540" s="383">
        <f t="shared" si="65"/>
        <v>1</v>
      </c>
      <c r="E540" s="147" t="s">
        <v>129</v>
      </c>
      <c r="F540" s="137" t="s">
        <v>129</v>
      </c>
      <c r="G540" s="137" t="s">
        <v>129</v>
      </c>
      <c r="H540" s="137" t="s">
        <v>129</v>
      </c>
      <c r="I540" s="137" t="s">
        <v>129</v>
      </c>
      <c r="J540" s="137" t="s">
        <v>129</v>
      </c>
      <c r="K540" s="137" t="s">
        <v>129</v>
      </c>
      <c r="L540" s="137" t="s">
        <v>129</v>
      </c>
      <c r="M540" s="141"/>
      <c r="N540" s="143"/>
    </row>
    <row r="541" ht="15.0" hidden="1" customHeight="1" outlineLevel="1">
      <c r="A541" s="255" t="s">
        <v>3307</v>
      </c>
      <c r="B541" s="344">
        <v>46180.0</v>
      </c>
      <c r="C541" s="133" t="str">
        <f t="shared" si="64"/>
        <v>Sun</v>
      </c>
      <c r="D541" s="381">
        <f t="shared" si="65"/>
        <v>1</v>
      </c>
      <c r="E541" s="382" t="s">
        <v>129</v>
      </c>
      <c r="F541" s="137" t="s">
        <v>129</v>
      </c>
      <c r="G541" s="137" t="s">
        <v>129</v>
      </c>
      <c r="H541" s="137" t="s">
        <v>129</v>
      </c>
      <c r="I541" s="137" t="s">
        <v>129</v>
      </c>
      <c r="J541" s="137" t="s">
        <v>129</v>
      </c>
      <c r="K541" s="137" t="s">
        <v>129</v>
      </c>
      <c r="L541" s="137" t="s">
        <v>129</v>
      </c>
      <c r="M541" s="141"/>
      <c r="N541" s="147"/>
    </row>
    <row r="542" hidden="1" outlineLevel="1">
      <c r="B542" s="189"/>
      <c r="C542" s="191" t="s">
        <v>194</v>
      </c>
      <c r="D542" s="204">
        <f>AVERAGE(D527:D541)</f>
        <v>1</v>
      </c>
      <c r="E542" s="384"/>
      <c r="L542" s="191" t="s">
        <v>194</v>
      </c>
      <c r="M542" s="204">
        <f>SUM(M527:M541)/75*0.1</f>
        <v>0</v>
      </c>
    </row>
    <row r="543" hidden="1" collapsed="1">
      <c r="A543" s="206" t="s">
        <v>1138</v>
      </c>
      <c r="B543" s="207"/>
      <c r="C543" s="207"/>
      <c r="D543" s="385"/>
      <c r="E543" s="109"/>
      <c r="F543" s="109"/>
      <c r="G543" s="110"/>
      <c r="H543" s="110"/>
      <c r="I543" s="110"/>
      <c r="J543" s="110"/>
      <c r="K543" s="110"/>
      <c r="L543" s="110"/>
      <c r="M543" s="111"/>
      <c r="N543" s="113"/>
    </row>
    <row r="544" hidden="1" outlineLevel="1">
      <c r="A544" s="373" t="s">
        <v>98</v>
      </c>
      <c r="B544" s="115" t="s">
        <v>100</v>
      </c>
      <c r="C544" s="115" t="s">
        <v>102</v>
      </c>
      <c r="D544" s="119" t="s">
        <v>103</v>
      </c>
      <c r="E544" s="275" t="s">
        <v>269</v>
      </c>
      <c r="F544" s="275" t="s">
        <v>272</v>
      </c>
      <c r="G544" s="276" t="s">
        <v>328</v>
      </c>
      <c r="H544" s="121" t="s">
        <v>107</v>
      </c>
      <c r="I544" s="121" t="s">
        <v>108</v>
      </c>
      <c r="J544" s="276" t="s">
        <v>329</v>
      </c>
      <c r="K544" s="121" t="s">
        <v>111</v>
      </c>
      <c r="L544" s="276" t="s">
        <v>274</v>
      </c>
      <c r="M544" s="115" t="s">
        <v>114</v>
      </c>
      <c r="N544" s="119" t="s">
        <v>115</v>
      </c>
    </row>
    <row r="545" hidden="1" outlineLevel="1">
      <c r="A545" s="303" t="s">
        <v>3314</v>
      </c>
      <c r="B545" s="344">
        <v>46181.0</v>
      </c>
      <c r="C545" s="133" t="str">
        <f t="shared" ref="C545:C559" si="66">IF(B545="", "", TEXT(B545, "ddd"))</f>
        <v>Mon</v>
      </c>
      <c r="D545" s="381">
        <f t="shared" ref="D545:D559" si="67">IF(E545="Yes",0.05,0)
+IF(F545="Yes",0.1,0)
+IF(G545="Yes",0.15,0)
+IF(H545="Yes",0.15,0)
+IF(I545="Yes",0.05,0)
+IF(J545="Yes",0.05,0)
+IF(K545="Yes",0.15,0)
+IF(L545="Yes",0.3,0)
</f>
        <v>1</v>
      </c>
      <c r="E545" s="382" t="s">
        <v>129</v>
      </c>
      <c r="F545" s="137" t="s">
        <v>129</v>
      </c>
      <c r="G545" s="137" t="s">
        <v>129</v>
      </c>
      <c r="H545" s="137" t="s">
        <v>129</v>
      </c>
      <c r="I545" s="137" t="s">
        <v>129</v>
      </c>
      <c r="J545" s="137" t="s">
        <v>129</v>
      </c>
      <c r="K545" s="137" t="s">
        <v>129</v>
      </c>
      <c r="L545" s="137" t="s">
        <v>129</v>
      </c>
      <c r="M545" s="141"/>
      <c r="N545" s="143"/>
    </row>
    <row r="546" hidden="1" outlineLevel="1">
      <c r="A546" s="303" t="s">
        <v>3323</v>
      </c>
      <c r="B546" s="344">
        <v>46181.0</v>
      </c>
      <c r="C546" s="133" t="str">
        <f t="shared" si="66"/>
        <v>Mon</v>
      </c>
      <c r="D546" s="383">
        <f t="shared" si="67"/>
        <v>1</v>
      </c>
      <c r="E546" s="147" t="s">
        <v>129</v>
      </c>
      <c r="F546" s="137" t="s">
        <v>129</v>
      </c>
      <c r="G546" s="137" t="s">
        <v>129</v>
      </c>
      <c r="H546" s="137" t="s">
        <v>129</v>
      </c>
      <c r="I546" s="137" t="s">
        <v>129</v>
      </c>
      <c r="J546" s="137" t="s">
        <v>129</v>
      </c>
      <c r="K546" s="137" t="s">
        <v>129</v>
      </c>
      <c r="L546" s="137" t="s">
        <v>129</v>
      </c>
      <c r="M546" s="141"/>
      <c r="N546" s="147"/>
    </row>
    <row r="547" hidden="1" outlineLevel="1">
      <c r="A547" s="303" t="s">
        <v>3326</v>
      </c>
      <c r="B547" s="344">
        <v>46181.0</v>
      </c>
      <c r="C547" s="133" t="str">
        <f t="shared" si="66"/>
        <v>Mon</v>
      </c>
      <c r="D547" s="381">
        <f t="shared" si="67"/>
        <v>1</v>
      </c>
      <c r="E547" s="382" t="s">
        <v>129</v>
      </c>
      <c r="F547" s="137" t="s">
        <v>129</v>
      </c>
      <c r="G547" s="137" t="s">
        <v>129</v>
      </c>
      <c r="H547" s="137" t="s">
        <v>129</v>
      </c>
      <c r="I547" s="137" t="s">
        <v>129</v>
      </c>
      <c r="J547" s="137" t="s">
        <v>129</v>
      </c>
      <c r="K547" s="137" t="s">
        <v>129</v>
      </c>
      <c r="L547" s="137" t="s">
        <v>129</v>
      </c>
      <c r="M547" s="141"/>
      <c r="N547" s="147"/>
    </row>
    <row r="548" hidden="1" outlineLevel="1">
      <c r="A548" s="303" t="s">
        <v>3330</v>
      </c>
      <c r="B548" s="344">
        <v>46182.0</v>
      </c>
      <c r="C548" s="133" t="str">
        <f t="shared" si="66"/>
        <v>Tue</v>
      </c>
      <c r="D548" s="383">
        <f t="shared" si="67"/>
        <v>1</v>
      </c>
      <c r="E548" s="147" t="s">
        <v>129</v>
      </c>
      <c r="F548" s="137" t="s">
        <v>129</v>
      </c>
      <c r="G548" s="137" t="s">
        <v>129</v>
      </c>
      <c r="H548" s="137" t="s">
        <v>129</v>
      </c>
      <c r="I548" s="137" t="s">
        <v>129</v>
      </c>
      <c r="J548" s="137" t="s">
        <v>129</v>
      </c>
      <c r="K548" s="137" t="s">
        <v>129</v>
      </c>
      <c r="L548" s="137" t="s">
        <v>129</v>
      </c>
      <c r="M548" s="141"/>
      <c r="N548" s="143"/>
    </row>
    <row r="549" hidden="1" outlineLevel="1">
      <c r="A549" s="303" t="s">
        <v>3333</v>
      </c>
      <c r="B549" s="344">
        <v>46182.0</v>
      </c>
      <c r="C549" s="133" t="str">
        <f t="shared" si="66"/>
        <v>Tue</v>
      </c>
      <c r="D549" s="381">
        <f t="shared" si="67"/>
        <v>1</v>
      </c>
      <c r="E549" s="382" t="s">
        <v>129</v>
      </c>
      <c r="F549" s="137" t="s">
        <v>129</v>
      </c>
      <c r="G549" s="137" t="s">
        <v>129</v>
      </c>
      <c r="H549" s="137" t="s">
        <v>129</v>
      </c>
      <c r="I549" s="137" t="s">
        <v>129</v>
      </c>
      <c r="J549" s="137" t="s">
        <v>129</v>
      </c>
      <c r="K549" s="137" t="s">
        <v>129</v>
      </c>
      <c r="L549" s="137" t="s">
        <v>129</v>
      </c>
      <c r="M549" s="141"/>
      <c r="N549" s="143"/>
    </row>
    <row r="550" hidden="1" outlineLevel="1">
      <c r="A550" s="303" t="s">
        <v>3335</v>
      </c>
      <c r="B550" s="344">
        <v>46182.0</v>
      </c>
      <c r="C550" s="133" t="str">
        <f t="shared" si="66"/>
        <v>Tue</v>
      </c>
      <c r="D550" s="383">
        <f t="shared" si="67"/>
        <v>1</v>
      </c>
      <c r="E550" s="147" t="s">
        <v>129</v>
      </c>
      <c r="F550" s="137" t="s">
        <v>129</v>
      </c>
      <c r="G550" s="137" t="s">
        <v>129</v>
      </c>
      <c r="H550" s="137" t="s">
        <v>129</v>
      </c>
      <c r="I550" s="137" t="s">
        <v>129</v>
      </c>
      <c r="J550" s="137" t="s">
        <v>129</v>
      </c>
      <c r="K550" s="137" t="s">
        <v>129</v>
      </c>
      <c r="L550" s="137" t="s">
        <v>129</v>
      </c>
      <c r="M550" s="141"/>
      <c r="N550" s="143"/>
    </row>
    <row r="551" hidden="1" outlineLevel="1">
      <c r="A551" s="255" t="s">
        <v>3338</v>
      </c>
      <c r="B551" s="344">
        <v>46185.0</v>
      </c>
      <c r="C551" s="133" t="str">
        <f t="shared" si="66"/>
        <v>Fri</v>
      </c>
      <c r="D551" s="381">
        <f t="shared" si="67"/>
        <v>1</v>
      </c>
      <c r="E551" s="382" t="s">
        <v>129</v>
      </c>
      <c r="F551" s="137" t="s">
        <v>129</v>
      </c>
      <c r="G551" s="137" t="s">
        <v>129</v>
      </c>
      <c r="H551" s="137" t="s">
        <v>129</v>
      </c>
      <c r="I551" s="137" t="s">
        <v>129</v>
      </c>
      <c r="J551" s="137" t="s">
        <v>129</v>
      </c>
      <c r="K551" s="137" t="s">
        <v>129</v>
      </c>
      <c r="L551" s="137" t="s">
        <v>129</v>
      </c>
      <c r="M551" s="141"/>
      <c r="N551" s="143"/>
    </row>
    <row r="552" hidden="1" outlineLevel="1">
      <c r="A552" s="255" t="s">
        <v>3341</v>
      </c>
      <c r="B552" s="344">
        <v>46185.0</v>
      </c>
      <c r="C552" s="133" t="str">
        <f t="shared" si="66"/>
        <v>Fri</v>
      </c>
      <c r="D552" s="383">
        <f t="shared" si="67"/>
        <v>1</v>
      </c>
      <c r="E552" s="147" t="s">
        <v>129</v>
      </c>
      <c r="F552" s="137" t="s">
        <v>129</v>
      </c>
      <c r="G552" s="137" t="s">
        <v>129</v>
      </c>
      <c r="H552" s="137" t="s">
        <v>129</v>
      </c>
      <c r="I552" s="137" t="s">
        <v>129</v>
      </c>
      <c r="J552" s="137" t="s">
        <v>129</v>
      </c>
      <c r="K552" s="137" t="s">
        <v>129</v>
      </c>
      <c r="L552" s="137" t="s">
        <v>129</v>
      </c>
      <c r="M552" s="141"/>
      <c r="N552" s="147"/>
    </row>
    <row r="553" hidden="1" outlineLevel="1">
      <c r="A553" s="255" t="s">
        <v>3343</v>
      </c>
      <c r="B553" s="344">
        <v>46185.0</v>
      </c>
      <c r="C553" s="133" t="str">
        <f t="shared" si="66"/>
        <v>Fri</v>
      </c>
      <c r="D553" s="381">
        <f t="shared" si="67"/>
        <v>1</v>
      </c>
      <c r="E553" s="382" t="s">
        <v>129</v>
      </c>
      <c r="F553" s="137" t="s">
        <v>129</v>
      </c>
      <c r="G553" s="137" t="s">
        <v>129</v>
      </c>
      <c r="H553" s="137" t="s">
        <v>129</v>
      </c>
      <c r="I553" s="137" t="s">
        <v>129</v>
      </c>
      <c r="J553" s="137" t="s">
        <v>129</v>
      </c>
      <c r="K553" s="137" t="s">
        <v>129</v>
      </c>
      <c r="L553" s="137" t="s">
        <v>129</v>
      </c>
      <c r="M553" s="141"/>
      <c r="N553" s="143"/>
    </row>
    <row r="554" hidden="1" outlineLevel="1">
      <c r="A554" s="255" t="s">
        <v>3345</v>
      </c>
      <c r="B554" s="344">
        <v>46186.0</v>
      </c>
      <c r="C554" s="133" t="str">
        <f t="shared" si="66"/>
        <v>Sat</v>
      </c>
      <c r="D554" s="383">
        <f t="shared" si="67"/>
        <v>1</v>
      </c>
      <c r="E554" s="147" t="s">
        <v>129</v>
      </c>
      <c r="F554" s="137" t="s">
        <v>129</v>
      </c>
      <c r="G554" s="137" t="s">
        <v>129</v>
      </c>
      <c r="H554" s="137" t="s">
        <v>129</v>
      </c>
      <c r="I554" s="137" t="s">
        <v>129</v>
      </c>
      <c r="J554" s="137" t="s">
        <v>129</v>
      </c>
      <c r="K554" s="137" t="s">
        <v>129</v>
      </c>
      <c r="L554" s="137" t="s">
        <v>129</v>
      </c>
      <c r="M554" s="141"/>
      <c r="N554" s="147"/>
    </row>
    <row r="555" hidden="1" outlineLevel="1">
      <c r="A555" s="255" t="s">
        <v>3348</v>
      </c>
      <c r="B555" s="344">
        <v>46186.0</v>
      </c>
      <c r="C555" s="133" t="str">
        <f t="shared" si="66"/>
        <v>Sat</v>
      </c>
      <c r="D555" s="381">
        <f t="shared" si="67"/>
        <v>1</v>
      </c>
      <c r="E555" s="382" t="s">
        <v>129</v>
      </c>
      <c r="F555" s="137" t="s">
        <v>129</v>
      </c>
      <c r="G555" s="137" t="s">
        <v>129</v>
      </c>
      <c r="H555" s="137" t="s">
        <v>129</v>
      </c>
      <c r="I555" s="137" t="s">
        <v>129</v>
      </c>
      <c r="J555" s="137" t="s">
        <v>129</v>
      </c>
      <c r="K555" s="137" t="s">
        <v>129</v>
      </c>
      <c r="L555" s="137" t="s">
        <v>129</v>
      </c>
      <c r="M555" s="141"/>
      <c r="N555" s="147"/>
    </row>
    <row r="556" hidden="1" outlineLevel="1">
      <c r="A556" s="255" t="s">
        <v>3350</v>
      </c>
      <c r="B556" s="344">
        <v>46186.0</v>
      </c>
      <c r="C556" s="133" t="str">
        <f t="shared" si="66"/>
        <v>Sat</v>
      </c>
      <c r="D556" s="383">
        <f t="shared" si="67"/>
        <v>1</v>
      </c>
      <c r="E556" s="147" t="s">
        <v>129</v>
      </c>
      <c r="F556" s="137" t="s">
        <v>129</v>
      </c>
      <c r="G556" s="137" t="s">
        <v>129</v>
      </c>
      <c r="H556" s="137" t="s">
        <v>129</v>
      </c>
      <c r="I556" s="137" t="s">
        <v>129</v>
      </c>
      <c r="J556" s="137" t="s">
        <v>129</v>
      </c>
      <c r="K556" s="137" t="s">
        <v>129</v>
      </c>
      <c r="L556" s="137" t="s">
        <v>129</v>
      </c>
      <c r="M556" s="141"/>
      <c r="N556" s="147"/>
    </row>
    <row r="557" hidden="1" outlineLevel="1">
      <c r="A557" s="255" t="s">
        <v>3352</v>
      </c>
      <c r="B557" s="344">
        <v>46187.0</v>
      </c>
      <c r="C557" s="133" t="str">
        <f t="shared" si="66"/>
        <v>Sun</v>
      </c>
      <c r="D557" s="381">
        <f t="shared" si="67"/>
        <v>1</v>
      </c>
      <c r="E557" s="382" t="s">
        <v>129</v>
      </c>
      <c r="F557" s="137" t="s">
        <v>129</v>
      </c>
      <c r="G557" s="137" t="s">
        <v>129</v>
      </c>
      <c r="H557" s="137" t="s">
        <v>129</v>
      </c>
      <c r="I557" s="137" t="s">
        <v>129</v>
      </c>
      <c r="J557" s="137" t="s">
        <v>129</v>
      </c>
      <c r="K557" s="137" t="s">
        <v>129</v>
      </c>
      <c r="L557" s="137" t="s">
        <v>129</v>
      </c>
      <c r="M557" s="141"/>
      <c r="N557" s="143"/>
    </row>
    <row r="558" hidden="1" outlineLevel="1">
      <c r="A558" s="255" t="s">
        <v>3354</v>
      </c>
      <c r="B558" s="344">
        <v>46187.0</v>
      </c>
      <c r="C558" s="133" t="str">
        <f t="shared" si="66"/>
        <v>Sun</v>
      </c>
      <c r="D558" s="383">
        <f t="shared" si="67"/>
        <v>1</v>
      </c>
      <c r="E558" s="147" t="s">
        <v>129</v>
      </c>
      <c r="F558" s="137" t="s">
        <v>129</v>
      </c>
      <c r="G558" s="137" t="s">
        <v>129</v>
      </c>
      <c r="H558" s="137" t="s">
        <v>129</v>
      </c>
      <c r="I558" s="137" t="s">
        <v>129</v>
      </c>
      <c r="J558" s="137" t="s">
        <v>129</v>
      </c>
      <c r="K558" s="137" t="s">
        <v>129</v>
      </c>
      <c r="L558" s="137" t="s">
        <v>129</v>
      </c>
      <c r="M558" s="141"/>
      <c r="N558" s="143"/>
    </row>
    <row r="559" ht="15.0" hidden="1" customHeight="1" outlineLevel="1">
      <c r="A559" s="255" t="s">
        <v>3356</v>
      </c>
      <c r="B559" s="344">
        <v>46187.0</v>
      </c>
      <c r="C559" s="133" t="str">
        <f t="shared" si="66"/>
        <v>Sun</v>
      </c>
      <c r="D559" s="381">
        <f t="shared" si="67"/>
        <v>1</v>
      </c>
      <c r="E559" s="382" t="s">
        <v>129</v>
      </c>
      <c r="F559" s="137" t="s">
        <v>129</v>
      </c>
      <c r="G559" s="137" t="s">
        <v>129</v>
      </c>
      <c r="H559" s="137" t="s">
        <v>129</v>
      </c>
      <c r="I559" s="137" t="s">
        <v>129</v>
      </c>
      <c r="J559" s="137" t="s">
        <v>129</v>
      </c>
      <c r="K559" s="137" t="s">
        <v>129</v>
      </c>
      <c r="L559" s="137" t="s">
        <v>129</v>
      </c>
      <c r="M559" s="141"/>
      <c r="N559" s="147"/>
    </row>
    <row r="560" hidden="1" outlineLevel="1">
      <c r="B560" s="189"/>
      <c r="C560" s="191" t="s">
        <v>194</v>
      </c>
      <c r="D560" s="204">
        <f>AVERAGE(D545:D559)</f>
        <v>1</v>
      </c>
      <c r="E560" s="384"/>
      <c r="L560" s="191" t="s">
        <v>194</v>
      </c>
      <c r="M560" s="204">
        <f>SUM(M545:M559)/75*0.1</f>
        <v>0</v>
      </c>
    </row>
    <row r="561" hidden="1" collapsed="1">
      <c r="A561" s="206" t="s">
        <v>1161</v>
      </c>
      <c r="B561" s="207"/>
      <c r="C561" s="207"/>
      <c r="D561" s="385"/>
      <c r="E561" s="109"/>
      <c r="F561" s="109"/>
      <c r="G561" s="110"/>
      <c r="H561" s="110"/>
      <c r="I561" s="110"/>
      <c r="J561" s="110"/>
      <c r="K561" s="110"/>
      <c r="L561" s="110"/>
      <c r="M561" s="111"/>
      <c r="N561" s="113"/>
    </row>
    <row r="562" hidden="1" outlineLevel="1">
      <c r="A562" s="373" t="s">
        <v>98</v>
      </c>
      <c r="B562" s="115" t="s">
        <v>100</v>
      </c>
      <c r="C562" s="115" t="s">
        <v>102</v>
      </c>
      <c r="D562" s="119" t="s">
        <v>103</v>
      </c>
      <c r="E562" s="275" t="s">
        <v>269</v>
      </c>
      <c r="F562" s="275" t="s">
        <v>272</v>
      </c>
      <c r="G562" s="276" t="s">
        <v>328</v>
      </c>
      <c r="H562" s="121" t="s">
        <v>107</v>
      </c>
      <c r="I562" s="121" t="s">
        <v>108</v>
      </c>
      <c r="J562" s="276" t="s">
        <v>329</v>
      </c>
      <c r="K562" s="121" t="s">
        <v>111</v>
      </c>
      <c r="L562" s="276" t="s">
        <v>274</v>
      </c>
      <c r="M562" s="115" t="s">
        <v>114</v>
      </c>
      <c r="N562" s="119" t="s">
        <v>115</v>
      </c>
    </row>
    <row r="563" hidden="1" outlineLevel="1">
      <c r="A563" s="412" t="s">
        <v>1162</v>
      </c>
      <c r="B563" s="344"/>
      <c r="C563" s="133" t="str">
        <f t="shared" ref="C563:C577" si="68">IF(B563="", "", TEXT(B563, "ddd"))</f>
        <v/>
      </c>
      <c r="D563" s="381">
        <f t="shared" ref="D563:D577" si="69">IF(E563="Yes",0.05,0)
+IF(F563="Yes",0.1,0)
+IF(G563="Yes",0.15,0)
+IF(H563="Yes",0.15,0)
+IF(I563="Yes",0.05,0)
+IF(J563="Yes",0.05,0)
+IF(K563="Yes",0.15,0)
+IF(L563="Yes",0.3,0)
</f>
        <v>1</v>
      </c>
      <c r="E563" s="382" t="s">
        <v>129</v>
      </c>
      <c r="F563" s="137" t="s">
        <v>129</v>
      </c>
      <c r="G563" s="137" t="s">
        <v>129</v>
      </c>
      <c r="H563" s="137" t="s">
        <v>129</v>
      </c>
      <c r="I563" s="137" t="s">
        <v>129</v>
      </c>
      <c r="J563" s="137" t="s">
        <v>129</v>
      </c>
      <c r="K563" s="137" t="s">
        <v>129</v>
      </c>
      <c r="L563" s="137" t="s">
        <v>129</v>
      </c>
      <c r="M563" s="141"/>
      <c r="N563" s="143"/>
    </row>
    <row r="564" hidden="1" outlineLevel="1">
      <c r="A564" s="412" t="s">
        <v>1162</v>
      </c>
      <c r="B564" s="344"/>
      <c r="C564" s="133" t="str">
        <f t="shared" si="68"/>
        <v/>
      </c>
      <c r="D564" s="383">
        <f t="shared" si="69"/>
        <v>1</v>
      </c>
      <c r="E564" s="147" t="s">
        <v>129</v>
      </c>
      <c r="F564" s="137" t="s">
        <v>129</v>
      </c>
      <c r="G564" s="137" t="s">
        <v>129</v>
      </c>
      <c r="H564" s="137" t="s">
        <v>129</v>
      </c>
      <c r="I564" s="137" t="s">
        <v>129</v>
      </c>
      <c r="J564" s="137" t="s">
        <v>129</v>
      </c>
      <c r="K564" s="137" t="s">
        <v>129</v>
      </c>
      <c r="L564" s="137" t="s">
        <v>129</v>
      </c>
      <c r="M564" s="141"/>
      <c r="N564" s="147"/>
    </row>
    <row r="565" hidden="1" outlineLevel="1">
      <c r="A565" s="412" t="s">
        <v>1162</v>
      </c>
      <c r="B565" s="344"/>
      <c r="C565" s="133" t="str">
        <f t="shared" si="68"/>
        <v/>
      </c>
      <c r="D565" s="381">
        <f t="shared" si="69"/>
        <v>1</v>
      </c>
      <c r="E565" s="382" t="s">
        <v>129</v>
      </c>
      <c r="F565" s="137" t="s">
        <v>129</v>
      </c>
      <c r="G565" s="137" t="s">
        <v>129</v>
      </c>
      <c r="H565" s="137" t="s">
        <v>129</v>
      </c>
      <c r="I565" s="137" t="s">
        <v>129</v>
      </c>
      <c r="J565" s="137" t="s">
        <v>129</v>
      </c>
      <c r="K565" s="137" t="s">
        <v>129</v>
      </c>
      <c r="L565" s="137" t="s">
        <v>129</v>
      </c>
      <c r="M565" s="141"/>
      <c r="N565" s="147"/>
    </row>
    <row r="566" hidden="1" outlineLevel="1">
      <c r="A566" s="412" t="s">
        <v>1162</v>
      </c>
      <c r="B566" s="344"/>
      <c r="C566" s="133" t="str">
        <f t="shared" si="68"/>
        <v/>
      </c>
      <c r="D566" s="383">
        <f t="shared" si="69"/>
        <v>1</v>
      </c>
      <c r="E566" s="147" t="s">
        <v>129</v>
      </c>
      <c r="F566" s="137" t="s">
        <v>129</v>
      </c>
      <c r="G566" s="137" t="s">
        <v>129</v>
      </c>
      <c r="H566" s="137" t="s">
        <v>129</v>
      </c>
      <c r="I566" s="137" t="s">
        <v>129</v>
      </c>
      <c r="J566" s="137" t="s">
        <v>129</v>
      </c>
      <c r="K566" s="137" t="s">
        <v>129</v>
      </c>
      <c r="L566" s="137" t="s">
        <v>129</v>
      </c>
      <c r="M566" s="141"/>
      <c r="N566" s="143"/>
    </row>
    <row r="567" hidden="1" outlineLevel="1">
      <c r="A567" s="412" t="s">
        <v>1162</v>
      </c>
      <c r="B567" s="344"/>
      <c r="C567" s="133" t="str">
        <f t="shared" si="68"/>
        <v/>
      </c>
      <c r="D567" s="381">
        <f t="shared" si="69"/>
        <v>1</v>
      </c>
      <c r="E567" s="382" t="s">
        <v>129</v>
      </c>
      <c r="F567" s="137" t="s">
        <v>129</v>
      </c>
      <c r="G567" s="137" t="s">
        <v>129</v>
      </c>
      <c r="H567" s="137" t="s">
        <v>129</v>
      </c>
      <c r="I567" s="137" t="s">
        <v>129</v>
      </c>
      <c r="J567" s="137" t="s">
        <v>129</v>
      </c>
      <c r="K567" s="137" t="s">
        <v>129</v>
      </c>
      <c r="L567" s="137" t="s">
        <v>129</v>
      </c>
      <c r="M567" s="141"/>
      <c r="N567" s="143"/>
    </row>
    <row r="568" hidden="1" outlineLevel="1">
      <c r="A568" s="412" t="s">
        <v>1162</v>
      </c>
      <c r="B568" s="344"/>
      <c r="C568" s="133" t="str">
        <f t="shared" si="68"/>
        <v/>
      </c>
      <c r="D568" s="383">
        <f t="shared" si="69"/>
        <v>1</v>
      </c>
      <c r="E568" s="147" t="s">
        <v>129</v>
      </c>
      <c r="F568" s="137" t="s">
        <v>129</v>
      </c>
      <c r="G568" s="137" t="s">
        <v>129</v>
      </c>
      <c r="H568" s="137" t="s">
        <v>129</v>
      </c>
      <c r="I568" s="137" t="s">
        <v>129</v>
      </c>
      <c r="J568" s="137" t="s">
        <v>129</v>
      </c>
      <c r="K568" s="137" t="s">
        <v>129</v>
      </c>
      <c r="L568" s="137" t="s">
        <v>129</v>
      </c>
      <c r="M568" s="141"/>
      <c r="N568" s="143"/>
    </row>
    <row r="569" hidden="1" outlineLevel="1">
      <c r="A569" s="412" t="s">
        <v>1162</v>
      </c>
      <c r="B569" s="344"/>
      <c r="C569" s="133" t="str">
        <f t="shared" si="68"/>
        <v/>
      </c>
      <c r="D569" s="381">
        <f t="shared" si="69"/>
        <v>1</v>
      </c>
      <c r="E569" s="382" t="s">
        <v>129</v>
      </c>
      <c r="F569" s="137" t="s">
        <v>129</v>
      </c>
      <c r="G569" s="137" t="s">
        <v>129</v>
      </c>
      <c r="H569" s="137" t="s">
        <v>129</v>
      </c>
      <c r="I569" s="137" t="s">
        <v>129</v>
      </c>
      <c r="J569" s="137" t="s">
        <v>129</v>
      </c>
      <c r="K569" s="137" t="s">
        <v>129</v>
      </c>
      <c r="L569" s="137" t="s">
        <v>129</v>
      </c>
      <c r="M569" s="141"/>
      <c r="N569" s="143"/>
    </row>
    <row r="570" hidden="1" outlineLevel="1">
      <c r="A570" s="412" t="s">
        <v>1162</v>
      </c>
      <c r="B570" s="344"/>
      <c r="C570" s="133" t="str">
        <f t="shared" si="68"/>
        <v/>
      </c>
      <c r="D570" s="383">
        <f t="shared" si="69"/>
        <v>1</v>
      </c>
      <c r="E570" s="147" t="s">
        <v>129</v>
      </c>
      <c r="F570" s="137" t="s">
        <v>129</v>
      </c>
      <c r="G570" s="137" t="s">
        <v>129</v>
      </c>
      <c r="H570" s="137" t="s">
        <v>129</v>
      </c>
      <c r="I570" s="137" t="s">
        <v>129</v>
      </c>
      <c r="J570" s="137" t="s">
        <v>129</v>
      </c>
      <c r="K570" s="137" t="s">
        <v>129</v>
      </c>
      <c r="L570" s="137" t="s">
        <v>129</v>
      </c>
      <c r="M570" s="141"/>
      <c r="N570" s="147"/>
    </row>
    <row r="571" hidden="1" outlineLevel="1">
      <c r="A571" s="412" t="s">
        <v>1162</v>
      </c>
      <c r="B571" s="344"/>
      <c r="C571" s="133" t="str">
        <f t="shared" si="68"/>
        <v/>
      </c>
      <c r="D571" s="381">
        <f t="shared" si="69"/>
        <v>1</v>
      </c>
      <c r="E571" s="382" t="s">
        <v>129</v>
      </c>
      <c r="F571" s="137" t="s">
        <v>129</v>
      </c>
      <c r="G571" s="137" t="s">
        <v>129</v>
      </c>
      <c r="H571" s="137" t="s">
        <v>129</v>
      </c>
      <c r="I571" s="137" t="s">
        <v>129</v>
      </c>
      <c r="J571" s="137" t="s">
        <v>129</v>
      </c>
      <c r="K571" s="137" t="s">
        <v>129</v>
      </c>
      <c r="L571" s="137" t="s">
        <v>129</v>
      </c>
      <c r="M571" s="141"/>
      <c r="N571" s="143"/>
    </row>
    <row r="572" hidden="1" outlineLevel="1">
      <c r="A572" s="412" t="s">
        <v>1162</v>
      </c>
      <c r="B572" s="344"/>
      <c r="C572" s="133" t="str">
        <f t="shared" si="68"/>
        <v/>
      </c>
      <c r="D572" s="383">
        <f t="shared" si="69"/>
        <v>1</v>
      </c>
      <c r="E572" s="147" t="s">
        <v>129</v>
      </c>
      <c r="F572" s="137" t="s">
        <v>129</v>
      </c>
      <c r="G572" s="137" t="s">
        <v>129</v>
      </c>
      <c r="H572" s="137" t="s">
        <v>129</v>
      </c>
      <c r="I572" s="137" t="s">
        <v>129</v>
      </c>
      <c r="J572" s="137" t="s">
        <v>129</v>
      </c>
      <c r="K572" s="137" t="s">
        <v>129</v>
      </c>
      <c r="L572" s="137" t="s">
        <v>129</v>
      </c>
      <c r="M572" s="141"/>
      <c r="N572" s="147"/>
    </row>
    <row r="573" hidden="1" outlineLevel="1">
      <c r="A573" s="412" t="s">
        <v>1162</v>
      </c>
      <c r="B573" s="344"/>
      <c r="C573" s="133" t="str">
        <f t="shared" si="68"/>
        <v/>
      </c>
      <c r="D573" s="381">
        <f t="shared" si="69"/>
        <v>1</v>
      </c>
      <c r="E573" s="382" t="s">
        <v>129</v>
      </c>
      <c r="F573" s="137" t="s">
        <v>129</v>
      </c>
      <c r="G573" s="137" t="s">
        <v>129</v>
      </c>
      <c r="H573" s="137" t="s">
        <v>129</v>
      </c>
      <c r="I573" s="137" t="s">
        <v>129</v>
      </c>
      <c r="J573" s="137" t="s">
        <v>129</v>
      </c>
      <c r="K573" s="137" t="s">
        <v>129</v>
      </c>
      <c r="L573" s="137" t="s">
        <v>129</v>
      </c>
      <c r="M573" s="141"/>
      <c r="N573" s="147"/>
    </row>
    <row r="574" hidden="1" outlineLevel="1">
      <c r="A574" s="412" t="s">
        <v>1162</v>
      </c>
      <c r="B574" s="344"/>
      <c r="C574" s="133" t="str">
        <f t="shared" si="68"/>
        <v/>
      </c>
      <c r="D574" s="383">
        <f t="shared" si="69"/>
        <v>1</v>
      </c>
      <c r="E574" s="147" t="s">
        <v>129</v>
      </c>
      <c r="F574" s="137" t="s">
        <v>129</v>
      </c>
      <c r="G574" s="137" t="s">
        <v>129</v>
      </c>
      <c r="H574" s="137" t="s">
        <v>129</v>
      </c>
      <c r="I574" s="137" t="s">
        <v>129</v>
      </c>
      <c r="J574" s="137" t="s">
        <v>129</v>
      </c>
      <c r="K574" s="137" t="s">
        <v>129</v>
      </c>
      <c r="L574" s="137" t="s">
        <v>129</v>
      </c>
      <c r="M574" s="141"/>
      <c r="N574" s="147"/>
    </row>
    <row r="575" hidden="1" outlineLevel="1">
      <c r="A575" s="412" t="s">
        <v>1162</v>
      </c>
      <c r="B575" s="344"/>
      <c r="C575" s="133" t="str">
        <f t="shared" si="68"/>
        <v/>
      </c>
      <c r="D575" s="381">
        <f t="shared" si="69"/>
        <v>1</v>
      </c>
      <c r="E575" s="382" t="s">
        <v>129</v>
      </c>
      <c r="F575" s="137" t="s">
        <v>129</v>
      </c>
      <c r="G575" s="137" t="s">
        <v>129</v>
      </c>
      <c r="H575" s="137" t="s">
        <v>129</v>
      </c>
      <c r="I575" s="137" t="s">
        <v>129</v>
      </c>
      <c r="J575" s="137" t="s">
        <v>129</v>
      </c>
      <c r="K575" s="137" t="s">
        <v>129</v>
      </c>
      <c r="L575" s="137" t="s">
        <v>129</v>
      </c>
      <c r="M575" s="141"/>
      <c r="N575" s="143"/>
    </row>
    <row r="576" hidden="1" outlineLevel="1">
      <c r="A576" s="412" t="s">
        <v>1162</v>
      </c>
      <c r="B576" s="344"/>
      <c r="C576" s="133" t="str">
        <f t="shared" si="68"/>
        <v/>
      </c>
      <c r="D576" s="383">
        <f t="shared" si="69"/>
        <v>1</v>
      </c>
      <c r="E576" s="147" t="s">
        <v>129</v>
      </c>
      <c r="F576" s="137" t="s">
        <v>129</v>
      </c>
      <c r="G576" s="137" t="s">
        <v>129</v>
      </c>
      <c r="H576" s="137" t="s">
        <v>129</v>
      </c>
      <c r="I576" s="137" t="s">
        <v>129</v>
      </c>
      <c r="J576" s="137" t="s">
        <v>129</v>
      </c>
      <c r="K576" s="137" t="s">
        <v>129</v>
      </c>
      <c r="L576" s="137" t="s">
        <v>129</v>
      </c>
      <c r="M576" s="141"/>
      <c r="N576" s="143"/>
    </row>
    <row r="577" ht="15.0" hidden="1" customHeight="1" outlineLevel="1">
      <c r="A577" s="412" t="s">
        <v>1162</v>
      </c>
      <c r="B577" s="344"/>
      <c r="C577" s="133" t="str">
        <f t="shared" si="68"/>
        <v/>
      </c>
      <c r="D577" s="381">
        <f t="shared" si="69"/>
        <v>1</v>
      </c>
      <c r="E577" s="382" t="s">
        <v>129</v>
      </c>
      <c r="F577" s="137" t="s">
        <v>129</v>
      </c>
      <c r="G577" s="137" t="s">
        <v>129</v>
      </c>
      <c r="H577" s="137" t="s">
        <v>129</v>
      </c>
      <c r="I577" s="137" t="s">
        <v>129</v>
      </c>
      <c r="J577" s="137" t="s">
        <v>129</v>
      </c>
      <c r="K577" s="137" t="s">
        <v>129</v>
      </c>
      <c r="L577" s="137" t="s">
        <v>129</v>
      </c>
      <c r="M577" s="141"/>
      <c r="N577" s="147"/>
    </row>
    <row r="578" hidden="1" outlineLevel="1">
      <c r="B578" s="189"/>
      <c r="C578" s="191" t="s">
        <v>194</v>
      </c>
      <c r="D578" s="204">
        <f>AVERAGE(D563:D577)</f>
        <v>1</v>
      </c>
      <c r="E578" s="384"/>
      <c r="L578" s="191" t="s">
        <v>194</v>
      </c>
      <c r="M578" s="204">
        <f>SUM(M563:M577)/75*0.1</f>
        <v>0</v>
      </c>
    </row>
    <row r="579" hidden="1" collapsed="1">
      <c r="A579" s="206" t="s">
        <v>1169</v>
      </c>
      <c r="B579" s="207"/>
      <c r="C579" s="207"/>
      <c r="D579" s="385"/>
      <c r="E579" s="109"/>
      <c r="F579" s="109"/>
      <c r="G579" s="110"/>
      <c r="H579" s="110"/>
      <c r="I579" s="110"/>
      <c r="J579" s="110"/>
      <c r="K579" s="110"/>
      <c r="L579" s="110"/>
      <c r="M579" s="111"/>
      <c r="N579" s="113"/>
    </row>
    <row r="580" hidden="1" outlineLevel="1">
      <c r="A580" s="373" t="s">
        <v>98</v>
      </c>
      <c r="B580" s="115" t="s">
        <v>100</v>
      </c>
      <c r="C580" s="115" t="s">
        <v>102</v>
      </c>
      <c r="D580" s="119" t="s">
        <v>103</v>
      </c>
      <c r="E580" s="275" t="s">
        <v>269</v>
      </c>
      <c r="F580" s="275" t="s">
        <v>272</v>
      </c>
      <c r="G580" s="276" t="s">
        <v>328</v>
      </c>
      <c r="H580" s="121" t="s">
        <v>107</v>
      </c>
      <c r="I580" s="121" t="s">
        <v>108</v>
      </c>
      <c r="J580" s="276" t="s">
        <v>329</v>
      </c>
      <c r="K580" s="121" t="s">
        <v>111</v>
      </c>
      <c r="L580" s="276" t="s">
        <v>274</v>
      </c>
      <c r="M580" s="115" t="s">
        <v>114</v>
      </c>
      <c r="N580" s="119" t="s">
        <v>115</v>
      </c>
    </row>
    <row r="581" hidden="1" outlineLevel="1">
      <c r="A581" s="303" t="s">
        <v>3373</v>
      </c>
      <c r="B581" s="344">
        <v>46195.0</v>
      </c>
      <c r="C581" s="133" t="str">
        <f t="shared" ref="C581:C595" si="70">IF(B581="", "", TEXT(B581, "ddd"))</f>
        <v>Mon</v>
      </c>
      <c r="D581" s="381">
        <f t="shared" ref="D581:D595" si="71">IF(E581="Yes",0.05,0)
+IF(F581="Yes",0.1,0)
+IF(G581="Yes",0.15,0)
+IF(H581="Yes",0.15,0)
+IF(I581="Yes",0.05,0)
+IF(J581="Yes",0.05,0)
+IF(K581="Yes",0.15,0)
+IF(L581="Yes",0.3,0)
</f>
        <v>1</v>
      </c>
      <c r="E581" s="382" t="s">
        <v>129</v>
      </c>
      <c r="F581" s="137" t="s">
        <v>129</v>
      </c>
      <c r="G581" s="137" t="s">
        <v>129</v>
      </c>
      <c r="H581" s="137" t="s">
        <v>129</v>
      </c>
      <c r="I581" s="137" t="s">
        <v>129</v>
      </c>
      <c r="J581" s="137" t="s">
        <v>129</v>
      </c>
      <c r="K581" s="137" t="s">
        <v>129</v>
      </c>
      <c r="L581" s="137" t="s">
        <v>129</v>
      </c>
      <c r="M581" s="141"/>
      <c r="N581" s="143"/>
    </row>
    <row r="582" hidden="1" outlineLevel="1">
      <c r="A582" s="303" t="s">
        <v>3376</v>
      </c>
      <c r="B582" s="344">
        <v>46195.0</v>
      </c>
      <c r="C582" s="133" t="str">
        <f t="shared" si="70"/>
        <v>Mon</v>
      </c>
      <c r="D582" s="383">
        <f t="shared" si="71"/>
        <v>1</v>
      </c>
      <c r="E582" s="147" t="s">
        <v>129</v>
      </c>
      <c r="F582" s="137" t="s">
        <v>129</v>
      </c>
      <c r="G582" s="137" t="s">
        <v>129</v>
      </c>
      <c r="H582" s="137" t="s">
        <v>129</v>
      </c>
      <c r="I582" s="137" t="s">
        <v>129</v>
      </c>
      <c r="J582" s="137" t="s">
        <v>129</v>
      </c>
      <c r="K582" s="137" t="s">
        <v>129</v>
      </c>
      <c r="L582" s="137" t="s">
        <v>129</v>
      </c>
      <c r="M582" s="141"/>
      <c r="N582" s="147"/>
    </row>
    <row r="583" hidden="1" outlineLevel="1">
      <c r="A583" s="303" t="s">
        <v>3381</v>
      </c>
      <c r="B583" s="344">
        <v>46195.0</v>
      </c>
      <c r="C583" s="133" t="str">
        <f t="shared" si="70"/>
        <v>Mon</v>
      </c>
      <c r="D583" s="381">
        <f t="shared" si="71"/>
        <v>1</v>
      </c>
      <c r="E583" s="382" t="s">
        <v>129</v>
      </c>
      <c r="F583" s="137" t="s">
        <v>129</v>
      </c>
      <c r="G583" s="137" t="s">
        <v>129</v>
      </c>
      <c r="H583" s="137" t="s">
        <v>129</v>
      </c>
      <c r="I583" s="137" t="s">
        <v>129</v>
      </c>
      <c r="J583" s="137" t="s">
        <v>129</v>
      </c>
      <c r="K583" s="137" t="s">
        <v>129</v>
      </c>
      <c r="L583" s="137" t="s">
        <v>129</v>
      </c>
      <c r="M583" s="141"/>
      <c r="N583" s="147"/>
    </row>
    <row r="584" hidden="1" outlineLevel="1">
      <c r="A584" s="303" t="s">
        <v>3385</v>
      </c>
      <c r="B584" s="344">
        <v>46196.0</v>
      </c>
      <c r="C584" s="133" t="str">
        <f t="shared" si="70"/>
        <v>Tue</v>
      </c>
      <c r="D584" s="383">
        <f t="shared" si="71"/>
        <v>1</v>
      </c>
      <c r="E584" s="147" t="s">
        <v>129</v>
      </c>
      <c r="F584" s="137" t="s">
        <v>129</v>
      </c>
      <c r="G584" s="137" t="s">
        <v>129</v>
      </c>
      <c r="H584" s="137" t="s">
        <v>129</v>
      </c>
      <c r="I584" s="137" t="s">
        <v>129</v>
      </c>
      <c r="J584" s="137" t="s">
        <v>129</v>
      </c>
      <c r="K584" s="137" t="s">
        <v>129</v>
      </c>
      <c r="L584" s="137" t="s">
        <v>129</v>
      </c>
      <c r="M584" s="141"/>
      <c r="N584" s="143"/>
    </row>
    <row r="585" hidden="1" outlineLevel="1">
      <c r="A585" s="303" t="s">
        <v>3387</v>
      </c>
      <c r="B585" s="344">
        <v>46196.0</v>
      </c>
      <c r="C585" s="133" t="str">
        <f t="shared" si="70"/>
        <v>Tue</v>
      </c>
      <c r="D585" s="381">
        <f t="shared" si="71"/>
        <v>1</v>
      </c>
      <c r="E585" s="382" t="s">
        <v>129</v>
      </c>
      <c r="F585" s="137" t="s">
        <v>129</v>
      </c>
      <c r="G585" s="137" t="s">
        <v>129</v>
      </c>
      <c r="H585" s="137" t="s">
        <v>129</v>
      </c>
      <c r="I585" s="137" t="s">
        <v>129</v>
      </c>
      <c r="J585" s="137" t="s">
        <v>129</v>
      </c>
      <c r="K585" s="137" t="s">
        <v>129</v>
      </c>
      <c r="L585" s="137" t="s">
        <v>129</v>
      </c>
      <c r="M585" s="141"/>
      <c r="N585" s="143"/>
    </row>
    <row r="586" hidden="1" outlineLevel="1">
      <c r="A586" s="303" t="s">
        <v>3391</v>
      </c>
      <c r="B586" s="344">
        <v>46196.0</v>
      </c>
      <c r="C586" s="133" t="str">
        <f t="shared" si="70"/>
        <v>Tue</v>
      </c>
      <c r="D586" s="383">
        <f t="shared" si="71"/>
        <v>1</v>
      </c>
      <c r="E586" s="147" t="s">
        <v>129</v>
      </c>
      <c r="F586" s="137" t="s">
        <v>129</v>
      </c>
      <c r="G586" s="137" t="s">
        <v>129</v>
      </c>
      <c r="H586" s="137" t="s">
        <v>129</v>
      </c>
      <c r="I586" s="137" t="s">
        <v>129</v>
      </c>
      <c r="J586" s="137" t="s">
        <v>129</v>
      </c>
      <c r="K586" s="137" t="s">
        <v>129</v>
      </c>
      <c r="L586" s="137" t="s">
        <v>129</v>
      </c>
      <c r="M586" s="141"/>
      <c r="N586" s="143"/>
    </row>
    <row r="587" hidden="1" outlineLevel="1">
      <c r="A587" s="303" t="s">
        <v>3393</v>
      </c>
      <c r="B587" s="344">
        <v>46197.0</v>
      </c>
      <c r="C587" s="133" t="str">
        <f t="shared" si="70"/>
        <v>Wed</v>
      </c>
      <c r="D587" s="381">
        <f t="shared" si="71"/>
        <v>1</v>
      </c>
      <c r="E587" s="382" t="s">
        <v>129</v>
      </c>
      <c r="F587" s="137" t="s">
        <v>129</v>
      </c>
      <c r="G587" s="137" t="s">
        <v>129</v>
      </c>
      <c r="H587" s="137" t="s">
        <v>129</v>
      </c>
      <c r="I587" s="137" t="s">
        <v>129</v>
      </c>
      <c r="J587" s="137" t="s">
        <v>129</v>
      </c>
      <c r="K587" s="137" t="s">
        <v>129</v>
      </c>
      <c r="L587" s="137" t="s">
        <v>129</v>
      </c>
      <c r="M587" s="141"/>
      <c r="N587" s="143"/>
    </row>
    <row r="588" hidden="1" outlineLevel="1">
      <c r="A588" s="303" t="s">
        <v>3400</v>
      </c>
      <c r="B588" s="344">
        <v>46197.0</v>
      </c>
      <c r="C588" s="133" t="str">
        <f t="shared" si="70"/>
        <v>Wed</v>
      </c>
      <c r="D588" s="383">
        <f t="shared" si="71"/>
        <v>1</v>
      </c>
      <c r="E588" s="147" t="s">
        <v>129</v>
      </c>
      <c r="F588" s="137" t="s">
        <v>129</v>
      </c>
      <c r="G588" s="137" t="s">
        <v>129</v>
      </c>
      <c r="H588" s="137" t="s">
        <v>129</v>
      </c>
      <c r="I588" s="137" t="s">
        <v>129</v>
      </c>
      <c r="J588" s="137" t="s">
        <v>129</v>
      </c>
      <c r="K588" s="137" t="s">
        <v>129</v>
      </c>
      <c r="L588" s="137" t="s">
        <v>129</v>
      </c>
      <c r="M588" s="141"/>
      <c r="N588" s="147"/>
    </row>
    <row r="589" hidden="1" outlineLevel="1">
      <c r="A589" s="303" t="s">
        <v>3405</v>
      </c>
      <c r="B589" s="344">
        <v>46197.0</v>
      </c>
      <c r="C589" s="133" t="str">
        <f t="shared" si="70"/>
        <v>Wed</v>
      </c>
      <c r="D589" s="381">
        <f t="shared" si="71"/>
        <v>1</v>
      </c>
      <c r="E589" s="382" t="s">
        <v>129</v>
      </c>
      <c r="F589" s="137" t="s">
        <v>129</v>
      </c>
      <c r="G589" s="137" t="s">
        <v>129</v>
      </c>
      <c r="H589" s="137" t="s">
        <v>129</v>
      </c>
      <c r="I589" s="137" t="s">
        <v>129</v>
      </c>
      <c r="J589" s="137" t="s">
        <v>129</v>
      </c>
      <c r="K589" s="137" t="s">
        <v>129</v>
      </c>
      <c r="L589" s="137" t="s">
        <v>129</v>
      </c>
      <c r="M589" s="141"/>
      <c r="N589" s="143"/>
    </row>
    <row r="590" hidden="1" outlineLevel="1">
      <c r="A590" s="378" t="s">
        <v>3408</v>
      </c>
      <c r="B590" s="344">
        <v>46200.0</v>
      </c>
      <c r="C590" s="133" t="str">
        <f t="shared" si="70"/>
        <v>Sat</v>
      </c>
      <c r="D590" s="383">
        <f t="shared" si="71"/>
        <v>1</v>
      </c>
      <c r="E590" s="147" t="s">
        <v>129</v>
      </c>
      <c r="F590" s="137" t="s">
        <v>129</v>
      </c>
      <c r="G590" s="137" t="s">
        <v>129</v>
      </c>
      <c r="H590" s="137" t="s">
        <v>129</v>
      </c>
      <c r="I590" s="137" t="s">
        <v>129</v>
      </c>
      <c r="J590" s="137" t="s">
        <v>129</v>
      </c>
      <c r="K590" s="137" t="s">
        <v>129</v>
      </c>
      <c r="L590" s="137" t="s">
        <v>129</v>
      </c>
      <c r="M590" s="141"/>
      <c r="N590" s="147"/>
    </row>
    <row r="591" hidden="1" outlineLevel="1">
      <c r="A591" s="303" t="s">
        <v>3411</v>
      </c>
      <c r="B591" s="344">
        <v>46200.0</v>
      </c>
      <c r="C591" s="133" t="str">
        <f t="shared" si="70"/>
        <v>Sat</v>
      </c>
      <c r="D591" s="381">
        <f t="shared" si="71"/>
        <v>1</v>
      </c>
      <c r="E591" s="382" t="s">
        <v>129</v>
      </c>
      <c r="F591" s="137" t="s">
        <v>129</v>
      </c>
      <c r="G591" s="137" t="s">
        <v>129</v>
      </c>
      <c r="H591" s="137" t="s">
        <v>129</v>
      </c>
      <c r="I591" s="137" t="s">
        <v>129</v>
      </c>
      <c r="J591" s="137" t="s">
        <v>129</v>
      </c>
      <c r="K591" s="137" t="s">
        <v>129</v>
      </c>
      <c r="L591" s="137" t="s">
        <v>129</v>
      </c>
      <c r="M591" s="141"/>
      <c r="N591" s="147"/>
    </row>
    <row r="592" hidden="1" outlineLevel="1">
      <c r="A592" s="303" t="s">
        <v>3413</v>
      </c>
      <c r="B592" s="344">
        <v>46200.0</v>
      </c>
      <c r="C592" s="133" t="str">
        <f t="shared" si="70"/>
        <v>Sat</v>
      </c>
      <c r="D592" s="383">
        <f t="shared" si="71"/>
        <v>1</v>
      </c>
      <c r="E592" s="147" t="s">
        <v>129</v>
      </c>
      <c r="F592" s="137" t="s">
        <v>129</v>
      </c>
      <c r="G592" s="137" t="s">
        <v>129</v>
      </c>
      <c r="H592" s="137" t="s">
        <v>129</v>
      </c>
      <c r="I592" s="137" t="s">
        <v>129</v>
      </c>
      <c r="J592" s="137" t="s">
        <v>129</v>
      </c>
      <c r="K592" s="137" t="s">
        <v>129</v>
      </c>
      <c r="L592" s="137" t="s">
        <v>129</v>
      </c>
      <c r="M592" s="141"/>
      <c r="N592" s="147"/>
    </row>
    <row r="593" hidden="1" outlineLevel="1">
      <c r="A593" s="303" t="s">
        <v>3418</v>
      </c>
      <c r="B593" s="344"/>
      <c r="C593" s="133" t="str">
        <f t="shared" si="70"/>
        <v/>
      </c>
      <c r="D593" s="381">
        <f t="shared" si="71"/>
        <v>1</v>
      </c>
      <c r="E593" s="382" t="s">
        <v>129</v>
      </c>
      <c r="F593" s="137" t="s">
        <v>129</v>
      </c>
      <c r="G593" s="137" t="s">
        <v>129</v>
      </c>
      <c r="H593" s="137" t="s">
        <v>129</v>
      </c>
      <c r="I593" s="137" t="s">
        <v>129</v>
      </c>
      <c r="J593" s="137" t="s">
        <v>129</v>
      </c>
      <c r="K593" s="137" t="s">
        <v>129</v>
      </c>
      <c r="L593" s="137" t="s">
        <v>129</v>
      </c>
      <c r="M593" s="141"/>
      <c r="N593" s="143"/>
    </row>
    <row r="594" hidden="1" outlineLevel="1">
      <c r="A594" s="303" t="s">
        <v>3422</v>
      </c>
      <c r="B594" s="344"/>
      <c r="C594" s="133" t="str">
        <f t="shared" si="70"/>
        <v/>
      </c>
      <c r="D594" s="383">
        <f t="shared" si="71"/>
        <v>1</v>
      </c>
      <c r="E594" s="147" t="s">
        <v>129</v>
      </c>
      <c r="F594" s="137" t="s">
        <v>129</v>
      </c>
      <c r="G594" s="137" t="s">
        <v>129</v>
      </c>
      <c r="H594" s="137" t="s">
        <v>129</v>
      </c>
      <c r="I594" s="137" t="s">
        <v>129</v>
      </c>
      <c r="J594" s="137" t="s">
        <v>129</v>
      </c>
      <c r="K594" s="137" t="s">
        <v>129</v>
      </c>
      <c r="L594" s="137" t="s">
        <v>129</v>
      </c>
      <c r="M594" s="141"/>
      <c r="N594" s="143"/>
    </row>
    <row r="595" ht="15.0" hidden="1" customHeight="1" outlineLevel="1">
      <c r="A595" s="303" t="s">
        <v>3424</v>
      </c>
      <c r="B595" s="344"/>
      <c r="C595" s="133" t="str">
        <f t="shared" si="70"/>
        <v/>
      </c>
      <c r="D595" s="381">
        <f t="shared" si="71"/>
        <v>1</v>
      </c>
      <c r="E595" s="382" t="s">
        <v>129</v>
      </c>
      <c r="F595" s="137" t="s">
        <v>129</v>
      </c>
      <c r="G595" s="137" t="s">
        <v>129</v>
      </c>
      <c r="H595" s="137" t="s">
        <v>129</v>
      </c>
      <c r="I595" s="137" t="s">
        <v>129</v>
      </c>
      <c r="J595" s="137" t="s">
        <v>129</v>
      </c>
      <c r="K595" s="137" t="s">
        <v>129</v>
      </c>
      <c r="L595" s="137" t="s">
        <v>129</v>
      </c>
      <c r="M595" s="141"/>
      <c r="N595" s="147"/>
    </row>
    <row r="596" hidden="1" outlineLevel="1">
      <c r="B596" s="189"/>
      <c r="C596" s="191" t="s">
        <v>194</v>
      </c>
      <c r="D596" s="204">
        <f>AVERAGE(D581:D595)</f>
        <v>1</v>
      </c>
      <c r="E596" s="384"/>
      <c r="L596" s="191" t="s">
        <v>194</v>
      </c>
      <c r="M596" s="204">
        <f>SUM(M581:M595)/75*0.1</f>
        <v>0</v>
      </c>
    </row>
    <row r="597" hidden="1" collapsed="1">
      <c r="A597" s="206" t="s">
        <v>1194</v>
      </c>
      <c r="B597" s="207"/>
      <c r="C597" s="207"/>
      <c r="D597" s="385"/>
      <c r="E597" s="109"/>
      <c r="F597" s="109"/>
      <c r="G597" s="110"/>
      <c r="H597" s="110"/>
      <c r="I597" s="110"/>
      <c r="J597" s="110"/>
      <c r="K597" s="110"/>
      <c r="L597" s="110"/>
      <c r="M597" s="111"/>
      <c r="N597" s="113"/>
    </row>
    <row r="598" hidden="1" outlineLevel="1">
      <c r="A598" s="373" t="s">
        <v>98</v>
      </c>
      <c r="B598" s="115" t="s">
        <v>100</v>
      </c>
      <c r="C598" s="115" t="s">
        <v>102</v>
      </c>
      <c r="D598" s="119" t="s">
        <v>103</v>
      </c>
      <c r="E598" s="275" t="s">
        <v>269</v>
      </c>
      <c r="F598" s="275" t="s">
        <v>272</v>
      </c>
      <c r="G598" s="276" t="s">
        <v>328</v>
      </c>
      <c r="H598" s="121" t="s">
        <v>107</v>
      </c>
      <c r="I598" s="121" t="s">
        <v>108</v>
      </c>
      <c r="J598" s="276" t="s">
        <v>329</v>
      </c>
      <c r="K598" s="121" t="s">
        <v>111</v>
      </c>
      <c r="L598" s="276" t="s">
        <v>274</v>
      </c>
      <c r="M598" s="115" t="s">
        <v>114</v>
      </c>
      <c r="N598" s="119" t="s">
        <v>115</v>
      </c>
    </row>
    <row r="599" hidden="1" outlineLevel="1">
      <c r="A599" s="303" t="s">
        <v>3434</v>
      </c>
      <c r="B599" s="344">
        <v>46202.0</v>
      </c>
      <c r="C599" s="133" t="str">
        <f t="shared" ref="C599:C613" si="72">IF(B599="", "", TEXT(B599, "ddd"))</f>
        <v>Mon</v>
      </c>
      <c r="D599" s="381">
        <f t="shared" ref="D599:D613" si="73">IF(E599="Yes",0.05,0)
+IF(F599="Yes",0.1,0)
+IF(G599="Yes",0.15,0)
+IF(H599="Yes",0.15,0)
+IF(I599="Yes",0.05,0)
+IF(J599="Yes",0.05,0)
+IF(K599="Yes",0.15,0)
+IF(L599="Yes",0.3,0)
</f>
        <v>1</v>
      </c>
      <c r="E599" s="382" t="s">
        <v>129</v>
      </c>
      <c r="F599" s="137" t="s">
        <v>129</v>
      </c>
      <c r="G599" s="137" t="s">
        <v>129</v>
      </c>
      <c r="H599" s="137" t="s">
        <v>129</v>
      </c>
      <c r="I599" s="137" t="s">
        <v>129</v>
      </c>
      <c r="J599" s="137" t="s">
        <v>129</v>
      </c>
      <c r="K599" s="137" t="s">
        <v>129</v>
      </c>
      <c r="L599" s="137" t="s">
        <v>129</v>
      </c>
      <c r="M599" s="141"/>
      <c r="N599" s="143"/>
    </row>
    <row r="600" hidden="1" outlineLevel="1">
      <c r="A600" s="303" t="s">
        <v>3440</v>
      </c>
      <c r="B600" s="344">
        <v>46202.0</v>
      </c>
      <c r="C600" s="133" t="str">
        <f t="shared" si="72"/>
        <v>Mon</v>
      </c>
      <c r="D600" s="383">
        <f t="shared" si="73"/>
        <v>1</v>
      </c>
      <c r="E600" s="147" t="s">
        <v>129</v>
      </c>
      <c r="F600" s="137" t="s">
        <v>129</v>
      </c>
      <c r="G600" s="137" t="s">
        <v>129</v>
      </c>
      <c r="H600" s="137" t="s">
        <v>129</v>
      </c>
      <c r="I600" s="137" t="s">
        <v>129</v>
      </c>
      <c r="J600" s="137" t="s">
        <v>129</v>
      </c>
      <c r="K600" s="137" t="s">
        <v>129</v>
      </c>
      <c r="L600" s="137" t="s">
        <v>129</v>
      </c>
      <c r="M600" s="141"/>
      <c r="N600" s="147"/>
    </row>
    <row r="601" hidden="1" outlineLevel="1">
      <c r="A601" s="303" t="s">
        <v>3443</v>
      </c>
      <c r="B601" s="344">
        <v>46202.0</v>
      </c>
      <c r="C601" s="133" t="str">
        <f t="shared" si="72"/>
        <v>Mon</v>
      </c>
      <c r="D601" s="381">
        <f t="shared" si="73"/>
        <v>1</v>
      </c>
      <c r="E601" s="382" t="s">
        <v>129</v>
      </c>
      <c r="F601" s="137" t="s">
        <v>129</v>
      </c>
      <c r="G601" s="137" t="s">
        <v>129</v>
      </c>
      <c r="H601" s="137" t="s">
        <v>129</v>
      </c>
      <c r="I601" s="137" t="s">
        <v>129</v>
      </c>
      <c r="J601" s="137" t="s">
        <v>129</v>
      </c>
      <c r="K601" s="137" t="s">
        <v>129</v>
      </c>
      <c r="L601" s="137" t="s">
        <v>129</v>
      </c>
      <c r="M601" s="141"/>
      <c r="N601" s="147"/>
    </row>
    <row r="602" hidden="1" outlineLevel="1">
      <c r="A602" s="303" t="s">
        <v>3445</v>
      </c>
      <c r="B602" s="344">
        <v>46203.0</v>
      </c>
      <c r="C602" s="133" t="str">
        <f t="shared" si="72"/>
        <v>Tue</v>
      </c>
      <c r="D602" s="383">
        <f t="shared" si="73"/>
        <v>1</v>
      </c>
      <c r="E602" s="147" t="s">
        <v>129</v>
      </c>
      <c r="F602" s="137" t="s">
        <v>129</v>
      </c>
      <c r="G602" s="137" t="s">
        <v>129</v>
      </c>
      <c r="H602" s="137" t="s">
        <v>129</v>
      </c>
      <c r="I602" s="137" t="s">
        <v>129</v>
      </c>
      <c r="J602" s="137" t="s">
        <v>129</v>
      </c>
      <c r="K602" s="137" t="s">
        <v>129</v>
      </c>
      <c r="L602" s="137" t="s">
        <v>129</v>
      </c>
      <c r="M602" s="141"/>
      <c r="N602" s="143"/>
    </row>
    <row r="603" hidden="1" outlineLevel="1">
      <c r="A603" s="303" t="s">
        <v>3448</v>
      </c>
      <c r="B603" s="344">
        <v>46203.0</v>
      </c>
      <c r="C603" s="133" t="str">
        <f t="shared" si="72"/>
        <v>Tue</v>
      </c>
      <c r="D603" s="381">
        <f t="shared" si="73"/>
        <v>1</v>
      </c>
      <c r="E603" s="382" t="s">
        <v>129</v>
      </c>
      <c r="F603" s="137" t="s">
        <v>129</v>
      </c>
      <c r="G603" s="137" t="s">
        <v>129</v>
      </c>
      <c r="H603" s="137" t="s">
        <v>129</v>
      </c>
      <c r="I603" s="137" t="s">
        <v>129</v>
      </c>
      <c r="J603" s="137" t="s">
        <v>129</v>
      </c>
      <c r="K603" s="137" t="s">
        <v>129</v>
      </c>
      <c r="L603" s="137" t="s">
        <v>129</v>
      </c>
      <c r="M603" s="141"/>
      <c r="N603" s="143"/>
    </row>
    <row r="604" hidden="1" outlineLevel="1">
      <c r="A604" s="303" t="s">
        <v>3451</v>
      </c>
      <c r="B604" s="344">
        <v>46203.0</v>
      </c>
      <c r="C604" s="133" t="str">
        <f t="shared" si="72"/>
        <v>Tue</v>
      </c>
      <c r="D604" s="383">
        <f t="shared" si="73"/>
        <v>1</v>
      </c>
      <c r="E604" s="147" t="s">
        <v>129</v>
      </c>
      <c r="F604" s="137" t="s">
        <v>129</v>
      </c>
      <c r="G604" s="137" t="s">
        <v>129</v>
      </c>
      <c r="H604" s="137" t="s">
        <v>129</v>
      </c>
      <c r="I604" s="137" t="s">
        <v>129</v>
      </c>
      <c r="J604" s="137" t="s">
        <v>129</v>
      </c>
      <c r="K604" s="137" t="s">
        <v>129</v>
      </c>
      <c r="L604" s="137" t="s">
        <v>129</v>
      </c>
      <c r="M604" s="141"/>
      <c r="N604" s="143"/>
    </row>
    <row r="605" hidden="1" outlineLevel="1">
      <c r="A605" s="303" t="s">
        <v>3454</v>
      </c>
      <c r="B605" s="344">
        <v>46204.0</v>
      </c>
      <c r="C605" s="133" t="str">
        <f t="shared" si="72"/>
        <v>Wed</v>
      </c>
      <c r="D605" s="381">
        <f t="shared" si="73"/>
        <v>1</v>
      </c>
      <c r="E605" s="382" t="s">
        <v>129</v>
      </c>
      <c r="F605" s="137" t="s">
        <v>129</v>
      </c>
      <c r="G605" s="137" t="s">
        <v>129</v>
      </c>
      <c r="H605" s="137" t="s">
        <v>129</v>
      </c>
      <c r="I605" s="137" t="s">
        <v>129</v>
      </c>
      <c r="J605" s="137" t="s">
        <v>129</v>
      </c>
      <c r="K605" s="137" t="s">
        <v>129</v>
      </c>
      <c r="L605" s="137" t="s">
        <v>129</v>
      </c>
      <c r="M605" s="141"/>
      <c r="N605" s="143"/>
    </row>
    <row r="606" hidden="1" outlineLevel="1">
      <c r="A606" s="303" t="s">
        <v>3459</v>
      </c>
      <c r="B606" s="344">
        <v>46204.0</v>
      </c>
      <c r="C606" s="133" t="str">
        <f t="shared" si="72"/>
        <v>Wed</v>
      </c>
      <c r="D606" s="383">
        <f t="shared" si="73"/>
        <v>1</v>
      </c>
      <c r="E606" s="147" t="s">
        <v>129</v>
      </c>
      <c r="F606" s="137" t="s">
        <v>129</v>
      </c>
      <c r="G606" s="137" t="s">
        <v>129</v>
      </c>
      <c r="H606" s="137" t="s">
        <v>129</v>
      </c>
      <c r="I606" s="137" t="s">
        <v>129</v>
      </c>
      <c r="J606" s="137" t="s">
        <v>129</v>
      </c>
      <c r="K606" s="137" t="s">
        <v>129</v>
      </c>
      <c r="L606" s="137" t="s">
        <v>129</v>
      </c>
      <c r="M606" s="141"/>
      <c r="N606" s="147"/>
    </row>
    <row r="607" hidden="1" outlineLevel="1">
      <c r="A607" s="303" t="s">
        <v>3465</v>
      </c>
      <c r="B607" s="344">
        <v>46204.0</v>
      </c>
      <c r="C607" s="133" t="str">
        <f t="shared" si="72"/>
        <v>Wed</v>
      </c>
      <c r="D607" s="381">
        <f t="shared" si="73"/>
        <v>1</v>
      </c>
      <c r="E607" s="382" t="s">
        <v>129</v>
      </c>
      <c r="F607" s="137" t="s">
        <v>129</v>
      </c>
      <c r="G607" s="137" t="s">
        <v>129</v>
      </c>
      <c r="H607" s="137" t="s">
        <v>129</v>
      </c>
      <c r="I607" s="137" t="s">
        <v>129</v>
      </c>
      <c r="J607" s="137" t="s">
        <v>129</v>
      </c>
      <c r="K607" s="137" t="s">
        <v>129</v>
      </c>
      <c r="L607" s="137" t="s">
        <v>129</v>
      </c>
      <c r="M607" s="141"/>
      <c r="N607" s="147"/>
    </row>
    <row r="608" hidden="1" outlineLevel="1">
      <c r="A608" s="303" t="s">
        <v>3468</v>
      </c>
      <c r="B608" s="344">
        <v>46207.0</v>
      </c>
      <c r="C608" s="133" t="str">
        <f t="shared" si="72"/>
        <v>Sat</v>
      </c>
      <c r="D608" s="383">
        <f t="shared" si="73"/>
        <v>1</v>
      </c>
      <c r="E608" s="147" t="s">
        <v>129</v>
      </c>
      <c r="F608" s="137" t="s">
        <v>129</v>
      </c>
      <c r="G608" s="137" t="s">
        <v>129</v>
      </c>
      <c r="H608" s="137" t="s">
        <v>129</v>
      </c>
      <c r="I608" s="137" t="s">
        <v>129</v>
      </c>
      <c r="J608" s="137" t="s">
        <v>129</v>
      </c>
      <c r="K608" s="137" t="s">
        <v>129</v>
      </c>
      <c r="L608" s="137" t="s">
        <v>129</v>
      </c>
      <c r="M608" s="141"/>
      <c r="N608" s="147"/>
    </row>
    <row r="609" hidden="1" outlineLevel="1">
      <c r="A609" s="303" t="s">
        <v>3469</v>
      </c>
      <c r="B609" s="344">
        <v>46207.0</v>
      </c>
      <c r="C609" s="133" t="str">
        <f t="shared" si="72"/>
        <v>Sat</v>
      </c>
      <c r="D609" s="381">
        <f t="shared" si="73"/>
        <v>1</v>
      </c>
      <c r="E609" s="382" t="s">
        <v>129</v>
      </c>
      <c r="F609" s="137" t="s">
        <v>129</v>
      </c>
      <c r="G609" s="137" t="s">
        <v>129</v>
      </c>
      <c r="H609" s="137" t="s">
        <v>129</v>
      </c>
      <c r="I609" s="137" t="s">
        <v>129</v>
      </c>
      <c r="J609" s="137" t="s">
        <v>129</v>
      </c>
      <c r="K609" s="137" t="s">
        <v>129</v>
      </c>
      <c r="L609" s="137" t="s">
        <v>129</v>
      </c>
      <c r="M609" s="141"/>
      <c r="N609" s="147"/>
    </row>
    <row r="610" hidden="1" outlineLevel="1">
      <c r="A610" s="303" t="s">
        <v>3472</v>
      </c>
      <c r="B610" s="344">
        <v>46207.0</v>
      </c>
      <c r="C610" s="133" t="str">
        <f t="shared" si="72"/>
        <v>Sat</v>
      </c>
      <c r="D610" s="383">
        <f t="shared" si="73"/>
        <v>1</v>
      </c>
      <c r="E610" s="147" t="s">
        <v>129</v>
      </c>
      <c r="F610" s="137" t="s">
        <v>129</v>
      </c>
      <c r="G610" s="137" t="s">
        <v>129</v>
      </c>
      <c r="H610" s="137" t="s">
        <v>129</v>
      </c>
      <c r="I610" s="137" t="s">
        <v>129</v>
      </c>
      <c r="J610" s="137" t="s">
        <v>129</v>
      </c>
      <c r="K610" s="137" t="s">
        <v>129</v>
      </c>
      <c r="L610" s="137" t="s">
        <v>129</v>
      </c>
      <c r="M610" s="141"/>
      <c r="N610" s="147"/>
    </row>
    <row r="611" hidden="1" outlineLevel="1">
      <c r="A611" s="303" t="s">
        <v>3475</v>
      </c>
      <c r="B611" s="344">
        <v>46208.0</v>
      </c>
      <c r="C611" s="133" t="str">
        <f t="shared" si="72"/>
        <v>Sun</v>
      </c>
      <c r="D611" s="381">
        <f t="shared" si="73"/>
        <v>1</v>
      </c>
      <c r="E611" s="382" t="s">
        <v>129</v>
      </c>
      <c r="F611" s="137" t="s">
        <v>129</v>
      </c>
      <c r="G611" s="137" t="s">
        <v>129</v>
      </c>
      <c r="H611" s="137" t="s">
        <v>129</v>
      </c>
      <c r="I611" s="137" t="s">
        <v>129</v>
      </c>
      <c r="J611" s="137" t="s">
        <v>129</v>
      </c>
      <c r="K611" s="137" t="s">
        <v>129</v>
      </c>
      <c r="L611" s="137" t="s">
        <v>129</v>
      </c>
      <c r="M611" s="141"/>
      <c r="N611" s="147"/>
    </row>
    <row r="612" hidden="1" outlineLevel="1">
      <c r="A612" s="303" t="s">
        <v>3477</v>
      </c>
      <c r="B612" s="344">
        <v>46208.0</v>
      </c>
      <c r="C612" s="133" t="str">
        <f t="shared" si="72"/>
        <v>Sun</v>
      </c>
      <c r="D612" s="383">
        <f t="shared" si="73"/>
        <v>1</v>
      </c>
      <c r="E612" s="147" t="s">
        <v>129</v>
      </c>
      <c r="F612" s="137" t="s">
        <v>129</v>
      </c>
      <c r="G612" s="137" t="s">
        <v>129</v>
      </c>
      <c r="H612" s="137" t="s">
        <v>129</v>
      </c>
      <c r="I612" s="137" t="s">
        <v>129</v>
      </c>
      <c r="J612" s="137" t="s">
        <v>129</v>
      </c>
      <c r="K612" s="137" t="s">
        <v>129</v>
      </c>
      <c r="L612" s="137" t="s">
        <v>129</v>
      </c>
      <c r="M612" s="141"/>
      <c r="N612" s="147"/>
    </row>
    <row r="613" ht="15.0" hidden="1" customHeight="1" outlineLevel="1">
      <c r="A613" s="303" t="s">
        <v>3486</v>
      </c>
      <c r="B613" s="344">
        <v>46208.0</v>
      </c>
      <c r="C613" s="133" t="str">
        <f t="shared" si="72"/>
        <v>Sun</v>
      </c>
      <c r="D613" s="381">
        <f t="shared" si="73"/>
        <v>1</v>
      </c>
      <c r="E613" s="382" t="s">
        <v>129</v>
      </c>
      <c r="F613" s="137" t="s">
        <v>129</v>
      </c>
      <c r="G613" s="137" t="s">
        <v>129</v>
      </c>
      <c r="H613" s="137" t="s">
        <v>129</v>
      </c>
      <c r="I613" s="137" t="s">
        <v>129</v>
      </c>
      <c r="J613" s="137" t="s">
        <v>129</v>
      </c>
      <c r="K613" s="137" t="s">
        <v>129</v>
      </c>
      <c r="L613" s="137" t="s">
        <v>129</v>
      </c>
      <c r="M613" s="141"/>
      <c r="N613" s="147"/>
    </row>
    <row r="614" hidden="1" outlineLevel="1">
      <c r="B614" s="189"/>
      <c r="C614" s="191" t="s">
        <v>194</v>
      </c>
      <c r="D614" s="204">
        <f>AVERAGE(D599:D613)</f>
        <v>1</v>
      </c>
      <c r="E614" s="384"/>
      <c r="L614" s="191" t="s">
        <v>194</v>
      </c>
      <c r="M614" s="204">
        <f>SUM(M599:M613)/75*0.1</f>
        <v>0</v>
      </c>
    </row>
    <row r="615" hidden="1" collapsed="1">
      <c r="A615" s="206" t="s">
        <v>1220</v>
      </c>
      <c r="B615" s="207"/>
      <c r="C615" s="207"/>
      <c r="D615" s="385"/>
      <c r="E615" s="109"/>
      <c r="F615" s="109"/>
      <c r="G615" s="110"/>
      <c r="H615" s="110"/>
      <c r="I615" s="110"/>
      <c r="J615" s="110"/>
      <c r="K615" s="110"/>
      <c r="L615" s="110"/>
      <c r="M615" s="111"/>
      <c r="N615" s="113"/>
    </row>
    <row r="616" hidden="1" outlineLevel="1">
      <c r="A616" s="373" t="s">
        <v>98</v>
      </c>
      <c r="B616" s="115" t="s">
        <v>100</v>
      </c>
      <c r="C616" s="115" t="s">
        <v>102</v>
      </c>
      <c r="D616" s="119" t="s">
        <v>103</v>
      </c>
      <c r="E616" s="275" t="s">
        <v>269</v>
      </c>
      <c r="F616" s="275" t="s">
        <v>272</v>
      </c>
      <c r="G616" s="276" t="s">
        <v>328</v>
      </c>
      <c r="H616" s="121" t="s">
        <v>107</v>
      </c>
      <c r="I616" s="121" t="s">
        <v>108</v>
      </c>
      <c r="J616" s="276" t="s">
        <v>329</v>
      </c>
      <c r="K616" s="121" t="s">
        <v>111</v>
      </c>
      <c r="L616" s="276" t="s">
        <v>274</v>
      </c>
      <c r="M616" s="115" t="s">
        <v>114</v>
      </c>
      <c r="N616" s="119" t="s">
        <v>115</v>
      </c>
    </row>
    <row r="617" hidden="1" outlineLevel="1">
      <c r="A617" s="303" t="s">
        <v>3492</v>
      </c>
      <c r="B617" s="344">
        <v>46209.0</v>
      </c>
      <c r="C617" s="133" t="str">
        <f t="shared" ref="C617:C631" si="74">IF(B617="", "", TEXT(B617, "ddd"))</f>
        <v>Mon</v>
      </c>
      <c r="D617" s="381">
        <f t="shared" ref="D617:D631" si="75">IF(E617="Yes",0.05,0)
+IF(F617="Yes",0.1,0)
+IF(G617="Yes",0.15,0)
+IF(H617="Yes",0.15,0)
+IF(I617="Yes",0.05,0)
+IF(J617="Yes",0.05,0)
+IF(K617="Yes",0.15,0)
+IF(L617="Yes",0.3,0)
</f>
        <v>1</v>
      </c>
      <c r="E617" s="382" t="s">
        <v>129</v>
      </c>
      <c r="F617" s="137" t="s">
        <v>129</v>
      </c>
      <c r="G617" s="137" t="s">
        <v>129</v>
      </c>
      <c r="H617" s="137" t="s">
        <v>129</v>
      </c>
      <c r="I617" s="137" t="s">
        <v>129</v>
      </c>
      <c r="J617" s="137" t="s">
        <v>129</v>
      </c>
      <c r="K617" s="137" t="s">
        <v>129</v>
      </c>
      <c r="L617" s="137" t="s">
        <v>129</v>
      </c>
      <c r="M617" s="141"/>
      <c r="N617" s="143"/>
    </row>
    <row r="618" hidden="1" outlineLevel="1">
      <c r="A618" s="303" t="s">
        <v>3497</v>
      </c>
      <c r="B618" s="344">
        <v>46209.0</v>
      </c>
      <c r="C618" s="133" t="str">
        <f t="shared" si="74"/>
        <v>Mon</v>
      </c>
      <c r="D618" s="383">
        <f t="shared" si="75"/>
        <v>1</v>
      </c>
      <c r="E618" s="147" t="s">
        <v>129</v>
      </c>
      <c r="F618" s="137" t="s">
        <v>129</v>
      </c>
      <c r="G618" s="137" t="s">
        <v>129</v>
      </c>
      <c r="H618" s="137" t="s">
        <v>129</v>
      </c>
      <c r="I618" s="137" t="s">
        <v>129</v>
      </c>
      <c r="J618" s="137" t="s">
        <v>129</v>
      </c>
      <c r="K618" s="137" t="s">
        <v>129</v>
      </c>
      <c r="L618" s="137" t="s">
        <v>129</v>
      </c>
      <c r="M618" s="141"/>
      <c r="N618" s="147"/>
    </row>
    <row r="619" hidden="1" outlineLevel="1">
      <c r="A619" s="303" t="s">
        <v>3500</v>
      </c>
      <c r="B619" s="344">
        <v>46209.0</v>
      </c>
      <c r="C619" s="133" t="str">
        <f t="shared" si="74"/>
        <v>Mon</v>
      </c>
      <c r="D619" s="381">
        <f t="shared" si="75"/>
        <v>1</v>
      </c>
      <c r="E619" s="382" t="s">
        <v>129</v>
      </c>
      <c r="F619" s="137" t="s">
        <v>129</v>
      </c>
      <c r="G619" s="137" t="s">
        <v>129</v>
      </c>
      <c r="H619" s="137" t="s">
        <v>129</v>
      </c>
      <c r="I619" s="137" t="s">
        <v>129</v>
      </c>
      <c r="J619" s="137" t="s">
        <v>129</v>
      </c>
      <c r="K619" s="137" t="s">
        <v>129</v>
      </c>
      <c r="L619" s="137" t="s">
        <v>129</v>
      </c>
      <c r="M619" s="141"/>
      <c r="N619" s="147"/>
    </row>
    <row r="620" hidden="1" outlineLevel="1">
      <c r="A620" s="303" t="s">
        <v>3505</v>
      </c>
      <c r="B620" s="344">
        <v>46210.0</v>
      </c>
      <c r="C620" s="133" t="str">
        <f t="shared" si="74"/>
        <v>Tue</v>
      </c>
      <c r="D620" s="383">
        <f t="shared" si="75"/>
        <v>1</v>
      </c>
      <c r="E620" s="147" t="s">
        <v>129</v>
      </c>
      <c r="F620" s="137" t="s">
        <v>129</v>
      </c>
      <c r="G620" s="137" t="s">
        <v>129</v>
      </c>
      <c r="H620" s="137" t="s">
        <v>129</v>
      </c>
      <c r="I620" s="137" t="s">
        <v>129</v>
      </c>
      <c r="J620" s="137" t="s">
        <v>129</v>
      </c>
      <c r="K620" s="137" t="s">
        <v>129</v>
      </c>
      <c r="L620" s="137" t="s">
        <v>129</v>
      </c>
      <c r="M620" s="141"/>
      <c r="N620" s="143"/>
    </row>
    <row r="621" hidden="1" outlineLevel="1">
      <c r="A621" s="303" t="s">
        <v>3507</v>
      </c>
      <c r="B621" s="344">
        <v>46210.0</v>
      </c>
      <c r="C621" s="133" t="str">
        <f t="shared" si="74"/>
        <v>Tue</v>
      </c>
      <c r="D621" s="381">
        <f t="shared" si="75"/>
        <v>1</v>
      </c>
      <c r="E621" s="382" t="s">
        <v>129</v>
      </c>
      <c r="F621" s="137" t="s">
        <v>129</v>
      </c>
      <c r="G621" s="137" t="s">
        <v>129</v>
      </c>
      <c r="H621" s="137" t="s">
        <v>129</v>
      </c>
      <c r="I621" s="137" t="s">
        <v>129</v>
      </c>
      <c r="J621" s="137" t="s">
        <v>129</v>
      </c>
      <c r="K621" s="137" t="s">
        <v>129</v>
      </c>
      <c r="L621" s="137" t="s">
        <v>129</v>
      </c>
      <c r="M621" s="141"/>
      <c r="N621" s="143"/>
    </row>
    <row r="622" hidden="1" outlineLevel="1">
      <c r="A622" s="303" t="s">
        <v>3509</v>
      </c>
      <c r="B622" s="344">
        <v>46210.0</v>
      </c>
      <c r="C622" s="133" t="str">
        <f t="shared" si="74"/>
        <v>Tue</v>
      </c>
      <c r="D622" s="383">
        <f t="shared" si="75"/>
        <v>1</v>
      </c>
      <c r="E622" s="147" t="s">
        <v>129</v>
      </c>
      <c r="F622" s="137" t="s">
        <v>129</v>
      </c>
      <c r="G622" s="137" t="s">
        <v>129</v>
      </c>
      <c r="H622" s="137" t="s">
        <v>129</v>
      </c>
      <c r="I622" s="137" t="s">
        <v>129</v>
      </c>
      <c r="J622" s="137" t="s">
        <v>129</v>
      </c>
      <c r="K622" s="137" t="s">
        <v>129</v>
      </c>
      <c r="L622" s="137" t="s">
        <v>129</v>
      </c>
      <c r="M622" s="141"/>
      <c r="N622" s="143"/>
    </row>
    <row r="623" hidden="1" outlineLevel="1">
      <c r="A623" s="303" t="s">
        <v>3512</v>
      </c>
      <c r="B623" s="344">
        <v>46211.0</v>
      </c>
      <c r="C623" s="133" t="str">
        <f t="shared" si="74"/>
        <v>Wed</v>
      </c>
      <c r="D623" s="381">
        <f t="shared" si="75"/>
        <v>1</v>
      </c>
      <c r="E623" s="382" t="s">
        <v>129</v>
      </c>
      <c r="F623" s="137" t="s">
        <v>129</v>
      </c>
      <c r="G623" s="137" t="s">
        <v>129</v>
      </c>
      <c r="H623" s="137" t="s">
        <v>129</v>
      </c>
      <c r="I623" s="137" t="s">
        <v>129</v>
      </c>
      <c r="J623" s="137" t="s">
        <v>129</v>
      </c>
      <c r="K623" s="137" t="s">
        <v>129</v>
      </c>
      <c r="L623" s="137" t="s">
        <v>129</v>
      </c>
      <c r="M623" s="141"/>
      <c r="N623" s="143"/>
    </row>
    <row r="624" hidden="1" outlineLevel="1">
      <c r="A624" s="303" t="s">
        <v>3514</v>
      </c>
      <c r="B624" s="344">
        <v>46211.0</v>
      </c>
      <c r="C624" s="133" t="str">
        <f t="shared" si="74"/>
        <v>Wed</v>
      </c>
      <c r="D624" s="383">
        <f t="shared" si="75"/>
        <v>1</v>
      </c>
      <c r="E624" s="147" t="s">
        <v>129</v>
      </c>
      <c r="F624" s="137" t="s">
        <v>129</v>
      </c>
      <c r="G624" s="137" t="s">
        <v>129</v>
      </c>
      <c r="H624" s="137" t="s">
        <v>129</v>
      </c>
      <c r="I624" s="137" t="s">
        <v>129</v>
      </c>
      <c r="J624" s="137" t="s">
        <v>129</v>
      </c>
      <c r="K624" s="137" t="s">
        <v>129</v>
      </c>
      <c r="L624" s="137" t="s">
        <v>129</v>
      </c>
      <c r="M624" s="141"/>
      <c r="N624" s="147"/>
    </row>
    <row r="625" hidden="1" outlineLevel="1">
      <c r="A625" s="303" t="s">
        <v>3519</v>
      </c>
      <c r="B625" s="344">
        <v>46211.0</v>
      </c>
      <c r="C625" s="133" t="str">
        <f t="shared" si="74"/>
        <v>Wed</v>
      </c>
      <c r="D625" s="381">
        <f t="shared" si="75"/>
        <v>1</v>
      </c>
      <c r="E625" s="382" t="s">
        <v>129</v>
      </c>
      <c r="F625" s="137" t="s">
        <v>129</v>
      </c>
      <c r="G625" s="137" t="s">
        <v>129</v>
      </c>
      <c r="H625" s="137" t="s">
        <v>129</v>
      </c>
      <c r="I625" s="137" t="s">
        <v>129</v>
      </c>
      <c r="J625" s="137" t="s">
        <v>129</v>
      </c>
      <c r="K625" s="137" t="s">
        <v>129</v>
      </c>
      <c r="L625" s="137" t="s">
        <v>129</v>
      </c>
      <c r="M625" s="141"/>
      <c r="N625" s="143"/>
    </row>
    <row r="626" hidden="1" outlineLevel="1">
      <c r="A626" s="255" t="s">
        <v>3520</v>
      </c>
      <c r="B626" s="344">
        <v>46214.0</v>
      </c>
      <c r="C626" s="133" t="str">
        <f t="shared" si="74"/>
        <v>Sat</v>
      </c>
      <c r="D626" s="383">
        <f t="shared" si="75"/>
        <v>1</v>
      </c>
      <c r="E626" s="147" t="s">
        <v>129</v>
      </c>
      <c r="F626" s="137" t="s">
        <v>129</v>
      </c>
      <c r="G626" s="137" t="s">
        <v>129</v>
      </c>
      <c r="H626" s="137" t="s">
        <v>129</v>
      </c>
      <c r="I626" s="137" t="s">
        <v>129</v>
      </c>
      <c r="J626" s="137" t="s">
        <v>129</v>
      </c>
      <c r="K626" s="137" t="s">
        <v>129</v>
      </c>
      <c r="L626" s="137" t="s">
        <v>129</v>
      </c>
      <c r="M626" s="141"/>
      <c r="N626" s="147"/>
    </row>
    <row r="627" hidden="1" outlineLevel="1">
      <c r="A627" s="255" t="s">
        <v>3523</v>
      </c>
      <c r="B627" s="344">
        <v>46214.0</v>
      </c>
      <c r="C627" s="133" t="str">
        <f t="shared" si="74"/>
        <v>Sat</v>
      </c>
      <c r="D627" s="381">
        <f t="shared" si="75"/>
        <v>1</v>
      </c>
      <c r="E627" s="382" t="s">
        <v>129</v>
      </c>
      <c r="F627" s="137" t="s">
        <v>129</v>
      </c>
      <c r="G627" s="137" t="s">
        <v>129</v>
      </c>
      <c r="H627" s="137" t="s">
        <v>129</v>
      </c>
      <c r="I627" s="137" t="s">
        <v>129</v>
      </c>
      <c r="J627" s="137" t="s">
        <v>129</v>
      </c>
      <c r="K627" s="137" t="s">
        <v>129</v>
      </c>
      <c r="L627" s="137" t="s">
        <v>129</v>
      </c>
      <c r="M627" s="141"/>
      <c r="N627" s="147"/>
    </row>
    <row r="628" hidden="1" outlineLevel="1">
      <c r="A628" s="255" t="s">
        <v>3527</v>
      </c>
      <c r="B628" s="344">
        <v>46214.0</v>
      </c>
      <c r="C628" s="133" t="str">
        <f t="shared" si="74"/>
        <v>Sat</v>
      </c>
      <c r="D628" s="383">
        <f t="shared" si="75"/>
        <v>1</v>
      </c>
      <c r="E628" s="147" t="s">
        <v>129</v>
      </c>
      <c r="F628" s="137" t="s">
        <v>129</v>
      </c>
      <c r="G628" s="137" t="s">
        <v>129</v>
      </c>
      <c r="H628" s="137" t="s">
        <v>129</v>
      </c>
      <c r="I628" s="137" t="s">
        <v>129</v>
      </c>
      <c r="J628" s="137" t="s">
        <v>129</v>
      </c>
      <c r="K628" s="137" t="s">
        <v>129</v>
      </c>
      <c r="L628" s="137" t="s">
        <v>129</v>
      </c>
      <c r="M628" s="141"/>
      <c r="N628" s="147"/>
    </row>
    <row r="629" hidden="1" outlineLevel="1">
      <c r="A629" s="255" t="s">
        <v>3531</v>
      </c>
      <c r="B629" s="344">
        <v>46215.0</v>
      </c>
      <c r="C629" s="133" t="str">
        <f t="shared" si="74"/>
        <v>Sun</v>
      </c>
      <c r="D629" s="381">
        <f t="shared" si="75"/>
        <v>1</v>
      </c>
      <c r="E629" s="382" t="s">
        <v>129</v>
      </c>
      <c r="F629" s="137" t="s">
        <v>129</v>
      </c>
      <c r="G629" s="137" t="s">
        <v>129</v>
      </c>
      <c r="H629" s="137" t="s">
        <v>129</v>
      </c>
      <c r="I629" s="137" t="s">
        <v>129</v>
      </c>
      <c r="J629" s="137" t="s">
        <v>129</v>
      </c>
      <c r="K629" s="137" t="s">
        <v>129</v>
      </c>
      <c r="L629" s="137" t="s">
        <v>129</v>
      </c>
      <c r="M629" s="141"/>
      <c r="N629" s="143"/>
    </row>
    <row r="630" hidden="1" outlineLevel="1">
      <c r="A630" s="255" t="s">
        <v>3533</v>
      </c>
      <c r="B630" s="344">
        <v>46215.0</v>
      </c>
      <c r="C630" s="133" t="str">
        <f t="shared" si="74"/>
        <v>Sun</v>
      </c>
      <c r="D630" s="383">
        <f t="shared" si="75"/>
        <v>1</v>
      </c>
      <c r="E630" s="147" t="s">
        <v>129</v>
      </c>
      <c r="F630" s="137" t="s">
        <v>129</v>
      </c>
      <c r="G630" s="137" t="s">
        <v>129</v>
      </c>
      <c r="H630" s="137" t="s">
        <v>129</v>
      </c>
      <c r="I630" s="137" t="s">
        <v>129</v>
      </c>
      <c r="J630" s="137" t="s">
        <v>129</v>
      </c>
      <c r="K630" s="137" t="s">
        <v>129</v>
      </c>
      <c r="L630" s="137" t="s">
        <v>129</v>
      </c>
      <c r="M630" s="141"/>
      <c r="N630" s="143"/>
    </row>
    <row r="631" ht="15.0" hidden="1" customHeight="1" outlineLevel="1">
      <c r="A631" s="255" t="s">
        <v>3536</v>
      </c>
      <c r="B631" s="344">
        <v>46215.0</v>
      </c>
      <c r="C631" s="133" t="str">
        <f t="shared" si="74"/>
        <v>Sun</v>
      </c>
      <c r="D631" s="381">
        <f t="shared" si="75"/>
        <v>1</v>
      </c>
      <c r="E631" s="382" t="s">
        <v>129</v>
      </c>
      <c r="F631" s="137" t="s">
        <v>129</v>
      </c>
      <c r="G631" s="137" t="s">
        <v>129</v>
      </c>
      <c r="H631" s="137" t="s">
        <v>129</v>
      </c>
      <c r="I631" s="137" t="s">
        <v>129</v>
      </c>
      <c r="J631" s="137" t="s">
        <v>129</v>
      </c>
      <c r="K631" s="137" t="s">
        <v>129</v>
      </c>
      <c r="L631" s="137" t="s">
        <v>129</v>
      </c>
      <c r="M631" s="141"/>
      <c r="N631" s="147"/>
    </row>
    <row r="632" hidden="1" outlineLevel="1">
      <c r="B632" s="189"/>
      <c r="C632" s="191" t="s">
        <v>194</v>
      </c>
      <c r="D632" s="204">
        <f>AVERAGE(D617:D631)</f>
        <v>1</v>
      </c>
      <c r="E632" s="384"/>
      <c r="L632" s="191" t="s">
        <v>194</v>
      </c>
      <c r="M632" s="204">
        <f>SUM(M617:M631)/75*0.1</f>
        <v>0</v>
      </c>
    </row>
    <row r="633" hidden="1" collapsed="1">
      <c r="A633" s="206" t="s">
        <v>1246</v>
      </c>
      <c r="B633" s="207"/>
      <c r="C633" s="207"/>
      <c r="D633" s="385"/>
      <c r="E633" s="109"/>
      <c r="F633" s="109"/>
      <c r="G633" s="110"/>
      <c r="H633" s="110"/>
      <c r="I633" s="110"/>
      <c r="J633" s="110"/>
      <c r="K633" s="110"/>
      <c r="L633" s="110"/>
      <c r="M633" s="111"/>
      <c r="N633" s="113"/>
    </row>
    <row r="634" hidden="1" outlineLevel="1">
      <c r="A634" s="373" t="s">
        <v>98</v>
      </c>
      <c r="B634" s="115" t="s">
        <v>100</v>
      </c>
      <c r="C634" s="115" t="s">
        <v>102</v>
      </c>
      <c r="D634" s="119" t="s">
        <v>103</v>
      </c>
      <c r="E634" s="275" t="s">
        <v>269</v>
      </c>
      <c r="F634" s="275" t="s">
        <v>272</v>
      </c>
      <c r="G634" s="276" t="s">
        <v>328</v>
      </c>
      <c r="H634" s="121" t="s">
        <v>107</v>
      </c>
      <c r="I634" s="121" t="s">
        <v>108</v>
      </c>
      <c r="J634" s="276" t="s">
        <v>329</v>
      </c>
      <c r="K634" s="121" t="s">
        <v>111</v>
      </c>
      <c r="L634" s="276" t="s">
        <v>274</v>
      </c>
      <c r="M634" s="115" t="s">
        <v>114</v>
      </c>
      <c r="N634" s="119" t="s">
        <v>115</v>
      </c>
    </row>
    <row r="635" hidden="1" outlineLevel="1">
      <c r="A635" s="303" t="s">
        <v>3541</v>
      </c>
      <c r="B635" s="344">
        <v>46216.0</v>
      </c>
      <c r="C635" s="133" t="str">
        <f t="shared" ref="C635:C649" si="76">IF(B635="", "", TEXT(B635, "ddd"))</f>
        <v>Mon</v>
      </c>
      <c r="D635" s="381">
        <f t="shared" ref="D635:D649" si="77">IF(E635="Yes",0.05,0)
+IF(F635="Yes",0.1,0)
+IF(G635="Yes",0.15,0)
+IF(H635="Yes",0.15,0)
+IF(I635="Yes",0.05,0)
+IF(J635="Yes",0.05,0)
+IF(K635="Yes",0.15,0)
+IF(L635="Yes",0.3,0)
</f>
        <v>1</v>
      </c>
      <c r="E635" s="382" t="s">
        <v>129</v>
      </c>
      <c r="F635" s="137" t="s">
        <v>129</v>
      </c>
      <c r="G635" s="137" t="s">
        <v>129</v>
      </c>
      <c r="H635" s="137" t="s">
        <v>129</v>
      </c>
      <c r="I635" s="137" t="s">
        <v>129</v>
      </c>
      <c r="J635" s="137" t="s">
        <v>129</v>
      </c>
      <c r="K635" s="137" t="s">
        <v>129</v>
      </c>
      <c r="L635" s="137" t="s">
        <v>129</v>
      </c>
      <c r="M635" s="141"/>
      <c r="N635" s="143"/>
    </row>
    <row r="636" hidden="1" outlineLevel="1">
      <c r="A636" s="255" t="s">
        <v>3545</v>
      </c>
      <c r="B636" s="344">
        <v>46216.0</v>
      </c>
      <c r="C636" s="133" t="str">
        <f t="shared" si="76"/>
        <v>Mon</v>
      </c>
      <c r="D636" s="383">
        <f t="shared" si="77"/>
        <v>1</v>
      </c>
      <c r="E636" s="147" t="s">
        <v>129</v>
      </c>
      <c r="F636" s="137" t="s">
        <v>129</v>
      </c>
      <c r="G636" s="137" t="s">
        <v>129</v>
      </c>
      <c r="H636" s="137" t="s">
        <v>129</v>
      </c>
      <c r="I636" s="137" t="s">
        <v>129</v>
      </c>
      <c r="J636" s="137" t="s">
        <v>129</v>
      </c>
      <c r="K636" s="137" t="s">
        <v>129</v>
      </c>
      <c r="L636" s="137" t="s">
        <v>129</v>
      </c>
      <c r="M636" s="141"/>
      <c r="N636" s="147"/>
    </row>
    <row r="637" hidden="1" outlineLevel="1">
      <c r="A637" s="255" t="s">
        <v>3547</v>
      </c>
      <c r="B637" s="344">
        <v>46216.0</v>
      </c>
      <c r="C637" s="133" t="str">
        <f t="shared" si="76"/>
        <v>Mon</v>
      </c>
      <c r="D637" s="381">
        <f t="shared" si="77"/>
        <v>1</v>
      </c>
      <c r="E637" s="382" t="s">
        <v>129</v>
      </c>
      <c r="F637" s="137" t="s">
        <v>129</v>
      </c>
      <c r="G637" s="137" t="s">
        <v>129</v>
      </c>
      <c r="H637" s="137" t="s">
        <v>129</v>
      </c>
      <c r="I637" s="137" t="s">
        <v>129</v>
      </c>
      <c r="J637" s="137" t="s">
        <v>129</v>
      </c>
      <c r="K637" s="137" t="s">
        <v>129</v>
      </c>
      <c r="L637" s="137" t="s">
        <v>129</v>
      </c>
      <c r="M637" s="141"/>
      <c r="N637" s="147"/>
    </row>
    <row r="638" hidden="1" outlineLevel="1">
      <c r="A638" s="255" t="s">
        <v>3549</v>
      </c>
      <c r="B638" s="344">
        <v>46217.0</v>
      </c>
      <c r="C638" s="133" t="str">
        <f t="shared" si="76"/>
        <v>Tue</v>
      </c>
      <c r="D638" s="383">
        <f t="shared" si="77"/>
        <v>1</v>
      </c>
      <c r="E638" s="147" t="s">
        <v>129</v>
      </c>
      <c r="F638" s="137" t="s">
        <v>129</v>
      </c>
      <c r="G638" s="137" t="s">
        <v>129</v>
      </c>
      <c r="H638" s="137" t="s">
        <v>129</v>
      </c>
      <c r="I638" s="137" t="s">
        <v>129</v>
      </c>
      <c r="J638" s="137" t="s">
        <v>129</v>
      </c>
      <c r="K638" s="137" t="s">
        <v>129</v>
      </c>
      <c r="L638" s="137" t="s">
        <v>129</v>
      </c>
      <c r="M638" s="141"/>
      <c r="N638" s="143"/>
    </row>
    <row r="639" hidden="1" outlineLevel="1">
      <c r="A639" s="255" t="s">
        <v>3552</v>
      </c>
      <c r="B639" s="344">
        <v>46217.0</v>
      </c>
      <c r="C639" s="133" t="str">
        <f t="shared" si="76"/>
        <v>Tue</v>
      </c>
      <c r="D639" s="381">
        <f t="shared" si="77"/>
        <v>1</v>
      </c>
      <c r="E639" s="382" t="s">
        <v>129</v>
      </c>
      <c r="F639" s="137" t="s">
        <v>129</v>
      </c>
      <c r="G639" s="137" t="s">
        <v>129</v>
      </c>
      <c r="H639" s="137" t="s">
        <v>129</v>
      </c>
      <c r="I639" s="137" t="s">
        <v>129</v>
      </c>
      <c r="J639" s="137" t="s">
        <v>129</v>
      </c>
      <c r="K639" s="137" t="s">
        <v>129</v>
      </c>
      <c r="L639" s="137" t="s">
        <v>129</v>
      </c>
      <c r="M639" s="141"/>
      <c r="N639" s="143"/>
    </row>
    <row r="640" hidden="1" outlineLevel="1">
      <c r="A640" s="255" t="s">
        <v>3558</v>
      </c>
      <c r="B640" s="344">
        <v>46217.0</v>
      </c>
      <c r="C640" s="133" t="str">
        <f t="shared" si="76"/>
        <v>Tue</v>
      </c>
      <c r="D640" s="383">
        <f t="shared" si="77"/>
        <v>1</v>
      </c>
      <c r="E640" s="147" t="s">
        <v>129</v>
      </c>
      <c r="F640" s="137" t="s">
        <v>129</v>
      </c>
      <c r="G640" s="137" t="s">
        <v>129</v>
      </c>
      <c r="H640" s="137" t="s">
        <v>129</v>
      </c>
      <c r="I640" s="137" t="s">
        <v>129</v>
      </c>
      <c r="J640" s="137" t="s">
        <v>129</v>
      </c>
      <c r="K640" s="137" t="s">
        <v>129</v>
      </c>
      <c r="L640" s="137" t="s">
        <v>129</v>
      </c>
      <c r="M640" s="141"/>
      <c r="N640" s="143"/>
    </row>
    <row r="641" hidden="1" outlineLevel="1">
      <c r="A641" s="255" t="s">
        <v>3560</v>
      </c>
      <c r="B641" s="344">
        <v>46218.0</v>
      </c>
      <c r="C641" s="133" t="str">
        <f t="shared" si="76"/>
        <v>Wed</v>
      </c>
      <c r="D641" s="381">
        <f t="shared" si="77"/>
        <v>1</v>
      </c>
      <c r="E641" s="382" t="s">
        <v>129</v>
      </c>
      <c r="F641" s="137" t="s">
        <v>129</v>
      </c>
      <c r="G641" s="137" t="s">
        <v>129</v>
      </c>
      <c r="H641" s="137" t="s">
        <v>129</v>
      </c>
      <c r="I641" s="137" t="s">
        <v>129</v>
      </c>
      <c r="J641" s="137" t="s">
        <v>129</v>
      </c>
      <c r="K641" s="137" t="s">
        <v>129</v>
      </c>
      <c r="L641" s="137" t="s">
        <v>129</v>
      </c>
      <c r="M641" s="141"/>
      <c r="N641" s="143"/>
    </row>
    <row r="642" hidden="1" outlineLevel="1">
      <c r="A642" s="255" t="s">
        <v>3563</v>
      </c>
      <c r="B642" s="344">
        <v>46218.0</v>
      </c>
      <c r="C642" s="133" t="str">
        <f t="shared" si="76"/>
        <v>Wed</v>
      </c>
      <c r="D642" s="383">
        <f t="shared" si="77"/>
        <v>1</v>
      </c>
      <c r="E642" s="147" t="s">
        <v>129</v>
      </c>
      <c r="F642" s="137" t="s">
        <v>129</v>
      </c>
      <c r="G642" s="137" t="s">
        <v>129</v>
      </c>
      <c r="H642" s="137" t="s">
        <v>129</v>
      </c>
      <c r="I642" s="137" t="s">
        <v>129</v>
      </c>
      <c r="J642" s="137" t="s">
        <v>129</v>
      </c>
      <c r="K642" s="137" t="s">
        <v>129</v>
      </c>
      <c r="L642" s="137" t="s">
        <v>129</v>
      </c>
      <c r="M642" s="141"/>
      <c r="N642" s="143"/>
    </row>
    <row r="643" hidden="1" outlineLevel="1">
      <c r="A643" s="255" t="s">
        <v>3564</v>
      </c>
      <c r="B643" s="344">
        <v>46218.0</v>
      </c>
      <c r="C643" s="133" t="str">
        <f t="shared" si="76"/>
        <v>Wed</v>
      </c>
      <c r="D643" s="381">
        <f t="shared" si="77"/>
        <v>1</v>
      </c>
      <c r="E643" s="382" t="s">
        <v>129</v>
      </c>
      <c r="F643" s="137" t="s">
        <v>129</v>
      </c>
      <c r="G643" s="137" t="s">
        <v>129</v>
      </c>
      <c r="H643" s="137" t="s">
        <v>129</v>
      </c>
      <c r="I643" s="137" t="s">
        <v>129</v>
      </c>
      <c r="J643" s="137" t="s">
        <v>129</v>
      </c>
      <c r="K643" s="137" t="s">
        <v>129</v>
      </c>
      <c r="L643" s="137" t="s">
        <v>129</v>
      </c>
      <c r="M643" s="141"/>
      <c r="N643" s="143"/>
    </row>
    <row r="644" hidden="1" outlineLevel="1">
      <c r="A644" s="255" t="s">
        <v>3567</v>
      </c>
      <c r="B644" s="344">
        <v>46219.0</v>
      </c>
      <c r="C644" s="133" t="str">
        <f t="shared" si="76"/>
        <v>Thu</v>
      </c>
      <c r="D644" s="383">
        <f t="shared" si="77"/>
        <v>1</v>
      </c>
      <c r="E644" s="147" t="s">
        <v>129</v>
      </c>
      <c r="F644" s="137" t="s">
        <v>129</v>
      </c>
      <c r="G644" s="137" t="s">
        <v>129</v>
      </c>
      <c r="H644" s="137" t="s">
        <v>129</v>
      </c>
      <c r="I644" s="137" t="s">
        <v>129</v>
      </c>
      <c r="J644" s="137" t="s">
        <v>129</v>
      </c>
      <c r="K644" s="137" t="s">
        <v>129</v>
      </c>
      <c r="L644" s="137" t="s">
        <v>129</v>
      </c>
      <c r="M644" s="141"/>
      <c r="N644" s="143"/>
    </row>
    <row r="645" hidden="1" outlineLevel="1">
      <c r="A645" s="255" t="s">
        <v>3569</v>
      </c>
      <c r="B645" s="344">
        <v>46219.0</v>
      </c>
      <c r="C645" s="133" t="str">
        <f t="shared" si="76"/>
        <v>Thu</v>
      </c>
      <c r="D645" s="381">
        <f t="shared" si="77"/>
        <v>1</v>
      </c>
      <c r="E645" s="382" t="s">
        <v>129</v>
      </c>
      <c r="F645" s="137" t="s">
        <v>129</v>
      </c>
      <c r="G645" s="137" t="s">
        <v>129</v>
      </c>
      <c r="H645" s="137" t="s">
        <v>129</v>
      </c>
      <c r="I645" s="137" t="s">
        <v>129</v>
      </c>
      <c r="J645" s="137" t="s">
        <v>129</v>
      </c>
      <c r="K645" s="137" t="s">
        <v>129</v>
      </c>
      <c r="L645" s="137" t="s">
        <v>129</v>
      </c>
      <c r="M645" s="141"/>
      <c r="N645" s="143"/>
    </row>
    <row r="646" hidden="1" outlineLevel="1">
      <c r="A646" s="255" t="s">
        <v>3575</v>
      </c>
      <c r="B646" s="344">
        <v>46219.0</v>
      </c>
      <c r="C646" s="133" t="str">
        <f t="shared" si="76"/>
        <v>Thu</v>
      </c>
      <c r="D646" s="383">
        <f t="shared" si="77"/>
        <v>1</v>
      </c>
      <c r="E646" s="147" t="s">
        <v>129</v>
      </c>
      <c r="F646" s="137" t="s">
        <v>129</v>
      </c>
      <c r="G646" s="137" t="s">
        <v>129</v>
      </c>
      <c r="H646" s="137" t="s">
        <v>129</v>
      </c>
      <c r="I646" s="137" t="s">
        <v>129</v>
      </c>
      <c r="J646" s="137" t="s">
        <v>129</v>
      </c>
      <c r="K646" s="137" t="s">
        <v>129</v>
      </c>
      <c r="L646" s="137" t="s">
        <v>129</v>
      </c>
      <c r="M646" s="141"/>
      <c r="N646" s="147"/>
    </row>
    <row r="647" hidden="1" outlineLevel="1">
      <c r="A647" s="255" t="s">
        <v>3578</v>
      </c>
      <c r="B647" s="344">
        <v>46220.0</v>
      </c>
      <c r="C647" s="133" t="str">
        <f t="shared" si="76"/>
        <v>Fri</v>
      </c>
      <c r="D647" s="381">
        <f t="shared" si="77"/>
        <v>1</v>
      </c>
      <c r="E647" s="382" t="s">
        <v>129</v>
      </c>
      <c r="F647" s="137" t="s">
        <v>129</v>
      </c>
      <c r="G647" s="137" t="s">
        <v>129</v>
      </c>
      <c r="H647" s="137" t="s">
        <v>129</v>
      </c>
      <c r="I647" s="137" t="s">
        <v>129</v>
      </c>
      <c r="J647" s="137" t="s">
        <v>129</v>
      </c>
      <c r="K647" s="137" t="s">
        <v>129</v>
      </c>
      <c r="L647" s="137" t="s">
        <v>129</v>
      </c>
      <c r="M647" s="141"/>
      <c r="N647" s="143"/>
    </row>
    <row r="648" hidden="1" outlineLevel="1">
      <c r="A648" s="255" t="s">
        <v>3582</v>
      </c>
      <c r="B648" s="344">
        <v>46220.0</v>
      </c>
      <c r="C648" s="133" t="str">
        <f t="shared" si="76"/>
        <v>Fri</v>
      </c>
      <c r="D648" s="383">
        <f t="shared" si="77"/>
        <v>1</v>
      </c>
      <c r="E648" s="147" t="s">
        <v>129</v>
      </c>
      <c r="F648" s="137" t="s">
        <v>129</v>
      </c>
      <c r="G648" s="137" t="s">
        <v>129</v>
      </c>
      <c r="H648" s="137" t="s">
        <v>129</v>
      </c>
      <c r="I648" s="137" t="s">
        <v>129</v>
      </c>
      <c r="J648" s="137" t="s">
        <v>129</v>
      </c>
      <c r="K648" s="137" t="s">
        <v>129</v>
      </c>
      <c r="L648" s="137" t="s">
        <v>129</v>
      </c>
      <c r="M648" s="141"/>
      <c r="N648" s="143"/>
    </row>
    <row r="649" ht="15.0" hidden="1" customHeight="1" outlineLevel="1">
      <c r="A649" s="255" t="s">
        <v>3586</v>
      </c>
      <c r="B649" s="344">
        <v>46220.0</v>
      </c>
      <c r="C649" s="133" t="str">
        <f t="shared" si="76"/>
        <v>Fri</v>
      </c>
      <c r="D649" s="381">
        <f t="shared" si="77"/>
        <v>1</v>
      </c>
      <c r="E649" s="382" t="s">
        <v>129</v>
      </c>
      <c r="F649" s="137" t="s">
        <v>129</v>
      </c>
      <c r="G649" s="137" t="s">
        <v>129</v>
      </c>
      <c r="H649" s="137" t="s">
        <v>129</v>
      </c>
      <c r="I649" s="137" t="s">
        <v>129</v>
      </c>
      <c r="J649" s="137" t="s">
        <v>129</v>
      </c>
      <c r="K649" s="137" t="s">
        <v>129</v>
      </c>
      <c r="L649" s="137" t="s">
        <v>129</v>
      </c>
      <c r="M649" s="141"/>
      <c r="N649" s="147"/>
    </row>
    <row r="650" hidden="1" outlineLevel="1">
      <c r="B650" s="189"/>
      <c r="C650" s="191" t="s">
        <v>194</v>
      </c>
      <c r="D650" s="204">
        <f>AVERAGE(D635:D649)</f>
        <v>1</v>
      </c>
      <c r="E650" s="384"/>
      <c r="L650" s="191" t="s">
        <v>194</v>
      </c>
      <c r="M650" s="204">
        <f>SUM(M635:M649)/75*0.1</f>
        <v>0</v>
      </c>
    </row>
    <row r="651" collapsed="1">
      <c r="A651" s="206" t="s">
        <v>1270</v>
      </c>
      <c r="B651" s="207"/>
      <c r="C651" s="207"/>
      <c r="D651" s="385"/>
      <c r="E651" s="109"/>
      <c r="F651" s="109"/>
      <c r="G651" s="110"/>
      <c r="H651" s="110"/>
      <c r="I651" s="110"/>
      <c r="J651" s="110"/>
      <c r="K651" s="110"/>
      <c r="L651" s="110"/>
      <c r="M651" s="111"/>
      <c r="N651" s="113"/>
    </row>
    <row r="652" hidden="1" outlineLevel="1">
      <c r="A652" s="373" t="s">
        <v>98</v>
      </c>
      <c r="B652" s="115" t="s">
        <v>100</v>
      </c>
      <c r="C652" s="115" t="s">
        <v>102</v>
      </c>
      <c r="D652" s="119" t="s">
        <v>103</v>
      </c>
      <c r="E652" s="275" t="s">
        <v>269</v>
      </c>
      <c r="F652" s="275" t="s">
        <v>272</v>
      </c>
      <c r="G652" s="276" t="s">
        <v>328</v>
      </c>
      <c r="H652" s="121" t="s">
        <v>107</v>
      </c>
      <c r="I652" s="121" t="s">
        <v>108</v>
      </c>
      <c r="J652" s="276" t="s">
        <v>329</v>
      </c>
      <c r="K652" s="121" t="s">
        <v>111</v>
      </c>
      <c r="L652" s="276" t="s">
        <v>274</v>
      </c>
      <c r="M652" s="115" t="s">
        <v>114</v>
      </c>
      <c r="N652" s="119" t="s">
        <v>115</v>
      </c>
    </row>
    <row r="653" hidden="1" outlineLevel="1">
      <c r="A653" s="303" t="s">
        <v>3589</v>
      </c>
      <c r="B653" s="344">
        <v>46223.0</v>
      </c>
      <c r="C653" s="133" t="str">
        <f t="shared" ref="C653:C667" si="78">IF(B653="", "", TEXT(B653, "ddd"))</f>
        <v>Mon</v>
      </c>
      <c r="D653" s="381">
        <f t="shared" ref="D653:D667" si="79">IF(E653="Yes",0.05,0)
+IF(F653="Yes",0.1,0)
+IF(G653="Yes",0.15,0)
+IF(H653="Yes",0.15,0)
+IF(I653="Yes",0.05,0)
+IF(J653="Yes",0.05,0)
+IF(K653="Yes",0.15,0)
+IF(L653="Yes",0.3,0)
</f>
        <v>1</v>
      </c>
      <c r="E653" s="382" t="s">
        <v>129</v>
      </c>
      <c r="F653" s="137" t="s">
        <v>129</v>
      </c>
      <c r="G653" s="137" t="s">
        <v>129</v>
      </c>
      <c r="H653" s="137" t="s">
        <v>129</v>
      </c>
      <c r="I653" s="137" t="s">
        <v>129</v>
      </c>
      <c r="J653" s="137" t="s">
        <v>129</v>
      </c>
      <c r="K653" s="137" t="s">
        <v>129</v>
      </c>
      <c r="L653" s="137" t="s">
        <v>129</v>
      </c>
      <c r="M653" s="141"/>
      <c r="N653" s="143"/>
    </row>
    <row r="654" hidden="1" outlineLevel="1">
      <c r="A654" s="303" t="s">
        <v>3596</v>
      </c>
      <c r="B654" s="344">
        <v>46223.0</v>
      </c>
      <c r="C654" s="133" t="str">
        <f t="shared" si="78"/>
        <v>Mon</v>
      </c>
      <c r="D654" s="383">
        <f t="shared" si="79"/>
        <v>1</v>
      </c>
      <c r="E654" s="147" t="s">
        <v>129</v>
      </c>
      <c r="F654" s="137" t="s">
        <v>129</v>
      </c>
      <c r="G654" s="137" t="s">
        <v>129</v>
      </c>
      <c r="H654" s="137" t="s">
        <v>129</v>
      </c>
      <c r="I654" s="137" t="s">
        <v>129</v>
      </c>
      <c r="J654" s="137" t="s">
        <v>129</v>
      </c>
      <c r="K654" s="137" t="s">
        <v>129</v>
      </c>
      <c r="L654" s="137" t="s">
        <v>129</v>
      </c>
      <c r="M654" s="141"/>
      <c r="N654" s="147"/>
    </row>
    <row r="655" hidden="1" outlineLevel="1">
      <c r="A655" s="303" t="s">
        <v>3598</v>
      </c>
      <c r="B655" s="344">
        <v>46223.0</v>
      </c>
      <c r="C655" s="133" t="str">
        <f t="shared" si="78"/>
        <v>Mon</v>
      </c>
      <c r="D655" s="381">
        <f t="shared" si="79"/>
        <v>1</v>
      </c>
      <c r="E655" s="382" t="s">
        <v>129</v>
      </c>
      <c r="F655" s="137" t="s">
        <v>129</v>
      </c>
      <c r="G655" s="137" t="s">
        <v>129</v>
      </c>
      <c r="H655" s="137" t="s">
        <v>129</v>
      </c>
      <c r="I655" s="137" t="s">
        <v>129</v>
      </c>
      <c r="J655" s="137" t="s">
        <v>129</v>
      </c>
      <c r="K655" s="137" t="s">
        <v>129</v>
      </c>
      <c r="L655" s="137" t="s">
        <v>129</v>
      </c>
      <c r="M655" s="141"/>
      <c r="N655" s="147"/>
    </row>
    <row r="656" hidden="1" outlineLevel="1">
      <c r="A656" s="303" t="s">
        <v>3599</v>
      </c>
      <c r="B656" s="344">
        <v>46224.0</v>
      </c>
      <c r="C656" s="133" t="str">
        <f t="shared" si="78"/>
        <v>Tue</v>
      </c>
      <c r="D656" s="383">
        <f t="shared" si="79"/>
        <v>1</v>
      </c>
      <c r="E656" s="147" t="s">
        <v>129</v>
      </c>
      <c r="F656" s="137" t="s">
        <v>129</v>
      </c>
      <c r="G656" s="137" t="s">
        <v>129</v>
      </c>
      <c r="H656" s="137" t="s">
        <v>129</v>
      </c>
      <c r="I656" s="137" t="s">
        <v>129</v>
      </c>
      <c r="J656" s="137" t="s">
        <v>129</v>
      </c>
      <c r="K656" s="137" t="s">
        <v>129</v>
      </c>
      <c r="L656" s="137" t="s">
        <v>129</v>
      </c>
      <c r="M656" s="141"/>
      <c r="N656" s="143"/>
    </row>
    <row r="657" hidden="1" outlineLevel="1">
      <c r="A657" s="303" t="s">
        <v>3603</v>
      </c>
      <c r="B657" s="344">
        <v>46224.0</v>
      </c>
      <c r="C657" s="133" t="str">
        <f t="shared" si="78"/>
        <v>Tue</v>
      </c>
      <c r="D657" s="381">
        <f t="shared" si="79"/>
        <v>1</v>
      </c>
      <c r="E657" s="382" t="s">
        <v>129</v>
      </c>
      <c r="F657" s="137" t="s">
        <v>129</v>
      </c>
      <c r="G657" s="137" t="s">
        <v>129</v>
      </c>
      <c r="H657" s="137" t="s">
        <v>129</v>
      </c>
      <c r="I657" s="137" t="s">
        <v>129</v>
      </c>
      <c r="J657" s="137" t="s">
        <v>129</v>
      </c>
      <c r="K657" s="137" t="s">
        <v>129</v>
      </c>
      <c r="L657" s="137" t="s">
        <v>129</v>
      </c>
      <c r="M657" s="141"/>
      <c r="N657" s="143"/>
    </row>
    <row r="658" hidden="1" outlineLevel="1">
      <c r="A658" s="303" t="s">
        <v>3604</v>
      </c>
      <c r="B658" s="344">
        <v>46224.0</v>
      </c>
      <c r="C658" s="133" t="str">
        <f t="shared" si="78"/>
        <v>Tue</v>
      </c>
      <c r="D658" s="383">
        <f t="shared" si="79"/>
        <v>1</v>
      </c>
      <c r="E658" s="147" t="s">
        <v>129</v>
      </c>
      <c r="F658" s="137" t="s">
        <v>129</v>
      </c>
      <c r="G658" s="137" t="s">
        <v>129</v>
      </c>
      <c r="H658" s="137" t="s">
        <v>129</v>
      </c>
      <c r="I658" s="137" t="s">
        <v>129</v>
      </c>
      <c r="J658" s="137" t="s">
        <v>129</v>
      </c>
      <c r="K658" s="137" t="s">
        <v>129</v>
      </c>
      <c r="L658" s="137" t="s">
        <v>129</v>
      </c>
      <c r="M658" s="141"/>
      <c r="N658" s="143"/>
    </row>
    <row r="659" hidden="1" outlineLevel="1">
      <c r="A659" s="303" t="s">
        <v>3607</v>
      </c>
      <c r="B659" s="344">
        <v>46225.0</v>
      </c>
      <c r="C659" s="133" t="str">
        <f t="shared" si="78"/>
        <v>Wed</v>
      </c>
      <c r="D659" s="381">
        <f t="shared" si="79"/>
        <v>1</v>
      </c>
      <c r="E659" s="382" t="s">
        <v>129</v>
      </c>
      <c r="F659" s="137" t="s">
        <v>129</v>
      </c>
      <c r="G659" s="137" t="s">
        <v>129</v>
      </c>
      <c r="H659" s="137" t="s">
        <v>129</v>
      </c>
      <c r="I659" s="137" t="s">
        <v>129</v>
      </c>
      <c r="J659" s="137" t="s">
        <v>129</v>
      </c>
      <c r="K659" s="137" t="s">
        <v>129</v>
      </c>
      <c r="L659" s="137" t="s">
        <v>129</v>
      </c>
      <c r="M659" s="141"/>
      <c r="N659" s="143"/>
    </row>
    <row r="660" hidden="1" outlineLevel="1">
      <c r="A660" s="303" t="s">
        <v>3609</v>
      </c>
      <c r="B660" s="344">
        <v>46225.0</v>
      </c>
      <c r="C660" s="133" t="str">
        <f t="shared" si="78"/>
        <v>Wed</v>
      </c>
      <c r="D660" s="383">
        <f t="shared" si="79"/>
        <v>1</v>
      </c>
      <c r="E660" s="147" t="s">
        <v>129</v>
      </c>
      <c r="F660" s="137" t="s">
        <v>129</v>
      </c>
      <c r="G660" s="137" t="s">
        <v>129</v>
      </c>
      <c r="H660" s="137" t="s">
        <v>129</v>
      </c>
      <c r="I660" s="137" t="s">
        <v>129</v>
      </c>
      <c r="J660" s="137" t="s">
        <v>129</v>
      </c>
      <c r="K660" s="137" t="s">
        <v>129</v>
      </c>
      <c r="L660" s="137" t="s">
        <v>129</v>
      </c>
      <c r="M660" s="141"/>
      <c r="N660" s="147"/>
    </row>
    <row r="661" hidden="1" outlineLevel="1">
      <c r="A661" s="303" t="s">
        <v>3613</v>
      </c>
      <c r="B661" s="344">
        <v>46225.0</v>
      </c>
      <c r="C661" s="133" t="str">
        <f t="shared" si="78"/>
        <v>Wed</v>
      </c>
      <c r="D661" s="381">
        <f t="shared" si="79"/>
        <v>1</v>
      </c>
      <c r="E661" s="382" t="s">
        <v>129</v>
      </c>
      <c r="F661" s="137" t="s">
        <v>129</v>
      </c>
      <c r="G661" s="137" t="s">
        <v>129</v>
      </c>
      <c r="H661" s="137" t="s">
        <v>129</v>
      </c>
      <c r="I661" s="137" t="s">
        <v>129</v>
      </c>
      <c r="J661" s="137" t="s">
        <v>129</v>
      </c>
      <c r="K661" s="137" t="s">
        <v>129</v>
      </c>
      <c r="L661" s="137" t="s">
        <v>129</v>
      </c>
      <c r="M661" s="141"/>
      <c r="N661" s="143"/>
    </row>
    <row r="662" hidden="1" outlineLevel="1">
      <c r="A662" s="303" t="s">
        <v>3619</v>
      </c>
      <c r="B662" s="344">
        <v>46226.0</v>
      </c>
      <c r="C662" s="133" t="str">
        <f t="shared" si="78"/>
        <v>Thu</v>
      </c>
      <c r="D662" s="383">
        <f t="shared" si="79"/>
        <v>1</v>
      </c>
      <c r="E662" s="147" t="s">
        <v>129</v>
      </c>
      <c r="F662" s="137" t="s">
        <v>129</v>
      </c>
      <c r="G662" s="137" t="s">
        <v>129</v>
      </c>
      <c r="H662" s="137" t="s">
        <v>129</v>
      </c>
      <c r="I662" s="137" t="s">
        <v>129</v>
      </c>
      <c r="J662" s="137" t="s">
        <v>129</v>
      </c>
      <c r="K662" s="137" t="s">
        <v>129</v>
      </c>
      <c r="L662" s="137" t="s">
        <v>129</v>
      </c>
      <c r="M662" s="141"/>
      <c r="N662" s="147"/>
    </row>
    <row r="663" hidden="1" outlineLevel="1">
      <c r="A663" s="303" t="s">
        <v>3622</v>
      </c>
      <c r="B663" s="344">
        <v>46226.0</v>
      </c>
      <c r="C663" s="133" t="str">
        <f t="shared" si="78"/>
        <v>Thu</v>
      </c>
      <c r="D663" s="381">
        <f t="shared" si="79"/>
        <v>1</v>
      </c>
      <c r="E663" s="382" t="s">
        <v>129</v>
      </c>
      <c r="F663" s="137" t="s">
        <v>129</v>
      </c>
      <c r="G663" s="137" t="s">
        <v>129</v>
      </c>
      <c r="H663" s="137" t="s">
        <v>129</v>
      </c>
      <c r="I663" s="137" t="s">
        <v>129</v>
      </c>
      <c r="J663" s="137" t="s">
        <v>129</v>
      </c>
      <c r="K663" s="137" t="s">
        <v>129</v>
      </c>
      <c r="L663" s="137" t="s">
        <v>129</v>
      </c>
      <c r="M663" s="141"/>
      <c r="N663" s="147"/>
    </row>
    <row r="664" hidden="1" outlineLevel="1">
      <c r="A664" s="303" t="s">
        <v>3624</v>
      </c>
      <c r="B664" s="344">
        <v>46226.0</v>
      </c>
      <c r="C664" s="133" t="str">
        <f t="shared" si="78"/>
        <v>Thu</v>
      </c>
      <c r="D664" s="383">
        <f t="shared" si="79"/>
        <v>1</v>
      </c>
      <c r="E664" s="147" t="s">
        <v>129</v>
      </c>
      <c r="F664" s="137" t="s">
        <v>129</v>
      </c>
      <c r="G664" s="137" t="s">
        <v>129</v>
      </c>
      <c r="H664" s="137" t="s">
        <v>129</v>
      </c>
      <c r="I664" s="137" t="s">
        <v>129</v>
      </c>
      <c r="J664" s="137" t="s">
        <v>129</v>
      </c>
      <c r="K664" s="137" t="s">
        <v>129</v>
      </c>
      <c r="L664" s="137" t="s">
        <v>129</v>
      </c>
      <c r="M664" s="141"/>
      <c r="N664" s="147"/>
    </row>
    <row r="665" hidden="1" outlineLevel="1">
      <c r="A665" s="303" t="s">
        <v>3629</v>
      </c>
      <c r="B665" s="344">
        <v>46229.0</v>
      </c>
      <c r="C665" s="133" t="str">
        <f t="shared" si="78"/>
        <v>Sun</v>
      </c>
      <c r="D665" s="381">
        <f t="shared" si="79"/>
        <v>1</v>
      </c>
      <c r="E665" s="382" t="s">
        <v>129</v>
      </c>
      <c r="F665" s="137" t="s">
        <v>129</v>
      </c>
      <c r="G665" s="137" t="s">
        <v>129</v>
      </c>
      <c r="H665" s="137" t="s">
        <v>129</v>
      </c>
      <c r="I665" s="137" t="s">
        <v>129</v>
      </c>
      <c r="J665" s="137" t="s">
        <v>129</v>
      </c>
      <c r="K665" s="137" t="s">
        <v>129</v>
      </c>
      <c r="L665" s="137" t="s">
        <v>129</v>
      </c>
      <c r="M665" s="141"/>
      <c r="N665" s="143"/>
    </row>
    <row r="666" hidden="1" outlineLevel="1">
      <c r="A666" s="303" t="s">
        <v>3636</v>
      </c>
      <c r="B666" s="344">
        <v>46229.0</v>
      </c>
      <c r="C666" s="133" t="str">
        <f t="shared" si="78"/>
        <v>Sun</v>
      </c>
      <c r="D666" s="383">
        <f t="shared" si="79"/>
        <v>1</v>
      </c>
      <c r="E666" s="147" t="s">
        <v>129</v>
      </c>
      <c r="F666" s="137" t="s">
        <v>129</v>
      </c>
      <c r="G666" s="137" t="s">
        <v>129</v>
      </c>
      <c r="H666" s="137" t="s">
        <v>129</v>
      </c>
      <c r="I666" s="137" t="s">
        <v>129</v>
      </c>
      <c r="J666" s="137" t="s">
        <v>129</v>
      </c>
      <c r="K666" s="137" t="s">
        <v>129</v>
      </c>
      <c r="L666" s="137" t="s">
        <v>129</v>
      </c>
      <c r="M666" s="141"/>
      <c r="N666" s="143"/>
    </row>
    <row r="667" ht="15.0" hidden="1" customHeight="1" outlineLevel="1">
      <c r="A667" s="303" t="s">
        <v>3637</v>
      </c>
      <c r="B667" s="344">
        <v>46229.0</v>
      </c>
      <c r="C667" s="133" t="str">
        <f t="shared" si="78"/>
        <v>Sun</v>
      </c>
      <c r="D667" s="381">
        <f t="shared" si="79"/>
        <v>1</v>
      </c>
      <c r="E667" s="382" t="s">
        <v>129</v>
      </c>
      <c r="F667" s="137" t="s">
        <v>129</v>
      </c>
      <c r="G667" s="137" t="s">
        <v>129</v>
      </c>
      <c r="H667" s="137" t="s">
        <v>129</v>
      </c>
      <c r="I667" s="137" t="s">
        <v>129</v>
      </c>
      <c r="J667" s="137" t="s">
        <v>129</v>
      </c>
      <c r="K667" s="137" t="s">
        <v>129</v>
      </c>
      <c r="L667" s="137" t="s">
        <v>129</v>
      </c>
      <c r="M667" s="141"/>
      <c r="N667" s="147"/>
    </row>
    <row r="668" hidden="1" outlineLevel="1">
      <c r="B668" s="189"/>
      <c r="C668" s="191" t="s">
        <v>194</v>
      </c>
      <c r="D668" s="204">
        <f>AVERAGE(D653:D667)</f>
        <v>1</v>
      </c>
      <c r="E668" s="384"/>
      <c r="L668" s="191" t="s">
        <v>194</v>
      </c>
      <c r="M668" s="204">
        <f>SUM(M653:M667)/75*0.1</f>
        <v>0</v>
      </c>
    </row>
    <row r="669" collapsed="1">
      <c r="A669" s="206" t="s">
        <v>1294</v>
      </c>
      <c r="B669" s="207"/>
      <c r="C669" s="207"/>
      <c r="D669" s="385"/>
      <c r="E669" s="109"/>
      <c r="F669" s="109"/>
      <c r="G669" s="110"/>
      <c r="H669" s="110"/>
      <c r="I669" s="110"/>
      <c r="J669" s="110"/>
      <c r="K669" s="110"/>
      <c r="L669" s="110"/>
      <c r="M669" s="111"/>
      <c r="N669" s="113"/>
    </row>
    <row r="670" hidden="1" outlineLevel="1">
      <c r="A670" s="373" t="s">
        <v>98</v>
      </c>
      <c r="B670" s="115" t="s">
        <v>100</v>
      </c>
      <c r="C670" s="115" t="s">
        <v>102</v>
      </c>
      <c r="D670" s="119" t="s">
        <v>103</v>
      </c>
      <c r="E670" s="275" t="s">
        <v>269</v>
      </c>
      <c r="F670" s="275" t="s">
        <v>272</v>
      </c>
      <c r="G670" s="276" t="s">
        <v>328</v>
      </c>
      <c r="H670" s="121" t="s">
        <v>107</v>
      </c>
      <c r="I670" s="121" t="s">
        <v>108</v>
      </c>
      <c r="J670" s="276" t="s">
        <v>329</v>
      </c>
      <c r="K670" s="121" t="s">
        <v>111</v>
      </c>
      <c r="L670" s="276" t="s">
        <v>274</v>
      </c>
      <c r="M670" s="115" t="s">
        <v>114</v>
      </c>
      <c r="N670" s="119" t="s">
        <v>115</v>
      </c>
    </row>
    <row r="671" hidden="1" outlineLevel="1">
      <c r="A671" s="255" t="s">
        <v>3649</v>
      </c>
      <c r="B671" s="420">
        <v>46230.0</v>
      </c>
      <c r="C671" s="133" t="str">
        <f t="shared" ref="C671:C685" si="80">IF(B671="", "", TEXT(B671, "ddd"))</f>
        <v>Mon</v>
      </c>
      <c r="D671" s="381">
        <f t="shared" ref="D671:D685" si="81">IF(E671="Yes",0.05,0)
+IF(F671="Yes",0.1,0)
+IF(G671="Yes",0.15,0)
+IF(H671="Yes",0.15,0)
+IF(I671="Yes",0.05,0)
+IF(J671="Yes",0.05,0)
+IF(K671="Yes",0.15,0)
+IF(L671="Yes",0.3,0)
</f>
        <v>1</v>
      </c>
      <c r="E671" s="382" t="s">
        <v>129</v>
      </c>
      <c r="F671" s="137" t="s">
        <v>129</v>
      </c>
      <c r="G671" s="137" t="s">
        <v>129</v>
      </c>
      <c r="H671" s="137" t="s">
        <v>129</v>
      </c>
      <c r="I671" s="137" t="s">
        <v>129</v>
      </c>
      <c r="J671" s="137" t="s">
        <v>129</v>
      </c>
      <c r="K671" s="137" t="s">
        <v>129</v>
      </c>
      <c r="L671" s="137" t="s">
        <v>129</v>
      </c>
      <c r="M671" s="141"/>
      <c r="N671" s="143"/>
    </row>
    <row r="672" hidden="1" outlineLevel="1">
      <c r="A672" s="255" t="s">
        <v>3656</v>
      </c>
      <c r="B672" s="420">
        <v>46230.0</v>
      </c>
      <c r="C672" s="133" t="str">
        <f t="shared" si="80"/>
        <v>Mon</v>
      </c>
      <c r="D672" s="383">
        <f t="shared" si="81"/>
        <v>1</v>
      </c>
      <c r="E672" s="147" t="s">
        <v>129</v>
      </c>
      <c r="F672" s="137" t="s">
        <v>129</v>
      </c>
      <c r="G672" s="137" t="s">
        <v>129</v>
      </c>
      <c r="H672" s="137" t="s">
        <v>129</v>
      </c>
      <c r="I672" s="137" t="s">
        <v>129</v>
      </c>
      <c r="J672" s="137" t="s">
        <v>129</v>
      </c>
      <c r="K672" s="137" t="s">
        <v>129</v>
      </c>
      <c r="L672" s="137" t="s">
        <v>129</v>
      </c>
      <c r="M672" s="141"/>
      <c r="N672" s="147"/>
    </row>
    <row r="673" hidden="1" outlineLevel="1">
      <c r="A673" s="255" t="s">
        <v>3660</v>
      </c>
      <c r="B673" s="420">
        <v>46230.0</v>
      </c>
      <c r="C673" s="133" t="str">
        <f t="shared" si="80"/>
        <v>Mon</v>
      </c>
      <c r="D673" s="381">
        <f t="shared" si="81"/>
        <v>1</v>
      </c>
      <c r="E673" s="382" t="s">
        <v>129</v>
      </c>
      <c r="F673" s="137" t="s">
        <v>129</v>
      </c>
      <c r="G673" s="137" t="s">
        <v>129</v>
      </c>
      <c r="H673" s="137" t="s">
        <v>129</v>
      </c>
      <c r="I673" s="137" t="s">
        <v>129</v>
      </c>
      <c r="J673" s="137" t="s">
        <v>129</v>
      </c>
      <c r="K673" s="137" t="s">
        <v>129</v>
      </c>
      <c r="L673" s="137" t="s">
        <v>129</v>
      </c>
      <c r="M673" s="141"/>
      <c r="N673" s="147"/>
    </row>
    <row r="674" hidden="1" outlineLevel="1">
      <c r="A674" s="255" t="s">
        <v>3664</v>
      </c>
      <c r="B674" s="420">
        <v>46231.0</v>
      </c>
      <c r="C674" s="133" t="str">
        <f t="shared" si="80"/>
        <v>Tue</v>
      </c>
      <c r="D674" s="383">
        <f t="shared" si="81"/>
        <v>1</v>
      </c>
      <c r="E674" s="147" t="s">
        <v>129</v>
      </c>
      <c r="F674" s="137" t="s">
        <v>129</v>
      </c>
      <c r="G674" s="137" t="s">
        <v>129</v>
      </c>
      <c r="H674" s="137" t="s">
        <v>129</v>
      </c>
      <c r="I674" s="137" t="s">
        <v>129</v>
      </c>
      <c r="J674" s="137" t="s">
        <v>129</v>
      </c>
      <c r="K674" s="137" t="s">
        <v>129</v>
      </c>
      <c r="L674" s="137" t="s">
        <v>129</v>
      </c>
      <c r="M674" s="141"/>
      <c r="N674" s="143"/>
    </row>
    <row r="675" hidden="1" outlineLevel="1">
      <c r="A675" s="489" t="s">
        <v>3666</v>
      </c>
      <c r="B675" s="420">
        <v>46231.0</v>
      </c>
      <c r="C675" s="133" t="str">
        <f t="shared" si="80"/>
        <v>Tue</v>
      </c>
      <c r="D675" s="381">
        <f t="shared" si="81"/>
        <v>0.45</v>
      </c>
      <c r="E675" s="382" t="s">
        <v>129</v>
      </c>
      <c r="F675" s="137" t="s">
        <v>129</v>
      </c>
      <c r="G675" s="137" t="s">
        <v>129</v>
      </c>
      <c r="H675" s="137" t="s">
        <v>129</v>
      </c>
      <c r="I675" s="137" t="s">
        <v>174</v>
      </c>
      <c r="J675" s="137" t="s">
        <v>174</v>
      </c>
      <c r="K675" s="137" t="s">
        <v>174</v>
      </c>
      <c r="L675" s="137" t="s">
        <v>174</v>
      </c>
      <c r="M675" s="141"/>
      <c r="N675" s="147" t="s">
        <v>3667</v>
      </c>
    </row>
    <row r="676" hidden="1" outlineLevel="1">
      <c r="A676" s="255" t="s">
        <v>3669</v>
      </c>
      <c r="B676" s="420">
        <v>46231.0</v>
      </c>
      <c r="C676" s="133" t="str">
        <f t="shared" si="80"/>
        <v>Tue</v>
      </c>
      <c r="D676" s="383">
        <f t="shared" si="81"/>
        <v>1</v>
      </c>
      <c r="E676" s="147" t="s">
        <v>129</v>
      </c>
      <c r="F676" s="137" t="s">
        <v>129</v>
      </c>
      <c r="G676" s="137" t="s">
        <v>129</v>
      </c>
      <c r="H676" s="137" t="s">
        <v>129</v>
      </c>
      <c r="I676" s="137" t="s">
        <v>129</v>
      </c>
      <c r="J676" s="137" t="s">
        <v>129</v>
      </c>
      <c r="K676" s="137" t="s">
        <v>129</v>
      </c>
      <c r="L676" s="137" t="s">
        <v>129</v>
      </c>
      <c r="M676" s="141"/>
      <c r="N676" s="143"/>
    </row>
    <row r="677" hidden="1" outlineLevel="1">
      <c r="A677" s="303" t="s">
        <v>3674</v>
      </c>
      <c r="B677" s="420">
        <v>46232.0</v>
      </c>
      <c r="C677" s="133" t="str">
        <f t="shared" si="80"/>
        <v>Wed</v>
      </c>
      <c r="D677" s="381">
        <f t="shared" si="81"/>
        <v>1</v>
      </c>
      <c r="E677" s="382" t="s">
        <v>129</v>
      </c>
      <c r="F677" s="137" t="s">
        <v>129</v>
      </c>
      <c r="G677" s="137" t="s">
        <v>129</v>
      </c>
      <c r="H677" s="137" t="s">
        <v>129</v>
      </c>
      <c r="I677" s="137" t="s">
        <v>129</v>
      </c>
      <c r="J677" s="137" t="s">
        <v>129</v>
      </c>
      <c r="K677" s="137" t="s">
        <v>129</v>
      </c>
      <c r="L677" s="137" t="s">
        <v>129</v>
      </c>
      <c r="M677" s="141"/>
      <c r="N677" s="143"/>
    </row>
    <row r="678" hidden="1" outlineLevel="1">
      <c r="A678" s="303" t="s">
        <v>3680</v>
      </c>
      <c r="B678" s="420">
        <v>46232.0</v>
      </c>
      <c r="C678" s="133" t="str">
        <f t="shared" si="80"/>
        <v>Wed</v>
      </c>
      <c r="D678" s="383">
        <f t="shared" si="81"/>
        <v>1</v>
      </c>
      <c r="E678" s="147" t="s">
        <v>129</v>
      </c>
      <c r="F678" s="137" t="s">
        <v>129</v>
      </c>
      <c r="G678" s="137" t="s">
        <v>129</v>
      </c>
      <c r="H678" s="137" t="s">
        <v>129</v>
      </c>
      <c r="I678" s="137" t="s">
        <v>129</v>
      </c>
      <c r="J678" s="137" t="s">
        <v>129</v>
      </c>
      <c r="K678" s="137" t="s">
        <v>129</v>
      </c>
      <c r="L678" s="137" t="s">
        <v>129</v>
      </c>
      <c r="M678" s="141"/>
      <c r="N678" s="147"/>
    </row>
    <row r="679" hidden="1" outlineLevel="1">
      <c r="A679" s="303" t="s">
        <v>3684</v>
      </c>
      <c r="B679" s="420">
        <v>46232.0</v>
      </c>
      <c r="C679" s="133" t="str">
        <f t="shared" si="80"/>
        <v>Wed</v>
      </c>
      <c r="D679" s="381">
        <f t="shared" si="81"/>
        <v>1</v>
      </c>
      <c r="E679" s="382" t="s">
        <v>129</v>
      </c>
      <c r="F679" s="137" t="s">
        <v>129</v>
      </c>
      <c r="G679" s="137" t="s">
        <v>129</v>
      </c>
      <c r="H679" s="137" t="s">
        <v>129</v>
      </c>
      <c r="I679" s="137" t="s">
        <v>129</v>
      </c>
      <c r="J679" s="137" t="s">
        <v>129</v>
      </c>
      <c r="K679" s="137" t="s">
        <v>129</v>
      </c>
      <c r="L679" s="137" t="s">
        <v>129</v>
      </c>
      <c r="M679" s="141"/>
      <c r="N679" s="147"/>
    </row>
    <row r="680" hidden="1" outlineLevel="1">
      <c r="A680" s="303" t="s">
        <v>3687</v>
      </c>
      <c r="B680" s="420">
        <v>46235.0</v>
      </c>
      <c r="C680" s="133" t="str">
        <f t="shared" si="80"/>
        <v>Sat</v>
      </c>
      <c r="D680" s="383">
        <f t="shared" si="81"/>
        <v>1</v>
      </c>
      <c r="E680" s="147" t="s">
        <v>129</v>
      </c>
      <c r="F680" s="137" t="s">
        <v>129</v>
      </c>
      <c r="G680" s="137" t="s">
        <v>129</v>
      </c>
      <c r="H680" s="137" t="s">
        <v>129</v>
      </c>
      <c r="I680" s="137" t="s">
        <v>129</v>
      </c>
      <c r="J680" s="137" t="s">
        <v>129</v>
      </c>
      <c r="K680" s="137" t="s">
        <v>129</v>
      </c>
      <c r="L680" s="137" t="s">
        <v>129</v>
      </c>
      <c r="M680" s="141"/>
      <c r="N680" s="147"/>
    </row>
    <row r="681" hidden="1" outlineLevel="1">
      <c r="A681" s="303" t="s">
        <v>3690</v>
      </c>
      <c r="B681" s="420">
        <v>46235.0</v>
      </c>
      <c r="C681" s="133" t="str">
        <f t="shared" si="80"/>
        <v>Sat</v>
      </c>
      <c r="D681" s="381">
        <f t="shared" si="81"/>
        <v>1</v>
      </c>
      <c r="E681" s="382" t="s">
        <v>129</v>
      </c>
      <c r="F681" s="137" t="s">
        <v>129</v>
      </c>
      <c r="G681" s="137" t="s">
        <v>129</v>
      </c>
      <c r="H681" s="137" t="s">
        <v>129</v>
      </c>
      <c r="I681" s="137" t="s">
        <v>129</v>
      </c>
      <c r="J681" s="137" t="s">
        <v>129</v>
      </c>
      <c r="K681" s="137" t="s">
        <v>129</v>
      </c>
      <c r="L681" s="137" t="s">
        <v>129</v>
      </c>
      <c r="M681" s="141"/>
      <c r="N681" s="147"/>
    </row>
    <row r="682" hidden="1" outlineLevel="1">
      <c r="A682" s="303" t="s">
        <v>3694</v>
      </c>
      <c r="B682" s="420">
        <v>46235.0</v>
      </c>
      <c r="C682" s="133" t="str">
        <f t="shared" si="80"/>
        <v>Sat</v>
      </c>
      <c r="D682" s="383">
        <f t="shared" si="81"/>
        <v>1</v>
      </c>
      <c r="E682" s="147" t="s">
        <v>129</v>
      </c>
      <c r="F682" s="137" t="s">
        <v>129</v>
      </c>
      <c r="G682" s="137" t="s">
        <v>129</v>
      </c>
      <c r="H682" s="137" t="s">
        <v>129</v>
      </c>
      <c r="I682" s="137" t="s">
        <v>129</v>
      </c>
      <c r="J682" s="137" t="s">
        <v>129</v>
      </c>
      <c r="K682" s="137" t="s">
        <v>129</v>
      </c>
      <c r="L682" s="137" t="s">
        <v>129</v>
      </c>
      <c r="M682" s="141"/>
      <c r="N682" s="147"/>
    </row>
    <row r="683" hidden="1" outlineLevel="1">
      <c r="A683" s="303" t="s">
        <v>3698</v>
      </c>
      <c r="B683" s="418"/>
      <c r="C683" s="133" t="str">
        <f t="shared" si="80"/>
        <v/>
      </c>
      <c r="D683" s="381">
        <f t="shared" si="81"/>
        <v>1</v>
      </c>
      <c r="E683" s="382" t="s">
        <v>129</v>
      </c>
      <c r="F683" s="137" t="s">
        <v>129</v>
      </c>
      <c r="G683" s="137" t="s">
        <v>129</v>
      </c>
      <c r="H683" s="137" t="s">
        <v>129</v>
      </c>
      <c r="I683" s="137" t="s">
        <v>129</v>
      </c>
      <c r="J683" s="137" t="s">
        <v>129</v>
      </c>
      <c r="K683" s="137" t="s">
        <v>129</v>
      </c>
      <c r="L683" s="137" t="s">
        <v>129</v>
      </c>
      <c r="M683" s="141"/>
      <c r="N683" s="147"/>
    </row>
    <row r="684" hidden="1" outlineLevel="1">
      <c r="A684" s="303" t="s">
        <v>3701</v>
      </c>
      <c r="B684" s="418"/>
      <c r="C684" s="133" t="str">
        <f t="shared" si="80"/>
        <v/>
      </c>
      <c r="D684" s="383">
        <f t="shared" si="81"/>
        <v>1</v>
      </c>
      <c r="E684" s="147" t="s">
        <v>129</v>
      </c>
      <c r="F684" s="137" t="s">
        <v>129</v>
      </c>
      <c r="G684" s="137" t="s">
        <v>129</v>
      </c>
      <c r="H684" s="137" t="s">
        <v>129</v>
      </c>
      <c r="I684" s="137" t="s">
        <v>129</v>
      </c>
      <c r="J684" s="137" t="s">
        <v>129</v>
      </c>
      <c r="K684" s="137" t="s">
        <v>129</v>
      </c>
      <c r="L684" s="137" t="s">
        <v>129</v>
      </c>
      <c r="M684" s="141"/>
      <c r="N684" s="147"/>
    </row>
    <row r="685" ht="15.0" hidden="1" customHeight="1" outlineLevel="1">
      <c r="A685" s="303" t="s">
        <v>3704</v>
      </c>
      <c r="B685" s="418"/>
      <c r="C685" s="133" t="str">
        <f t="shared" si="80"/>
        <v/>
      </c>
      <c r="D685" s="381">
        <f t="shared" si="81"/>
        <v>1</v>
      </c>
      <c r="E685" s="382" t="s">
        <v>129</v>
      </c>
      <c r="F685" s="137" t="s">
        <v>129</v>
      </c>
      <c r="G685" s="137" t="s">
        <v>129</v>
      </c>
      <c r="H685" s="137" t="s">
        <v>129</v>
      </c>
      <c r="I685" s="137" t="s">
        <v>129</v>
      </c>
      <c r="J685" s="137" t="s">
        <v>129</v>
      </c>
      <c r="K685" s="137" t="s">
        <v>129</v>
      </c>
      <c r="L685" s="137" t="s">
        <v>129</v>
      </c>
      <c r="M685" s="141"/>
      <c r="N685" s="147"/>
    </row>
    <row r="686" hidden="1" outlineLevel="1">
      <c r="B686" s="189"/>
      <c r="C686" s="191" t="s">
        <v>194</v>
      </c>
      <c r="D686" s="204">
        <f>AVERAGE(D671:D685)</f>
        <v>0.9633333333</v>
      </c>
      <c r="E686" s="384"/>
      <c r="L686" s="191" t="s">
        <v>194</v>
      </c>
      <c r="M686" s="204">
        <f>SUM(M671:M685)/75*0.1</f>
        <v>0</v>
      </c>
    </row>
    <row r="687">
      <c r="A687" s="206" t="s">
        <v>1318</v>
      </c>
      <c r="B687" s="207"/>
      <c r="C687" s="207"/>
      <c r="D687" s="385"/>
      <c r="E687" s="109"/>
      <c r="F687" s="109"/>
      <c r="G687" s="110"/>
      <c r="H687" s="110"/>
      <c r="I687" s="110"/>
      <c r="J687" s="110"/>
      <c r="K687" s="110"/>
      <c r="L687" s="110"/>
      <c r="M687" s="111"/>
      <c r="N687" s="113"/>
    </row>
    <row r="688" outlineLevel="1">
      <c r="A688" s="373" t="s">
        <v>98</v>
      </c>
      <c r="B688" s="115" t="s">
        <v>100</v>
      </c>
      <c r="C688" s="115" t="s">
        <v>102</v>
      </c>
      <c r="D688" s="119" t="s">
        <v>103</v>
      </c>
      <c r="E688" s="275" t="s">
        <v>269</v>
      </c>
      <c r="F688" s="275" t="s">
        <v>272</v>
      </c>
      <c r="G688" s="276" t="s">
        <v>328</v>
      </c>
      <c r="H688" s="121" t="s">
        <v>107</v>
      </c>
      <c r="I688" s="121" t="s">
        <v>108</v>
      </c>
      <c r="J688" s="276" t="s">
        <v>329</v>
      </c>
      <c r="K688" s="121" t="s">
        <v>111</v>
      </c>
      <c r="L688" s="276" t="s">
        <v>274</v>
      </c>
      <c r="M688" s="115" t="s">
        <v>114</v>
      </c>
      <c r="N688" s="119" t="s">
        <v>115</v>
      </c>
    </row>
    <row r="689" outlineLevel="1">
      <c r="A689" s="255" t="s">
        <v>3715</v>
      </c>
      <c r="B689" s="420">
        <v>46237.0</v>
      </c>
      <c r="C689" s="133" t="str">
        <f t="shared" ref="C689:C703" si="82">IF(B689="", "", TEXT(B689, "ddd"))</f>
        <v>Mon</v>
      </c>
      <c r="D689" s="381">
        <f t="shared" ref="D689:D703" si="83">IF(E689="Yes",0.05,0)
+IF(F689="Yes",0.1,0)
+IF(G689="Yes",0.15,0)
+IF(H689="Yes",0.15,0)
+IF(I689="Yes",0.05,0)
+IF(J689="Yes",0.05,0)
+IF(K689="Yes",0.15,0)
+IF(L689="Yes",0.3,0)
</f>
        <v>1</v>
      </c>
      <c r="E689" s="382" t="s">
        <v>129</v>
      </c>
      <c r="F689" s="137" t="s">
        <v>129</v>
      </c>
      <c r="G689" s="137" t="s">
        <v>129</v>
      </c>
      <c r="H689" s="137" t="s">
        <v>129</v>
      </c>
      <c r="I689" s="137" t="s">
        <v>129</v>
      </c>
      <c r="J689" s="137" t="s">
        <v>129</v>
      </c>
      <c r="K689" s="137" t="s">
        <v>129</v>
      </c>
      <c r="L689" s="137" t="s">
        <v>129</v>
      </c>
      <c r="M689" s="141"/>
      <c r="N689" s="143"/>
    </row>
    <row r="690" outlineLevel="1">
      <c r="A690" s="255" t="s">
        <v>3718</v>
      </c>
      <c r="B690" s="420">
        <v>46237.0</v>
      </c>
      <c r="C690" s="133" t="str">
        <f t="shared" si="82"/>
        <v>Mon</v>
      </c>
      <c r="D690" s="383">
        <f t="shared" si="83"/>
        <v>1</v>
      </c>
      <c r="E690" s="147" t="s">
        <v>129</v>
      </c>
      <c r="F690" s="137" t="s">
        <v>129</v>
      </c>
      <c r="G690" s="137" t="s">
        <v>129</v>
      </c>
      <c r="H690" s="137" t="s">
        <v>129</v>
      </c>
      <c r="I690" s="137" t="s">
        <v>129</v>
      </c>
      <c r="J690" s="137" t="s">
        <v>129</v>
      </c>
      <c r="K690" s="137" t="s">
        <v>129</v>
      </c>
      <c r="L690" s="137" t="s">
        <v>129</v>
      </c>
      <c r="M690" s="141"/>
      <c r="N690" s="147"/>
    </row>
    <row r="691" outlineLevel="1">
      <c r="A691" s="255" t="s">
        <v>3721</v>
      </c>
      <c r="B691" s="420">
        <v>46237.0</v>
      </c>
      <c r="C691" s="133" t="str">
        <f t="shared" si="82"/>
        <v>Mon</v>
      </c>
      <c r="D691" s="381">
        <f t="shared" si="83"/>
        <v>1</v>
      </c>
      <c r="E691" s="382" t="s">
        <v>129</v>
      </c>
      <c r="F691" s="137" t="s">
        <v>129</v>
      </c>
      <c r="G691" s="137" t="s">
        <v>129</v>
      </c>
      <c r="H691" s="137" t="s">
        <v>129</v>
      </c>
      <c r="I691" s="137" t="s">
        <v>129</v>
      </c>
      <c r="J691" s="137" t="s">
        <v>129</v>
      </c>
      <c r="K691" s="137" t="s">
        <v>129</v>
      </c>
      <c r="L691" s="137" t="s">
        <v>129</v>
      </c>
      <c r="M691" s="141"/>
      <c r="N691" s="147"/>
    </row>
    <row r="692" outlineLevel="1">
      <c r="A692" s="255" t="s">
        <v>3725</v>
      </c>
      <c r="B692" s="420">
        <v>46238.0</v>
      </c>
      <c r="C692" s="133" t="str">
        <f t="shared" si="82"/>
        <v>Tue</v>
      </c>
      <c r="D692" s="383">
        <f t="shared" si="83"/>
        <v>1</v>
      </c>
      <c r="E692" s="147" t="s">
        <v>129</v>
      </c>
      <c r="F692" s="137" t="s">
        <v>129</v>
      </c>
      <c r="G692" s="137" t="s">
        <v>129</v>
      </c>
      <c r="H692" s="137" t="s">
        <v>129</v>
      </c>
      <c r="I692" s="137" t="s">
        <v>129</v>
      </c>
      <c r="J692" s="137" t="s">
        <v>129</v>
      </c>
      <c r="K692" s="137" t="s">
        <v>129</v>
      </c>
      <c r="L692" s="137" t="s">
        <v>129</v>
      </c>
      <c r="M692" s="141"/>
      <c r="N692" s="147"/>
    </row>
    <row r="693" outlineLevel="1">
      <c r="A693" s="255" t="s">
        <v>3728</v>
      </c>
      <c r="B693" s="420">
        <v>46238.0</v>
      </c>
      <c r="C693" s="133" t="str">
        <f t="shared" si="82"/>
        <v>Tue</v>
      </c>
      <c r="D693" s="381">
        <f t="shared" si="83"/>
        <v>1</v>
      </c>
      <c r="E693" s="382" t="s">
        <v>129</v>
      </c>
      <c r="F693" s="137" t="s">
        <v>129</v>
      </c>
      <c r="G693" s="137" t="s">
        <v>129</v>
      </c>
      <c r="H693" s="137" t="s">
        <v>129</v>
      </c>
      <c r="I693" s="137" t="s">
        <v>129</v>
      </c>
      <c r="J693" s="137" t="s">
        <v>129</v>
      </c>
      <c r="K693" s="137" t="s">
        <v>129</v>
      </c>
      <c r="L693" s="137" t="s">
        <v>129</v>
      </c>
      <c r="M693" s="141"/>
      <c r="N693" s="147"/>
    </row>
    <row r="694" outlineLevel="1">
      <c r="A694" s="255" t="s">
        <v>3732</v>
      </c>
      <c r="B694" s="420">
        <v>46238.0</v>
      </c>
      <c r="C694" s="133" t="str">
        <f t="shared" si="82"/>
        <v>Tue</v>
      </c>
      <c r="D694" s="383">
        <f t="shared" si="83"/>
        <v>1</v>
      </c>
      <c r="E694" s="147" t="s">
        <v>129</v>
      </c>
      <c r="F694" s="137" t="s">
        <v>129</v>
      </c>
      <c r="G694" s="137" t="s">
        <v>129</v>
      </c>
      <c r="H694" s="137" t="s">
        <v>129</v>
      </c>
      <c r="I694" s="137" t="s">
        <v>129</v>
      </c>
      <c r="J694" s="137" t="s">
        <v>129</v>
      </c>
      <c r="K694" s="137" t="s">
        <v>129</v>
      </c>
      <c r="L694" s="137" t="s">
        <v>129</v>
      </c>
      <c r="M694" s="141"/>
      <c r="N694" s="147"/>
    </row>
    <row r="695" outlineLevel="1">
      <c r="A695" s="255" t="s">
        <v>3736</v>
      </c>
      <c r="B695" s="420">
        <v>46239.0</v>
      </c>
      <c r="C695" s="133" t="str">
        <f t="shared" si="82"/>
        <v>Wed</v>
      </c>
      <c r="D695" s="381">
        <f t="shared" si="83"/>
        <v>1</v>
      </c>
      <c r="E695" s="382" t="s">
        <v>129</v>
      </c>
      <c r="F695" s="137" t="s">
        <v>129</v>
      </c>
      <c r="G695" s="137" t="s">
        <v>129</v>
      </c>
      <c r="H695" s="137" t="s">
        <v>129</v>
      </c>
      <c r="I695" s="137" t="s">
        <v>129</v>
      </c>
      <c r="J695" s="137" t="s">
        <v>129</v>
      </c>
      <c r="K695" s="137" t="s">
        <v>129</v>
      </c>
      <c r="L695" s="137" t="s">
        <v>129</v>
      </c>
      <c r="M695" s="141"/>
      <c r="N695" s="147"/>
    </row>
    <row r="696" outlineLevel="1">
      <c r="A696" s="255" t="s">
        <v>3746</v>
      </c>
      <c r="B696" s="420">
        <v>46239.0</v>
      </c>
      <c r="C696" s="133" t="str">
        <f t="shared" si="82"/>
        <v>Wed</v>
      </c>
      <c r="D696" s="383">
        <f t="shared" si="83"/>
        <v>1</v>
      </c>
      <c r="E696" s="147" t="s">
        <v>129</v>
      </c>
      <c r="F696" s="137" t="s">
        <v>129</v>
      </c>
      <c r="G696" s="137" t="s">
        <v>129</v>
      </c>
      <c r="H696" s="137" t="s">
        <v>129</v>
      </c>
      <c r="I696" s="137" t="s">
        <v>129</v>
      </c>
      <c r="J696" s="137" t="s">
        <v>129</v>
      </c>
      <c r="K696" s="137" t="s">
        <v>129</v>
      </c>
      <c r="L696" s="137" t="s">
        <v>129</v>
      </c>
      <c r="M696" s="141"/>
      <c r="N696" s="147"/>
    </row>
    <row r="697" outlineLevel="1">
      <c r="A697" s="255" t="s">
        <v>3750</v>
      </c>
      <c r="B697" s="420">
        <v>46239.0</v>
      </c>
      <c r="C697" s="133" t="str">
        <f t="shared" si="82"/>
        <v>Wed</v>
      </c>
      <c r="D697" s="381">
        <f t="shared" si="83"/>
        <v>1</v>
      </c>
      <c r="E697" s="382" t="s">
        <v>129</v>
      </c>
      <c r="F697" s="137" t="s">
        <v>129</v>
      </c>
      <c r="G697" s="137" t="s">
        <v>129</v>
      </c>
      <c r="H697" s="137" t="s">
        <v>129</v>
      </c>
      <c r="I697" s="137" t="s">
        <v>129</v>
      </c>
      <c r="J697" s="137" t="s">
        <v>129</v>
      </c>
      <c r="K697" s="137" t="s">
        <v>129</v>
      </c>
      <c r="L697" s="137" t="s">
        <v>129</v>
      </c>
      <c r="M697" s="141"/>
      <c r="N697" s="147"/>
    </row>
    <row r="698" outlineLevel="1">
      <c r="A698" s="255" t="s">
        <v>3756</v>
      </c>
      <c r="B698" s="420">
        <v>46240.0</v>
      </c>
      <c r="C698" s="133" t="str">
        <f t="shared" si="82"/>
        <v>Thu</v>
      </c>
      <c r="D698" s="383">
        <f t="shared" si="83"/>
        <v>1</v>
      </c>
      <c r="E698" s="147" t="s">
        <v>129</v>
      </c>
      <c r="F698" s="137" t="s">
        <v>129</v>
      </c>
      <c r="G698" s="137" t="s">
        <v>129</v>
      </c>
      <c r="H698" s="137" t="s">
        <v>129</v>
      </c>
      <c r="I698" s="137" t="s">
        <v>129</v>
      </c>
      <c r="J698" s="137" t="s">
        <v>129</v>
      </c>
      <c r="K698" s="137" t="s">
        <v>129</v>
      </c>
      <c r="L698" s="137" t="s">
        <v>129</v>
      </c>
      <c r="M698" s="141"/>
      <c r="N698" s="147"/>
    </row>
    <row r="699" outlineLevel="1">
      <c r="A699" s="255" t="s">
        <v>3759</v>
      </c>
      <c r="B699" s="420">
        <v>46240.0</v>
      </c>
      <c r="C699" s="133" t="str">
        <f t="shared" si="82"/>
        <v>Thu</v>
      </c>
      <c r="D699" s="381">
        <f t="shared" si="83"/>
        <v>1</v>
      </c>
      <c r="E699" s="382" t="s">
        <v>129</v>
      </c>
      <c r="F699" s="137" t="s">
        <v>129</v>
      </c>
      <c r="G699" s="137" t="s">
        <v>129</v>
      </c>
      <c r="H699" s="137" t="s">
        <v>129</v>
      </c>
      <c r="I699" s="137" t="s">
        <v>129</v>
      </c>
      <c r="J699" s="137" t="s">
        <v>129</v>
      </c>
      <c r="K699" s="137" t="s">
        <v>129</v>
      </c>
      <c r="L699" s="137" t="s">
        <v>129</v>
      </c>
      <c r="M699" s="141"/>
      <c r="N699" s="147"/>
    </row>
    <row r="700" outlineLevel="1">
      <c r="A700" s="255" t="s">
        <v>3762</v>
      </c>
      <c r="B700" s="420">
        <v>46240.0</v>
      </c>
      <c r="C700" s="133" t="str">
        <f t="shared" si="82"/>
        <v>Thu</v>
      </c>
      <c r="D700" s="383">
        <f t="shared" si="83"/>
        <v>1</v>
      </c>
      <c r="E700" s="147" t="s">
        <v>129</v>
      </c>
      <c r="F700" s="137" t="s">
        <v>129</v>
      </c>
      <c r="G700" s="137" t="s">
        <v>129</v>
      </c>
      <c r="H700" s="137" t="s">
        <v>129</v>
      </c>
      <c r="I700" s="137" t="s">
        <v>129</v>
      </c>
      <c r="J700" s="137" t="s">
        <v>129</v>
      </c>
      <c r="K700" s="137" t="s">
        <v>129</v>
      </c>
      <c r="L700" s="137" t="s">
        <v>129</v>
      </c>
      <c r="M700" s="141"/>
      <c r="N700" s="147"/>
    </row>
    <row r="701" outlineLevel="1">
      <c r="A701" s="255" t="s">
        <v>3766</v>
      </c>
      <c r="B701" s="420">
        <v>46242.0</v>
      </c>
      <c r="C701" s="133" t="str">
        <f t="shared" si="82"/>
        <v>Sat</v>
      </c>
      <c r="D701" s="381">
        <f t="shared" si="83"/>
        <v>0</v>
      </c>
      <c r="E701" s="382"/>
      <c r="F701" s="137"/>
      <c r="G701" s="137"/>
      <c r="H701" s="137"/>
      <c r="I701" s="137"/>
      <c r="J701" s="137"/>
      <c r="K701" s="137"/>
      <c r="L701" s="137"/>
      <c r="M701" s="141"/>
      <c r="N701" s="143"/>
    </row>
    <row r="702" outlineLevel="1">
      <c r="A702" s="255" t="s">
        <v>3768</v>
      </c>
      <c r="B702" s="420">
        <v>46242.0</v>
      </c>
      <c r="C702" s="133" t="str">
        <f t="shared" si="82"/>
        <v>Sat</v>
      </c>
      <c r="D702" s="383">
        <f t="shared" si="83"/>
        <v>0</v>
      </c>
      <c r="E702" s="147"/>
      <c r="F702" s="137"/>
      <c r="G702" s="137"/>
      <c r="H702" s="137"/>
      <c r="I702" s="137"/>
      <c r="J702" s="137"/>
      <c r="K702" s="137"/>
      <c r="L702" s="137"/>
      <c r="M702" s="141"/>
      <c r="N702" s="143"/>
    </row>
    <row r="703" ht="15.0" customHeight="1" outlineLevel="1">
      <c r="A703" s="255" t="s">
        <v>3771</v>
      </c>
      <c r="B703" s="420">
        <v>46242.0</v>
      </c>
      <c r="C703" s="133" t="str">
        <f t="shared" si="82"/>
        <v>Sat</v>
      </c>
      <c r="D703" s="381">
        <f t="shared" si="83"/>
        <v>0</v>
      </c>
      <c r="E703" s="382"/>
      <c r="F703" s="137"/>
      <c r="G703" s="137"/>
      <c r="H703" s="137"/>
      <c r="I703" s="137"/>
      <c r="J703" s="137"/>
      <c r="K703" s="137"/>
      <c r="L703" s="137"/>
      <c r="M703" s="141"/>
      <c r="N703" s="147"/>
    </row>
    <row r="704" outlineLevel="1">
      <c r="B704" s="189"/>
      <c r="C704" s="191" t="s">
        <v>194</v>
      </c>
      <c r="D704" s="204">
        <f>AVERAGE(D689:D703)</f>
        <v>0.8</v>
      </c>
      <c r="E704" s="384"/>
      <c r="L704" s="191" t="s">
        <v>194</v>
      </c>
      <c r="M704" s="204">
        <f>SUM(M689:M703)/75*0.1</f>
        <v>0</v>
      </c>
    </row>
    <row r="705">
      <c r="B705" s="189"/>
    </row>
    <row r="706">
      <c r="B706" s="189"/>
    </row>
    <row r="707">
      <c r="B707" s="189"/>
    </row>
    <row r="708">
      <c r="B708" s="189"/>
    </row>
    <row r="709">
      <c r="B709" s="189"/>
    </row>
    <row r="710">
      <c r="B710" s="189"/>
    </row>
    <row r="711">
      <c r="B711" s="189"/>
    </row>
    <row r="712">
      <c r="B712" s="189"/>
    </row>
    <row r="713">
      <c r="B713" s="189"/>
    </row>
    <row r="714">
      <c r="B714" s="189"/>
    </row>
    <row r="715">
      <c r="B715" s="189"/>
    </row>
    <row r="716">
      <c r="B716" s="189"/>
    </row>
    <row r="717">
      <c r="B717" s="189"/>
    </row>
    <row r="718">
      <c r="B718" s="189"/>
    </row>
    <row r="719">
      <c r="B719" s="189"/>
    </row>
    <row r="720">
      <c r="B720" s="189"/>
    </row>
    <row r="721">
      <c r="B721" s="189"/>
    </row>
    <row r="722">
      <c r="B722" s="189"/>
    </row>
    <row r="723">
      <c r="B723" s="189"/>
    </row>
    <row r="724">
      <c r="B724" s="189"/>
    </row>
    <row r="725">
      <c r="B725" s="189"/>
    </row>
    <row r="726">
      <c r="B726" s="189"/>
    </row>
    <row r="727">
      <c r="B727" s="189"/>
    </row>
    <row r="728">
      <c r="B728" s="189"/>
    </row>
    <row r="729">
      <c r="B729" s="189"/>
    </row>
    <row r="730">
      <c r="B730" s="189"/>
    </row>
    <row r="731">
      <c r="B731" s="189"/>
    </row>
    <row r="732">
      <c r="B732" s="189"/>
    </row>
    <row r="733">
      <c r="B733" s="189"/>
    </row>
    <row r="734">
      <c r="B734" s="189"/>
    </row>
    <row r="735">
      <c r="B735" s="189"/>
    </row>
    <row r="736">
      <c r="B736" s="189"/>
    </row>
    <row r="737">
      <c r="B737" s="189"/>
    </row>
    <row r="738">
      <c r="B738" s="189"/>
    </row>
    <row r="739">
      <c r="B739" s="189"/>
    </row>
    <row r="740">
      <c r="B740" s="189"/>
    </row>
    <row r="741">
      <c r="B741" s="189"/>
    </row>
    <row r="742">
      <c r="B742" s="189"/>
    </row>
    <row r="743">
      <c r="B743" s="189"/>
    </row>
    <row r="744">
      <c r="B744" s="189"/>
    </row>
    <row r="745">
      <c r="B745" s="189"/>
    </row>
    <row r="746">
      <c r="B746" s="189"/>
    </row>
    <row r="747">
      <c r="B747" s="189"/>
    </row>
    <row r="748">
      <c r="B748" s="189"/>
    </row>
    <row r="749">
      <c r="B749" s="189"/>
    </row>
    <row r="750">
      <c r="B750" s="189"/>
    </row>
    <row r="751">
      <c r="B751" s="189"/>
    </row>
    <row r="752">
      <c r="B752" s="189"/>
    </row>
    <row r="753">
      <c r="B753" s="189"/>
    </row>
    <row r="754">
      <c r="B754" s="189"/>
    </row>
    <row r="755">
      <c r="B755" s="189"/>
    </row>
    <row r="756">
      <c r="B756" s="189"/>
    </row>
    <row r="757">
      <c r="B757" s="189"/>
    </row>
    <row r="758">
      <c r="B758" s="189"/>
    </row>
    <row r="759">
      <c r="B759" s="189"/>
    </row>
    <row r="760">
      <c r="B760" s="189"/>
    </row>
    <row r="761">
      <c r="B761" s="189"/>
    </row>
    <row r="762">
      <c r="B762" s="189"/>
    </row>
    <row r="763">
      <c r="B763" s="189"/>
    </row>
    <row r="764">
      <c r="B764" s="189"/>
    </row>
    <row r="765">
      <c r="B765" s="189"/>
    </row>
    <row r="766">
      <c r="B766" s="189"/>
    </row>
    <row r="767">
      <c r="B767" s="189"/>
    </row>
    <row r="768">
      <c r="B768" s="189"/>
    </row>
    <row r="769">
      <c r="B769" s="189"/>
    </row>
    <row r="770">
      <c r="B770" s="189"/>
    </row>
    <row r="771">
      <c r="B771" s="189"/>
    </row>
    <row r="772">
      <c r="B772" s="189"/>
    </row>
    <row r="773">
      <c r="B773" s="189"/>
    </row>
    <row r="774">
      <c r="B774" s="189"/>
    </row>
    <row r="775">
      <c r="B775" s="189"/>
    </row>
    <row r="776">
      <c r="B776" s="189"/>
    </row>
    <row r="777">
      <c r="B777" s="189"/>
    </row>
    <row r="778">
      <c r="B778" s="189"/>
    </row>
    <row r="779">
      <c r="B779" s="189"/>
    </row>
    <row r="780">
      <c r="B780" s="189"/>
    </row>
    <row r="781">
      <c r="B781" s="189"/>
    </row>
    <row r="782">
      <c r="B782" s="189"/>
    </row>
    <row r="783">
      <c r="B783" s="189"/>
    </row>
    <row r="784">
      <c r="B784" s="189"/>
    </row>
    <row r="785">
      <c r="B785" s="189"/>
    </row>
    <row r="786">
      <c r="B786" s="189"/>
    </row>
    <row r="787">
      <c r="B787" s="189"/>
    </row>
    <row r="788">
      <c r="B788" s="189"/>
    </row>
    <row r="789">
      <c r="B789" s="189"/>
    </row>
    <row r="790">
      <c r="B790" s="189"/>
    </row>
    <row r="791">
      <c r="B791" s="189"/>
    </row>
    <row r="792">
      <c r="B792" s="189"/>
    </row>
    <row r="793">
      <c r="B793" s="189"/>
    </row>
    <row r="794">
      <c r="B794" s="189"/>
    </row>
    <row r="795">
      <c r="B795" s="189"/>
    </row>
    <row r="796">
      <c r="B796" s="189"/>
    </row>
    <row r="797">
      <c r="B797" s="189"/>
    </row>
    <row r="798">
      <c r="B798" s="189"/>
    </row>
    <row r="799">
      <c r="B799" s="189"/>
    </row>
    <row r="800">
      <c r="B800" s="189"/>
    </row>
    <row r="801">
      <c r="B801" s="189"/>
    </row>
    <row r="802">
      <c r="B802" s="189"/>
    </row>
    <row r="803">
      <c r="B803" s="189"/>
    </row>
    <row r="804">
      <c r="B804" s="189"/>
    </row>
    <row r="805">
      <c r="B805" s="189"/>
    </row>
    <row r="806">
      <c r="B806" s="189"/>
    </row>
    <row r="807">
      <c r="B807" s="189"/>
    </row>
    <row r="808">
      <c r="B808" s="189"/>
    </row>
    <row r="809">
      <c r="B809" s="189"/>
    </row>
    <row r="810">
      <c r="B810" s="189"/>
    </row>
    <row r="811">
      <c r="B811" s="189"/>
    </row>
    <row r="812">
      <c r="B812" s="189"/>
    </row>
    <row r="813">
      <c r="B813" s="189"/>
    </row>
    <row r="814">
      <c r="B814" s="189"/>
    </row>
    <row r="815">
      <c r="B815" s="189"/>
    </row>
    <row r="816">
      <c r="B816" s="189"/>
    </row>
    <row r="817">
      <c r="B817" s="189"/>
    </row>
    <row r="818">
      <c r="B818" s="189"/>
    </row>
    <row r="819">
      <c r="B819" s="189"/>
    </row>
    <row r="820">
      <c r="B820" s="189"/>
    </row>
    <row r="821">
      <c r="B821" s="189"/>
    </row>
    <row r="822">
      <c r="B822" s="189"/>
    </row>
    <row r="823">
      <c r="B823" s="189"/>
    </row>
    <row r="824">
      <c r="B824" s="189"/>
    </row>
    <row r="825">
      <c r="B825" s="189"/>
    </row>
    <row r="826">
      <c r="B826" s="189"/>
    </row>
    <row r="827">
      <c r="B827" s="189"/>
    </row>
    <row r="828">
      <c r="B828" s="189"/>
    </row>
    <row r="829">
      <c r="B829" s="189"/>
    </row>
    <row r="830">
      <c r="B830" s="189"/>
    </row>
    <row r="831">
      <c r="B831" s="189"/>
    </row>
    <row r="832">
      <c r="B832" s="189"/>
    </row>
    <row r="833">
      <c r="B833" s="189"/>
    </row>
    <row r="834">
      <c r="B834" s="189"/>
    </row>
    <row r="835">
      <c r="B835" s="189"/>
    </row>
    <row r="836">
      <c r="B836" s="189"/>
    </row>
    <row r="837">
      <c r="B837" s="189"/>
    </row>
    <row r="838">
      <c r="B838" s="189"/>
    </row>
    <row r="839">
      <c r="B839" s="189"/>
    </row>
    <row r="840">
      <c r="B840" s="189"/>
    </row>
    <row r="841">
      <c r="B841" s="189"/>
    </row>
    <row r="842">
      <c r="B842" s="189"/>
    </row>
    <row r="843">
      <c r="B843" s="189"/>
    </row>
    <row r="844">
      <c r="B844" s="189"/>
    </row>
    <row r="845">
      <c r="B845" s="189"/>
    </row>
    <row r="846">
      <c r="B846" s="189"/>
    </row>
    <row r="847">
      <c r="B847" s="189"/>
    </row>
    <row r="848">
      <c r="B848" s="189"/>
    </row>
    <row r="849">
      <c r="B849" s="189"/>
    </row>
    <row r="850">
      <c r="B850" s="189"/>
    </row>
    <row r="851">
      <c r="B851" s="189"/>
    </row>
    <row r="852">
      <c r="B852" s="189"/>
    </row>
    <row r="853">
      <c r="B853" s="189"/>
    </row>
    <row r="854">
      <c r="B854" s="189"/>
    </row>
    <row r="855">
      <c r="B855" s="189"/>
    </row>
    <row r="856">
      <c r="B856" s="189"/>
    </row>
    <row r="857">
      <c r="B857" s="189"/>
    </row>
    <row r="858">
      <c r="B858" s="189"/>
    </row>
    <row r="859">
      <c r="B859" s="189"/>
    </row>
    <row r="860">
      <c r="B860" s="189"/>
    </row>
    <row r="861">
      <c r="B861" s="189"/>
    </row>
    <row r="862">
      <c r="B862" s="189"/>
    </row>
    <row r="863">
      <c r="B863" s="189"/>
    </row>
    <row r="864">
      <c r="B864" s="189"/>
    </row>
    <row r="865">
      <c r="B865" s="189"/>
    </row>
    <row r="866">
      <c r="B866" s="189"/>
    </row>
    <row r="867">
      <c r="B867" s="189"/>
    </row>
    <row r="868">
      <c r="B868" s="189"/>
    </row>
    <row r="869">
      <c r="B869" s="189"/>
    </row>
    <row r="870">
      <c r="B870" s="189"/>
    </row>
    <row r="871">
      <c r="B871" s="189"/>
    </row>
    <row r="872">
      <c r="B872" s="189"/>
    </row>
    <row r="873">
      <c r="B873" s="189"/>
    </row>
    <row r="874">
      <c r="B874" s="189"/>
    </row>
    <row r="875">
      <c r="B875" s="189"/>
    </row>
    <row r="876">
      <c r="B876" s="189"/>
    </row>
    <row r="877">
      <c r="B877" s="189"/>
    </row>
    <row r="878">
      <c r="B878" s="189"/>
    </row>
    <row r="879">
      <c r="B879" s="189"/>
    </row>
    <row r="880">
      <c r="B880" s="189"/>
    </row>
    <row r="881">
      <c r="B881" s="189"/>
    </row>
    <row r="882">
      <c r="B882" s="189"/>
    </row>
    <row r="883">
      <c r="B883" s="189"/>
    </row>
    <row r="884">
      <c r="B884" s="189"/>
    </row>
    <row r="885">
      <c r="B885" s="189"/>
    </row>
    <row r="886">
      <c r="B886" s="189"/>
    </row>
    <row r="887">
      <c r="B887" s="189"/>
    </row>
    <row r="888">
      <c r="B888" s="189"/>
    </row>
    <row r="889">
      <c r="B889" s="189"/>
    </row>
    <row r="890">
      <c r="B890" s="189"/>
    </row>
    <row r="891">
      <c r="B891" s="189"/>
    </row>
    <row r="892">
      <c r="B892" s="189"/>
    </row>
    <row r="893">
      <c r="B893" s="189"/>
    </row>
    <row r="894">
      <c r="B894" s="189"/>
    </row>
    <row r="895">
      <c r="B895" s="189"/>
    </row>
    <row r="896">
      <c r="B896" s="189"/>
    </row>
    <row r="897">
      <c r="B897" s="189"/>
    </row>
    <row r="898">
      <c r="B898" s="189"/>
    </row>
    <row r="899">
      <c r="B899" s="189"/>
    </row>
    <row r="900">
      <c r="B900" s="189"/>
    </row>
    <row r="901">
      <c r="B901" s="189"/>
    </row>
    <row r="902">
      <c r="B902" s="189"/>
    </row>
    <row r="903">
      <c r="B903" s="189"/>
    </row>
    <row r="904">
      <c r="B904" s="189"/>
    </row>
    <row r="905">
      <c r="B905" s="189"/>
    </row>
    <row r="906">
      <c r="B906" s="189"/>
    </row>
    <row r="907">
      <c r="B907" s="189"/>
    </row>
    <row r="908">
      <c r="B908" s="189"/>
    </row>
    <row r="909">
      <c r="B909" s="189"/>
    </row>
    <row r="910">
      <c r="B910" s="189"/>
    </row>
    <row r="911">
      <c r="B911" s="189"/>
    </row>
    <row r="912">
      <c r="B912" s="189"/>
    </row>
    <row r="913">
      <c r="B913" s="189"/>
    </row>
    <row r="914">
      <c r="B914" s="189"/>
    </row>
    <row r="915">
      <c r="B915" s="189"/>
    </row>
    <row r="916">
      <c r="B916" s="189"/>
    </row>
    <row r="917">
      <c r="B917" s="189"/>
    </row>
    <row r="918">
      <c r="B918" s="189"/>
    </row>
    <row r="919">
      <c r="B919" s="189"/>
    </row>
    <row r="920">
      <c r="B920" s="189"/>
    </row>
    <row r="921">
      <c r="B921" s="189"/>
    </row>
    <row r="922">
      <c r="B922" s="189"/>
    </row>
    <row r="923">
      <c r="B923" s="189"/>
    </row>
    <row r="924">
      <c r="B924" s="189"/>
    </row>
    <row r="925">
      <c r="B925" s="189"/>
    </row>
    <row r="926">
      <c r="B926" s="189"/>
    </row>
    <row r="927">
      <c r="B927" s="189"/>
    </row>
    <row r="928">
      <c r="B928" s="189"/>
    </row>
    <row r="929">
      <c r="B929" s="189"/>
    </row>
    <row r="930">
      <c r="B930" s="189"/>
    </row>
    <row r="931">
      <c r="B931" s="189"/>
    </row>
    <row r="932">
      <c r="B932" s="189"/>
    </row>
    <row r="933">
      <c r="B933" s="189"/>
    </row>
    <row r="934">
      <c r="B934" s="189"/>
    </row>
    <row r="935">
      <c r="B935" s="189"/>
    </row>
    <row r="936">
      <c r="B936" s="189"/>
    </row>
    <row r="937">
      <c r="B937" s="189"/>
    </row>
    <row r="938">
      <c r="B938" s="189"/>
    </row>
    <row r="939">
      <c r="B939" s="189"/>
    </row>
    <row r="940">
      <c r="B940" s="189"/>
    </row>
    <row r="941">
      <c r="B941" s="189"/>
    </row>
    <row r="942">
      <c r="B942" s="189"/>
    </row>
    <row r="943">
      <c r="B943" s="189"/>
    </row>
    <row r="944">
      <c r="B944" s="189"/>
    </row>
    <row r="945">
      <c r="B945" s="189"/>
    </row>
    <row r="946">
      <c r="B946" s="189"/>
    </row>
    <row r="947">
      <c r="B947" s="189"/>
    </row>
    <row r="948">
      <c r="B948" s="189"/>
    </row>
    <row r="949">
      <c r="B949" s="189"/>
    </row>
    <row r="950">
      <c r="B950" s="189"/>
    </row>
    <row r="951">
      <c r="B951" s="189"/>
    </row>
    <row r="952">
      <c r="B952" s="189"/>
    </row>
    <row r="953">
      <c r="B953" s="189"/>
    </row>
    <row r="954">
      <c r="B954" s="189"/>
    </row>
    <row r="955">
      <c r="B955" s="189"/>
    </row>
    <row r="956">
      <c r="B956" s="189"/>
    </row>
    <row r="957">
      <c r="B957" s="189"/>
    </row>
    <row r="958">
      <c r="B958" s="189"/>
    </row>
    <row r="959">
      <c r="B959" s="189"/>
    </row>
    <row r="960">
      <c r="B960" s="189"/>
    </row>
    <row r="961">
      <c r="B961" s="189"/>
    </row>
    <row r="962">
      <c r="B962" s="189"/>
    </row>
    <row r="963">
      <c r="B963" s="189"/>
    </row>
    <row r="964">
      <c r="B964" s="189"/>
    </row>
    <row r="965">
      <c r="B965" s="189"/>
    </row>
    <row r="966">
      <c r="B966" s="189"/>
    </row>
    <row r="967">
      <c r="B967" s="189"/>
    </row>
    <row r="968">
      <c r="B968" s="189"/>
    </row>
    <row r="969">
      <c r="B969" s="189"/>
    </row>
    <row r="970">
      <c r="B970" s="189"/>
    </row>
    <row r="971">
      <c r="B971" s="189"/>
    </row>
    <row r="972">
      <c r="B972" s="189"/>
    </row>
    <row r="973">
      <c r="B973" s="189"/>
    </row>
    <row r="974">
      <c r="B974" s="189"/>
    </row>
    <row r="975">
      <c r="B975" s="189"/>
    </row>
    <row r="976">
      <c r="B976" s="189"/>
    </row>
    <row r="977">
      <c r="B977" s="189"/>
    </row>
    <row r="978">
      <c r="B978" s="189"/>
    </row>
    <row r="979">
      <c r="B979" s="189"/>
    </row>
    <row r="980">
      <c r="B980" s="189"/>
    </row>
    <row r="981">
      <c r="B981" s="189"/>
    </row>
    <row r="982">
      <c r="B982" s="189"/>
    </row>
    <row r="983">
      <c r="B983" s="189"/>
    </row>
    <row r="984">
      <c r="B984" s="189"/>
    </row>
    <row r="985">
      <c r="B985" s="189"/>
    </row>
    <row r="986">
      <c r="B986" s="189"/>
    </row>
    <row r="987">
      <c r="B987" s="189"/>
    </row>
    <row r="988">
      <c r="B988" s="189"/>
    </row>
    <row r="989">
      <c r="B989" s="189"/>
    </row>
    <row r="990">
      <c r="B990" s="189"/>
    </row>
    <row r="991">
      <c r="B991" s="189"/>
    </row>
    <row r="992">
      <c r="B992" s="189"/>
    </row>
    <row r="993">
      <c r="B993" s="189"/>
    </row>
    <row r="994">
      <c r="B994" s="189"/>
    </row>
    <row r="995">
      <c r="B995" s="189"/>
    </row>
    <row r="996">
      <c r="B996" s="189"/>
    </row>
    <row r="997">
      <c r="B997" s="189"/>
    </row>
    <row r="998">
      <c r="B998" s="189"/>
    </row>
    <row r="999">
      <c r="B999" s="189"/>
    </row>
    <row r="1000">
      <c r="B1000" s="189"/>
    </row>
    <row r="1001">
      <c r="B1001" s="189"/>
    </row>
    <row r="1002">
      <c r="B1002" s="189"/>
    </row>
  </sheetData>
  <mergeCells count="39">
    <mergeCell ref="A2:D2"/>
    <mergeCell ref="A20:D20"/>
    <mergeCell ref="A38:D38"/>
    <mergeCell ref="A57:D57"/>
    <mergeCell ref="A75:D75"/>
    <mergeCell ref="A93:D93"/>
    <mergeCell ref="A111:D111"/>
    <mergeCell ref="A129:D129"/>
    <mergeCell ref="A147:D147"/>
    <mergeCell ref="A165:D165"/>
    <mergeCell ref="A183:D183"/>
    <mergeCell ref="A201:D201"/>
    <mergeCell ref="A219:D219"/>
    <mergeCell ref="A237:D237"/>
    <mergeCell ref="A255:D255"/>
    <mergeCell ref="A273:D273"/>
    <mergeCell ref="A291:D291"/>
    <mergeCell ref="A309:D309"/>
    <mergeCell ref="A327:D327"/>
    <mergeCell ref="A345:D345"/>
    <mergeCell ref="A363:D363"/>
    <mergeCell ref="A381:D381"/>
    <mergeCell ref="A399:D399"/>
    <mergeCell ref="A417:D417"/>
    <mergeCell ref="A435:D435"/>
    <mergeCell ref="A453:D453"/>
    <mergeCell ref="A471:D471"/>
    <mergeCell ref="A489:D489"/>
    <mergeCell ref="A633:D633"/>
    <mergeCell ref="A651:D651"/>
    <mergeCell ref="A669:D669"/>
    <mergeCell ref="A687:D687"/>
    <mergeCell ref="A507:D507"/>
    <mergeCell ref="A525:D525"/>
    <mergeCell ref="A543:D543"/>
    <mergeCell ref="A561:D561"/>
    <mergeCell ref="A579:D579"/>
    <mergeCell ref="A597:D597"/>
    <mergeCell ref="A615:D615"/>
  </mergeCells>
  <conditionalFormatting sqref="A111:N704">
    <cfRule type="cellIs" dxfId="6" priority="1" operator="equal">
      <formula>"Absent"</formula>
    </cfRule>
  </conditionalFormatting>
  <conditionalFormatting sqref="A1:D1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10" priority="2" operator="equal">
      <formula>"LWOP"</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8" priority="3" operator="equal">
      <formula>"OFF"</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9" priority="4" operator="equal">
      <formula>"A"</formula>
    </cfRule>
  </conditionalFormatting>
  <conditionalFormatting sqref="A1:A1002 B1:B58 C1:C1002 D1:D58 E1:L57 M1:N1002 E59:L1002 B74:B1002 D74:D1002">
    <cfRule type="cellIs" dxfId="7" priority="5" operator="equal">
      <formula>"LWOP"</formula>
    </cfRule>
  </conditionalFormatting>
  <dataValidations>
    <dataValidation type="list" allowBlank="1" showErrorMessage="1" sqref="E4:L18 E22:L36 E40:L54 E59:L73 E77:L91 E95:L109 E113:L127 E131:L145 E149:L163 E167:L181 E185:L199 E203:L217 E221:L235 E239:L253 E257:L271 E275:L289 E293:L307 E311:L325 E329:L343 E347:L361 E365:L379 E383:L397 E401:L415 E419:L433 E437:L451 E455:L469 E473:L487 E491:L505 E509:L523 E527:L541 E545:L559 E563:L577 E581:L595 E599:L613 E617:L631 E635:L649 E653:L667 E671:L685 E689:L703">
      <formula1>"Yes,No"</formula1>
    </dataValidation>
  </dataValidations>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22"/>
    <hyperlink r:id="rId17" ref="A23"/>
    <hyperlink r:id="rId18" ref="A24"/>
    <hyperlink r:id="rId19" ref="A25"/>
    <hyperlink r:id="rId20" ref="A26"/>
    <hyperlink r:id="rId21" ref="A27"/>
    <hyperlink r:id="rId22" ref="A28"/>
    <hyperlink r:id="rId23" ref="A29"/>
    <hyperlink r:id="rId24" ref="A30"/>
    <hyperlink r:id="rId25" ref="A31"/>
    <hyperlink r:id="rId26" ref="A32"/>
    <hyperlink r:id="rId27" ref="A33"/>
    <hyperlink r:id="rId28" ref="A34"/>
    <hyperlink r:id="rId29" ref="A35"/>
    <hyperlink r:id="rId30" ref="A36"/>
    <hyperlink r:id="rId31" ref="A40"/>
    <hyperlink r:id="rId32" ref="A41"/>
    <hyperlink r:id="rId33" ref="A42"/>
    <hyperlink r:id="rId34" ref="A43"/>
    <hyperlink r:id="rId35" ref="A44"/>
    <hyperlink r:id="rId36" ref="A45"/>
    <hyperlink r:id="rId37" ref="A46"/>
    <hyperlink r:id="rId38" ref="A47"/>
    <hyperlink r:id="rId39" ref="A48"/>
    <hyperlink r:id="rId40" ref="A49"/>
    <hyperlink r:id="rId41" ref="A50"/>
    <hyperlink r:id="rId42" ref="A51"/>
    <hyperlink r:id="rId43" ref="A59"/>
    <hyperlink r:id="rId44" ref="A60"/>
    <hyperlink r:id="rId45" ref="A61"/>
    <hyperlink r:id="rId46" ref="A62"/>
    <hyperlink r:id="rId47" ref="A63"/>
    <hyperlink r:id="rId48" ref="A64"/>
    <hyperlink r:id="rId49" ref="A65"/>
    <hyperlink r:id="rId50" ref="A66"/>
    <hyperlink r:id="rId51" ref="A67"/>
    <hyperlink r:id="rId52" ref="A68"/>
    <hyperlink r:id="rId53" ref="A69"/>
    <hyperlink r:id="rId54" ref="A70"/>
    <hyperlink r:id="rId55" ref="A71"/>
    <hyperlink r:id="rId56" ref="A72"/>
    <hyperlink r:id="rId57" ref="N72"/>
    <hyperlink r:id="rId58" ref="A73"/>
    <hyperlink r:id="rId59" ref="A77"/>
    <hyperlink r:id="rId60" ref="A78"/>
    <hyperlink r:id="rId61" ref="A79"/>
    <hyperlink r:id="rId62" ref="A80"/>
    <hyperlink r:id="rId63" ref="A81"/>
    <hyperlink r:id="rId64" ref="A82"/>
    <hyperlink r:id="rId65" ref="A83"/>
    <hyperlink r:id="rId66" ref="A84"/>
    <hyperlink r:id="rId67" ref="A85"/>
    <hyperlink r:id="rId68" ref="A86"/>
    <hyperlink r:id="rId69" ref="A87"/>
    <hyperlink r:id="rId70" ref="A88"/>
    <hyperlink r:id="rId71" ref="A89"/>
    <hyperlink r:id="rId72" ref="A90"/>
    <hyperlink r:id="rId73" ref="A91"/>
    <hyperlink r:id="rId74" ref="A95"/>
    <hyperlink r:id="rId75" ref="A96"/>
    <hyperlink r:id="rId76" ref="A97"/>
    <hyperlink r:id="rId77" ref="A98"/>
    <hyperlink r:id="rId78" ref="A99"/>
    <hyperlink r:id="rId79" ref="A100"/>
    <hyperlink r:id="rId80" ref="A101"/>
    <hyperlink r:id="rId81" ref="A102"/>
    <hyperlink r:id="rId82" ref="A103"/>
    <hyperlink r:id="rId83" ref="A104"/>
    <hyperlink r:id="rId84" ref="A105"/>
    <hyperlink r:id="rId85" ref="A106"/>
    <hyperlink r:id="rId86" ref="A107"/>
    <hyperlink r:id="rId87" ref="A108"/>
    <hyperlink r:id="rId88" ref="A109"/>
    <hyperlink r:id="rId89" ref="A113"/>
    <hyperlink r:id="rId90" ref="A114"/>
    <hyperlink r:id="rId91" ref="A115"/>
    <hyperlink r:id="rId92" ref="A116"/>
    <hyperlink r:id="rId93" ref="A117"/>
    <hyperlink r:id="rId94" ref="A118"/>
    <hyperlink r:id="rId95" ref="A119"/>
    <hyperlink r:id="rId96" ref="A120"/>
    <hyperlink r:id="rId97" ref="A121"/>
    <hyperlink r:id="rId98" ref="A125"/>
    <hyperlink r:id="rId99" ref="A126"/>
    <hyperlink r:id="rId100" ref="A127"/>
    <hyperlink r:id="rId101" ref="A131"/>
    <hyperlink r:id="rId102" ref="A132"/>
    <hyperlink r:id="rId103" ref="A133"/>
    <hyperlink r:id="rId104" ref="A137"/>
    <hyperlink r:id="rId105" ref="A138"/>
    <hyperlink r:id="rId106" ref="A139"/>
    <hyperlink r:id="rId107" ref="A140"/>
    <hyperlink r:id="rId108" ref="A141"/>
    <hyperlink r:id="rId109" ref="A142"/>
    <hyperlink r:id="rId110" ref="A143"/>
    <hyperlink r:id="rId111" ref="A144"/>
    <hyperlink r:id="rId112" ref="A145"/>
    <hyperlink r:id="rId113" ref="A149"/>
    <hyperlink r:id="rId114" ref="A150"/>
    <hyperlink r:id="rId115" ref="A151"/>
    <hyperlink r:id="rId116" ref="A152"/>
    <hyperlink r:id="rId117" ref="A153"/>
    <hyperlink r:id="rId118" ref="A154"/>
    <hyperlink r:id="rId119" ref="A155"/>
    <hyperlink r:id="rId120" ref="A156"/>
    <hyperlink r:id="rId121" ref="A157"/>
    <hyperlink r:id="rId122" ref="A161"/>
    <hyperlink r:id="rId123" ref="A162"/>
    <hyperlink r:id="rId124" ref="A163"/>
    <hyperlink r:id="rId125" ref="A167"/>
    <hyperlink r:id="rId126" ref="A168"/>
    <hyperlink r:id="rId127" ref="A169"/>
    <hyperlink r:id="rId128" ref="A170"/>
    <hyperlink r:id="rId129" ref="A171"/>
    <hyperlink r:id="rId130" ref="A172"/>
    <hyperlink r:id="rId131" ref="A173"/>
    <hyperlink r:id="rId132" ref="A174"/>
    <hyperlink r:id="rId133" ref="A175"/>
    <hyperlink r:id="rId134" ref="A176"/>
    <hyperlink r:id="rId135" ref="A177"/>
    <hyperlink r:id="rId136" ref="A178"/>
    <hyperlink r:id="rId137" ref="A179"/>
    <hyperlink r:id="rId138" ref="A180"/>
    <hyperlink r:id="rId139" ref="A181"/>
    <hyperlink r:id="rId140" ref="A185"/>
    <hyperlink r:id="rId141" ref="A186"/>
    <hyperlink r:id="rId142" ref="A187"/>
    <hyperlink r:id="rId143" ref="A188"/>
    <hyperlink r:id="rId144" ref="A189"/>
    <hyperlink r:id="rId145" ref="A190"/>
    <hyperlink r:id="rId146" ref="A191"/>
    <hyperlink r:id="rId147" ref="A192"/>
    <hyperlink r:id="rId148" ref="A193"/>
    <hyperlink r:id="rId149" ref="A194"/>
    <hyperlink r:id="rId150" ref="A195"/>
    <hyperlink r:id="rId151" ref="A196"/>
    <hyperlink r:id="rId152" ref="A197"/>
    <hyperlink r:id="rId153" ref="A198"/>
    <hyperlink r:id="rId154" ref="A199"/>
    <hyperlink r:id="rId155" ref="A203"/>
    <hyperlink r:id="rId156" ref="A204"/>
    <hyperlink r:id="rId157" ref="A205"/>
    <hyperlink r:id="rId158" ref="A206"/>
    <hyperlink r:id="rId159" ref="A207"/>
    <hyperlink r:id="rId160" ref="A208"/>
    <hyperlink r:id="rId161" ref="A209"/>
    <hyperlink r:id="rId162" ref="A210"/>
    <hyperlink r:id="rId163" ref="A211"/>
    <hyperlink r:id="rId164" ref="A212"/>
    <hyperlink r:id="rId165" ref="A213"/>
    <hyperlink r:id="rId166" ref="A214"/>
    <hyperlink r:id="rId167" ref="A215"/>
    <hyperlink r:id="rId168" ref="A216"/>
    <hyperlink r:id="rId169" ref="A217"/>
    <hyperlink r:id="rId170" ref="A221"/>
    <hyperlink r:id="rId171" ref="A222"/>
    <hyperlink r:id="rId172" ref="A223"/>
    <hyperlink r:id="rId173" ref="A224"/>
    <hyperlink r:id="rId174" ref="A225"/>
    <hyperlink r:id="rId175" ref="A226"/>
    <hyperlink r:id="rId176" ref="A227"/>
    <hyperlink r:id="rId177" ref="A228"/>
    <hyperlink r:id="rId178" ref="A229"/>
    <hyperlink r:id="rId179" ref="A230"/>
    <hyperlink r:id="rId180" ref="A231"/>
    <hyperlink r:id="rId181" ref="A232"/>
    <hyperlink r:id="rId182" ref="A233"/>
    <hyperlink r:id="rId183" ref="A234"/>
    <hyperlink r:id="rId184" ref="A235"/>
    <hyperlink r:id="rId185" ref="A239"/>
    <hyperlink r:id="rId186" ref="A240"/>
    <hyperlink r:id="rId187" ref="A241"/>
    <hyperlink r:id="rId188" ref="A242"/>
    <hyperlink r:id="rId189" ref="A243"/>
    <hyperlink r:id="rId190" ref="A244"/>
    <hyperlink r:id="rId191" ref="A245"/>
    <hyperlink r:id="rId192" ref="A246"/>
    <hyperlink r:id="rId193" ref="A247"/>
    <hyperlink r:id="rId194" ref="A248"/>
    <hyperlink r:id="rId195" ref="A249"/>
    <hyperlink r:id="rId196" ref="A250"/>
    <hyperlink r:id="rId197" ref="A251"/>
    <hyperlink r:id="rId198" ref="A252"/>
    <hyperlink r:id="rId199" ref="A253"/>
    <hyperlink r:id="rId200" ref="A257"/>
    <hyperlink r:id="rId201" ref="A258"/>
    <hyperlink r:id="rId202" ref="A259"/>
    <hyperlink r:id="rId203" ref="A260"/>
    <hyperlink r:id="rId204" ref="A261"/>
    <hyperlink r:id="rId205" ref="A262"/>
    <hyperlink r:id="rId206" ref="A263"/>
    <hyperlink r:id="rId207" ref="A264"/>
    <hyperlink r:id="rId208" ref="A265"/>
    <hyperlink r:id="rId209" ref="A266"/>
    <hyperlink r:id="rId210" ref="A267"/>
    <hyperlink r:id="rId211" ref="A268"/>
    <hyperlink r:id="rId212" ref="A269"/>
    <hyperlink r:id="rId213" ref="A270"/>
    <hyperlink r:id="rId214" ref="A271"/>
    <hyperlink r:id="rId215" ref="A275"/>
    <hyperlink r:id="rId216" ref="A276"/>
    <hyperlink r:id="rId217" ref="A277"/>
    <hyperlink r:id="rId218" ref="A278"/>
    <hyperlink r:id="rId219" ref="A279"/>
    <hyperlink r:id="rId220" ref="A280"/>
    <hyperlink r:id="rId221" ref="A281"/>
    <hyperlink r:id="rId222" ref="A282"/>
    <hyperlink r:id="rId223" ref="A283"/>
    <hyperlink r:id="rId224" ref="A284"/>
    <hyperlink r:id="rId225" ref="A285"/>
    <hyperlink r:id="rId226" ref="A286"/>
    <hyperlink r:id="rId227" ref="A287"/>
    <hyperlink r:id="rId228" ref="A288"/>
    <hyperlink r:id="rId229" ref="A289"/>
    <hyperlink r:id="rId230" ref="A293"/>
    <hyperlink r:id="rId231" ref="A294"/>
    <hyperlink r:id="rId232" ref="A295"/>
    <hyperlink r:id="rId233" ref="A296"/>
    <hyperlink r:id="rId234" ref="A297"/>
    <hyperlink r:id="rId235" ref="A298"/>
    <hyperlink r:id="rId236" ref="A299"/>
    <hyperlink r:id="rId237" ref="A300"/>
    <hyperlink r:id="rId238" ref="A301"/>
    <hyperlink r:id="rId239" ref="A302"/>
    <hyperlink r:id="rId240" ref="A303"/>
    <hyperlink r:id="rId241" ref="A304"/>
    <hyperlink r:id="rId242" ref="A305"/>
    <hyperlink r:id="rId243" ref="A306"/>
    <hyperlink r:id="rId244" ref="A307"/>
    <hyperlink r:id="rId245" ref="A311"/>
    <hyperlink r:id="rId246" ref="A312"/>
    <hyperlink r:id="rId247" ref="A313"/>
    <hyperlink r:id="rId248" ref="A314"/>
    <hyperlink r:id="rId249" ref="A315"/>
    <hyperlink r:id="rId250" ref="A316"/>
    <hyperlink r:id="rId251" ref="A317"/>
    <hyperlink r:id="rId252" ref="A318"/>
    <hyperlink r:id="rId253" ref="A319"/>
    <hyperlink r:id="rId254" ref="A320"/>
    <hyperlink r:id="rId255" ref="A321"/>
    <hyperlink r:id="rId256" ref="A322"/>
    <hyperlink r:id="rId257" ref="A323"/>
    <hyperlink r:id="rId258" ref="A324"/>
    <hyperlink r:id="rId259" ref="A325"/>
    <hyperlink r:id="rId260" ref="A329"/>
    <hyperlink r:id="rId261" ref="A330"/>
    <hyperlink r:id="rId262" ref="A331"/>
    <hyperlink r:id="rId263" ref="A332"/>
    <hyperlink r:id="rId264" ref="A333"/>
    <hyperlink r:id="rId265" ref="A334"/>
    <hyperlink r:id="rId266" ref="A335"/>
    <hyperlink r:id="rId267" ref="A336"/>
    <hyperlink r:id="rId268" ref="A337"/>
    <hyperlink r:id="rId269" ref="A338"/>
    <hyperlink r:id="rId270" ref="A339"/>
    <hyperlink r:id="rId271" ref="A340"/>
    <hyperlink r:id="rId272" ref="A347"/>
    <hyperlink r:id="rId273" ref="A348"/>
    <hyperlink r:id="rId274" ref="A349"/>
    <hyperlink r:id="rId275" ref="A350"/>
    <hyperlink r:id="rId276" ref="A351"/>
    <hyperlink r:id="rId277" ref="A352"/>
    <hyperlink r:id="rId278" ref="A353"/>
    <hyperlink r:id="rId279" ref="A354"/>
    <hyperlink r:id="rId280" ref="A355"/>
    <hyperlink r:id="rId281" ref="A356"/>
    <hyperlink r:id="rId282" ref="A357"/>
    <hyperlink r:id="rId283" ref="A358"/>
    <hyperlink r:id="rId284" ref="A359"/>
    <hyperlink r:id="rId285" ref="A360"/>
    <hyperlink r:id="rId286" ref="A361"/>
    <hyperlink r:id="rId287" ref="A365"/>
    <hyperlink r:id="rId288" ref="A366"/>
    <hyperlink r:id="rId289" ref="A367"/>
    <hyperlink r:id="rId290" ref="A368"/>
    <hyperlink r:id="rId291" ref="A369"/>
    <hyperlink r:id="rId292" ref="A370"/>
    <hyperlink r:id="rId293" ref="A371"/>
    <hyperlink r:id="rId294" ref="A372"/>
    <hyperlink r:id="rId295" ref="A373"/>
    <hyperlink r:id="rId296" ref="A374"/>
    <hyperlink r:id="rId297" ref="A375"/>
    <hyperlink r:id="rId298" ref="A376"/>
    <hyperlink r:id="rId299" ref="A383"/>
    <hyperlink r:id="rId300" ref="A384"/>
    <hyperlink r:id="rId301" ref="A385"/>
    <hyperlink r:id="rId302" ref="A386"/>
    <hyperlink r:id="rId303" ref="A387"/>
    <hyperlink r:id="rId304" ref="A388"/>
    <hyperlink r:id="rId305" ref="A389"/>
    <hyperlink r:id="rId306" ref="A390"/>
    <hyperlink r:id="rId307" ref="A391"/>
    <hyperlink r:id="rId308" ref="A392"/>
    <hyperlink r:id="rId309" ref="A393"/>
    <hyperlink r:id="rId310" ref="A394"/>
    <hyperlink r:id="rId311" ref="A395"/>
    <hyperlink r:id="rId312" ref="A396"/>
    <hyperlink r:id="rId313" ref="A397"/>
    <hyperlink r:id="rId314" ref="A401"/>
    <hyperlink r:id="rId315" ref="A402"/>
    <hyperlink r:id="rId316" ref="A403"/>
    <hyperlink r:id="rId317" ref="A404"/>
    <hyperlink r:id="rId318" ref="A405"/>
    <hyperlink r:id="rId319" ref="A406"/>
    <hyperlink r:id="rId320" ref="A410"/>
    <hyperlink r:id="rId321" ref="A411"/>
    <hyperlink r:id="rId322" ref="A412"/>
    <hyperlink r:id="rId323" ref="A413"/>
    <hyperlink r:id="rId324" ref="A414"/>
    <hyperlink r:id="rId325" ref="A415"/>
    <hyperlink r:id="rId326" ref="A419"/>
    <hyperlink r:id="rId327" ref="A420"/>
    <hyperlink r:id="rId328" ref="A421"/>
    <hyperlink r:id="rId329" ref="A422"/>
    <hyperlink r:id="rId330" ref="A423"/>
    <hyperlink r:id="rId331" ref="A424"/>
    <hyperlink r:id="rId332" ref="A425"/>
    <hyperlink r:id="rId333" ref="A426"/>
    <hyperlink r:id="rId334" ref="A427"/>
    <hyperlink r:id="rId335" ref="A428"/>
    <hyperlink r:id="rId336" ref="A429"/>
    <hyperlink r:id="rId337" ref="A430"/>
    <hyperlink r:id="rId338" ref="A431"/>
    <hyperlink r:id="rId339" ref="A432"/>
    <hyperlink r:id="rId340" ref="A433"/>
    <hyperlink r:id="rId341" ref="A437"/>
    <hyperlink r:id="rId342" ref="A438"/>
    <hyperlink r:id="rId343" ref="A439"/>
    <hyperlink r:id="rId344" ref="A440"/>
    <hyperlink r:id="rId345" ref="A441"/>
    <hyperlink r:id="rId346" ref="A442"/>
    <hyperlink r:id="rId347" ref="A443"/>
    <hyperlink r:id="rId348" ref="A444"/>
    <hyperlink r:id="rId349" ref="A445"/>
    <hyperlink r:id="rId350" ref="A446"/>
    <hyperlink r:id="rId351" ref="A447"/>
    <hyperlink r:id="rId352" ref="A448"/>
    <hyperlink r:id="rId353" ref="A449"/>
    <hyperlink r:id="rId354" ref="A450"/>
    <hyperlink r:id="rId355" ref="A451"/>
    <hyperlink r:id="rId356" ref="A455"/>
    <hyperlink r:id="rId357" ref="A456"/>
    <hyperlink r:id="rId358" ref="A457"/>
    <hyperlink r:id="rId359" ref="A458"/>
    <hyperlink r:id="rId360" ref="A459"/>
    <hyperlink r:id="rId361" ref="A460"/>
    <hyperlink r:id="rId362" ref="A461"/>
    <hyperlink r:id="rId363" ref="A462"/>
    <hyperlink r:id="rId364" ref="A463"/>
    <hyperlink r:id="rId365" ref="A464"/>
    <hyperlink r:id="rId366" ref="A465"/>
    <hyperlink r:id="rId367" ref="A466"/>
    <hyperlink r:id="rId368" ref="A467"/>
    <hyperlink r:id="rId369" ref="A468"/>
    <hyperlink r:id="rId370" ref="A469"/>
    <hyperlink r:id="rId371" ref="A473"/>
    <hyperlink r:id="rId372" ref="A474"/>
    <hyperlink r:id="rId373" ref="A475"/>
    <hyperlink r:id="rId374" ref="A476"/>
    <hyperlink r:id="rId375" ref="A477"/>
    <hyperlink r:id="rId376" ref="A478"/>
    <hyperlink r:id="rId377" ref="A479"/>
    <hyperlink r:id="rId378" ref="A480"/>
    <hyperlink r:id="rId379" ref="A481"/>
    <hyperlink r:id="rId380" ref="A482"/>
    <hyperlink r:id="rId381" ref="A483"/>
    <hyperlink r:id="rId382" ref="A484"/>
    <hyperlink r:id="rId383" ref="A485"/>
    <hyperlink r:id="rId384" ref="A486"/>
    <hyperlink r:id="rId385" ref="A487"/>
    <hyperlink r:id="rId386" ref="A491"/>
    <hyperlink r:id="rId387" ref="A492"/>
    <hyperlink r:id="rId388" ref="A493"/>
    <hyperlink r:id="rId389" ref="A494"/>
    <hyperlink r:id="rId390" ref="A495"/>
    <hyperlink r:id="rId391" ref="A496"/>
    <hyperlink r:id="rId392" ref="A497"/>
    <hyperlink r:id="rId393" ref="A498"/>
    <hyperlink r:id="rId394" ref="A499"/>
    <hyperlink r:id="rId395" ref="A500"/>
    <hyperlink r:id="rId396" ref="A501"/>
    <hyperlink r:id="rId397" ref="A502"/>
    <hyperlink r:id="rId398" ref="A509"/>
    <hyperlink r:id="rId399" ref="A510"/>
    <hyperlink r:id="rId400" ref="A511"/>
    <hyperlink r:id="rId401" ref="A512"/>
    <hyperlink r:id="rId402" ref="A513"/>
    <hyperlink r:id="rId403" ref="A514"/>
    <hyperlink r:id="rId404" ref="A515"/>
    <hyperlink r:id="rId405" ref="A516"/>
    <hyperlink r:id="rId406" ref="A517"/>
    <hyperlink r:id="rId407" ref="A518"/>
    <hyperlink r:id="rId408" ref="A519"/>
    <hyperlink r:id="rId409" ref="A520"/>
    <hyperlink r:id="rId410" ref="A527"/>
    <hyperlink r:id="rId411" ref="A528"/>
    <hyperlink r:id="rId412" ref="A529"/>
    <hyperlink r:id="rId413" ref="A530"/>
    <hyperlink r:id="rId414" ref="A531"/>
    <hyperlink r:id="rId415" ref="A532"/>
    <hyperlink r:id="rId416" ref="A533"/>
    <hyperlink r:id="rId417" ref="A534"/>
    <hyperlink r:id="rId418" ref="A535"/>
    <hyperlink r:id="rId419" ref="A537"/>
    <hyperlink r:id="rId420" ref="A538"/>
    <hyperlink r:id="rId421" ref="A539"/>
    <hyperlink r:id="rId422" ref="A540"/>
    <hyperlink r:id="rId423" ref="A541"/>
    <hyperlink r:id="rId424" ref="A545"/>
    <hyperlink r:id="rId425" ref="A546"/>
    <hyperlink r:id="rId426" ref="A547"/>
    <hyperlink r:id="rId427" ref="A548"/>
    <hyperlink r:id="rId428" ref="A549"/>
    <hyperlink r:id="rId429" ref="A550"/>
    <hyperlink r:id="rId430" ref="A551"/>
    <hyperlink r:id="rId431" ref="A552"/>
    <hyperlink r:id="rId432" ref="A553"/>
    <hyperlink r:id="rId433" ref="A554"/>
    <hyperlink r:id="rId434" ref="A555"/>
    <hyperlink r:id="rId435" ref="A556"/>
    <hyperlink r:id="rId436" ref="A557"/>
    <hyperlink r:id="rId437" ref="A558"/>
    <hyperlink r:id="rId438" ref="A559"/>
    <hyperlink r:id="rId439" ref="A581"/>
    <hyperlink r:id="rId440" ref="A582"/>
    <hyperlink r:id="rId441" ref="A583"/>
    <hyperlink r:id="rId442" ref="A584"/>
    <hyperlink r:id="rId443" ref="A585"/>
    <hyperlink r:id="rId444" ref="A586"/>
    <hyperlink r:id="rId445" ref="A587"/>
    <hyperlink r:id="rId446" ref="A588"/>
    <hyperlink r:id="rId447" ref="A589"/>
    <hyperlink r:id="rId448" ref="A591"/>
    <hyperlink r:id="rId449" ref="A592"/>
    <hyperlink r:id="rId450" ref="A593"/>
    <hyperlink r:id="rId451" ref="A594"/>
    <hyperlink r:id="rId452" ref="A595"/>
    <hyperlink r:id="rId453" ref="A599"/>
    <hyperlink r:id="rId454" ref="A600"/>
    <hyperlink r:id="rId455" ref="A601"/>
    <hyperlink r:id="rId456" ref="A602"/>
    <hyperlink r:id="rId457" ref="A603"/>
    <hyperlink r:id="rId458" ref="A604"/>
    <hyperlink r:id="rId459" ref="A605"/>
    <hyperlink r:id="rId460" ref="A606"/>
    <hyperlink r:id="rId461" ref="A607"/>
    <hyperlink r:id="rId462" ref="A608"/>
    <hyperlink r:id="rId463" ref="A609"/>
    <hyperlink r:id="rId464" ref="A610"/>
    <hyperlink r:id="rId465" ref="A611"/>
    <hyperlink r:id="rId466" ref="A612"/>
    <hyperlink r:id="rId467" ref="A613"/>
    <hyperlink r:id="rId468" ref="A617"/>
    <hyperlink r:id="rId469" ref="A618"/>
    <hyperlink r:id="rId470" ref="A619"/>
    <hyperlink r:id="rId471" ref="A620"/>
    <hyperlink r:id="rId472" ref="A621"/>
    <hyperlink r:id="rId473" ref="A622"/>
    <hyperlink r:id="rId474" ref="A623"/>
    <hyperlink r:id="rId475" ref="A624"/>
    <hyperlink r:id="rId476" ref="A625"/>
    <hyperlink r:id="rId477" ref="A626"/>
    <hyperlink r:id="rId478" ref="A627"/>
    <hyperlink r:id="rId479" ref="A628"/>
    <hyperlink r:id="rId480" ref="A629"/>
    <hyperlink r:id="rId481" ref="A630"/>
    <hyperlink r:id="rId482" ref="A631"/>
    <hyperlink r:id="rId483" ref="A635"/>
    <hyperlink r:id="rId484" ref="A636"/>
    <hyperlink r:id="rId485" ref="A637"/>
    <hyperlink r:id="rId486" ref="A638"/>
    <hyperlink r:id="rId487" ref="A639"/>
    <hyperlink r:id="rId488" ref="A640"/>
    <hyperlink r:id="rId489" ref="A641"/>
    <hyperlink r:id="rId490" ref="A642"/>
    <hyperlink r:id="rId491" ref="A643"/>
    <hyperlink r:id="rId492" ref="A644"/>
    <hyperlink r:id="rId493" ref="A645"/>
    <hyperlink r:id="rId494" ref="A646"/>
    <hyperlink r:id="rId495" ref="A647"/>
    <hyperlink r:id="rId496" ref="A648"/>
    <hyperlink r:id="rId497" ref="A649"/>
    <hyperlink r:id="rId498" ref="A653"/>
    <hyperlink r:id="rId499" ref="A654"/>
    <hyperlink r:id="rId500" ref="A655"/>
    <hyperlink r:id="rId501" ref="A656"/>
    <hyperlink r:id="rId502" ref="A657"/>
    <hyperlink r:id="rId503" ref="A658"/>
    <hyperlink r:id="rId504" ref="A659"/>
    <hyperlink r:id="rId505" ref="A660"/>
    <hyperlink r:id="rId506" ref="A661"/>
    <hyperlink r:id="rId507" ref="A662"/>
    <hyperlink r:id="rId508" ref="A663"/>
    <hyperlink r:id="rId509" ref="A664"/>
    <hyperlink r:id="rId510" ref="A665"/>
    <hyperlink r:id="rId511" ref="A666"/>
    <hyperlink r:id="rId512" ref="A667"/>
    <hyperlink r:id="rId513" ref="A671"/>
    <hyperlink r:id="rId514" ref="A672"/>
    <hyperlink r:id="rId515" ref="A673"/>
    <hyperlink r:id="rId516" ref="A674"/>
    <hyperlink r:id="rId517" ref="A675"/>
    <hyperlink r:id="rId518" ref="A676"/>
    <hyperlink r:id="rId519" ref="A677"/>
    <hyperlink r:id="rId520" ref="A678"/>
    <hyperlink r:id="rId521" ref="A679"/>
    <hyperlink r:id="rId522" ref="A680"/>
    <hyperlink r:id="rId523" ref="A681"/>
    <hyperlink r:id="rId524" ref="A682"/>
    <hyperlink r:id="rId525" ref="A683"/>
    <hyperlink r:id="rId526" ref="A684"/>
    <hyperlink r:id="rId527" ref="A685"/>
    <hyperlink r:id="rId528" ref="A689"/>
    <hyperlink r:id="rId529" ref="A690"/>
    <hyperlink r:id="rId530" ref="A691"/>
    <hyperlink r:id="rId531" ref="A692"/>
    <hyperlink r:id="rId532" ref="A693"/>
    <hyperlink r:id="rId533" ref="A694"/>
    <hyperlink r:id="rId534" ref="A695"/>
    <hyperlink r:id="rId535" ref="A696"/>
    <hyperlink r:id="rId536" ref="A697"/>
    <hyperlink r:id="rId537" ref="A698"/>
    <hyperlink r:id="rId538" ref="A699"/>
    <hyperlink r:id="rId539" ref="A700"/>
    <hyperlink r:id="rId540" ref="A701"/>
    <hyperlink r:id="rId541" ref="A702"/>
    <hyperlink r:id="rId542" ref="A703"/>
  </hyperlinks>
  <drawing r:id="rId543"/>
  <tableParts count="22">
    <tablePart r:id="rId566"/>
    <tablePart r:id="rId567"/>
    <tablePart r:id="rId568"/>
    <tablePart r:id="rId569"/>
    <tablePart r:id="rId570"/>
    <tablePart r:id="rId571"/>
    <tablePart r:id="rId572"/>
    <tablePart r:id="rId573"/>
    <tablePart r:id="rId574"/>
    <tablePart r:id="rId575"/>
    <tablePart r:id="rId576"/>
    <tablePart r:id="rId577"/>
    <tablePart r:id="rId578"/>
    <tablePart r:id="rId579"/>
    <tablePart r:id="rId580"/>
    <tablePart r:id="rId581"/>
    <tablePart r:id="rId582"/>
    <tablePart r:id="rId583"/>
    <tablePart r:id="rId584"/>
    <tablePart r:id="rId585"/>
    <tablePart r:id="rId586"/>
    <tablePart r:id="rId58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72.13"/>
  </cols>
  <sheetData>
    <row r="1" hidden="1" collapsed="1">
      <c r="A1" s="89">
        <v>45962.0</v>
      </c>
      <c r="B1" s="91"/>
      <c r="C1" s="91"/>
      <c r="D1" s="91"/>
      <c r="E1" s="94"/>
      <c r="F1" s="94"/>
      <c r="G1" s="96"/>
      <c r="H1" s="96"/>
      <c r="I1" s="96"/>
      <c r="J1" s="96"/>
      <c r="K1" s="96"/>
      <c r="L1" s="96"/>
      <c r="M1" s="101"/>
      <c r="N1" s="102"/>
    </row>
    <row r="2" hidden="1" outlineLevel="1" collapsed="1">
      <c r="A2" s="105" t="s">
        <v>97</v>
      </c>
      <c r="B2" s="106"/>
      <c r="C2" s="106"/>
      <c r="D2" s="107"/>
      <c r="E2" s="109"/>
      <c r="F2" s="109"/>
      <c r="G2" s="110"/>
      <c r="H2" s="110"/>
      <c r="I2" s="110"/>
      <c r="J2" s="110"/>
      <c r="K2" s="110"/>
      <c r="L2" s="110"/>
      <c r="M2" s="111"/>
      <c r="N2" s="113"/>
    </row>
    <row r="3" hidden="1" outlineLevel="2">
      <c r="A3" s="115" t="s">
        <v>98</v>
      </c>
      <c r="B3" s="115" t="s">
        <v>100</v>
      </c>
      <c r="C3" s="115" t="s">
        <v>102</v>
      </c>
      <c r="D3" s="119" t="s">
        <v>103</v>
      </c>
      <c r="E3" s="120" t="s">
        <v>104</v>
      </c>
      <c r="F3" s="120" t="s">
        <v>105</v>
      </c>
      <c r="G3" s="121" t="s">
        <v>106</v>
      </c>
      <c r="H3" s="121" t="s">
        <v>107</v>
      </c>
      <c r="I3" s="121" t="s">
        <v>108</v>
      </c>
      <c r="J3" s="121" t="s">
        <v>110</v>
      </c>
      <c r="K3" s="121" t="s">
        <v>111</v>
      </c>
      <c r="L3" s="121" t="s">
        <v>112</v>
      </c>
      <c r="M3" s="115" t="s">
        <v>114</v>
      </c>
      <c r="N3" s="119" t="s">
        <v>115</v>
      </c>
    </row>
    <row r="4" hidden="1" outlineLevel="2">
      <c r="A4" s="177" t="s">
        <v>1828</v>
      </c>
      <c r="B4" s="132">
        <v>45971.0</v>
      </c>
      <c r="C4" s="133" t="str">
        <f t="shared" ref="C4:C18" si="1">IF(B4="", "", TEXT(B4, "ddd"))</f>
        <v>Mon</v>
      </c>
      <c r="D4" s="136">
        <f t="shared" ref="D4:D18" si="2">IF(E4="Yes",0.05,0)
+IF(F4="Yes",0.1,0)
+IF(G4="Yes",0.1,0)
+IF(H4="Yes",0.15,0)
+IF(I4="Yes",0.05,0)
+IF(J4="Yes",0.1,0)
+IF(K4="Yes",0.15,0)
+IF(L4="Yes",0.3,0)
</f>
        <v>1</v>
      </c>
      <c r="E4" s="137" t="s">
        <v>129</v>
      </c>
      <c r="F4" s="137" t="s">
        <v>129</v>
      </c>
      <c r="G4" s="137" t="s">
        <v>129</v>
      </c>
      <c r="H4" s="137" t="s">
        <v>129</v>
      </c>
      <c r="I4" s="137" t="s">
        <v>129</v>
      </c>
      <c r="J4" s="137" t="s">
        <v>129</v>
      </c>
      <c r="K4" s="137" t="s">
        <v>129</v>
      </c>
      <c r="L4" s="137" t="s">
        <v>129</v>
      </c>
      <c r="M4" s="141">
        <f t="shared" ref="M4:M18" si="3">IF(D4="", 0, 
    IF(D4&gt;=1, 5, 
    IF(D4&gt;=0.8, 4, 
    IF(D4&gt;=0.7, 3, 
    IF(D4&gt;=0.6, 2, 
    IF(D4&lt;0.5, 1, ""))))))</f>
        <v>5</v>
      </c>
      <c r="N4" s="143"/>
    </row>
    <row r="5" hidden="1" outlineLevel="2">
      <c r="A5" s="177" t="s">
        <v>1836</v>
      </c>
      <c r="B5" s="132">
        <v>45971.0</v>
      </c>
      <c r="C5" s="133" t="str">
        <f t="shared" si="1"/>
        <v>Mon</v>
      </c>
      <c r="D5" s="136">
        <f t="shared" si="2"/>
        <v>1</v>
      </c>
      <c r="E5" s="137" t="s">
        <v>129</v>
      </c>
      <c r="F5" s="137" t="s">
        <v>129</v>
      </c>
      <c r="G5" s="137" t="s">
        <v>129</v>
      </c>
      <c r="H5" s="137" t="s">
        <v>129</v>
      </c>
      <c r="I5" s="137" t="s">
        <v>129</v>
      </c>
      <c r="J5" s="137" t="s">
        <v>129</v>
      </c>
      <c r="K5" s="137" t="s">
        <v>129</v>
      </c>
      <c r="L5" s="137" t="s">
        <v>129</v>
      </c>
      <c r="M5" s="141">
        <f t="shared" si="3"/>
        <v>5</v>
      </c>
      <c r="N5" s="143"/>
    </row>
    <row r="6" hidden="1" outlineLevel="2">
      <c r="A6" s="177" t="s">
        <v>1838</v>
      </c>
      <c r="B6" s="132">
        <v>45971.0</v>
      </c>
      <c r="C6" s="133" t="str">
        <f t="shared" si="1"/>
        <v>Mon</v>
      </c>
      <c r="D6" s="136">
        <f t="shared" si="2"/>
        <v>1</v>
      </c>
      <c r="E6" s="137" t="s">
        <v>129</v>
      </c>
      <c r="F6" s="137" t="s">
        <v>129</v>
      </c>
      <c r="G6" s="137" t="s">
        <v>129</v>
      </c>
      <c r="H6" s="137" t="s">
        <v>129</v>
      </c>
      <c r="I6" s="137" t="s">
        <v>129</v>
      </c>
      <c r="J6" s="137" t="s">
        <v>129</v>
      </c>
      <c r="K6" s="137" t="s">
        <v>129</v>
      </c>
      <c r="L6" s="137" t="s">
        <v>129</v>
      </c>
      <c r="M6" s="141">
        <f t="shared" si="3"/>
        <v>5</v>
      </c>
      <c r="N6" s="143"/>
    </row>
    <row r="7" hidden="1" outlineLevel="2">
      <c r="A7" s="156" t="s">
        <v>1839</v>
      </c>
      <c r="B7" s="132">
        <v>45972.0</v>
      </c>
      <c r="C7" s="133" t="str">
        <f t="shared" si="1"/>
        <v>Tue</v>
      </c>
      <c r="D7" s="136">
        <f t="shared" si="2"/>
        <v>1</v>
      </c>
      <c r="E7" s="137" t="s">
        <v>129</v>
      </c>
      <c r="F7" s="137" t="s">
        <v>129</v>
      </c>
      <c r="G7" s="137" t="s">
        <v>129</v>
      </c>
      <c r="H7" s="137" t="s">
        <v>129</v>
      </c>
      <c r="I7" s="137" t="s">
        <v>129</v>
      </c>
      <c r="J7" s="137" t="s">
        <v>129</v>
      </c>
      <c r="K7" s="137" t="s">
        <v>129</v>
      </c>
      <c r="L7" s="137" t="s">
        <v>129</v>
      </c>
      <c r="M7" s="141">
        <f t="shared" si="3"/>
        <v>5</v>
      </c>
      <c r="N7" s="143"/>
    </row>
    <row r="8" hidden="1" outlineLevel="2">
      <c r="A8" s="156" t="s">
        <v>1842</v>
      </c>
      <c r="B8" s="132">
        <v>45972.0</v>
      </c>
      <c r="C8" s="133" t="str">
        <f t="shared" si="1"/>
        <v>Tue</v>
      </c>
      <c r="D8" s="136">
        <f t="shared" si="2"/>
        <v>1</v>
      </c>
      <c r="E8" s="137" t="s">
        <v>129</v>
      </c>
      <c r="F8" s="137" t="s">
        <v>129</v>
      </c>
      <c r="G8" s="137" t="s">
        <v>129</v>
      </c>
      <c r="H8" s="137" t="s">
        <v>129</v>
      </c>
      <c r="I8" s="137" t="s">
        <v>129</v>
      </c>
      <c r="J8" s="137" t="s">
        <v>129</v>
      </c>
      <c r="K8" s="137" t="s">
        <v>129</v>
      </c>
      <c r="L8" s="137" t="s">
        <v>129</v>
      </c>
      <c r="M8" s="141">
        <f t="shared" si="3"/>
        <v>5</v>
      </c>
      <c r="N8" s="143"/>
    </row>
    <row r="9" hidden="1" outlineLevel="2">
      <c r="A9" s="156" t="s">
        <v>1844</v>
      </c>
      <c r="B9" s="132">
        <v>45972.0</v>
      </c>
      <c r="C9" s="133" t="str">
        <f t="shared" si="1"/>
        <v>Tue</v>
      </c>
      <c r="D9" s="136">
        <f t="shared" si="2"/>
        <v>1</v>
      </c>
      <c r="E9" s="137" t="s">
        <v>129</v>
      </c>
      <c r="F9" s="137" t="s">
        <v>129</v>
      </c>
      <c r="G9" s="137" t="s">
        <v>129</v>
      </c>
      <c r="H9" s="137" t="s">
        <v>129</v>
      </c>
      <c r="I9" s="137" t="s">
        <v>129</v>
      </c>
      <c r="J9" s="137" t="s">
        <v>129</v>
      </c>
      <c r="K9" s="137" t="s">
        <v>129</v>
      </c>
      <c r="L9" s="137" t="s">
        <v>129</v>
      </c>
      <c r="M9" s="141">
        <f t="shared" si="3"/>
        <v>5</v>
      </c>
      <c r="N9" s="143"/>
    </row>
    <row r="10" hidden="1" outlineLevel="2">
      <c r="A10" s="177" t="s">
        <v>1847</v>
      </c>
      <c r="B10" s="132">
        <v>45974.0</v>
      </c>
      <c r="C10" s="133" t="str">
        <f t="shared" si="1"/>
        <v>Thu</v>
      </c>
      <c r="D10" s="136">
        <f t="shared" si="2"/>
        <v>0.9</v>
      </c>
      <c r="E10" s="137" t="s">
        <v>129</v>
      </c>
      <c r="F10" s="137" t="s">
        <v>129</v>
      </c>
      <c r="G10" s="137" t="s">
        <v>129</v>
      </c>
      <c r="H10" s="137" t="s">
        <v>129</v>
      </c>
      <c r="I10" s="137" t="s">
        <v>129</v>
      </c>
      <c r="J10" s="137" t="s">
        <v>174</v>
      </c>
      <c r="K10" s="137" t="s">
        <v>129</v>
      </c>
      <c r="L10" s="137" t="s">
        <v>129</v>
      </c>
      <c r="M10" s="141">
        <f t="shared" si="3"/>
        <v>4</v>
      </c>
      <c r="N10" s="147" t="s">
        <v>1850</v>
      </c>
    </row>
    <row r="11" hidden="1" outlineLevel="2">
      <c r="A11" s="177" t="s">
        <v>1851</v>
      </c>
      <c r="B11" s="132">
        <v>45974.0</v>
      </c>
      <c r="C11" s="133" t="str">
        <f t="shared" si="1"/>
        <v>Thu</v>
      </c>
      <c r="D11" s="136">
        <f t="shared" si="2"/>
        <v>1</v>
      </c>
      <c r="E11" s="137" t="s">
        <v>129</v>
      </c>
      <c r="F11" s="137" t="s">
        <v>129</v>
      </c>
      <c r="G11" s="137" t="s">
        <v>129</v>
      </c>
      <c r="H11" s="137" t="s">
        <v>129</v>
      </c>
      <c r="I11" s="137" t="s">
        <v>129</v>
      </c>
      <c r="J11" s="137" t="s">
        <v>129</v>
      </c>
      <c r="K11" s="137" t="s">
        <v>129</v>
      </c>
      <c r="L11" s="137" t="s">
        <v>129</v>
      </c>
      <c r="M11" s="141">
        <f t="shared" si="3"/>
        <v>5</v>
      </c>
      <c r="N11" s="143"/>
    </row>
    <row r="12" hidden="1" outlineLevel="2">
      <c r="A12" s="177" t="s">
        <v>1855</v>
      </c>
      <c r="B12" s="132">
        <v>45974.0</v>
      </c>
      <c r="C12" s="133" t="str">
        <f t="shared" si="1"/>
        <v>Thu</v>
      </c>
      <c r="D12" s="136">
        <f t="shared" si="2"/>
        <v>1</v>
      </c>
      <c r="E12" s="137" t="s">
        <v>129</v>
      </c>
      <c r="F12" s="137" t="s">
        <v>129</v>
      </c>
      <c r="G12" s="137" t="s">
        <v>129</v>
      </c>
      <c r="H12" s="137" t="s">
        <v>129</v>
      </c>
      <c r="I12" s="137" t="s">
        <v>129</v>
      </c>
      <c r="J12" s="137" t="s">
        <v>129</v>
      </c>
      <c r="K12" s="137" t="s">
        <v>129</v>
      </c>
      <c r="L12" s="137" t="s">
        <v>129</v>
      </c>
      <c r="M12" s="141">
        <f t="shared" si="3"/>
        <v>5</v>
      </c>
      <c r="N12" s="143"/>
    </row>
    <row r="13" hidden="1" outlineLevel="2">
      <c r="A13" s="177" t="s">
        <v>1859</v>
      </c>
      <c r="B13" s="132">
        <v>45975.0</v>
      </c>
      <c r="C13" s="133" t="str">
        <f t="shared" si="1"/>
        <v>Fri</v>
      </c>
      <c r="D13" s="136">
        <f t="shared" si="2"/>
        <v>1</v>
      </c>
      <c r="E13" s="137" t="s">
        <v>129</v>
      </c>
      <c r="F13" s="137" t="s">
        <v>129</v>
      </c>
      <c r="G13" s="137" t="s">
        <v>129</v>
      </c>
      <c r="H13" s="137" t="s">
        <v>129</v>
      </c>
      <c r="I13" s="137" t="s">
        <v>129</v>
      </c>
      <c r="J13" s="137" t="s">
        <v>129</v>
      </c>
      <c r="K13" s="137" t="s">
        <v>129</v>
      </c>
      <c r="L13" s="137" t="s">
        <v>129</v>
      </c>
      <c r="M13" s="141">
        <f t="shared" si="3"/>
        <v>5</v>
      </c>
      <c r="N13" s="143"/>
    </row>
    <row r="14" hidden="1" outlineLevel="2">
      <c r="A14" s="177" t="s">
        <v>1863</v>
      </c>
      <c r="B14" s="132">
        <v>45975.0</v>
      </c>
      <c r="C14" s="133" t="str">
        <f t="shared" si="1"/>
        <v>Fri</v>
      </c>
      <c r="D14" s="136">
        <f t="shared" si="2"/>
        <v>1</v>
      </c>
      <c r="E14" s="137" t="s">
        <v>129</v>
      </c>
      <c r="F14" s="137" t="s">
        <v>129</v>
      </c>
      <c r="G14" s="137" t="s">
        <v>129</v>
      </c>
      <c r="H14" s="137" t="s">
        <v>129</v>
      </c>
      <c r="I14" s="137" t="s">
        <v>129</v>
      </c>
      <c r="J14" s="137" t="s">
        <v>129</v>
      </c>
      <c r="K14" s="137" t="s">
        <v>129</v>
      </c>
      <c r="L14" s="137" t="s">
        <v>129</v>
      </c>
      <c r="M14" s="141">
        <f t="shared" si="3"/>
        <v>5</v>
      </c>
      <c r="N14" s="143"/>
    </row>
    <row r="15" hidden="1" outlineLevel="2">
      <c r="A15" s="177" t="s">
        <v>1869</v>
      </c>
      <c r="B15" s="132">
        <v>45975.0</v>
      </c>
      <c r="C15" s="133" t="str">
        <f t="shared" si="1"/>
        <v>Fri</v>
      </c>
      <c r="D15" s="136">
        <f t="shared" si="2"/>
        <v>1</v>
      </c>
      <c r="E15" s="137" t="s">
        <v>129</v>
      </c>
      <c r="F15" s="137" t="s">
        <v>129</v>
      </c>
      <c r="G15" s="137" t="s">
        <v>129</v>
      </c>
      <c r="H15" s="137" t="s">
        <v>129</v>
      </c>
      <c r="I15" s="137" t="s">
        <v>129</v>
      </c>
      <c r="J15" s="137" t="s">
        <v>129</v>
      </c>
      <c r="K15" s="137" t="s">
        <v>129</v>
      </c>
      <c r="L15" s="137" t="s">
        <v>129</v>
      </c>
      <c r="M15" s="141">
        <f t="shared" si="3"/>
        <v>5</v>
      </c>
      <c r="N15" s="143"/>
    </row>
    <row r="16" hidden="1" outlineLevel="2">
      <c r="A16" s="466" t="s">
        <v>1872</v>
      </c>
      <c r="B16" s="132">
        <v>45976.0</v>
      </c>
      <c r="C16" s="186" t="str">
        <f t="shared" si="1"/>
        <v>Sat</v>
      </c>
      <c r="D16" s="136">
        <f t="shared" si="2"/>
        <v>1</v>
      </c>
      <c r="E16" s="137" t="s">
        <v>129</v>
      </c>
      <c r="F16" s="137" t="s">
        <v>129</v>
      </c>
      <c r="G16" s="137" t="s">
        <v>129</v>
      </c>
      <c r="H16" s="137" t="s">
        <v>129</v>
      </c>
      <c r="I16" s="137" t="s">
        <v>129</v>
      </c>
      <c r="J16" s="137" t="s">
        <v>129</v>
      </c>
      <c r="K16" s="137" t="s">
        <v>129</v>
      </c>
      <c r="L16" s="137" t="s">
        <v>129</v>
      </c>
      <c r="M16" s="141">
        <f t="shared" si="3"/>
        <v>5</v>
      </c>
      <c r="N16" s="143"/>
    </row>
    <row r="17" hidden="1" outlineLevel="2">
      <c r="A17" s="466" t="s">
        <v>1876</v>
      </c>
      <c r="B17" s="132">
        <v>45976.0</v>
      </c>
      <c r="C17" s="186" t="str">
        <f t="shared" si="1"/>
        <v>Sat</v>
      </c>
      <c r="D17" s="136">
        <f t="shared" si="2"/>
        <v>1</v>
      </c>
      <c r="E17" s="137" t="s">
        <v>129</v>
      </c>
      <c r="F17" s="137" t="s">
        <v>129</v>
      </c>
      <c r="G17" s="137" t="s">
        <v>129</v>
      </c>
      <c r="H17" s="137" t="s">
        <v>129</v>
      </c>
      <c r="I17" s="137" t="s">
        <v>129</v>
      </c>
      <c r="J17" s="137" t="s">
        <v>129</v>
      </c>
      <c r="K17" s="137" t="s">
        <v>129</v>
      </c>
      <c r="L17" s="137" t="s">
        <v>129</v>
      </c>
      <c r="M17" s="141">
        <f t="shared" si="3"/>
        <v>5</v>
      </c>
      <c r="N17" s="143"/>
    </row>
    <row r="18" hidden="1" outlineLevel="2">
      <c r="A18" s="466" t="s">
        <v>1880</v>
      </c>
      <c r="B18" s="132">
        <v>45976.0</v>
      </c>
      <c r="C18" s="186" t="str">
        <f t="shared" si="1"/>
        <v>Sat</v>
      </c>
      <c r="D18" s="136">
        <f t="shared" si="2"/>
        <v>1</v>
      </c>
      <c r="E18" s="137" t="s">
        <v>129</v>
      </c>
      <c r="F18" s="137" t="s">
        <v>129</v>
      </c>
      <c r="G18" s="137" t="s">
        <v>129</v>
      </c>
      <c r="H18" s="137" t="s">
        <v>129</v>
      </c>
      <c r="I18" s="137" t="s">
        <v>129</v>
      </c>
      <c r="J18" s="137" t="s">
        <v>129</v>
      </c>
      <c r="K18" s="137" t="s">
        <v>129</v>
      </c>
      <c r="L18" s="137" t="s">
        <v>129</v>
      </c>
      <c r="M18" s="141">
        <f t="shared" si="3"/>
        <v>5</v>
      </c>
      <c r="N18" s="143"/>
    </row>
    <row r="19" hidden="1" outlineLevel="2">
      <c r="B19" s="189"/>
      <c r="C19" s="191" t="s">
        <v>194</v>
      </c>
      <c r="D19" s="198">
        <f>AVERAGE(D3:D18)*0.4</f>
        <v>0.3973333333</v>
      </c>
      <c r="E19" s="200"/>
      <c r="L19" s="191" t="s">
        <v>194</v>
      </c>
      <c r="M19" s="204">
        <f>SUM(M4:M18)/75*0.1</f>
        <v>0.09866666667</v>
      </c>
    </row>
    <row r="20" hidden="1" outlineLevel="1" collapsed="1">
      <c r="A20" s="206" t="s">
        <v>205</v>
      </c>
      <c r="B20" s="207"/>
      <c r="C20" s="207"/>
      <c r="D20" s="208"/>
      <c r="E20" s="109"/>
      <c r="F20" s="109"/>
      <c r="G20" s="110"/>
      <c r="H20" s="110"/>
      <c r="I20" s="110"/>
      <c r="J20" s="110"/>
      <c r="K20" s="110"/>
      <c r="L20" s="110"/>
      <c r="M20" s="111"/>
      <c r="N20" s="113"/>
    </row>
    <row r="21" hidden="1" outlineLevel="2">
      <c r="A21" s="115" t="s">
        <v>98</v>
      </c>
      <c r="B21" s="115" t="s">
        <v>100</v>
      </c>
      <c r="C21" s="115" t="s">
        <v>102</v>
      </c>
      <c r="D21" s="119" t="s">
        <v>103</v>
      </c>
      <c r="E21" s="120" t="s">
        <v>104</v>
      </c>
      <c r="F21" s="120" t="s">
        <v>105</v>
      </c>
      <c r="G21" s="121" t="s">
        <v>106</v>
      </c>
      <c r="H21" s="121" t="s">
        <v>107</v>
      </c>
      <c r="I21" s="121" t="s">
        <v>108</v>
      </c>
      <c r="J21" s="121" t="s">
        <v>110</v>
      </c>
      <c r="K21" s="121" t="s">
        <v>111</v>
      </c>
      <c r="L21" s="121" t="s">
        <v>112</v>
      </c>
      <c r="M21" s="115" t="s">
        <v>114</v>
      </c>
      <c r="N21" s="119" t="s">
        <v>115</v>
      </c>
    </row>
    <row r="22" hidden="1" outlineLevel="2">
      <c r="A22" s="219" t="s">
        <v>1886</v>
      </c>
      <c r="B22" s="132">
        <v>45978.0</v>
      </c>
      <c r="C22" s="133" t="str">
        <f t="shared" ref="C22:C36" si="4">IF(B22="", "", TEXT(B22, "ddd"))</f>
        <v>Mon</v>
      </c>
      <c r="D22" s="136">
        <f t="shared" ref="D22:D36" si="5">IF(E22="Yes",0.05,0)
+IF(F22="Yes",0.1,0)
+IF(G22="Yes",0.1,0)
+IF(H22="Yes",0.15,0)
+IF(I22="Yes",0.05,0)
+IF(J22="Yes",0.1,0)
+IF(K22="Yes",0.15,0)
+IF(L22="Yes",0.3,0)
</f>
        <v>1</v>
      </c>
      <c r="E22" s="137" t="s">
        <v>129</v>
      </c>
      <c r="F22" s="137" t="s">
        <v>129</v>
      </c>
      <c r="G22" s="137" t="s">
        <v>129</v>
      </c>
      <c r="H22" s="137" t="s">
        <v>129</v>
      </c>
      <c r="I22" s="137" t="s">
        <v>129</v>
      </c>
      <c r="J22" s="137" t="s">
        <v>129</v>
      </c>
      <c r="K22" s="137" t="s">
        <v>129</v>
      </c>
      <c r="L22" s="137" t="s">
        <v>129</v>
      </c>
      <c r="M22" s="141">
        <f t="shared" ref="M22:M36" si="6">IF(D22="", 0, 
    IF(D22&gt;=1, 5, 
    IF(D22&gt;=0.8, 4, 
    IF(D22&gt;=0.7, 3, 
    IF(D22&gt;=0.6, 2, 
    IF(D22&lt;0.5, 1, ""))))))</f>
        <v>5</v>
      </c>
      <c r="N22" s="143"/>
    </row>
    <row r="23" hidden="1" outlineLevel="2">
      <c r="A23" s="219" t="s">
        <v>1892</v>
      </c>
      <c r="B23" s="132">
        <v>45978.0</v>
      </c>
      <c r="C23" s="133" t="str">
        <f t="shared" si="4"/>
        <v>Mon</v>
      </c>
      <c r="D23" s="136">
        <f t="shared" si="5"/>
        <v>0.85</v>
      </c>
      <c r="E23" s="137" t="s">
        <v>129</v>
      </c>
      <c r="F23" s="137" t="s">
        <v>129</v>
      </c>
      <c r="G23" s="137" t="s">
        <v>129</v>
      </c>
      <c r="H23" s="137" t="s">
        <v>174</v>
      </c>
      <c r="I23" s="137" t="s">
        <v>129</v>
      </c>
      <c r="J23" s="137" t="s">
        <v>129</v>
      </c>
      <c r="K23" s="137" t="s">
        <v>129</v>
      </c>
      <c r="L23" s="137" t="s">
        <v>129</v>
      </c>
      <c r="M23" s="141">
        <f t="shared" si="6"/>
        <v>4</v>
      </c>
      <c r="N23" s="147"/>
    </row>
    <row r="24" hidden="1" outlineLevel="2">
      <c r="A24" s="219" t="s">
        <v>1896</v>
      </c>
      <c r="B24" s="132">
        <v>45978.0</v>
      </c>
      <c r="C24" s="133" t="str">
        <f t="shared" si="4"/>
        <v>Mon</v>
      </c>
      <c r="D24" s="136">
        <f t="shared" si="5"/>
        <v>1</v>
      </c>
      <c r="E24" s="137" t="s">
        <v>129</v>
      </c>
      <c r="F24" s="137" t="s">
        <v>129</v>
      </c>
      <c r="G24" s="137" t="s">
        <v>129</v>
      </c>
      <c r="H24" s="137" t="s">
        <v>129</v>
      </c>
      <c r="I24" s="137" t="s">
        <v>129</v>
      </c>
      <c r="J24" s="137" t="s">
        <v>129</v>
      </c>
      <c r="K24" s="137" t="s">
        <v>129</v>
      </c>
      <c r="L24" s="137" t="s">
        <v>129</v>
      </c>
      <c r="M24" s="141">
        <f t="shared" si="6"/>
        <v>5</v>
      </c>
      <c r="N24" s="147"/>
    </row>
    <row r="25" hidden="1" outlineLevel="2">
      <c r="A25" s="156" t="s">
        <v>1898</v>
      </c>
      <c r="B25" s="132">
        <v>45979.0</v>
      </c>
      <c r="C25" s="133" t="str">
        <f t="shared" si="4"/>
        <v>Tue</v>
      </c>
      <c r="D25" s="136">
        <f t="shared" si="5"/>
        <v>1</v>
      </c>
      <c r="E25" s="137" t="s">
        <v>129</v>
      </c>
      <c r="F25" s="137" t="s">
        <v>129</v>
      </c>
      <c r="G25" s="137" t="s">
        <v>129</v>
      </c>
      <c r="H25" s="137" t="s">
        <v>129</v>
      </c>
      <c r="I25" s="137" t="s">
        <v>129</v>
      </c>
      <c r="J25" s="137" t="s">
        <v>129</v>
      </c>
      <c r="K25" s="137" t="s">
        <v>129</v>
      </c>
      <c r="L25" s="137" t="s">
        <v>129</v>
      </c>
      <c r="M25" s="141">
        <f t="shared" si="6"/>
        <v>5</v>
      </c>
      <c r="N25" s="143"/>
    </row>
    <row r="26" hidden="1" outlineLevel="2">
      <c r="A26" s="156" t="s">
        <v>1907</v>
      </c>
      <c r="B26" s="132">
        <v>45979.0</v>
      </c>
      <c r="C26" s="133" t="str">
        <f t="shared" si="4"/>
        <v>Tue</v>
      </c>
      <c r="D26" s="136">
        <f t="shared" si="5"/>
        <v>1</v>
      </c>
      <c r="E26" s="137" t="s">
        <v>129</v>
      </c>
      <c r="F26" s="137" t="s">
        <v>129</v>
      </c>
      <c r="G26" s="137" t="s">
        <v>129</v>
      </c>
      <c r="H26" s="137" t="s">
        <v>129</v>
      </c>
      <c r="I26" s="137" t="s">
        <v>129</v>
      </c>
      <c r="J26" s="137" t="s">
        <v>129</v>
      </c>
      <c r="K26" s="137" t="s">
        <v>129</v>
      </c>
      <c r="L26" s="137" t="s">
        <v>129</v>
      </c>
      <c r="M26" s="141">
        <f t="shared" si="6"/>
        <v>5</v>
      </c>
      <c r="N26" s="143"/>
    </row>
    <row r="27" hidden="1" outlineLevel="2">
      <c r="A27" s="156" t="s">
        <v>1909</v>
      </c>
      <c r="B27" s="132">
        <v>45979.0</v>
      </c>
      <c r="C27" s="133" t="str">
        <f t="shared" si="4"/>
        <v>Tue</v>
      </c>
      <c r="D27" s="136">
        <f t="shared" si="5"/>
        <v>1</v>
      </c>
      <c r="E27" s="137" t="s">
        <v>129</v>
      </c>
      <c r="F27" s="137" t="s">
        <v>129</v>
      </c>
      <c r="G27" s="137" t="s">
        <v>129</v>
      </c>
      <c r="H27" s="137" t="s">
        <v>129</v>
      </c>
      <c r="I27" s="137" t="s">
        <v>129</v>
      </c>
      <c r="J27" s="137" t="s">
        <v>129</v>
      </c>
      <c r="K27" s="137" t="s">
        <v>129</v>
      </c>
      <c r="L27" s="137" t="s">
        <v>129</v>
      </c>
      <c r="M27" s="141">
        <f t="shared" si="6"/>
        <v>5</v>
      </c>
      <c r="N27" s="143"/>
    </row>
    <row r="28" hidden="1" outlineLevel="2">
      <c r="A28" s="219" t="s">
        <v>1911</v>
      </c>
      <c r="B28" s="132">
        <v>45980.0</v>
      </c>
      <c r="C28" s="133" t="str">
        <f t="shared" si="4"/>
        <v>Wed</v>
      </c>
      <c r="D28" s="136">
        <f t="shared" si="5"/>
        <v>1</v>
      </c>
      <c r="E28" s="137" t="s">
        <v>129</v>
      </c>
      <c r="F28" s="137" t="s">
        <v>129</v>
      </c>
      <c r="G28" s="137" t="s">
        <v>129</v>
      </c>
      <c r="H28" s="137" t="s">
        <v>129</v>
      </c>
      <c r="I28" s="137" t="s">
        <v>129</v>
      </c>
      <c r="J28" s="137" t="s">
        <v>129</v>
      </c>
      <c r="K28" s="137" t="s">
        <v>129</v>
      </c>
      <c r="L28" s="137" t="s">
        <v>129</v>
      </c>
      <c r="M28" s="141">
        <f t="shared" si="6"/>
        <v>5</v>
      </c>
      <c r="N28" s="143"/>
    </row>
    <row r="29" hidden="1" outlineLevel="2">
      <c r="A29" s="219" t="s">
        <v>1912</v>
      </c>
      <c r="B29" s="132">
        <v>45980.0</v>
      </c>
      <c r="C29" s="133" t="str">
        <f t="shared" si="4"/>
        <v>Wed</v>
      </c>
      <c r="D29" s="136">
        <f t="shared" si="5"/>
        <v>1</v>
      </c>
      <c r="E29" s="137" t="s">
        <v>129</v>
      </c>
      <c r="F29" s="137" t="s">
        <v>129</v>
      </c>
      <c r="G29" s="137" t="s">
        <v>129</v>
      </c>
      <c r="H29" s="137" t="s">
        <v>129</v>
      </c>
      <c r="I29" s="137" t="s">
        <v>129</v>
      </c>
      <c r="J29" s="137" t="s">
        <v>129</v>
      </c>
      <c r="K29" s="137" t="s">
        <v>129</v>
      </c>
      <c r="L29" s="137" t="s">
        <v>129</v>
      </c>
      <c r="M29" s="141">
        <f t="shared" si="6"/>
        <v>5</v>
      </c>
      <c r="N29" s="147"/>
    </row>
    <row r="30" hidden="1" outlineLevel="2">
      <c r="A30" s="219" t="s">
        <v>1917</v>
      </c>
      <c r="B30" s="132">
        <v>45980.0</v>
      </c>
      <c r="C30" s="133" t="str">
        <f t="shared" si="4"/>
        <v>Wed</v>
      </c>
      <c r="D30" s="136">
        <f t="shared" si="5"/>
        <v>1</v>
      </c>
      <c r="E30" s="137" t="s">
        <v>129</v>
      </c>
      <c r="F30" s="137" t="s">
        <v>129</v>
      </c>
      <c r="G30" s="137" t="s">
        <v>129</v>
      </c>
      <c r="H30" s="137" t="s">
        <v>129</v>
      </c>
      <c r="I30" s="137" t="s">
        <v>129</v>
      </c>
      <c r="J30" s="137" t="s">
        <v>129</v>
      </c>
      <c r="K30" s="137" t="s">
        <v>129</v>
      </c>
      <c r="L30" s="137" t="s">
        <v>129</v>
      </c>
      <c r="M30" s="141">
        <f t="shared" si="6"/>
        <v>5</v>
      </c>
      <c r="N30" s="143"/>
    </row>
    <row r="31" hidden="1" outlineLevel="2">
      <c r="A31" s="131" t="s">
        <v>1919</v>
      </c>
      <c r="B31" s="132">
        <v>45981.0</v>
      </c>
      <c r="C31" s="133" t="str">
        <f t="shared" si="4"/>
        <v>Thu</v>
      </c>
      <c r="D31" s="136">
        <f t="shared" si="5"/>
        <v>1</v>
      </c>
      <c r="E31" s="137" t="s">
        <v>129</v>
      </c>
      <c r="F31" s="137" t="s">
        <v>129</v>
      </c>
      <c r="G31" s="137" t="s">
        <v>129</v>
      </c>
      <c r="H31" s="137" t="s">
        <v>129</v>
      </c>
      <c r="I31" s="137" t="s">
        <v>129</v>
      </c>
      <c r="J31" s="137" t="s">
        <v>129</v>
      </c>
      <c r="K31" s="137" t="s">
        <v>129</v>
      </c>
      <c r="L31" s="137" t="s">
        <v>129</v>
      </c>
      <c r="M31" s="141">
        <f t="shared" si="6"/>
        <v>5</v>
      </c>
      <c r="N31" s="143"/>
    </row>
    <row r="32" hidden="1" outlineLevel="2">
      <c r="A32" s="131" t="s">
        <v>1923</v>
      </c>
      <c r="B32" s="132">
        <v>45981.0</v>
      </c>
      <c r="C32" s="133" t="str">
        <f t="shared" si="4"/>
        <v>Thu</v>
      </c>
      <c r="D32" s="136">
        <f t="shared" si="5"/>
        <v>1</v>
      </c>
      <c r="E32" s="137" t="s">
        <v>129</v>
      </c>
      <c r="F32" s="137" t="s">
        <v>129</v>
      </c>
      <c r="G32" s="137" t="s">
        <v>129</v>
      </c>
      <c r="H32" s="137" t="s">
        <v>129</v>
      </c>
      <c r="I32" s="137" t="s">
        <v>129</v>
      </c>
      <c r="J32" s="137" t="s">
        <v>129</v>
      </c>
      <c r="K32" s="137" t="s">
        <v>129</v>
      </c>
      <c r="L32" s="137" t="s">
        <v>129</v>
      </c>
      <c r="M32" s="141">
        <f t="shared" si="6"/>
        <v>5</v>
      </c>
      <c r="N32" s="143"/>
    </row>
    <row r="33" hidden="1" outlineLevel="2">
      <c r="A33" s="131" t="s">
        <v>1926</v>
      </c>
      <c r="B33" s="132">
        <v>45981.0</v>
      </c>
      <c r="C33" s="133" t="str">
        <f t="shared" si="4"/>
        <v>Thu</v>
      </c>
      <c r="D33" s="136">
        <f t="shared" si="5"/>
        <v>1</v>
      </c>
      <c r="E33" s="137" t="s">
        <v>129</v>
      </c>
      <c r="F33" s="137" t="s">
        <v>129</v>
      </c>
      <c r="G33" s="137" t="s">
        <v>129</v>
      </c>
      <c r="H33" s="137" t="s">
        <v>129</v>
      </c>
      <c r="I33" s="137" t="s">
        <v>129</v>
      </c>
      <c r="J33" s="137" t="s">
        <v>129</v>
      </c>
      <c r="K33" s="137" t="s">
        <v>129</v>
      </c>
      <c r="L33" s="137" t="s">
        <v>129</v>
      </c>
      <c r="M33" s="141">
        <f t="shared" si="6"/>
        <v>5</v>
      </c>
      <c r="N33" s="143"/>
    </row>
    <row r="34" hidden="1" outlineLevel="2">
      <c r="A34" s="131" t="s">
        <v>1929</v>
      </c>
      <c r="B34" s="132">
        <v>45982.0</v>
      </c>
      <c r="C34" s="186" t="str">
        <f t="shared" si="4"/>
        <v>Fri</v>
      </c>
      <c r="D34" s="136">
        <f t="shared" si="5"/>
        <v>1</v>
      </c>
      <c r="E34" s="137" t="s">
        <v>129</v>
      </c>
      <c r="F34" s="137" t="s">
        <v>129</v>
      </c>
      <c r="G34" s="137" t="s">
        <v>129</v>
      </c>
      <c r="H34" s="137" t="s">
        <v>129</v>
      </c>
      <c r="I34" s="137" t="s">
        <v>129</v>
      </c>
      <c r="J34" s="137" t="s">
        <v>129</v>
      </c>
      <c r="K34" s="137" t="s">
        <v>129</v>
      </c>
      <c r="L34" s="137" t="s">
        <v>129</v>
      </c>
      <c r="M34" s="141">
        <f t="shared" si="6"/>
        <v>5</v>
      </c>
      <c r="N34" s="143"/>
    </row>
    <row r="35" hidden="1" outlineLevel="2">
      <c r="A35" s="131" t="s">
        <v>1937</v>
      </c>
      <c r="B35" s="132">
        <v>45982.0</v>
      </c>
      <c r="C35" s="186" t="str">
        <f t="shared" si="4"/>
        <v>Fri</v>
      </c>
      <c r="D35" s="136">
        <f t="shared" si="5"/>
        <v>1</v>
      </c>
      <c r="E35" s="137" t="s">
        <v>129</v>
      </c>
      <c r="F35" s="137" t="s">
        <v>129</v>
      </c>
      <c r="G35" s="137" t="s">
        <v>129</v>
      </c>
      <c r="H35" s="137" t="s">
        <v>129</v>
      </c>
      <c r="I35" s="137" t="s">
        <v>129</v>
      </c>
      <c r="J35" s="137" t="s">
        <v>129</v>
      </c>
      <c r="K35" s="137" t="s">
        <v>129</v>
      </c>
      <c r="L35" s="137" t="s">
        <v>129</v>
      </c>
      <c r="M35" s="141">
        <f t="shared" si="6"/>
        <v>5</v>
      </c>
      <c r="N35" s="143"/>
    </row>
    <row r="36" hidden="1" outlineLevel="2">
      <c r="A36" s="131" t="s">
        <v>1940</v>
      </c>
      <c r="B36" s="132">
        <v>45982.0</v>
      </c>
      <c r="C36" s="186" t="str">
        <f t="shared" si="4"/>
        <v>Fri</v>
      </c>
      <c r="D36" s="136">
        <f t="shared" si="5"/>
        <v>1</v>
      </c>
      <c r="E36" s="137" t="s">
        <v>129</v>
      </c>
      <c r="F36" s="137" t="s">
        <v>129</v>
      </c>
      <c r="G36" s="137" t="s">
        <v>129</v>
      </c>
      <c r="H36" s="137" t="s">
        <v>129</v>
      </c>
      <c r="I36" s="137" t="s">
        <v>129</v>
      </c>
      <c r="J36" s="137" t="s">
        <v>129</v>
      </c>
      <c r="K36" s="137" t="s">
        <v>129</v>
      </c>
      <c r="L36" s="137" t="s">
        <v>129</v>
      </c>
      <c r="M36" s="141">
        <f t="shared" si="6"/>
        <v>5</v>
      </c>
      <c r="N36" s="143"/>
    </row>
    <row r="37" ht="15.0" hidden="1" customHeight="1" outlineLevel="2">
      <c r="B37" s="189"/>
      <c r="C37" s="191" t="s">
        <v>194</v>
      </c>
      <c r="D37" s="204">
        <f>AVERAGE(D22:D36)</f>
        <v>0.99</v>
      </c>
      <c r="E37" s="200"/>
      <c r="L37" s="191" t="s">
        <v>194</v>
      </c>
      <c r="M37" s="204">
        <f>SUM(M22:M36)/75*0.1</f>
        <v>0.09866666667</v>
      </c>
    </row>
    <row r="38" hidden="1" outlineLevel="1">
      <c r="A38" s="206" t="s">
        <v>266</v>
      </c>
      <c r="B38" s="207"/>
      <c r="C38" s="207"/>
      <c r="D38" s="208"/>
      <c r="E38" s="109"/>
      <c r="F38" s="109"/>
      <c r="G38" s="110"/>
      <c r="H38" s="110"/>
      <c r="I38" s="110"/>
      <c r="J38" s="110"/>
      <c r="K38" s="110"/>
      <c r="L38" s="110"/>
      <c r="M38" s="111"/>
      <c r="N38" s="113"/>
    </row>
    <row r="39" hidden="1" outlineLevel="1">
      <c r="A39" s="115" t="s">
        <v>98</v>
      </c>
      <c r="B39" s="115" t="s">
        <v>100</v>
      </c>
      <c r="C39" s="115" t="s">
        <v>102</v>
      </c>
      <c r="D39" s="119" t="s">
        <v>103</v>
      </c>
      <c r="E39" s="275" t="s">
        <v>269</v>
      </c>
      <c r="F39" s="275" t="s">
        <v>272</v>
      </c>
      <c r="G39" s="276" t="s">
        <v>273</v>
      </c>
      <c r="H39" s="121" t="s">
        <v>107</v>
      </c>
      <c r="I39" s="121" t="s">
        <v>108</v>
      </c>
      <c r="J39" s="121" t="s">
        <v>110</v>
      </c>
      <c r="K39" s="121" t="s">
        <v>111</v>
      </c>
      <c r="L39" s="276" t="s">
        <v>274</v>
      </c>
      <c r="M39" s="115" t="s">
        <v>114</v>
      </c>
      <c r="N39" s="119" t="s">
        <v>115</v>
      </c>
    </row>
    <row r="40" hidden="1" outlineLevel="1">
      <c r="A40" s="433" t="s">
        <v>1943</v>
      </c>
      <c r="B40" s="132">
        <v>45985.0</v>
      </c>
      <c r="C40" s="133" t="str">
        <f t="shared" ref="C40:C54" si="7">IF(B40="", "", TEXT(B40, "ddd"))</f>
        <v>Mon</v>
      </c>
      <c r="D40" s="136">
        <f t="shared" ref="D40:D54" si="8">IF(E40="Yes",0.05,0)
+IF(F40="Yes",0.15,0)
+IF(G40="Yes",0.15,0)
+IF(H40="Yes",0.15,0)
+IF(I40="Yes",0.05,0)
+IF(J40="Yes",0.1,0)
+IF(K40="Yes",0.15,0)
+IF(L40="Yes",0.2,0)
</f>
        <v>1</v>
      </c>
      <c r="E40" s="137" t="s">
        <v>129</v>
      </c>
      <c r="F40" s="137" t="s">
        <v>129</v>
      </c>
      <c r="G40" s="137" t="s">
        <v>129</v>
      </c>
      <c r="H40" s="137" t="s">
        <v>129</v>
      </c>
      <c r="I40" s="137" t="s">
        <v>129</v>
      </c>
      <c r="J40" s="137" t="s">
        <v>129</v>
      </c>
      <c r="K40" s="137" t="s">
        <v>129</v>
      </c>
      <c r="L40" s="137" t="s">
        <v>129</v>
      </c>
      <c r="M40" s="141">
        <f t="shared" ref="M40:M54" si="9">IF(D40="", 0, 
    IF(D40&gt;=1, 5, 
    IF(D40&gt;=0.8, 4, 
    IF(D40&gt;=0.7, 3, 
    IF(D40&gt;=0.6, 2, 
    IF(D40&lt;0.5, 1, ""))))))</f>
        <v>5</v>
      </c>
      <c r="N40" s="143"/>
    </row>
    <row r="41" hidden="1" outlineLevel="1">
      <c r="A41" s="433" t="s">
        <v>1947</v>
      </c>
      <c r="B41" s="132">
        <v>45985.0</v>
      </c>
      <c r="C41" s="133" t="str">
        <f t="shared" si="7"/>
        <v>Mon</v>
      </c>
      <c r="D41" s="136">
        <f t="shared" si="8"/>
        <v>0.7</v>
      </c>
      <c r="E41" s="137" t="s">
        <v>129</v>
      </c>
      <c r="F41" s="137" t="s">
        <v>129</v>
      </c>
      <c r="G41" s="137" t="s">
        <v>174</v>
      </c>
      <c r="H41" s="137" t="s">
        <v>129</v>
      </c>
      <c r="I41" s="137" t="s">
        <v>129</v>
      </c>
      <c r="J41" s="137" t="s">
        <v>129</v>
      </c>
      <c r="K41" s="137" t="s">
        <v>174</v>
      </c>
      <c r="L41" s="137" t="s">
        <v>129</v>
      </c>
      <c r="M41" s="141">
        <f t="shared" si="9"/>
        <v>3</v>
      </c>
      <c r="N41" s="147" t="s">
        <v>1950</v>
      </c>
    </row>
    <row r="42" hidden="1" outlineLevel="1">
      <c r="A42" s="433" t="s">
        <v>1951</v>
      </c>
      <c r="B42" s="132">
        <v>45985.0</v>
      </c>
      <c r="C42" s="133" t="str">
        <f t="shared" si="7"/>
        <v>Mon</v>
      </c>
      <c r="D42" s="136">
        <f t="shared" si="8"/>
        <v>1</v>
      </c>
      <c r="E42" s="137" t="s">
        <v>129</v>
      </c>
      <c r="F42" s="137" t="s">
        <v>129</v>
      </c>
      <c r="G42" s="137" t="s">
        <v>129</v>
      </c>
      <c r="H42" s="137" t="s">
        <v>129</v>
      </c>
      <c r="I42" s="137" t="s">
        <v>129</v>
      </c>
      <c r="J42" s="137" t="s">
        <v>129</v>
      </c>
      <c r="K42" s="137" t="s">
        <v>129</v>
      </c>
      <c r="L42" s="137" t="s">
        <v>129</v>
      </c>
      <c r="M42" s="141">
        <f t="shared" si="9"/>
        <v>5</v>
      </c>
      <c r="N42" s="147"/>
    </row>
    <row r="43" hidden="1" outlineLevel="1">
      <c r="A43" s="219" t="s">
        <v>1953</v>
      </c>
      <c r="B43" s="132">
        <v>45986.0</v>
      </c>
      <c r="C43" s="133" t="str">
        <f t="shared" si="7"/>
        <v>Tue</v>
      </c>
      <c r="D43" s="136">
        <f t="shared" si="8"/>
        <v>1</v>
      </c>
      <c r="E43" s="137" t="s">
        <v>129</v>
      </c>
      <c r="F43" s="137" t="s">
        <v>129</v>
      </c>
      <c r="G43" s="137" t="s">
        <v>129</v>
      </c>
      <c r="H43" s="137" t="s">
        <v>129</v>
      </c>
      <c r="I43" s="137" t="s">
        <v>129</v>
      </c>
      <c r="J43" s="137" t="s">
        <v>129</v>
      </c>
      <c r="K43" s="137" t="s">
        <v>129</v>
      </c>
      <c r="L43" s="137" t="s">
        <v>129</v>
      </c>
      <c r="M43" s="141">
        <f t="shared" si="9"/>
        <v>5</v>
      </c>
      <c r="N43" s="143"/>
    </row>
    <row r="44" hidden="1" outlineLevel="1">
      <c r="A44" s="219" t="s">
        <v>1960</v>
      </c>
      <c r="B44" s="132">
        <v>45986.0</v>
      </c>
      <c r="C44" s="133" t="str">
        <f t="shared" si="7"/>
        <v>Tue</v>
      </c>
      <c r="D44" s="136">
        <f t="shared" si="8"/>
        <v>1</v>
      </c>
      <c r="E44" s="137" t="s">
        <v>129</v>
      </c>
      <c r="F44" s="137" t="s">
        <v>129</v>
      </c>
      <c r="G44" s="137" t="s">
        <v>129</v>
      </c>
      <c r="H44" s="137" t="s">
        <v>129</v>
      </c>
      <c r="I44" s="137" t="s">
        <v>129</v>
      </c>
      <c r="J44" s="137" t="s">
        <v>129</v>
      </c>
      <c r="K44" s="137" t="s">
        <v>129</v>
      </c>
      <c r="L44" s="137" t="s">
        <v>129</v>
      </c>
      <c r="M44" s="141">
        <f t="shared" si="9"/>
        <v>5</v>
      </c>
      <c r="N44" s="143"/>
    </row>
    <row r="45" hidden="1" outlineLevel="1">
      <c r="A45" s="219" t="s">
        <v>1964</v>
      </c>
      <c r="B45" s="132">
        <v>45986.0</v>
      </c>
      <c r="C45" s="133" t="str">
        <f t="shared" si="7"/>
        <v>Tue</v>
      </c>
      <c r="D45" s="136">
        <f t="shared" si="8"/>
        <v>1</v>
      </c>
      <c r="E45" s="137" t="s">
        <v>129</v>
      </c>
      <c r="F45" s="137" t="s">
        <v>129</v>
      </c>
      <c r="G45" s="137" t="s">
        <v>129</v>
      </c>
      <c r="H45" s="137" t="s">
        <v>129</v>
      </c>
      <c r="I45" s="137" t="s">
        <v>129</v>
      </c>
      <c r="J45" s="137" t="s">
        <v>129</v>
      </c>
      <c r="K45" s="137" t="s">
        <v>129</v>
      </c>
      <c r="L45" s="137" t="s">
        <v>129</v>
      </c>
      <c r="M45" s="141">
        <f t="shared" si="9"/>
        <v>5</v>
      </c>
      <c r="N45" s="143"/>
    </row>
    <row r="46" hidden="1" outlineLevel="1">
      <c r="A46" s="433" t="s">
        <v>1968</v>
      </c>
      <c r="B46" s="132">
        <v>45987.0</v>
      </c>
      <c r="C46" s="133" t="str">
        <f t="shared" si="7"/>
        <v>Wed</v>
      </c>
      <c r="D46" s="136">
        <f t="shared" si="8"/>
        <v>1</v>
      </c>
      <c r="E46" s="137" t="s">
        <v>129</v>
      </c>
      <c r="F46" s="137" t="s">
        <v>129</v>
      </c>
      <c r="G46" s="137" t="s">
        <v>129</v>
      </c>
      <c r="H46" s="137" t="s">
        <v>129</v>
      </c>
      <c r="I46" s="137" t="s">
        <v>129</v>
      </c>
      <c r="J46" s="137" t="s">
        <v>129</v>
      </c>
      <c r="K46" s="137" t="s">
        <v>129</v>
      </c>
      <c r="L46" s="137" t="s">
        <v>129</v>
      </c>
      <c r="M46" s="141">
        <f t="shared" si="9"/>
        <v>5</v>
      </c>
      <c r="N46" s="143"/>
    </row>
    <row r="47" hidden="1" outlineLevel="1">
      <c r="A47" s="433" t="s">
        <v>1971</v>
      </c>
      <c r="B47" s="132">
        <v>45987.0</v>
      </c>
      <c r="C47" s="133" t="str">
        <f t="shared" si="7"/>
        <v>Wed</v>
      </c>
      <c r="D47" s="136">
        <f t="shared" si="8"/>
        <v>1</v>
      </c>
      <c r="E47" s="137" t="s">
        <v>129</v>
      </c>
      <c r="F47" s="137" t="s">
        <v>129</v>
      </c>
      <c r="G47" s="137" t="s">
        <v>129</v>
      </c>
      <c r="H47" s="137" t="s">
        <v>129</v>
      </c>
      <c r="I47" s="137" t="s">
        <v>129</v>
      </c>
      <c r="J47" s="137" t="s">
        <v>129</v>
      </c>
      <c r="K47" s="137" t="s">
        <v>129</v>
      </c>
      <c r="L47" s="137" t="s">
        <v>129</v>
      </c>
      <c r="M47" s="141">
        <f t="shared" si="9"/>
        <v>5</v>
      </c>
      <c r="N47" s="147"/>
    </row>
    <row r="48" hidden="1" outlineLevel="1">
      <c r="A48" s="433" t="s">
        <v>1975</v>
      </c>
      <c r="B48" s="132">
        <v>45987.0</v>
      </c>
      <c r="C48" s="133" t="str">
        <f t="shared" si="7"/>
        <v>Wed</v>
      </c>
      <c r="D48" s="136">
        <f t="shared" si="8"/>
        <v>1</v>
      </c>
      <c r="E48" s="137" t="s">
        <v>129</v>
      </c>
      <c r="F48" s="137" t="s">
        <v>129</v>
      </c>
      <c r="G48" s="137" t="s">
        <v>129</v>
      </c>
      <c r="H48" s="137" t="s">
        <v>129</v>
      </c>
      <c r="I48" s="137" t="s">
        <v>129</v>
      </c>
      <c r="J48" s="137" t="s">
        <v>129</v>
      </c>
      <c r="K48" s="137" t="s">
        <v>129</v>
      </c>
      <c r="L48" s="137" t="s">
        <v>129</v>
      </c>
      <c r="M48" s="141">
        <f t="shared" si="9"/>
        <v>5</v>
      </c>
      <c r="N48" s="143"/>
    </row>
    <row r="49" hidden="1" outlineLevel="1">
      <c r="A49" s="177" t="s">
        <v>1977</v>
      </c>
      <c r="B49" s="132">
        <v>45988.0</v>
      </c>
      <c r="C49" s="133" t="str">
        <f t="shared" si="7"/>
        <v>Thu</v>
      </c>
      <c r="D49" s="136">
        <f t="shared" si="8"/>
        <v>1</v>
      </c>
      <c r="E49" s="137" t="s">
        <v>129</v>
      </c>
      <c r="F49" s="137" t="s">
        <v>129</v>
      </c>
      <c r="G49" s="137" t="s">
        <v>129</v>
      </c>
      <c r="H49" s="137" t="s">
        <v>129</v>
      </c>
      <c r="I49" s="137" t="s">
        <v>129</v>
      </c>
      <c r="J49" s="137" t="s">
        <v>129</v>
      </c>
      <c r="K49" s="137" t="s">
        <v>129</v>
      </c>
      <c r="L49" s="137" t="s">
        <v>129</v>
      </c>
      <c r="M49" s="141">
        <f t="shared" si="9"/>
        <v>5</v>
      </c>
      <c r="N49" s="143"/>
    </row>
    <row r="50" hidden="1" outlineLevel="1">
      <c r="A50" s="177" t="s">
        <v>1980</v>
      </c>
      <c r="B50" s="132">
        <v>45988.0</v>
      </c>
      <c r="C50" s="133" t="str">
        <f t="shared" si="7"/>
        <v>Thu</v>
      </c>
      <c r="D50" s="136">
        <f t="shared" si="8"/>
        <v>1</v>
      </c>
      <c r="E50" s="137" t="s">
        <v>129</v>
      </c>
      <c r="F50" s="137" t="s">
        <v>129</v>
      </c>
      <c r="G50" s="137" t="s">
        <v>129</v>
      </c>
      <c r="H50" s="137" t="s">
        <v>129</v>
      </c>
      <c r="I50" s="137" t="s">
        <v>129</v>
      </c>
      <c r="J50" s="137" t="s">
        <v>129</v>
      </c>
      <c r="K50" s="137" t="s">
        <v>129</v>
      </c>
      <c r="L50" s="137" t="s">
        <v>129</v>
      </c>
      <c r="M50" s="141">
        <f t="shared" si="9"/>
        <v>5</v>
      </c>
      <c r="N50" s="147"/>
    </row>
    <row r="51" hidden="1" outlineLevel="1">
      <c r="A51" s="177" t="s">
        <v>1982</v>
      </c>
      <c r="B51" s="132">
        <v>45988.0</v>
      </c>
      <c r="C51" s="133" t="str">
        <f t="shared" si="7"/>
        <v>Thu</v>
      </c>
      <c r="D51" s="136">
        <f t="shared" si="8"/>
        <v>0.8</v>
      </c>
      <c r="E51" s="137" t="s">
        <v>129</v>
      </c>
      <c r="F51" s="137" t="s">
        <v>129</v>
      </c>
      <c r="G51" s="137" t="s">
        <v>129</v>
      </c>
      <c r="H51" s="137" t="s">
        <v>129</v>
      </c>
      <c r="I51" s="137" t="s">
        <v>129</v>
      </c>
      <c r="J51" s="137" t="s">
        <v>129</v>
      </c>
      <c r="K51" s="137" t="s">
        <v>129</v>
      </c>
      <c r="L51" s="137" t="s">
        <v>174</v>
      </c>
      <c r="M51" s="141">
        <f t="shared" si="9"/>
        <v>4</v>
      </c>
      <c r="N51" s="147" t="s">
        <v>1988</v>
      </c>
    </row>
    <row r="52" hidden="1" outlineLevel="1">
      <c r="A52" s="255" t="s">
        <v>1989</v>
      </c>
      <c r="B52" s="132">
        <v>45991.0</v>
      </c>
      <c r="C52" s="186" t="str">
        <f t="shared" si="7"/>
        <v>Sun</v>
      </c>
      <c r="D52" s="136">
        <f t="shared" si="8"/>
        <v>1</v>
      </c>
      <c r="E52" s="137" t="s">
        <v>129</v>
      </c>
      <c r="F52" s="137" t="s">
        <v>129</v>
      </c>
      <c r="G52" s="137" t="s">
        <v>129</v>
      </c>
      <c r="H52" s="137" t="s">
        <v>129</v>
      </c>
      <c r="I52" s="137" t="s">
        <v>129</v>
      </c>
      <c r="J52" s="137" t="s">
        <v>129</v>
      </c>
      <c r="K52" s="137" t="s">
        <v>129</v>
      </c>
      <c r="L52" s="137" t="s">
        <v>129</v>
      </c>
      <c r="M52" s="141">
        <f t="shared" si="9"/>
        <v>5</v>
      </c>
      <c r="N52" s="147" t="s">
        <v>1992</v>
      </c>
    </row>
    <row r="53" hidden="1" outlineLevel="1">
      <c r="A53" s="131" t="s">
        <v>1993</v>
      </c>
      <c r="B53" s="132">
        <v>45991.0</v>
      </c>
      <c r="C53" s="186" t="str">
        <f t="shared" si="7"/>
        <v>Sun</v>
      </c>
      <c r="D53" s="136">
        <f t="shared" si="8"/>
        <v>1</v>
      </c>
      <c r="E53" s="137" t="s">
        <v>129</v>
      </c>
      <c r="F53" s="137" t="s">
        <v>129</v>
      </c>
      <c r="G53" s="137" t="s">
        <v>129</v>
      </c>
      <c r="H53" s="137" t="s">
        <v>129</v>
      </c>
      <c r="I53" s="137" t="s">
        <v>129</v>
      </c>
      <c r="J53" s="137" t="s">
        <v>129</v>
      </c>
      <c r="K53" s="137" t="s">
        <v>129</v>
      </c>
      <c r="L53" s="137" t="s">
        <v>129</v>
      </c>
      <c r="M53" s="141">
        <f t="shared" si="9"/>
        <v>5</v>
      </c>
      <c r="N53" s="143"/>
    </row>
    <row r="54" hidden="1" outlineLevel="1">
      <c r="A54" s="269" t="s">
        <v>1996</v>
      </c>
      <c r="B54" s="132">
        <v>45991.0</v>
      </c>
      <c r="C54" s="186" t="str">
        <f t="shared" si="7"/>
        <v>Sun</v>
      </c>
      <c r="D54" s="136">
        <f t="shared" si="8"/>
        <v>1</v>
      </c>
      <c r="E54" s="137" t="s">
        <v>129</v>
      </c>
      <c r="F54" s="137" t="s">
        <v>129</v>
      </c>
      <c r="G54" s="137" t="s">
        <v>129</v>
      </c>
      <c r="H54" s="137" t="s">
        <v>129</v>
      </c>
      <c r="I54" s="137" t="s">
        <v>129</v>
      </c>
      <c r="J54" s="137" t="s">
        <v>129</v>
      </c>
      <c r="K54" s="137" t="s">
        <v>129</v>
      </c>
      <c r="L54" s="137" t="s">
        <v>129</v>
      </c>
      <c r="M54" s="141">
        <f t="shared" si="9"/>
        <v>5</v>
      </c>
      <c r="N54" s="143"/>
    </row>
    <row r="55" hidden="1" outlineLevel="1">
      <c r="B55" s="189"/>
      <c r="C55" s="191" t="s">
        <v>194</v>
      </c>
      <c r="D55" s="204">
        <f>AVERAGE(D40:D54)</f>
        <v>0.9666666667</v>
      </c>
      <c r="E55" s="200"/>
      <c r="L55" s="191" t="s">
        <v>194</v>
      </c>
      <c r="M55" s="204">
        <f>SUM(M40:M54)/75*0.1</f>
        <v>0.096</v>
      </c>
    </row>
    <row r="56" hidden="1" collapsed="1">
      <c r="A56" s="89">
        <v>45992.0</v>
      </c>
      <c r="B56" s="91"/>
      <c r="C56" s="91"/>
      <c r="D56" s="91"/>
      <c r="E56" s="94"/>
      <c r="F56" s="94"/>
      <c r="G56" s="96"/>
      <c r="H56" s="96"/>
      <c r="I56" s="96"/>
      <c r="J56" s="96"/>
      <c r="K56" s="96"/>
      <c r="L56" s="96"/>
      <c r="M56" s="101"/>
      <c r="N56" s="102"/>
    </row>
    <row r="57" hidden="1" outlineLevel="1" collapsed="1">
      <c r="A57" s="206" t="s">
        <v>325</v>
      </c>
      <c r="B57" s="207"/>
      <c r="C57" s="207"/>
      <c r="D57" s="208"/>
      <c r="E57" s="109"/>
      <c r="F57" s="109"/>
      <c r="G57" s="110"/>
      <c r="H57" s="110"/>
      <c r="I57" s="110"/>
      <c r="J57" s="110"/>
      <c r="K57" s="110"/>
      <c r="L57" s="110"/>
      <c r="M57" s="111"/>
      <c r="N57" s="113"/>
    </row>
    <row r="58" hidden="1" outlineLevel="2">
      <c r="A58" s="115" t="s">
        <v>98</v>
      </c>
      <c r="B58" s="115" t="s">
        <v>100</v>
      </c>
      <c r="C58" s="115" t="s">
        <v>102</v>
      </c>
      <c r="D58" s="119" t="s">
        <v>103</v>
      </c>
      <c r="E58" s="275" t="s">
        <v>269</v>
      </c>
      <c r="F58" s="275" t="s">
        <v>272</v>
      </c>
      <c r="G58" s="276" t="s">
        <v>328</v>
      </c>
      <c r="H58" s="121" t="s">
        <v>107</v>
      </c>
      <c r="I58" s="121" t="s">
        <v>108</v>
      </c>
      <c r="J58" s="276" t="s">
        <v>329</v>
      </c>
      <c r="K58" s="121" t="s">
        <v>111</v>
      </c>
      <c r="L58" s="276" t="s">
        <v>274</v>
      </c>
      <c r="M58" s="115" t="s">
        <v>114</v>
      </c>
      <c r="N58" s="119" t="s">
        <v>115</v>
      </c>
    </row>
    <row r="59" hidden="1" outlineLevel="2">
      <c r="A59" s="219" t="s">
        <v>2002</v>
      </c>
      <c r="B59" s="132">
        <v>45992.0</v>
      </c>
      <c r="C59" s="133" t="str">
        <f t="shared" ref="C59:C73" si="10">IF(B59="", "", TEXT(B59, "ddd"))</f>
        <v>Mon</v>
      </c>
      <c r="D59" s="136">
        <f t="shared" ref="D59:D73" si="11">IF(E59="Yes",0.05,0)
+IF(F59="Yes",0.1,0)
+IF(G59="Yes",0.15,0)
+IF(H59="Yes",0.15,0)
+IF(I59="Yes",0.05,0)
+IF(J59="Yes",0.05,0)
+IF(K59="Yes",0.15,0)
+IF(L59="Yes",0.3,0)
</f>
        <v>1</v>
      </c>
      <c r="E59" s="137" t="s">
        <v>129</v>
      </c>
      <c r="F59" s="137" t="s">
        <v>129</v>
      </c>
      <c r="G59" s="137" t="s">
        <v>129</v>
      </c>
      <c r="H59" s="137" t="s">
        <v>129</v>
      </c>
      <c r="I59" s="137" t="s">
        <v>129</v>
      </c>
      <c r="J59" s="137" t="s">
        <v>129</v>
      </c>
      <c r="K59" s="137" t="s">
        <v>129</v>
      </c>
      <c r="L59" s="137" t="s">
        <v>129</v>
      </c>
      <c r="M59" s="141">
        <f t="shared" ref="M59:M73" si="12">IF(D59="", 0, 
    IF(D59&gt;=1, 5, 
    IF(D59&gt;=0.8, 4, 
    IF(D59&gt;=0.7, 3, 
    IF(D59&gt;=0.6, 2, 
    IF(D59&lt;0.5, 1, ""))))))</f>
        <v>5</v>
      </c>
      <c r="N59" s="143"/>
    </row>
    <row r="60" hidden="1" outlineLevel="2">
      <c r="A60" s="219" t="s">
        <v>2009</v>
      </c>
      <c r="B60" s="132">
        <v>45992.0</v>
      </c>
      <c r="C60" s="133" t="str">
        <f t="shared" si="10"/>
        <v>Mon</v>
      </c>
      <c r="D60" s="136">
        <f t="shared" si="11"/>
        <v>0.7</v>
      </c>
      <c r="E60" s="137" t="s">
        <v>129</v>
      </c>
      <c r="F60" s="137" t="s">
        <v>129</v>
      </c>
      <c r="G60" s="137" t="s">
        <v>129</v>
      </c>
      <c r="H60" s="137" t="s">
        <v>129</v>
      </c>
      <c r="I60" s="137" t="s">
        <v>129</v>
      </c>
      <c r="J60" s="137" t="s">
        <v>129</v>
      </c>
      <c r="K60" s="137" t="s">
        <v>129</v>
      </c>
      <c r="L60" s="137" t="s">
        <v>174</v>
      </c>
      <c r="M60" s="141">
        <f t="shared" si="12"/>
        <v>3</v>
      </c>
      <c r="N60" s="147" t="s">
        <v>2015</v>
      </c>
    </row>
    <row r="61" hidden="1" outlineLevel="2">
      <c r="A61" s="219" t="s">
        <v>2016</v>
      </c>
      <c r="B61" s="132">
        <v>45992.0</v>
      </c>
      <c r="C61" s="133" t="str">
        <f t="shared" si="10"/>
        <v>Mon</v>
      </c>
      <c r="D61" s="136">
        <f t="shared" si="11"/>
        <v>1</v>
      </c>
      <c r="E61" s="137" t="s">
        <v>129</v>
      </c>
      <c r="F61" s="137" t="s">
        <v>129</v>
      </c>
      <c r="G61" s="137" t="s">
        <v>129</v>
      </c>
      <c r="H61" s="137" t="s">
        <v>129</v>
      </c>
      <c r="I61" s="137" t="s">
        <v>129</v>
      </c>
      <c r="J61" s="137" t="s">
        <v>129</v>
      </c>
      <c r="K61" s="137" t="s">
        <v>129</v>
      </c>
      <c r="L61" s="137" t="s">
        <v>129</v>
      </c>
      <c r="M61" s="141">
        <f t="shared" si="12"/>
        <v>5</v>
      </c>
      <c r="N61" s="147"/>
    </row>
    <row r="62" hidden="1" outlineLevel="2">
      <c r="A62" s="255" t="s">
        <v>2020</v>
      </c>
      <c r="B62" s="132">
        <v>45993.0</v>
      </c>
      <c r="C62" s="133" t="str">
        <f t="shared" si="10"/>
        <v>Tue</v>
      </c>
      <c r="D62" s="136">
        <f t="shared" si="11"/>
        <v>1</v>
      </c>
      <c r="E62" s="137" t="s">
        <v>129</v>
      </c>
      <c r="F62" s="137" t="s">
        <v>129</v>
      </c>
      <c r="G62" s="137" t="s">
        <v>129</v>
      </c>
      <c r="H62" s="137" t="s">
        <v>129</v>
      </c>
      <c r="I62" s="137" t="s">
        <v>129</v>
      </c>
      <c r="J62" s="137" t="s">
        <v>129</v>
      </c>
      <c r="K62" s="137" t="s">
        <v>129</v>
      </c>
      <c r="L62" s="137" t="s">
        <v>129</v>
      </c>
      <c r="M62" s="141">
        <f t="shared" si="12"/>
        <v>5</v>
      </c>
      <c r="N62" s="143"/>
    </row>
    <row r="63" hidden="1" outlineLevel="2">
      <c r="A63" s="255" t="s">
        <v>2024</v>
      </c>
      <c r="B63" s="132">
        <v>45993.0</v>
      </c>
      <c r="C63" s="133" t="str">
        <f t="shared" si="10"/>
        <v>Tue</v>
      </c>
      <c r="D63" s="136">
        <f t="shared" si="11"/>
        <v>1</v>
      </c>
      <c r="E63" s="137" t="s">
        <v>129</v>
      </c>
      <c r="F63" s="137" t="s">
        <v>129</v>
      </c>
      <c r="G63" s="137" t="s">
        <v>129</v>
      </c>
      <c r="H63" s="137" t="s">
        <v>129</v>
      </c>
      <c r="I63" s="137" t="s">
        <v>129</v>
      </c>
      <c r="J63" s="137" t="s">
        <v>129</v>
      </c>
      <c r="K63" s="137" t="s">
        <v>129</v>
      </c>
      <c r="L63" s="137" t="s">
        <v>129</v>
      </c>
      <c r="M63" s="141">
        <f t="shared" si="12"/>
        <v>5</v>
      </c>
      <c r="N63" s="143"/>
    </row>
    <row r="64" hidden="1" outlineLevel="2">
      <c r="A64" s="367" t="s">
        <v>2027</v>
      </c>
      <c r="B64" s="132">
        <v>45993.0</v>
      </c>
      <c r="C64" s="133" t="str">
        <f t="shared" si="10"/>
        <v>Tue</v>
      </c>
      <c r="D64" s="136">
        <f t="shared" si="11"/>
        <v>1</v>
      </c>
      <c r="E64" s="137" t="s">
        <v>129</v>
      </c>
      <c r="F64" s="137" t="s">
        <v>129</v>
      </c>
      <c r="G64" s="137" t="s">
        <v>129</v>
      </c>
      <c r="H64" s="137" t="s">
        <v>129</v>
      </c>
      <c r="I64" s="137" t="s">
        <v>129</v>
      </c>
      <c r="J64" s="137" t="s">
        <v>129</v>
      </c>
      <c r="K64" s="137" t="s">
        <v>129</v>
      </c>
      <c r="L64" s="137" t="s">
        <v>129</v>
      </c>
      <c r="M64" s="141">
        <f t="shared" si="12"/>
        <v>5</v>
      </c>
      <c r="N64" s="143"/>
    </row>
    <row r="65" hidden="1" outlineLevel="2">
      <c r="A65" s="255" t="s">
        <v>2031</v>
      </c>
      <c r="B65" s="132">
        <v>45994.0</v>
      </c>
      <c r="C65" s="133" t="str">
        <f t="shared" si="10"/>
        <v>Wed</v>
      </c>
      <c r="D65" s="136">
        <f t="shared" si="11"/>
        <v>0.5</v>
      </c>
      <c r="E65" s="137" t="s">
        <v>174</v>
      </c>
      <c r="F65" s="137" t="s">
        <v>129</v>
      </c>
      <c r="G65" s="137" t="s">
        <v>129</v>
      </c>
      <c r="H65" s="137" t="s">
        <v>174</v>
      </c>
      <c r="I65" s="137" t="s">
        <v>129</v>
      </c>
      <c r="J65" s="137" t="s">
        <v>129</v>
      </c>
      <c r="K65" s="137" t="s">
        <v>129</v>
      </c>
      <c r="L65" s="137" t="s">
        <v>174</v>
      </c>
      <c r="M65" s="141" t="str">
        <f t="shared" si="12"/>
        <v/>
      </c>
      <c r="N65" s="147" t="s">
        <v>2034</v>
      </c>
    </row>
    <row r="66" hidden="1" outlineLevel="2">
      <c r="A66" s="255" t="s">
        <v>2035</v>
      </c>
      <c r="B66" s="132">
        <v>45994.0</v>
      </c>
      <c r="C66" s="133" t="str">
        <f t="shared" si="10"/>
        <v>Wed</v>
      </c>
      <c r="D66" s="136">
        <f t="shared" si="11"/>
        <v>1</v>
      </c>
      <c r="E66" s="137" t="s">
        <v>129</v>
      </c>
      <c r="F66" s="137" t="s">
        <v>129</v>
      </c>
      <c r="G66" s="137" t="s">
        <v>129</v>
      </c>
      <c r="H66" s="137" t="s">
        <v>129</v>
      </c>
      <c r="I66" s="137" t="s">
        <v>129</v>
      </c>
      <c r="J66" s="137" t="s">
        <v>129</v>
      </c>
      <c r="K66" s="137" t="s">
        <v>129</v>
      </c>
      <c r="L66" s="137" t="s">
        <v>129</v>
      </c>
      <c r="M66" s="141">
        <f t="shared" si="12"/>
        <v>5</v>
      </c>
      <c r="N66" s="147"/>
    </row>
    <row r="67" hidden="1" outlineLevel="2">
      <c r="A67" s="255" t="s">
        <v>2038</v>
      </c>
      <c r="B67" s="132">
        <v>45994.0</v>
      </c>
      <c r="C67" s="133" t="str">
        <f t="shared" si="10"/>
        <v>Wed</v>
      </c>
      <c r="D67" s="136">
        <f t="shared" si="11"/>
        <v>1</v>
      </c>
      <c r="E67" s="137" t="s">
        <v>129</v>
      </c>
      <c r="F67" s="137" t="s">
        <v>129</v>
      </c>
      <c r="G67" s="137" t="s">
        <v>129</v>
      </c>
      <c r="H67" s="137" t="s">
        <v>129</v>
      </c>
      <c r="I67" s="137" t="s">
        <v>129</v>
      </c>
      <c r="J67" s="137" t="s">
        <v>129</v>
      </c>
      <c r="K67" s="137" t="s">
        <v>129</v>
      </c>
      <c r="L67" s="137" t="s">
        <v>129</v>
      </c>
      <c r="M67" s="141">
        <f t="shared" si="12"/>
        <v>5</v>
      </c>
      <c r="N67" s="143"/>
    </row>
    <row r="68" hidden="1" outlineLevel="2">
      <c r="A68" s="131" t="s">
        <v>2041</v>
      </c>
      <c r="B68" s="132">
        <v>45995.0</v>
      </c>
      <c r="C68" s="133" t="str">
        <f t="shared" si="10"/>
        <v>Thu</v>
      </c>
      <c r="D68" s="136">
        <f t="shared" si="11"/>
        <v>1</v>
      </c>
      <c r="E68" s="137" t="s">
        <v>129</v>
      </c>
      <c r="F68" s="137" t="s">
        <v>129</v>
      </c>
      <c r="G68" s="137" t="s">
        <v>129</v>
      </c>
      <c r="H68" s="137" t="s">
        <v>129</v>
      </c>
      <c r="I68" s="137" t="s">
        <v>129</v>
      </c>
      <c r="J68" s="137" t="s">
        <v>129</v>
      </c>
      <c r="K68" s="137" t="s">
        <v>129</v>
      </c>
      <c r="L68" s="137" t="s">
        <v>129</v>
      </c>
      <c r="M68" s="141">
        <f t="shared" si="12"/>
        <v>5</v>
      </c>
      <c r="N68" s="143"/>
    </row>
    <row r="69" hidden="1" outlineLevel="2">
      <c r="A69" s="131" t="s">
        <v>2049</v>
      </c>
      <c r="B69" s="132">
        <v>45995.0</v>
      </c>
      <c r="C69" s="133" t="str">
        <f t="shared" si="10"/>
        <v>Thu</v>
      </c>
      <c r="D69" s="136">
        <f t="shared" si="11"/>
        <v>1</v>
      </c>
      <c r="E69" s="137" t="s">
        <v>129</v>
      </c>
      <c r="F69" s="137" t="s">
        <v>129</v>
      </c>
      <c r="G69" s="137" t="s">
        <v>129</v>
      </c>
      <c r="H69" s="137" t="s">
        <v>129</v>
      </c>
      <c r="I69" s="137" t="s">
        <v>129</v>
      </c>
      <c r="J69" s="137" t="s">
        <v>129</v>
      </c>
      <c r="K69" s="137" t="s">
        <v>129</v>
      </c>
      <c r="L69" s="137" t="s">
        <v>129</v>
      </c>
      <c r="M69" s="141">
        <f t="shared" si="12"/>
        <v>5</v>
      </c>
      <c r="N69" s="147"/>
    </row>
    <row r="70" hidden="1" outlineLevel="2">
      <c r="A70" s="131" t="s">
        <v>2051</v>
      </c>
      <c r="B70" s="132">
        <v>45995.0</v>
      </c>
      <c r="C70" s="133" t="str">
        <f t="shared" si="10"/>
        <v>Thu</v>
      </c>
      <c r="D70" s="136">
        <f t="shared" si="11"/>
        <v>0.85</v>
      </c>
      <c r="E70" s="137" t="s">
        <v>129</v>
      </c>
      <c r="F70" s="137" t="s">
        <v>129</v>
      </c>
      <c r="G70" s="137" t="s">
        <v>174</v>
      </c>
      <c r="H70" s="137" t="s">
        <v>129</v>
      </c>
      <c r="I70" s="137" t="s">
        <v>129</v>
      </c>
      <c r="J70" s="137" t="s">
        <v>129</v>
      </c>
      <c r="K70" s="137" t="s">
        <v>129</v>
      </c>
      <c r="L70" s="137" t="s">
        <v>129</v>
      </c>
      <c r="M70" s="141">
        <f t="shared" si="12"/>
        <v>4</v>
      </c>
      <c r="N70" s="147" t="s">
        <v>2052</v>
      </c>
    </row>
    <row r="71" hidden="1" outlineLevel="2">
      <c r="A71" s="131" t="s">
        <v>2054</v>
      </c>
      <c r="B71" s="132">
        <v>45996.0</v>
      </c>
      <c r="C71" s="186" t="str">
        <f t="shared" si="10"/>
        <v>Fri</v>
      </c>
      <c r="D71" s="136">
        <f t="shared" si="11"/>
        <v>1</v>
      </c>
      <c r="E71" s="137" t="s">
        <v>129</v>
      </c>
      <c r="F71" s="137" t="s">
        <v>129</v>
      </c>
      <c r="G71" s="137" t="s">
        <v>129</v>
      </c>
      <c r="H71" s="137" t="s">
        <v>129</v>
      </c>
      <c r="I71" s="137" t="s">
        <v>129</v>
      </c>
      <c r="J71" s="137" t="s">
        <v>129</v>
      </c>
      <c r="K71" s="137" t="s">
        <v>129</v>
      </c>
      <c r="L71" s="137" t="s">
        <v>129</v>
      </c>
      <c r="M71" s="141">
        <f t="shared" si="12"/>
        <v>5</v>
      </c>
      <c r="N71" s="143"/>
    </row>
    <row r="72" hidden="1" outlineLevel="2">
      <c r="A72" s="131" t="s">
        <v>2057</v>
      </c>
      <c r="B72" s="132">
        <v>45996.0</v>
      </c>
      <c r="C72" s="186" t="str">
        <f t="shared" si="10"/>
        <v>Fri</v>
      </c>
      <c r="D72" s="136">
        <f t="shared" si="11"/>
        <v>1</v>
      </c>
      <c r="E72" s="137" t="s">
        <v>129</v>
      </c>
      <c r="F72" s="137" t="s">
        <v>129</v>
      </c>
      <c r="G72" s="137" t="s">
        <v>129</v>
      </c>
      <c r="H72" s="137" t="s">
        <v>129</v>
      </c>
      <c r="I72" s="137" t="s">
        <v>129</v>
      </c>
      <c r="J72" s="137" t="s">
        <v>129</v>
      </c>
      <c r="K72" s="137" t="s">
        <v>129</v>
      </c>
      <c r="L72" s="137" t="s">
        <v>129</v>
      </c>
      <c r="M72" s="141">
        <f t="shared" si="12"/>
        <v>5</v>
      </c>
      <c r="N72" s="143"/>
    </row>
    <row r="73" hidden="1" outlineLevel="2">
      <c r="A73" s="131" t="s">
        <v>2059</v>
      </c>
      <c r="B73" s="132">
        <v>45996.0</v>
      </c>
      <c r="C73" s="186" t="str">
        <f t="shared" si="10"/>
        <v>Fri</v>
      </c>
      <c r="D73" s="136">
        <f t="shared" si="11"/>
        <v>1</v>
      </c>
      <c r="E73" s="137" t="s">
        <v>129</v>
      </c>
      <c r="F73" s="137" t="s">
        <v>129</v>
      </c>
      <c r="G73" s="137" t="s">
        <v>129</v>
      </c>
      <c r="H73" s="137" t="s">
        <v>129</v>
      </c>
      <c r="I73" s="137" t="s">
        <v>129</v>
      </c>
      <c r="J73" s="137" t="s">
        <v>129</v>
      </c>
      <c r="K73" s="137" t="s">
        <v>129</v>
      </c>
      <c r="L73" s="137" t="s">
        <v>129</v>
      </c>
      <c r="M73" s="141">
        <f t="shared" si="12"/>
        <v>5</v>
      </c>
      <c r="N73" s="143"/>
    </row>
    <row r="74" hidden="1" outlineLevel="2">
      <c r="B74" s="189"/>
      <c r="C74" s="191" t="s">
        <v>194</v>
      </c>
      <c r="D74" s="204">
        <f>AVERAGE(D59:D73)</f>
        <v>0.9366666667</v>
      </c>
      <c r="E74" s="200"/>
      <c r="L74" s="191" t="s">
        <v>194</v>
      </c>
      <c r="M74" s="204">
        <f>SUM(M59:M73)/75*0.1</f>
        <v>0.08933333333</v>
      </c>
    </row>
    <row r="75" hidden="1" outlineLevel="1" collapsed="1">
      <c r="A75" s="206" t="s">
        <v>371</v>
      </c>
      <c r="B75" s="207"/>
      <c r="C75" s="207"/>
      <c r="D75" s="208"/>
      <c r="E75" s="109"/>
      <c r="F75" s="109"/>
      <c r="G75" s="110"/>
      <c r="H75" s="110"/>
      <c r="I75" s="110"/>
      <c r="J75" s="110"/>
      <c r="K75" s="110"/>
      <c r="L75" s="110"/>
      <c r="M75" s="111"/>
      <c r="N75" s="113"/>
    </row>
    <row r="76" hidden="1" outlineLevel="2">
      <c r="A76" s="115" t="s">
        <v>98</v>
      </c>
      <c r="B76" s="115" t="s">
        <v>100</v>
      </c>
      <c r="C76" s="115" t="s">
        <v>102</v>
      </c>
      <c r="D76" s="119" t="s">
        <v>103</v>
      </c>
      <c r="E76" s="275" t="s">
        <v>269</v>
      </c>
      <c r="F76" s="275" t="s">
        <v>272</v>
      </c>
      <c r="G76" s="276" t="s">
        <v>328</v>
      </c>
      <c r="H76" s="121" t="s">
        <v>107</v>
      </c>
      <c r="I76" s="121" t="s">
        <v>108</v>
      </c>
      <c r="J76" s="276" t="s">
        <v>329</v>
      </c>
      <c r="K76" s="121" t="s">
        <v>111</v>
      </c>
      <c r="L76" s="276" t="s">
        <v>274</v>
      </c>
      <c r="M76" s="115" t="s">
        <v>114</v>
      </c>
      <c r="N76" s="119" t="s">
        <v>115</v>
      </c>
    </row>
    <row r="77" hidden="1" outlineLevel="2">
      <c r="A77" s="426" t="s">
        <v>2063</v>
      </c>
      <c r="B77" s="132">
        <v>45999.0</v>
      </c>
      <c r="C77" s="133" t="str">
        <f t="shared" ref="C77:C91" si="13">IF(B77="", "", TEXT(B77, "ddd"))</f>
        <v>Mon</v>
      </c>
      <c r="D77" s="136">
        <f t="shared" ref="D77:D91" si="14">IF(E77="Yes",0.05,0)
+IF(F77="Yes",0.1,0)
+IF(G77="Yes",0.15,0)
+IF(H77="Yes",0.15,0)
+IF(I77="Yes",0.05,0)
+IF(J77="Yes",0.05,0)
+IF(K77="Yes",0.15,0)
+IF(L77="Yes",0.3,0)
</f>
        <v>1</v>
      </c>
      <c r="E77" s="137" t="s">
        <v>129</v>
      </c>
      <c r="F77" s="137" t="s">
        <v>129</v>
      </c>
      <c r="G77" s="137" t="s">
        <v>129</v>
      </c>
      <c r="H77" s="137" t="s">
        <v>129</v>
      </c>
      <c r="I77" s="137" t="s">
        <v>129</v>
      </c>
      <c r="J77" s="137" t="s">
        <v>129</v>
      </c>
      <c r="K77" s="137" t="s">
        <v>129</v>
      </c>
      <c r="L77" s="137" t="s">
        <v>129</v>
      </c>
      <c r="M77" s="141">
        <f t="shared" ref="M77:M91" si="15">IF(D77="", 0, 
    IF(D77&gt;=1, 5, 
    IF(D77&gt;=0.8, 4, 
    IF(D77&gt;=0.7, 3, 
    IF(D77&gt;=0.6, 2, 
    IF(D77&lt;0.5, 1, ""))))))</f>
        <v>5</v>
      </c>
      <c r="N77" s="143"/>
    </row>
    <row r="78" hidden="1" outlineLevel="2">
      <c r="A78" s="255" t="s">
        <v>2070</v>
      </c>
      <c r="B78" s="132">
        <v>45999.0</v>
      </c>
      <c r="C78" s="133" t="str">
        <f t="shared" si="13"/>
        <v>Mon</v>
      </c>
      <c r="D78" s="136">
        <f t="shared" si="14"/>
        <v>1</v>
      </c>
      <c r="E78" s="137" t="s">
        <v>129</v>
      </c>
      <c r="F78" s="137" t="s">
        <v>129</v>
      </c>
      <c r="G78" s="137" t="s">
        <v>129</v>
      </c>
      <c r="H78" s="137" t="s">
        <v>129</v>
      </c>
      <c r="I78" s="137" t="s">
        <v>129</v>
      </c>
      <c r="J78" s="137" t="s">
        <v>129</v>
      </c>
      <c r="K78" s="137" t="s">
        <v>129</v>
      </c>
      <c r="L78" s="137" t="s">
        <v>129</v>
      </c>
      <c r="M78" s="141">
        <f t="shared" si="15"/>
        <v>5</v>
      </c>
      <c r="N78" s="147"/>
    </row>
    <row r="79" hidden="1" outlineLevel="2">
      <c r="A79" s="255" t="s">
        <v>2081</v>
      </c>
      <c r="B79" s="132">
        <v>45999.0</v>
      </c>
      <c r="C79" s="133" t="str">
        <f t="shared" si="13"/>
        <v>Mon</v>
      </c>
      <c r="D79" s="136">
        <f t="shared" si="14"/>
        <v>1</v>
      </c>
      <c r="E79" s="137" t="s">
        <v>129</v>
      </c>
      <c r="F79" s="137" t="s">
        <v>129</v>
      </c>
      <c r="G79" s="137" t="s">
        <v>129</v>
      </c>
      <c r="H79" s="137" t="s">
        <v>129</v>
      </c>
      <c r="I79" s="137" t="s">
        <v>129</v>
      </c>
      <c r="J79" s="137" t="s">
        <v>129</v>
      </c>
      <c r="K79" s="137" t="s">
        <v>129</v>
      </c>
      <c r="L79" s="137" t="s">
        <v>129</v>
      </c>
      <c r="M79" s="141">
        <f t="shared" si="15"/>
        <v>5</v>
      </c>
      <c r="N79" s="147"/>
    </row>
    <row r="80" hidden="1" outlineLevel="2">
      <c r="A80" s="219" t="s">
        <v>2083</v>
      </c>
      <c r="B80" s="132">
        <v>46000.0</v>
      </c>
      <c r="C80" s="133" t="str">
        <f t="shared" si="13"/>
        <v>Tue</v>
      </c>
      <c r="D80" s="136">
        <f t="shared" si="14"/>
        <v>1</v>
      </c>
      <c r="E80" s="137" t="s">
        <v>129</v>
      </c>
      <c r="F80" s="137" t="s">
        <v>129</v>
      </c>
      <c r="G80" s="137" t="s">
        <v>129</v>
      </c>
      <c r="H80" s="137" t="s">
        <v>129</v>
      </c>
      <c r="I80" s="137" t="s">
        <v>129</v>
      </c>
      <c r="J80" s="137" t="s">
        <v>129</v>
      </c>
      <c r="K80" s="137" t="s">
        <v>129</v>
      </c>
      <c r="L80" s="137" t="s">
        <v>129</v>
      </c>
      <c r="M80" s="141">
        <f t="shared" si="15"/>
        <v>5</v>
      </c>
      <c r="N80" s="143"/>
    </row>
    <row r="81" hidden="1" outlineLevel="2">
      <c r="A81" s="219" t="s">
        <v>2087</v>
      </c>
      <c r="B81" s="132">
        <v>46000.0</v>
      </c>
      <c r="C81" s="133" t="str">
        <f t="shared" si="13"/>
        <v>Tue</v>
      </c>
      <c r="D81" s="136">
        <f t="shared" si="14"/>
        <v>1</v>
      </c>
      <c r="E81" s="137" t="s">
        <v>129</v>
      </c>
      <c r="F81" s="137" t="s">
        <v>129</v>
      </c>
      <c r="G81" s="137" t="s">
        <v>129</v>
      </c>
      <c r="H81" s="137" t="s">
        <v>129</v>
      </c>
      <c r="I81" s="137" t="s">
        <v>129</v>
      </c>
      <c r="J81" s="137" t="s">
        <v>129</v>
      </c>
      <c r="K81" s="137" t="s">
        <v>129</v>
      </c>
      <c r="L81" s="137" t="s">
        <v>129</v>
      </c>
      <c r="M81" s="141">
        <f t="shared" si="15"/>
        <v>5</v>
      </c>
      <c r="N81" s="143"/>
    </row>
    <row r="82" hidden="1" outlineLevel="2">
      <c r="A82" s="219" t="s">
        <v>2089</v>
      </c>
      <c r="B82" s="132">
        <v>46000.0</v>
      </c>
      <c r="C82" s="133" t="str">
        <f t="shared" si="13"/>
        <v>Tue</v>
      </c>
      <c r="D82" s="136">
        <f t="shared" si="14"/>
        <v>0.95</v>
      </c>
      <c r="E82" s="137" t="s">
        <v>129</v>
      </c>
      <c r="F82" s="137" t="s">
        <v>129</v>
      </c>
      <c r="G82" s="137" t="s">
        <v>129</v>
      </c>
      <c r="H82" s="137" t="s">
        <v>129</v>
      </c>
      <c r="I82" s="137" t="s">
        <v>129</v>
      </c>
      <c r="J82" s="137" t="s">
        <v>174</v>
      </c>
      <c r="K82" s="137" t="s">
        <v>129</v>
      </c>
      <c r="L82" s="137" t="s">
        <v>129</v>
      </c>
      <c r="M82" s="141">
        <f t="shared" si="15"/>
        <v>4</v>
      </c>
      <c r="N82" s="147" t="s">
        <v>2091</v>
      </c>
    </row>
    <row r="83" hidden="1" outlineLevel="2">
      <c r="A83" s="219" t="s">
        <v>2093</v>
      </c>
      <c r="B83" s="132">
        <v>46001.0</v>
      </c>
      <c r="C83" s="133" t="str">
        <f t="shared" si="13"/>
        <v>Wed</v>
      </c>
      <c r="D83" s="136">
        <f t="shared" si="14"/>
        <v>1</v>
      </c>
      <c r="E83" s="137" t="s">
        <v>129</v>
      </c>
      <c r="F83" s="137" t="s">
        <v>129</v>
      </c>
      <c r="G83" s="137" t="s">
        <v>129</v>
      </c>
      <c r="H83" s="137" t="s">
        <v>129</v>
      </c>
      <c r="I83" s="137" t="s">
        <v>129</v>
      </c>
      <c r="J83" s="137" t="s">
        <v>129</v>
      </c>
      <c r="K83" s="137" t="s">
        <v>129</v>
      </c>
      <c r="L83" s="137" t="s">
        <v>129</v>
      </c>
      <c r="M83" s="141">
        <f t="shared" si="15"/>
        <v>5</v>
      </c>
      <c r="N83" s="143"/>
    </row>
    <row r="84" hidden="1" outlineLevel="2">
      <c r="A84" s="219" t="s">
        <v>2095</v>
      </c>
      <c r="B84" s="132">
        <v>46001.0</v>
      </c>
      <c r="C84" s="133" t="str">
        <f t="shared" si="13"/>
        <v>Wed</v>
      </c>
      <c r="D84" s="136">
        <f t="shared" si="14"/>
        <v>0.95</v>
      </c>
      <c r="E84" s="137" t="s">
        <v>129</v>
      </c>
      <c r="F84" s="137" t="s">
        <v>129</v>
      </c>
      <c r="G84" s="137" t="s">
        <v>129</v>
      </c>
      <c r="H84" s="137" t="s">
        <v>129</v>
      </c>
      <c r="I84" s="137" t="s">
        <v>129</v>
      </c>
      <c r="J84" s="137" t="s">
        <v>174</v>
      </c>
      <c r="K84" s="137" t="s">
        <v>129</v>
      </c>
      <c r="L84" s="137" t="s">
        <v>129</v>
      </c>
      <c r="M84" s="141">
        <f t="shared" si="15"/>
        <v>4</v>
      </c>
      <c r="N84" s="147" t="s">
        <v>2100</v>
      </c>
    </row>
    <row r="85" hidden="1" outlineLevel="2">
      <c r="A85" s="219" t="s">
        <v>2101</v>
      </c>
      <c r="B85" s="132">
        <v>46001.0</v>
      </c>
      <c r="C85" s="133" t="str">
        <f t="shared" si="13"/>
        <v>Wed</v>
      </c>
      <c r="D85" s="136">
        <f t="shared" si="14"/>
        <v>1</v>
      </c>
      <c r="E85" s="137" t="s">
        <v>129</v>
      </c>
      <c r="F85" s="137" t="s">
        <v>129</v>
      </c>
      <c r="G85" s="137" t="s">
        <v>129</v>
      </c>
      <c r="H85" s="137" t="s">
        <v>129</v>
      </c>
      <c r="I85" s="137" t="s">
        <v>129</v>
      </c>
      <c r="J85" s="137" t="s">
        <v>129</v>
      </c>
      <c r="K85" s="137" t="s">
        <v>129</v>
      </c>
      <c r="L85" s="137" t="s">
        <v>129</v>
      </c>
      <c r="M85" s="141">
        <f t="shared" si="15"/>
        <v>5</v>
      </c>
      <c r="N85" s="143"/>
    </row>
    <row r="86" hidden="1" outlineLevel="2">
      <c r="A86" s="219" t="s">
        <v>2103</v>
      </c>
      <c r="B86" s="132">
        <v>46003.0</v>
      </c>
      <c r="C86" s="133" t="str">
        <f t="shared" si="13"/>
        <v>Fri</v>
      </c>
      <c r="D86" s="136">
        <f t="shared" si="14"/>
        <v>1</v>
      </c>
      <c r="E86" s="137" t="s">
        <v>129</v>
      </c>
      <c r="F86" s="137" t="s">
        <v>129</v>
      </c>
      <c r="G86" s="137" t="s">
        <v>129</v>
      </c>
      <c r="H86" s="137" t="s">
        <v>129</v>
      </c>
      <c r="I86" s="137" t="s">
        <v>129</v>
      </c>
      <c r="J86" s="137" t="s">
        <v>129</v>
      </c>
      <c r="K86" s="137" t="s">
        <v>129</v>
      </c>
      <c r="L86" s="137" t="s">
        <v>129</v>
      </c>
      <c r="M86" s="141">
        <f t="shared" si="15"/>
        <v>5</v>
      </c>
      <c r="N86" s="147" t="s">
        <v>2106</v>
      </c>
    </row>
    <row r="87" hidden="1" outlineLevel="2">
      <c r="A87" s="219" t="s">
        <v>2107</v>
      </c>
      <c r="B87" s="132">
        <v>46003.0</v>
      </c>
      <c r="C87" s="133" t="str">
        <f t="shared" si="13"/>
        <v>Fri</v>
      </c>
      <c r="D87" s="136">
        <f t="shared" si="14"/>
        <v>1</v>
      </c>
      <c r="E87" s="137" t="s">
        <v>129</v>
      </c>
      <c r="F87" s="137" t="s">
        <v>129</v>
      </c>
      <c r="G87" s="137" t="s">
        <v>129</v>
      </c>
      <c r="H87" s="137" t="s">
        <v>129</v>
      </c>
      <c r="I87" s="137" t="s">
        <v>129</v>
      </c>
      <c r="J87" s="137" t="s">
        <v>129</v>
      </c>
      <c r="K87" s="137" t="s">
        <v>129</v>
      </c>
      <c r="L87" s="137" t="s">
        <v>129</v>
      </c>
      <c r="M87" s="141">
        <f t="shared" si="15"/>
        <v>5</v>
      </c>
      <c r="N87" s="147"/>
    </row>
    <row r="88" hidden="1" outlineLevel="2">
      <c r="A88" s="219" t="s">
        <v>2110</v>
      </c>
      <c r="B88" s="132">
        <v>46003.0</v>
      </c>
      <c r="C88" s="133" t="str">
        <f t="shared" si="13"/>
        <v>Fri</v>
      </c>
      <c r="D88" s="136">
        <f t="shared" si="14"/>
        <v>1</v>
      </c>
      <c r="E88" s="137" t="s">
        <v>129</v>
      </c>
      <c r="F88" s="137" t="s">
        <v>129</v>
      </c>
      <c r="G88" s="137" t="s">
        <v>129</v>
      </c>
      <c r="H88" s="137" t="s">
        <v>129</v>
      </c>
      <c r="I88" s="137" t="s">
        <v>129</v>
      </c>
      <c r="J88" s="137" t="s">
        <v>129</v>
      </c>
      <c r="K88" s="137" t="s">
        <v>129</v>
      </c>
      <c r="L88" s="137" t="s">
        <v>129</v>
      </c>
      <c r="M88" s="141">
        <f t="shared" si="15"/>
        <v>5</v>
      </c>
      <c r="N88" s="143"/>
    </row>
    <row r="89" hidden="1" outlineLevel="2">
      <c r="A89" s="219" t="s">
        <v>2113</v>
      </c>
      <c r="B89" s="132">
        <v>46004.0</v>
      </c>
      <c r="C89" s="186" t="str">
        <f t="shared" si="13"/>
        <v>Sat</v>
      </c>
      <c r="D89" s="136">
        <f t="shared" si="14"/>
        <v>1</v>
      </c>
      <c r="E89" s="137" t="s">
        <v>129</v>
      </c>
      <c r="F89" s="137" t="s">
        <v>129</v>
      </c>
      <c r="G89" s="137" t="s">
        <v>129</v>
      </c>
      <c r="H89" s="137" t="s">
        <v>129</v>
      </c>
      <c r="I89" s="137" t="s">
        <v>129</v>
      </c>
      <c r="J89" s="137" t="s">
        <v>129</v>
      </c>
      <c r="K89" s="137" t="s">
        <v>129</v>
      </c>
      <c r="L89" s="137" t="s">
        <v>129</v>
      </c>
      <c r="M89" s="141">
        <f t="shared" si="15"/>
        <v>5</v>
      </c>
      <c r="N89" s="143"/>
    </row>
    <row r="90" hidden="1" outlineLevel="2">
      <c r="A90" s="219" t="s">
        <v>2117</v>
      </c>
      <c r="B90" s="132">
        <v>46004.0</v>
      </c>
      <c r="C90" s="186" t="str">
        <f t="shared" si="13"/>
        <v>Sat</v>
      </c>
      <c r="D90" s="136">
        <f t="shared" si="14"/>
        <v>1</v>
      </c>
      <c r="E90" s="137" t="s">
        <v>129</v>
      </c>
      <c r="F90" s="137" t="s">
        <v>129</v>
      </c>
      <c r="G90" s="137" t="s">
        <v>129</v>
      </c>
      <c r="H90" s="137" t="s">
        <v>129</v>
      </c>
      <c r="I90" s="137" t="s">
        <v>129</v>
      </c>
      <c r="J90" s="137" t="s">
        <v>129</v>
      </c>
      <c r="K90" s="137" t="s">
        <v>129</v>
      </c>
      <c r="L90" s="137" t="s">
        <v>129</v>
      </c>
      <c r="M90" s="141">
        <f t="shared" si="15"/>
        <v>5</v>
      </c>
      <c r="N90" s="143"/>
    </row>
    <row r="91" hidden="1" outlineLevel="2">
      <c r="A91" s="219" t="s">
        <v>2119</v>
      </c>
      <c r="B91" s="132">
        <v>46004.0</v>
      </c>
      <c r="C91" s="186" t="str">
        <f t="shared" si="13"/>
        <v>Sat</v>
      </c>
      <c r="D91" s="136">
        <f t="shared" si="14"/>
        <v>1</v>
      </c>
      <c r="E91" s="137" t="s">
        <v>129</v>
      </c>
      <c r="F91" s="137" t="s">
        <v>129</v>
      </c>
      <c r="G91" s="137" t="s">
        <v>129</v>
      </c>
      <c r="H91" s="137" t="s">
        <v>129</v>
      </c>
      <c r="I91" s="137" t="s">
        <v>129</v>
      </c>
      <c r="J91" s="137" t="s">
        <v>129</v>
      </c>
      <c r="K91" s="137" t="s">
        <v>129</v>
      </c>
      <c r="L91" s="137" t="s">
        <v>129</v>
      </c>
      <c r="M91" s="141">
        <f t="shared" si="15"/>
        <v>5</v>
      </c>
      <c r="N91" s="143"/>
    </row>
    <row r="92" hidden="1" outlineLevel="2">
      <c r="B92" s="189"/>
      <c r="C92" s="191" t="s">
        <v>194</v>
      </c>
      <c r="D92" s="204">
        <f>AVERAGE(D77:D91)</f>
        <v>0.9933333333</v>
      </c>
      <c r="E92" s="200"/>
      <c r="L92" s="191" t="s">
        <v>194</v>
      </c>
      <c r="M92" s="204">
        <f>SUM(M77:M91)/75*0.1</f>
        <v>0.09733333333</v>
      </c>
    </row>
    <row r="93" hidden="1" outlineLevel="1" collapsed="1">
      <c r="A93" s="206" t="s">
        <v>403</v>
      </c>
      <c r="B93" s="207"/>
      <c r="C93" s="207"/>
      <c r="D93" s="208"/>
      <c r="E93" s="109"/>
      <c r="F93" s="109"/>
      <c r="G93" s="110"/>
      <c r="H93" s="110"/>
      <c r="I93" s="110"/>
      <c r="J93" s="110"/>
      <c r="K93" s="110"/>
      <c r="L93" s="110"/>
      <c r="M93" s="111"/>
      <c r="N93" s="113"/>
    </row>
    <row r="94" hidden="1" outlineLevel="2">
      <c r="A94" s="115" t="s">
        <v>98</v>
      </c>
      <c r="B94" s="115" t="s">
        <v>100</v>
      </c>
      <c r="C94" s="115" t="s">
        <v>102</v>
      </c>
      <c r="D94" s="119" t="s">
        <v>103</v>
      </c>
      <c r="E94" s="275" t="s">
        <v>269</v>
      </c>
      <c r="F94" s="275" t="s">
        <v>272</v>
      </c>
      <c r="G94" s="276" t="s">
        <v>328</v>
      </c>
      <c r="H94" s="121" t="s">
        <v>107</v>
      </c>
      <c r="I94" s="121" t="s">
        <v>108</v>
      </c>
      <c r="J94" s="276" t="s">
        <v>329</v>
      </c>
      <c r="K94" s="121" t="s">
        <v>111</v>
      </c>
      <c r="L94" s="276" t="s">
        <v>274</v>
      </c>
      <c r="M94" s="115" t="s">
        <v>114</v>
      </c>
      <c r="N94" s="119" t="s">
        <v>115</v>
      </c>
    </row>
    <row r="95" hidden="1" outlineLevel="2">
      <c r="A95" s="219" t="s">
        <v>2125</v>
      </c>
      <c r="B95" s="132">
        <v>46006.0</v>
      </c>
      <c r="C95" s="133" t="str">
        <f t="shared" ref="C95:C109" si="16">IF(B95="", "", TEXT(B95, "ddd"))</f>
        <v>Mon</v>
      </c>
      <c r="D95" s="136">
        <f t="shared" ref="D95:D109" si="17">IF(E95="Yes",0.05,0)
+IF(F95="Yes",0.1,0)
+IF(G95="Yes",0.15,0)
+IF(H95="Yes",0.15,0)
+IF(I95="Yes",0.05,0)
+IF(J95="Yes",0.05,0)
+IF(K95="Yes",0.15,0)
+IF(L95="Yes",0.3,0)
</f>
        <v>1</v>
      </c>
      <c r="E95" s="137" t="s">
        <v>129</v>
      </c>
      <c r="F95" s="137" t="s">
        <v>129</v>
      </c>
      <c r="G95" s="137" t="s">
        <v>129</v>
      </c>
      <c r="H95" s="137" t="s">
        <v>129</v>
      </c>
      <c r="I95" s="137" t="s">
        <v>129</v>
      </c>
      <c r="J95" s="137" t="s">
        <v>129</v>
      </c>
      <c r="K95" s="137" t="s">
        <v>129</v>
      </c>
      <c r="L95" s="137" t="s">
        <v>129</v>
      </c>
      <c r="M95" s="141"/>
      <c r="N95" s="143"/>
    </row>
    <row r="96" hidden="1" outlineLevel="2">
      <c r="A96" s="219" t="s">
        <v>2132</v>
      </c>
      <c r="B96" s="132">
        <v>46006.0</v>
      </c>
      <c r="C96" s="133" t="str">
        <f t="shared" si="16"/>
        <v>Mon</v>
      </c>
      <c r="D96" s="136">
        <f t="shared" si="17"/>
        <v>1</v>
      </c>
      <c r="E96" s="137" t="s">
        <v>129</v>
      </c>
      <c r="F96" s="137" t="s">
        <v>129</v>
      </c>
      <c r="G96" s="137" t="s">
        <v>129</v>
      </c>
      <c r="H96" s="137" t="s">
        <v>129</v>
      </c>
      <c r="I96" s="137" t="s">
        <v>129</v>
      </c>
      <c r="J96" s="137" t="s">
        <v>129</v>
      </c>
      <c r="K96" s="137" t="s">
        <v>129</v>
      </c>
      <c r="L96" s="137" t="s">
        <v>129</v>
      </c>
      <c r="M96" s="141"/>
      <c r="N96" s="147"/>
    </row>
    <row r="97" hidden="1" outlineLevel="2">
      <c r="A97" s="219" t="s">
        <v>2135</v>
      </c>
      <c r="B97" s="132">
        <v>46006.0</v>
      </c>
      <c r="C97" s="133" t="str">
        <f t="shared" si="16"/>
        <v>Mon</v>
      </c>
      <c r="D97" s="136">
        <f t="shared" si="17"/>
        <v>1</v>
      </c>
      <c r="E97" s="137" t="s">
        <v>129</v>
      </c>
      <c r="F97" s="137" t="s">
        <v>129</v>
      </c>
      <c r="G97" s="137" t="s">
        <v>129</v>
      </c>
      <c r="H97" s="137" t="s">
        <v>129</v>
      </c>
      <c r="I97" s="137" t="s">
        <v>129</v>
      </c>
      <c r="J97" s="137" t="s">
        <v>129</v>
      </c>
      <c r="K97" s="137" t="s">
        <v>129</v>
      </c>
      <c r="L97" s="137" t="s">
        <v>129</v>
      </c>
      <c r="M97" s="141"/>
      <c r="N97" s="147"/>
    </row>
    <row r="98" hidden="1" outlineLevel="2">
      <c r="A98" s="219" t="s">
        <v>2137</v>
      </c>
      <c r="B98" s="132">
        <v>46007.0</v>
      </c>
      <c r="C98" s="133" t="str">
        <f t="shared" si="16"/>
        <v>Tue</v>
      </c>
      <c r="D98" s="136">
        <f t="shared" si="17"/>
        <v>1</v>
      </c>
      <c r="E98" s="137" t="s">
        <v>129</v>
      </c>
      <c r="F98" s="137" t="s">
        <v>129</v>
      </c>
      <c r="G98" s="137" t="s">
        <v>129</v>
      </c>
      <c r="H98" s="137" t="s">
        <v>129</v>
      </c>
      <c r="I98" s="137" t="s">
        <v>129</v>
      </c>
      <c r="J98" s="137" t="s">
        <v>129</v>
      </c>
      <c r="K98" s="137" t="s">
        <v>129</v>
      </c>
      <c r="L98" s="137" t="s">
        <v>129</v>
      </c>
      <c r="M98" s="141"/>
      <c r="N98" s="143"/>
    </row>
    <row r="99" hidden="1" outlineLevel="2">
      <c r="A99" s="219" t="s">
        <v>2139</v>
      </c>
      <c r="B99" s="132">
        <v>46007.0</v>
      </c>
      <c r="C99" s="133" t="str">
        <f t="shared" si="16"/>
        <v>Tue</v>
      </c>
      <c r="D99" s="136">
        <f t="shared" si="17"/>
        <v>1</v>
      </c>
      <c r="E99" s="137" t="s">
        <v>129</v>
      </c>
      <c r="F99" s="137" t="s">
        <v>129</v>
      </c>
      <c r="G99" s="137" t="s">
        <v>129</v>
      </c>
      <c r="H99" s="137" t="s">
        <v>129</v>
      </c>
      <c r="I99" s="137" t="s">
        <v>129</v>
      </c>
      <c r="J99" s="137" t="s">
        <v>129</v>
      </c>
      <c r="K99" s="137" t="s">
        <v>129</v>
      </c>
      <c r="L99" s="137" t="s">
        <v>129</v>
      </c>
      <c r="M99" s="141"/>
      <c r="N99" s="143"/>
    </row>
    <row r="100" hidden="1" outlineLevel="2">
      <c r="A100" s="219" t="s">
        <v>2141</v>
      </c>
      <c r="B100" s="132">
        <v>46007.0</v>
      </c>
      <c r="C100" s="133" t="str">
        <f t="shared" si="16"/>
        <v>Tue</v>
      </c>
      <c r="D100" s="136">
        <f t="shared" si="17"/>
        <v>1</v>
      </c>
      <c r="E100" s="137" t="s">
        <v>129</v>
      </c>
      <c r="F100" s="137" t="s">
        <v>129</v>
      </c>
      <c r="G100" s="137" t="s">
        <v>129</v>
      </c>
      <c r="H100" s="137" t="s">
        <v>129</v>
      </c>
      <c r="I100" s="137" t="s">
        <v>129</v>
      </c>
      <c r="J100" s="137" t="s">
        <v>129</v>
      </c>
      <c r="K100" s="137" t="s">
        <v>129</v>
      </c>
      <c r="L100" s="137" t="s">
        <v>129</v>
      </c>
      <c r="M100" s="141"/>
      <c r="N100" s="143"/>
    </row>
    <row r="101" hidden="1" outlineLevel="2">
      <c r="A101" s="219" t="s">
        <v>2143</v>
      </c>
      <c r="B101" s="132">
        <v>46008.0</v>
      </c>
      <c r="C101" s="133" t="str">
        <f t="shared" si="16"/>
        <v>Wed</v>
      </c>
      <c r="D101" s="136">
        <f t="shared" si="17"/>
        <v>1</v>
      </c>
      <c r="E101" s="137" t="s">
        <v>129</v>
      </c>
      <c r="F101" s="137" t="s">
        <v>129</v>
      </c>
      <c r="G101" s="137" t="s">
        <v>129</v>
      </c>
      <c r="H101" s="137" t="s">
        <v>129</v>
      </c>
      <c r="I101" s="137" t="s">
        <v>129</v>
      </c>
      <c r="J101" s="137" t="s">
        <v>129</v>
      </c>
      <c r="K101" s="137" t="s">
        <v>129</v>
      </c>
      <c r="L101" s="137" t="s">
        <v>129</v>
      </c>
      <c r="M101" s="141"/>
      <c r="N101" s="143"/>
    </row>
    <row r="102" hidden="1" outlineLevel="2">
      <c r="A102" s="219" t="s">
        <v>2146</v>
      </c>
      <c r="B102" s="132">
        <v>46008.0</v>
      </c>
      <c r="C102" s="133" t="str">
        <f t="shared" si="16"/>
        <v>Wed</v>
      </c>
      <c r="D102" s="136">
        <f t="shared" si="17"/>
        <v>1</v>
      </c>
      <c r="E102" s="137" t="s">
        <v>129</v>
      </c>
      <c r="F102" s="137" t="s">
        <v>129</v>
      </c>
      <c r="G102" s="137" t="s">
        <v>129</v>
      </c>
      <c r="H102" s="137" t="s">
        <v>129</v>
      </c>
      <c r="I102" s="137" t="s">
        <v>129</v>
      </c>
      <c r="J102" s="137" t="s">
        <v>129</v>
      </c>
      <c r="K102" s="137" t="s">
        <v>129</v>
      </c>
      <c r="L102" s="137" t="s">
        <v>129</v>
      </c>
      <c r="M102" s="141"/>
      <c r="N102" s="147"/>
    </row>
    <row r="103" hidden="1" outlineLevel="2">
      <c r="A103" s="219" t="s">
        <v>2149</v>
      </c>
      <c r="B103" s="132">
        <v>46008.0</v>
      </c>
      <c r="C103" s="133" t="str">
        <f t="shared" si="16"/>
        <v>Wed</v>
      </c>
      <c r="D103" s="136">
        <f t="shared" si="17"/>
        <v>1</v>
      </c>
      <c r="E103" s="137" t="s">
        <v>129</v>
      </c>
      <c r="F103" s="137" t="s">
        <v>129</v>
      </c>
      <c r="G103" s="137" t="s">
        <v>129</v>
      </c>
      <c r="H103" s="137" t="s">
        <v>129</v>
      </c>
      <c r="I103" s="137" t="s">
        <v>129</v>
      </c>
      <c r="J103" s="137" t="s">
        <v>129</v>
      </c>
      <c r="K103" s="137" t="s">
        <v>129</v>
      </c>
      <c r="L103" s="137" t="s">
        <v>129</v>
      </c>
      <c r="M103" s="141"/>
      <c r="N103" s="143"/>
    </row>
    <row r="104" hidden="1" outlineLevel="2">
      <c r="A104" s="131" t="s">
        <v>2152</v>
      </c>
      <c r="B104" s="132">
        <v>46009.0</v>
      </c>
      <c r="C104" s="133" t="str">
        <f t="shared" si="16"/>
        <v>Thu</v>
      </c>
      <c r="D104" s="136">
        <f t="shared" si="17"/>
        <v>0.75</v>
      </c>
      <c r="E104" s="137" t="s">
        <v>129</v>
      </c>
      <c r="F104" s="137" t="s">
        <v>174</v>
      </c>
      <c r="G104" s="137" t="s">
        <v>174</v>
      </c>
      <c r="H104" s="137" t="s">
        <v>129</v>
      </c>
      <c r="I104" s="137" t="s">
        <v>129</v>
      </c>
      <c r="J104" s="137" t="s">
        <v>129</v>
      </c>
      <c r="K104" s="137" t="s">
        <v>129</v>
      </c>
      <c r="L104" s="137" t="s">
        <v>129</v>
      </c>
      <c r="M104" s="141"/>
      <c r="N104" s="147" t="s">
        <v>2155</v>
      </c>
    </row>
    <row r="105" hidden="1" outlineLevel="2">
      <c r="A105" s="131" t="s">
        <v>2156</v>
      </c>
      <c r="B105" s="132">
        <v>46009.0</v>
      </c>
      <c r="C105" s="133" t="str">
        <f t="shared" si="16"/>
        <v>Thu</v>
      </c>
      <c r="D105" s="136">
        <f t="shared" si="17"/>
        <v>1</v>
      </c>
      <c r="E105" s="137" t="s">
        <v>129</v>
      </c>
      <c r="F105" s="137" t="s">
        <v>129</v>
      </c>
      <c r="G105" s="137" t="s">
        <v>129</v>
      </c>
      <c r="H105" s="137" t="s">
        <v>129</v>
      </c>
      <c r="I105" s="137" t="s">
        <v>129</v>
      </c>
      <c r="J105" s="137" t="s">
        <v>129</v>
      </c>
      <c r="K105" s="137" t="s">
        <v>129</v>
      </c>
      <c r="L105" s="137" t="s">
        <v>129</v>
      </c>
      <c r="M105" s="141"/>
      <c r="N105" s="147"/>
    </row>
    <row r="106" hidden="1" outlineLevel="2">
      <c r="A106" s="131" t="s">
        <v>2162</v>
      </c>
      <c r="B106" s="132">
        <v>46009.0</v>
      </c>
      <c r="C106" s="133" t="str">
        <f t="shared" si="16"/>
        <v>Thu</v>
      </c>
      <c r="D106" s="136">
        <f t="shared" si="17"/>
        <v>1</v>
      </c>
      <c r="E106" s="137" t="s">
        <v>129</v>
      </c>
      <c r="F106" s="137" t="s">
        <v>129</v>
      </c>
      <c r="G106" s="137" t="s">
        <v>129</v>
      </c>
      <c r="H106" s="137" t="s">
        <v>129</v>
      </c>
      <c r="I106" s="137" t="s">
        <v>129</v>
      </c>
      <c r="J106" s="137" t="s">
        <v>129</v>
      </c>
      <c r="K106" s="137" t="s">
        <v>129</v>
      </c>
      <c r="L106" s="137" t="s">
        <v>129</v>
      </c>
      <c r="M106" s="141"/>
      <c r="N106" s="143"/>
    </row>
    <row r="107" hidden="1" outlineLevel="2">
      <c r="A107" s="255" t="s">
        <v>2165</v>
      </c>
      <c r="B107" s="132">
        <v>46010.0</v>
      </c>
      <c r="C107" s="186" t="str">
        <f t="shared" si="16"/>
        <v>Fri</v>
      </c>
      <c r="D107" s="136">
        <f t="shared" si="17"/>
        <v>1</v>
      </c>
      <c r="E107" s="137" t="s">
        <v>129</v>
      </c>
      <c r="F107" s="137" t="s">
        <v>129</v>
      </c>
      <c r="G107" s="137" t="s">
        <v>129</v>
      </c>
      <c r="H107" s="137" t="s">
        <v>129</v>
      </c>
      <c r="I107" s="137" t="s">
        <v>129</v>
      </c>
      <c r="J107" s="137" t="s">
        <v>129</v>
      </c>
      <c r="K107" s="137" t="s">
        <v>129</v>
      </c>
      <c r="L107" s="137" t="s">
        <v>129</v>
      </c>
      <c r="M107" s="141"/>
      <c r="N107" s="143"/>
    </row>
    <row r="108" hidden="1" outlineLevel="2">
      <c r="A108" s="255" t="s">
        <v>2168</v>
      </c>
      <c r="B108" s="132">
        <v>46010.0</v>
      </c>
      <c r="C108" s="186" t="str">
        <f t="shared" si="16"/>
        <v>Fri</v>
      </c>
      <c r="D108" s="136">
        <f t="shared" si="17"/>
        <v>1</v>
      </c>
      <c r="E108" s="137" t="s">
        <v>129</v>
      </c>
      <c r="F108" s="137" t="s">
        <v>129</v>
      </c>
      <c r="G108" s="137" t="s">
        <v>129</v>
      </c>
      <c r="H108" s="137" t="s">
        <v>129</v>
      </c>
      <c r="I108" s="137" t="s">
        <v>129</v>
      </c>
      <c r="J108" s="137" t="s">
        <v>129</v>
      </c>
      <c r="K108" s="137" t="s">
        <v>129</v>
      </c>
      <c r="L108" s="137" t="s">
        <v>129</v>
      </c>
      <c r="M108" s="141"/>
      <c r="N108" s="143"/>
    </row>
    <row r="109" ht="15.0" hidden="1" customHeight="1" outlineLevel="2">
      <c r="A109" s="255" t="s">
        <v>2169</v>
      </c>
      <c r="B109" s="132">
        <v>46010.0</v>
      </c>
      <c r="C109" s="186" t="str">
        <f t="shared" si="16"/>
        <v>Fri</v>
      </c>
      <c r="D109" s="136">
        <f t="shared" si="17"/>
        <v>1</v>
      </c>
      <c r="E109" s="137" t="s">
        <v>129</v>
      </c>
      <c r="F109" s="137" t="s">
        <v>129</v>
      </c>
      <c r="G109" s="137" t="s">
        <v>129</v>
      </c>
      <c r="H109" s="137" t="s">
        <v>129</v>
      </c>
      <c r="I109" s="137" t="s">
        <v>129</v>
      </c>
      <c r="J109" s="137" t="s">
        <v>129</v>
      </c>
      <c r="K109" s="137" t="s">
        <v>129</v>
      </c>
      <c r="L109" s="137" t="s">
        <v>129</v>
      </c>
      <c r="M109" s="141"/>
      <c r="N109" s="147"/>
    </row>
    <row r="110" hidden="1" outlineLevel="2">
      <c r="B110" s="189"/>
      <c r="C110" s="191" t="s">
        <v>194</v>
      </c>
      <c r="D110" s="204">
        <f>AVERAGE(D95:D109)</f>
        <v>0.9833333333</v>
      </c>
      <c r="E110" s="200"/>
      <c r="L110" s="191" t="s">
        <v>194</v>
      </c>
      <c r="M110" s="204">
        <f>SUM(M95:M109)/75*0.1</f>
        <v>0</v>
      </c>
    </row>
    <row r="111" hidden="1" outlineLevel="1" collapsed="1">
      <c r="A111" s="206" t="s">
        <v>429</v>
      </c>
      <c r="B111" s="207"/>
      <c r="C111" s="207"/>
      <c r="D111" s="208"/>
      <c r="E111" s="109"/>
      <c r="F111" s="109"/>
      <c r="G111" s="110"/>
      <c r="H111" s="110"/>
      <c r="I111" s="110"/>
      <c r="J111" s="110"/>
      <c r="K111" s="110"/>
      <c r="L111" s="110"/>
      <c r="M111" s="111"/>
      <c r="N111" s="113"/>
    </row>
    <row r="112" hidden="1" outlineLevel="2">
      <c r="A112" s="115" t="s">
        <v>98</v>
      </c>
      <c r="B112" s="115" t="s">
        <v>100</v>
      </c>
      <c r="C112" s="115" t="s">
        <v>102</v>
      </c>
      <c r="D112" s="119" t="s">
        <v>103</v>
      </c>
      <c r="E112" s="275" t="s">
        <v>269</v>
      </c>
      <c r="F112" s="275" t="s">
        <v>272</v>
      </c>
      <c r="G112" s="276" t="s">
        <v>328</v>
      </c>
      <c r="H112" s="121" t="s">
        <v>107</v>
      </c>
      <c r="I112" s="121" t="s">
        <v>108</v>
      </c>
      <c r="J112" s="276" t="s">
        <v>329</v>
      </c>
      <c r="K112" s="121" t="s">
        <v>111</v>
      </c>
      <c r="L112" s="276" t="s">
        <v>274</v>
      </c>
      <c r="M112" s="115" t="s">
        <v>114</v>
      </c>
      <c r="N112" s="119" t="s">
        <v>115</v>
      </c>
    </row>
    <row r="113" hidden="1" outlineLevel="2">
      <c r="A113" s="219" t="s">
        <v>2175</v>
      </c>
      <c r="B113" s="132">
        <v>46013.0</v>
      </c>
      <c r="C113" s="133" t="str">
        <f t="shared" ref="C113:C127" si="18">IF(B113="", "", TEXT(B113, "ddd"))</f>
        <v>Mon</v>
      </c>
      <c r="D113" s="136">
        <f t="shared" ref="D113:D127" si="19">IF(E113="Yes",0.05,0)
+IF(F113="Yes",0.1,0)
+IF(G113="Yes",0.15,0)
+IF(H113="Yes",0.15,0)
+IF(I113="Yes",0.05,0)
+IF(J113="Yes",0.05,0)
+IF(K113="Yes",0.15,0)
+IF(L113="Yes",0.3,0)
</f>
        <v>1</v>
      </c>
      <c r="E113" s="137" t="s">
        <v>129</v>
      </c>
      <c r="F113" s="137" t="s">
        <v>129</v>
      </c>
      <c r="G113" s="137" t="s">
        <v>129</v>
      </c>
      <c r="H113" s="137" t="s">
        <v>129</v>
      </c>
      <c r="I113" s="137" t="s">
        <v>129</v>
      </c>
      <c r="J113" s="137" t="s">
        <v>129</v>
      </c>
      <c r="K113" s="137" t="s">
        <v>129</v>
      </c>
      <c r="L113" s="137" t="s">
        <v>129</v>
      </c>
      <c r="M113" s="141"/>
      <c r="N113" s="143"/>
    </row>
    <row r="114" hidden="1" outlineLevel="2">
      <c r="A114" s="219" t="s">
        <v>2183</v>
      </c>
      <c r="B114" s="132">
        <v>46013.0</v>
      </c>
      <c r="C114" s="133" t="str">
        <f t="shared" si="18"/>
        <v>Mon</v>
      </c>
      <c r="D114" s="136">
        <f t="shared" si="19"/>
        <v>1</v>
      </c>
      <c r="E114" s="137" t="s">
        <v>129</v>
      </c>
      <c r="F114" s="137" t="s">
        <v>129</v>
      </c>
      <c r="G114" s="137" t="s">
        <v>129</v>
      </c>
      <c r="H114" s="137" t="s">
        <v>129</v>
      </c>
      <c r="I114" s="137" t="s">
        <v>129</v>
      </c>
      <c r="J114" s="137" t="s">
        <v>129</v>
      </c>
      <c r="K114" s="137" t="s">
        <v>129</v>
      </c>
      <c r="L114" s="137" t="s">
        <v>129</v>
      </c>
      <c r="M114" s="141"/>
      <c r="N114" s="147"/>
    </row>
    <row r="115" hidden="1" outlineLevel="2">
      <c r="A115" s="219" t="s">
        <v>2185</v>
      </c>
      <c r="B115" s="132">
        <v>46013.0</v>
      </c>
      <c r="C115" s="133" t="str">
        <f t="shared" si="18"/>
        <v>Mon</v>
      </c>
      <c r="D115" s="136">
        <f t="shared" si="19"/>
        <v>1</v>
      </c>
      <c r="E115" s="137" t="s">
        <v>129</v>
      </c>
      <c r="F115" s="137" t="s">
        <v>129</v>
      </c>
      <c r="G115" s="137" t="s">
        <v>129</v>
      </c>
      <c r="H115" s="137" t="s">
        <v>129</v>
      </c>
      <c r="I115" s="137" t="s">
        <v>129</v>
      </c>
      <c r="J115" s="137" t="s">
        <v>129</v>
      </c>
      <c r="K115" s="137" t="s">
        <v>129</v>
      </c>
      <c r="L115" s="137" t="s">
        <v>129</v>
      </c>
      <c r="M115" s="141"/>
      <c r="N115" s="147"/>
    </row>
    <row r="116" hidden="1" outlineLevel="2">
      <c r="A116" s="219" t="s">
        <v>2188</v>
      </c>
      <c r="B116" s="132">
        <v>46014.0</v>
      </c>
      <c r="C116" s="133" t="str">
        <f t="shared" si="18"/>
        <v>Tue</v>
      </c>
      <c r="D116" s="136">
        <f t="shared" si="19"/>
        <v>1</v>
      </c>
      <c r="E116" s="137" t="s">
        <v>129</v>
      </c>
      <c r="F116" s="137" t="s">
        <v>129</v>
      </c>
      <c r="G116" s="137" t="s">
        <v>129</v>
      </c>
      <c r="H116" s="137" t="s">
        <v>129</v>
      </c>
      <c r="I116" s="137" t="s">
        <v>129</v>
      </c>
      <c r="J116" s="137" t="s">
        <v>129</v>
      </c>
      <c r="K116" s="137" t="s">
        <v>129</v>
      </c>
      <c r="L116" s="137" t="s">
        <v>129</v>
      </c>
      <c r="M116" s="141"/>
      <c r="N116" s="143"/>
    </row>
    <row r="117" hidden="1" outlineLevel="2">
      <c r="A117" s="219" t="s">
        <v>2190</v>
      </c>
      <c r="B117" s="132">
        <v>46014.0</v>
      </c>
      <c r="C117" s="133" t="str">
        <f t="shared" si="18"/>
        <v>Tue</v>
      </c>
      <c r="D117" s="136">
        <f t="shared" si="19"/>
        <v>1</v>
      </c>
      <c r="E117" s="137" t="s">
        <v>129</v>
      </c>
      <c r="F117" s="137" t="s">
        <v>129</v>
      </c>
      <c r="G117" s="137" t="s">
        <v>129</v>
      </c>
      <c r="H117" s="137" t="s">
        <v>129</v>
      </c>
      <c r="I117" s="137" t="s">
        <v>129</v>
      </c>
      <c r="J117" s="137" t="s">
        <v>129</v>
      </c>
      <c r="K117" s="137" t="s">
        <v>129</v>
      </c>
      <c r="L117" s="137" t="s">
        <v>129</v>
      </c>
      <c r="M117" s="141"/>
      <c r="N117" s="143"/>
    </row>
    <row r="118" hidden="1" outlineLevel="2">
      <c r="A118" s="219" t="s">
        <v>2193</v>
      </c>
      <c r="B118" s="132">
        <v>46014.0</v>
      </c>
      <c r="C118" s="133" t="str">
        <f t="shared" si="18"/>
        <v>Tue</v>
      </c>
      <c r="D118" s="136">
        <f t="shared" si="19"/>
        <v>1</v>
      </c>
      <c r="E118" s="137" t="s">
        <v>129</v>
      </c>
      <c r="F118" s="137" t="s">
        <v>129</v>
      </c>
      <c r="G118" s="137" t="s">
        <v>129</v>
      </c>
      <c r="H118" s="137" t="s">
        <v>129</v>
      </c>
      <c r="I118" s="137" t="s">
        <v>129</v>
      </c>
      <c r="J118" s="137" t="s">
        <v>129</v>
      </c>
      <c r="K118" s="137" t="s">
        <v>129</v>
      </c>
      <c r="L118" s="137" t="s">
        <v>129</v>
      </c>
      <c r="M118" s="141"/>
      <c r="N118" s="143"/>
    </row>
    <row r="119" hidden="1" outlineLevel="2">
      <c r="A119" s="341" t="s">
        <v>443</v>
      </c>
      <c r="B119" s="132">
        <v>46015.0</v>
      </c>
      <c r="C119" s="133" t="str">
        <f t="shared" si="18"/>
        <v>Wed</v>
      </c>
      <c r="D119" s="136">
        <f t="shared" si="19"/>
        <v>1</v>
      </c>
      <c r="E119" s="137" t="s">
        <v>129</v>
      </c>
      <c r="F119" s="137" t="s">
        <v>129</v>
      </c>
      <c r="G119" s="137" t="s">
        <v>129</v>
      </c>
      <c r="H119" s="137" t="s">
        <v>129</v>
      </c>
      <c r="I119" s="137" t="s">
        <v>129</v>
      </c>
      <c r="J119" s="137" t="s">
        <v>129</v>
      </c>
      <c r="K119" s="137" t="s">
        <v>129</v>
      </c>
      <c r="L119" s="137" t="s">
        <v>129</v>
      </c>
      <c r="M119" s="141"/>
      <c r="N119" s="143"/>
    </row>
    <row r="120" hidden="1" outlineLevel="2">
      <c r="A120" s="341" t="s">
        <v>443</v>
      </c>
      <c r="B120" s="132">
        <v>46015.0</v>
      </c>
      <c r="C120" s="133" t="str">
        <f t="shared" si="18"/>
        <v>Wed</v>
      </c>
      <c r="D120" s="136">
        <f t="shared" si="19"/>
        <v>1</v>
      </c>
      <c r="E120" s="137" t="s">
        <v>129</v>
      </c>
      <c r="F120" s="137" t="s">
        <v>129</v>
      </c>
      <c r="G120" s="137" t="s">
        <v>129</v>
      </c>
      <c r="H120" s="137" t="s">
        <v>129</v>
      </c>
      <c r="I120" s="137" t="s">
        <v>129</v>
      </c>
      <c r="J120" s="137" t="s">
        <v>129</v>
      </c>
      <c r="K120" s="137" t="s">
        <v>129</v>
      </c>
      <c r="L120" s="137" t="s">
        <v>129</v>
      </c>
      <c r="M120" s="141"/>
      <c r="N120" s="147"/>
    </row>
    <row r="121" hidden="1" outlineLevel="2">
      <c r="A121" s="341" t="s">
        <v>443</v>
      </c>
      <c r="B121" s="132">
        <v>46015.0</v>
      </c>
      <c r="C121" s="133" t="str">
        <f t="shared" si="18"/>
        <v>Wed</v>
      </c>
      <c r="D121" s="136">
        <f t="shared" si="19"/>
        <v>1</v>
      </c>
      <c r="E121" s="137" t="s">
        <v>129</v>
      </c>
      <c r="F121" s="137" t="s">
        <v>129</v>
      </c>
      <c r="G121" s="137" t="s">
        <v>129</v>
      </c>
      <c r="H121" s="137" t="s">
        <v>129</v>
      </c>
      <c r="I121" s="137" t="s">
        <v>129</v>
      </c>
      <c r="J121" s="137" t="s">
        <v>129</v>
      </c>
      <c r="K121" s="137" t="s">
        <v>129</v>
      </c>
      <c r="L121" s="137" t="s">
        <v>129</v>
      </c>
      <c r="M121" s="141"/>
      <c r="N121" s="143"/>
    </row>
    <row r="122" hidden="1" outlineLevel="2">
      <c r="A122" s="376" t="s">
        <v>2202</v>
      </c>
      <c r="B122" s="132">
        <v>46016.0</v>
      </c>
      <c r="C122" s="133" t="str">
        <f t="shared" si="18"/>
        <v>Thu</v>
      </c>
      <c r="D122" s="136">
        <f t="shared" si="19"/>
        <v>1</v>
      </c>
      <c r="E122" s="137" t="s">
        <v>129</v>
      </c>
      <c r="F122" s="137" t="s">
        <v>129</v>
      </c>
      <c r="G122" s="137" t="s">
        <v>129</v>
      </c>
      <c r="H122" s="137" t="s">
        <v>129</v>
      </c>
      <c r="I122" s="137" t="s">
        <v>129</v>
      </c>
      <c r="J122" s="137" t="s">
        <v>129</v>
      </c>
      <c r="K122" s="137" t="s">
        <v>129</v>
      </c>
      <c r="L122" s="137" t="s">
        <v>129</v>
      </c>
      <c r="M122" s="141"/>
      <c r="N122" s="143"/>
    </row>
    <row r="123" hidden="1" outlineLevel="2">
      <c r="A123" s="177" t="s">
        <v>2206</v>
      </c>
      <c r="B123" s="132">
        <v>46016.0</v>
      </c>
      <c r="C123" s="133" t="str">
        <f t="shared" si="18"/>
        <v>Thu</v>
      </c>
      <c r="D123" s="136">
        <f t="shared" si="19"/>
        <v>1</v>
      </c>
      <c r="E123" s="137" t="s">
        <v>129</v>
      </c>
      <c r="F123" s="137" t="s">
        <v>129</v>
      </c>
      <c r="G123" s="137" t="s">
        <v>129</v>
      </c>
      <c r="H123" s="137" t="s">
        <v>129</v>
      </c>
      <c r="I123" s="137" t="s">
        <v>129</v>
      </c>
      <c r="J123" s="137" t="s">
        <v>129</v>
      </c>
      <c r="K123" s="137" t="s">
        <v>129</v>
      </c>
      <c r="L123" s="137" t="s">
        <v>129</v>
      </c>
      <c r="M123" s="141"/>
      <c r="N123" s="147"/>
    </row>
    <row r="124" hidden="1" outlineLevel="2">
      <c r="A124" s="177" t="s">
        <v>2210</v>
      </c>
      <c r="B124" s="132">
        <v>46016.0</v>
      </c>
      <c r="C124" s="133" t="str">
        <f t="shared" si="18"/>
        <v>Thu</v>
      </c>
      <c r="D124" s="136">
        <f t="shared" si="19"/>
        <v>1</v>
      </c>
      <c r="E124" s="137" t="s">
        <v>129</v>
      </c>
      <c r="F124" s="137" t="s">
        <v>129</v>
      </c>
      <c r="G124" s="137" t="s">
        <v>129</v>
      </c>
      <c r="H124" s="137" t="s">
        <v>129</v>
      </c>
      <c r="I124" s="137" t="s">
        <v>129</v>
      </c>
      <c r="J124" s="137" t="s">
        <v>129</v>
      </c>
      <c r="K124" s="137" t="s">
        <v>129</v>
      </c>
      <c r="L124" s="137" t="s">
        <v>129</v>
      </c>
      <c r="M124" s="141"/>
      <c r="N124" s="143"/>
    </row>
    <row r="125" hidden="1" outlineLevel="2">
      <c r="A125" s="219" t="s">
        <v>2212</v>
      </c>
      <c r="B125" s="132">
        <v>46017.0</v>
      </c>
      <c r="C125" s="186" t="str">
        <f t="shared" si="18"/>
        <v>Fri</v>
      </c>
      <c r="D125" s="136">
        <f t="shared" si="19"/>
        <v>1</v>
      </c>
      <c r="E125" s="137" t="s">
        <v>129</v>
      </c>
      <c r="F125" s="137" t="s">
        <v>129</v>
      </c>
      <c r="G125" s="137" t="s">
        <v>129</v>
      </c>
      <c r="H125" s="137" t="s">
        <v>129</v>
      </c>
      <c r="I125" s="137" t="s">
        <v>129</v>
      </c>
      <c r="J125" s="137" t="s">
        <v>129</v>
      </c>
      <c r="K125" s="137" t="s">
        <v>129</v>
      </c>
      <c r="L125" s="137" t="s">
        <v>129</v>
      </c>
      <c r="M125" s="141"/>
      <c r="N125" s="143"/>
    </row>
    <row r="126" hidden="1" outlineLevel="2">
      <c r="A126" s="219" t="s">
        <v>2215</v>
      </c>
      <c r="B126" s="132">
        <v>46017.0</v>
      </c>
      <c r="C126" s="186" t="str">
        <f t="shared" si="18"/>
        <v>Fri</v>
      </c>
      <c r="D126" s="136">
        <f t="shared" si="19"/>
        <v>1</v>
      </c>
      <c r="E126" s="137" t="s">
        <v>129</v>
      </c>
      <c r="F126" s="137" t="s">
        <v>129</v>
      </c>
      <c r="G126" s="137" t="s">
        <v>129</v>
      </c>
      <c r="H126" s="137" t="s">
        <v>129</v>
      </c>
      <c r="I126" s="137" t="s">
        <v>129</v>
      </c>
      <c r="J126" s="137" t="s">
        <v>129</v>
      </c>
      <c r="K126" s="137" t="s">
        <v>129</v>
      </c>
      <c r="L126" s="137" t="s">
        <v>129</v>
      </c>
      <c r="M126" s="141"/>
      <c r="N126" s="143"/>
    </row>
    <row r="127" ht="15.0" hidden="1" customHeight="1" outlineLevel="2">
      <c r="A127" s="219" t="s">
        <v>2219</v>
      </c>
      <c r="B127" s="132">
        <v>46017.0</v>
      </c>
      <c r="C127" s="186" t="str">
        <f t="shared" si="18"/>
        <v>Fri</v>
      </c>
      <c r="D127" s="136">
        <f t="shared" si="19"/>
        <v>1</v>
      </c>
      <c r="E127" s="137" t="s">
        <v>129</v>
      </c>
      <c r="F127" s="137" t="s">
        <v>129</v>
      </c>
      <c r="G127" s="137" t="s">
        <v>129</v>
      </c>
      <c r="H127" s="137" t="s">
        <v>129</v>
      </c>
      <c r="I127" s="137" t="s">
        <v>129</v>
      </c>
      <c r="J127" s="137" t="s">
        <v>129</v>
      </c>
      <c r="K127" s="137" t="s">
        <v>129</v>
      </c>
      <c r="L127" s="137" t="s">
        <v>129</v>
      </c>
      <c r="M127" s="141"/>
      <c r="N127" s="147"/>
    </row>
    <row r="128" hidden="1" outlineLevel="2">
      <c r="B128" s="189"/>
      <c r="C128" s="191" t="s">
        <v>194</v>
      </c>
      <c r="D128" s="204">
        <f>AVERAGE(D113:D127)</f>
        <v>1</v>
      </c>
      <c r="E128" s="200"/>
      <c r="L128" s="191" t="s">
        <v>194</v>
      </c>
      <c r="M128" s="204">
        <f>SUM(M113:M127)/75*0.1</f>
        <v>0</v>
      </c>
    </row>
    <row r="129" hidden="1" outlineLevel="1">
      <c r="A129" s="206" t="s">
        <v>457</v>
      </c>
      <c r="B129" s="207"/>
      <c r="C129" s="207"/>
      <c r="D129" s="208"/>
      <c r="E129" s="109"/>
      <c r="F129" s="109"/>
      <c r="G129" s="110"/>
      <c r="H129" s="110"/>
      <c r="I129" s="110"/>
      <c r="J129" s="110"/>
      <c r="K129" s="110"/>
      <c r="L129" s="110"/>
      <c r="M129" s="111"/>
      <c r="N129" s="113"/>
    </row>
    <row r="130" hidden="1" outlineLevel="1">
      <c r="A130" s="115" t="s">
        <v>98</v>
      </c>
      <c r="B130" s="115" t="s">
        <v>100</v>
      </c>
      <c r="C130" s="115" t="s">
        <v>102</v>
      </c>
      <c r="D130" s="119" t="s">
        <v>103</v>
      </c>
      <c r="E130" s="275" t="s">
        <v>269</v>
      </c>
      <c r="F130" s="275" t="s">
        <v>272</v>
      </c>
      <c r="G130" s="276" t="s">
        <v>328</v>
      </c>
      <c r="H130" s="121" t="s">
        <v>107</v>
      </c>
      <c r="I130" s="121" t="s">
        <v>108</v>
      </c>
      <c r="J130" s="276" t="s">
        <v>329</v>
      </c>
      <c r="K130" s="121" t="s">
        <v>111</v>
      </c>
      <c r="L130" s="276" t="s">
        <v>274</v>
      </c>
      <c r="M130" s="115" t="s">
        <v>114</v>
      </c>
      <c r="N130" s="119" t="s">
        <v>115</v>
      </c>
    </row>
    <row r="131" hidden="1" outlineLevel="1">
      <c r="A131" s="343" t="s">
        <v>2226</v>
      </c>
      <c r="B131" s="344">
        <v>46020.0</v>
      </c>
      <c r="C131" s="133" t="str">
        <f t="shared" ref="C131:C145" si="20">IF(B131="", "", TEXT(B131, "ddd"))</f>
        <v>Mon</v>
      </c>
      <c r="D131" s="136">
        <f t="shared" ref="D131:D145" si="21">IF(E131="Yes",0.05,0)
+IF(F131="Yes",0.1,0)
+IF(G131="Yes",0.15,0)
+IF(H131="Yes",0.15,0)
+IF(I131="Yes",0.05,0)
+IF(J131="Yes",0.05,0)
+IF(K131="Yes",0.15,0)
+IF(L131="Yes",0.3,0)
</f>
        <v>1</v>
      </c>
      <c r="E131" s="137" t="s">
        <v>129</v>
      </c>
      <c r="F131" s="137" t="s">
        <v>129</v>
      </c>
      <c r="G131" s="137" t="s">
        <v>129</v>
      </c>
      <c r="H131" s="137" t="s">
        <v>129</v>
      </c>
      <c r="I131" s="137" t="s">
        <v>129</v>
      </c>
      <c r="J131" s="137" t="s">
        <v>129</v>
      </c>
      <c r="K131" s="137" t="s">
        <v>129</v>
      </c>
      <c r="L131" s="137" t="s">
        <v>129</v>
      </c>
      <c r="M131" s="141"/>
      <c r="N131" s="143"/>
    </row>
    <row r="132" hidden="1" outlineLevel="1">
      <c r="A132" s="343" t="s">
        <v>2228</v>
      </c>
      <c r="B132" s="344">
        <v>46020.0</v>
      </c>
      <c r="C132" s="133" t="str">
        <f t="shared" si="20"/>
        <v>Mon</v>
      </c>
      <c r="D132" s="136">
        <f t="shared" si="21"/>
        <v>1</v>
      </c>
      <c r="E132" s="137" t="s">
        <v>129</v>
      </c>
      <c r="F132" s="137" t="s">
        <v>129</v>
      </c>
      <c r="G132" s="137" t="s">
        <v>129</v>
      </c>
      <c r="H132" s="137" t="s">
        <v>129</v>
      </c>
      <c r="I132" s="137" t="s">
        <v>129</v>
      </c>
      <c r="J132" s="137" t="s">
        <v>129</v>
      </c>
      <c r="K132" s="137" t="s">
        <v>129</v>
      </c>
      <c r="L132" s="137" t="s">
        <v>129</v>
      </c>
      <c r="M132" s="141"/>
      <c r="N132" s="147"/>
    </row>
    <row r="133" hidden="1" outlineLevel="1">
      <c r="A133" s="343" t="s">
        <v>2229</v>
      </c>
      <c r="B133" s="344">
        <v>46020.0</v>
      </c>
      <c r="C133" s="133" t="str">
        <f t="shared" si="20"/>
        <v>Mon</v>
      </c>
      <c r="D133" s="136">
        <f t="shared" si="21"/>
        <v>1</v>
      </c>
      <c r="E133" s="137" t="s">
        <v>129</v>
      </c>
      <c r="F133" s="137" t="s">
        <v>129</v>
      </c>
      <c r="G133" s="137" t="s">
        <v>129</v>
      </c>
      <c r="H133" s="137" t="s">
        <v>129</v>
      </c>
      <c r="I133" s="137" t="s">
        <v>129</v>
      </c>
      <c r="J133" s="137" t="s">
        <v>129</v>
      </c>
      <c r="K133" s="137" t="s">
        <v>129</v>
      </c>
      <c r="L133" s="137" t="s">
        <v>129</v>
      </c>
      <c r="M133" s="141"/>
      <c r="N133" s="147" t="s">
        <v>2232</v>
      </c>
    </row>
    <row r="134" hidden="1" outlineLevel="1">
      <c r="A134" s="343" t="s">
        <v>2233</v>
      </c>
      <c r="B134" s="344">
        <v>46021.0</v>
      </c>
      <c r="C134" s="133" t="str">
        <f t="shared" si="20"/>
        <v>Tue</v>
      </c>
      <c r="D134" s="136">
        <f t="shared" si="21"/>
        <v>1</v>
      </c>
      <c r="E134" s="137" t="s">
        <v>129</v>
      </c>
      <c r="F134" s="137" t="s">
        <v>129</v>
      </c>
      <c r="G134" s="137" t="s">
        <v>129</v>
      </c>
      <c r="H134" s="137" t="s">
        <v>129</v>
      </c>
      <c r="I134" s="137" t="s">
        <v>129</v>
      </c>
      <c r="J134" s="137" t="s">
        <v>129</v>
      </c>
      <c r="K134" s="137" t="s">
        <v>129</v>
      </c>
      <c r="L134" s="137" t="s">
        <v>129</v>
      </c>
      <c r="M134" s="141"/>
      <c r="N134" s="143"/>
    </row>
    <row r="135" hidden="1" outlineLevel="1">
      <c r="A135" s="343" t="s">
        <v>2234</v>
      </c>
      <c r="B135" s="344">
        <v>46021.0</v>
      </c>
      <c r="C135" s="133" t="str">
        <f t="shared" si="20"/>
        <v>Tue</v>
      </c>
      <c r="D135" s="136">
        <f t="shared" si="21"/>
        <v>1</v>
      </c>
      <c r="E135" s="137" t="s">
        <v>129</v>
      </c>
      <c r="F135" s="137" t="s">
        <v>129</v>
      </c>
      <c r="G135" s="137" t="s">
        <v>129</v>
      </c>
      <c r="H135" s="137" t="s">
        <v>129</v>
      </c>
      <c r="I135" s="137" t="s">
        <v>129</v>
      </c>
      <c r="J135" s="137" t="s">
        <v>129</v>
      </c>
      <c r="K135" s="137" t="s">
        <v>129</v>
      </c>
      <c r="L135" s="137" t="s">
        <v>129</v>
      </c>
      <c r="M135" s="141"/>
      <c r="N135" s="143"/>
    </row>
    <row r="136" hidden="1" outlineLevel="1">
      <c r="A136" s="343" t="s">
        <v>2236</v>
      </c>
      <c r="B136" s="344">
        <v>46021.0</v>
      </c>
      <c r="C136" s="133" t="str">
        <f t="shared" si="20"/>
        <v>Tue</v>
      </c>
      <c r="D136" s="136">
        <f t="shared" si="21"/>
        <v>1</v>
      </c>
      <c r="E136" s="137" t="s">
        <v>129</v>
      </c>
      <c r="F136" s="137" t="s">
        <v>129</v>
      </c>
      <c r="G136" s="137" t="s">
        <v>129</v>
      </c>
      <c r="H136" s="137" t="s">
        <v>129</v>
      </c>
      <c r="I136" s="137" t="s">
        <v>129</v>
      </c>
      <c r="J136" s="137" t="s">
        <v>129</v>
      </c>
      <c r="K136" s="137" t="s">
        <v>129</v>
      </c>
      <c r="L136" s="137" t="s">
        <v>129</v>
      </c>
      <c r="M136" s="141"/>
      <c r="N136" s="143"/>
    </row>
    <row r="137" hidden="1" outlineLevel="1">
      <c r="A137" s="255" t="s">
        <v>2240</v>
      </c>
      <c r="B137" s="344">
        <v>46022.0</v>
      </c>
      <c r="C137" s="133" t="str">
        <f t="shared" si="20"/>
        <v>Wed</v>
      </c>
      <c r="D137" s="136">
        <f t="shared" si="21"/>
        <v>1</v>
      </c>
      <c r="E137" s="137" t="s">
        <v>129</v>
      </c>
      <c r="F137" s="137" t="s">
        <v>129</v>
      </c>
      <c r="G137" s="137" t="s">
        <v>129</v>
      </c>
      <c r="H137" s="137" t="s">
        <v>129</v>
      </c>
      <c r="I137" s="137" t="s">
        <v>129</v>
      </c>
      <c r="J137" s="137" t="s">
        <v>129</v>
      </c>
      <c r="K137" s="137" t="s">
        <v>129</v>
      </c>
      <c r="L137" s="137" t="s">
        <v>129</v>
      </c>
      <c r="M137" s="141"/>
      <c r="N137" s="143"/>
    </row>
    <row r="138" hidden="1" outlineLevel="1">
      <c r="A138" s="255" t="s">
        <v>2248</v>
      </c>
      <c r="B138" s="344">
        <v>46022.0</v>
      </c>
      <c r="C138" s="133" t="str">
        <f t="shared" si="20"/>
        <v>Wed</v>
      </c>
      <c r="D138" s="136">
        <f t="shared" si="21"/>
        <v>1</v>
      </c>
      <c r="E138" s="137" t="s">
        <v>129</v>
      </c>
      <c r="F138" s="137" t="s">
        <v>129</v>
      </c>
      <c r="G138" s="137" t="s">
        <v>129</v>
      </c>
      <c r="H138" s="137" t="s">
        <v>129</v>
      </c>
      <c r="I138" s="137" t="s">
        <v>129</v>
      </c>
      <c r="J138" s="137" t="s">
        <v>129</v>
      </c>
      <c r="K138" s="137" t="s">
        <v>129</v>
      </c>
      <c r="L138" s="137" t="s">
        <v>129</v>
      </c>
      <c r="M138" s="141"/>
      <c r="N138" s="147"/>
    </row>
    <row r="139" hidden="1" outlineLevel="1">
      <c r="A139" s="255" t="s">
        <v>2251</v>
      </c>
      <c r="B139" s="344">
        <v>46022.0</v>
      </c>
      <c r="C139" s="133" t="str">
        <f t="shared" si="20"/>
        <v>Wed</v>
      </c>
      <c r="D139" s="136">
        <f t="shared" si="21"/>
        <v>1</v>
      </c>
      <c r="E139" s="137" t="s">
        <v>129</v>
      </c>
      <c r="F139" s="137" t="s">
        <v>129</v>
      </c>
      <c r="G139" s="137" t="s">
        <v>129</v>
      </c>
      <c r="H139" s="137" t="s">
        <v>129</v>
      </c>
      <c r="I139" s="137" t="s">
        <v>129</v>
      </c>
      <c r="J139" s="137" t="s">
        <v>129</v>
      </c>
      <c r="K139" s="137" t="s">
        <v>129</v>
      </c>
      <c r="L139" s="137" t="s">
        <v>129</v>
      </c>
      <c r="M139" s="141"/>
      <c r="N139" s="143"/>
    </row>
    <row r="140" hidden="1" outlineLevel="1">
      <c r="A140" s="471" t="s">
        <v>2254</v>
      </c>
      <c r="B140" s="344">
        <v>46023.0</v>
      </c>
      <c r="C140" s="133" t="str">
        <f t="shared" si="20"/>
        <v>Thu</v>
      </c>
      <c r="D140" s="136">
        <f t="shared" si="21"/>
        <v>0.75</v>
      </c>
      <c r="E140" s="137" t="s">
        <v>129</v>
      </c>
      <c r="F140" s="137" t="s">
        <v>129</v>
      </c>
      <c r="G140" s="137" t="s">
        <v>129</v>
      </c>
      <c r="H140" s="137" t="s">
        <v>174</v>
      </c>
      <c r="I140" s="137" t="s">
        <v>174</v>
      </c>
      <c r="J140" s="137" t="s">
        <v>174</v>
      </c>
      <c r="K140" s="137" t="s">
        <v>129</v>
      </c>
      <c r="L140" s="137" t="s">
        <v>129</v>
      </c>
      <c r="M140" s="141"/>
      <c r="N140" s="147" t="s">
        <v>2258</v>
      </c>
    </row>
    <row r="141" hidden="1" outlineLevel="1">
      <c r="A141" s="471" t="s">
        <v>2261</v>
      </c>
      <c r="B141" s="344">
        <v>46023.0</v>
      </c>
      <c r="C141" s="133" t="str">
        <f t="shared" si="20"/>
        <v>Thu</v>
      </c>
      <c r="D141" s="136">
        <f t="shared" si="21"/>
        <v>0.7</v>
      </c>
      <c r="E141" s="137" t="s">
        <v>129</v>
      </c>
      <c r="F141" s="137" t="s">
        <v>129</v>
      </c>
      <c r="G141" s="137" t="s">
        <v>129</v>
      </c>
      <c r="H141" s="137" t="s">
        <v>129</v>
      </c>
      <c r="I141" s="137" t="s">
        <v>129</v>
      </c>
      <c r="J141" s="137" t="s">
        <v>129</v>
      </c>
      <c r="K141" s="137" t="s">
        <v>129</v>
      </c>
      <c r="L141" s="137" t="s">
        <v>174</v>
      </c>
      <c r="M141" s="141"/>
      <c r="N141" s="147" t="s">
        <v>2263</v>
      </c>
    </row>
    <row r="142" hidden="1" outlineLevel="1">
      <c r="A142" s="471" t="s">
        <v>2265</v>
      </c>
      <c r="B142" s="344">
        <v>46023.0</v>
      </c>
      <c r="C142" s="133" t="str">
        <f t="shared" si="20"/>
        <v>Thu</v>
      </c>
      <c r="D142" s="136">
        <f t="shared" si="21"/>
        <v>0.85</v>
      </c>
      <c r="E142" s="137" t="s">
        <v>129</v>
      </c>
      <c r="F142" s="137" t="s">
        <v>129</v>
      </c>
      <c r="G142" s="137" t="s">
        <v>129</v>
      </c>
      <c r="H142" s="137" t="s">
        <v>174</v>
      </c>
      <c r="I142" s="137" t="s">
        <v>129</v>
      </c>
      <c r="J142" s="137" t="s">
        <v>129</v>
      </c>
      <c r="K142" s="137" t="s">
        <v>129</v>
      </c>
      <c r="L142" s="137" t="s">
        <v>129</v>
      </c>
      <c r="M142" s="141"/>
      <c r="N142" s="147" t="s">
        <v>2268</v>
      </c>
    </row>
    <row r="143" hidden="1" outlineLevel="1">
      <c r="A143" s="255" t="s">
        <v>2269</v>
      </c>
      <c r="B143" s="344">
        <v>46024.0</v>
      </c>
      <c r="C143" s="186" t="str">
        <f t="shared" si="20"/>
        <v>Fri</v>
      </c>
      <c r="D143" s="136">
        <f t="shared" si="21"/>
        <v>1</v>
      </c>
      <c r="E143" s="137" t="s">
        <v>129</v>
      </c>
      <c r="F143" s="137" t="s">
        <v>129</v>
      </c>
      <c r="G143" s="137" t="s">
        <v>129</v>
      </c>
      <c r="H143" s="137" t="s">
        <v>129</v>
      </c>
      <c r="I143" s="137" t="s">
        <v>129</v>
      </c>
      <c r="J143" s="137" t="s">
        <v>129</v>
      </c>
      <c r="K143" s="137" t="s">
        <v>129</v>
      </c>
      <c r="L143" s="137" t="s">
        <v>129</v>
      </c>
      <c r="M143" s="141"/>
      <c r="N143" s="143"/>
    </row>
    <row r="144" hidden="1" outlineLevel="1">
      <c r="A144" s="255" t="s">
        <v>2271</v>
      </c>
      <c r="B144" s="344">
        <v>46024.0</v>
      </c>
      <c r="C144" s="186" t="str">
        <f t="shared" si="20"/>
        <v>Fri</v>
      </c>
      <c r="D144" s="136">
        <f t="shared" si="21"/>
        <v>1</v>
      </c>
      <c r="E144" s="137" t="s">
        <v>129</v>
      </c>
      <c r="F144" s="137" t="s">
        <v>129</v>
      </c>
      <c r="G144" s="137" t="s">
        <v>129</v>
      </c>
      <c r="H144" s="137" t="s">
        <v>129</v>
      </c>
      <c r="I144" s="137" t="s">
        <v>129</v>
      </c>
      <c r="J144" s="137" t="s">
        <v>129</v>
      </c>
      <c r="K144" s="137" t="s">
        <v>129</v>
      </c>
      <c r="L144" s="137" t="s">
        <v>129</v>
      </c>
      <c r="M144" s="141"/>
      <c r="N144" s="143"/>
    </row>
    <row r="145" ht="15.0" hidden="1" customHeight="1" outlineLevel="1">
      <c r="A145" s="255" t="s">
        <v>2273</v>
      </c>
      <c r="B145" s="344">
        <v>46024.0</v>
      </c>
      <c r="C145" s="186" t="str">
        <f t="shared" si="20"/>
        <v>Fri</v>
      </c>
      <c r="D145" s="136">
        <f t="shared" si="21"/>
        <v>1</v>
      </c>
      <c r="E145" s="137" t="s">
        <v>129</v>
      </c>
      <c r="F145" s="137" t="s">
        <v>129</v>
      </c>
      <c r="G145" s="137" t="s">
        <v>129</v>
      </c>
      <c r="H145" s="137" t="s">
        <v>129</v>
      </c>
      <c r="I145" s="137" t="s">
        <v>129</v>
      </c>
      <c r="J145" s="137" t="s">
        <v>129</v>
      </c>
      <c r="K145" s="137" t="s">
        <v>129</v>
      </c>
      <c r="L145" s="137" t="s">
        <v>129</v>
      </c>
      <c r="M145" s="141"/>
      <c r="N145" s="147"/>
    </row>
    <row r="146" hidden="1" outlineLevel="1">
      <c r="B146" s="189"/>
      <c r="C146" s="191" t="s">
        <v>194</v>
      </c>
      <c r="D146" s="204">
        <f>AVERAGE(D131:D145)</f>
        <v>0.9533333333</v>
      </c>
      <c r="E146" s="200"/>
      <c r="L146" s="191" t="s">
        <v>194</v>
      </c>
      <c r="M146" s="204">
        <f>SUM(M131:M145)/75*0.1</f>
        <v>0</v>
      </c>
    </row>
    <row r="147" hidden="1" collapsed="1">
      <c r="A147" s="206" t="s">
        <v>488</v>
      </c>
      <c r="B147" s="207"/>
      <c r="C147" s="207"/>
      <c r="D147" s="208"/>
      <c r="E147" s="109"/>
      <c r="F147" s="109"/>
      <c r="G147" s="110"/>
      <c r="H147" s="110"/>
      <c r="I147" s="110"/>
      <c r="J147" s="110"/>
      <c r="K147" s="110"/>
      <c r="L147" s="110"/>
      <c r="M147" s="111"/>
      <c r="N147" s="113"/>
    </row>
    <row r="148" hidden="1" outlineLevel="1">
      <c r="A148" s="115" t="s">
        <v>98</v>
      </c>
      <c r="B148" s="115" t="s">
        <v>100</v>
      </c>
      <c r="C148" s="115" t="s">
        <v>102</v>
      </c>
      <c r="D148" s="119" t="s">
        <v>103</v>
      </c>
      <c r="E148" s="275" t="s">
        <v>269</v>
      </c>
      <c r="F148" s="275" t="s">
        <v>272</v>
      </c>
      <c r="G148" s="276" t="s">
        <v>328</v>
      </c>
      <c r="H148" s="121" t="s">
        <v>107</v>
      </c>
      <c r="I148" s="121" t="s">
        <v>108</v>
      </c>
      <c r="J148" s="276" t="s">
        <v>329</v>
      </c>
      <c r="K148" s="121" t="s">
        <v>111</v>
      </c>
      <c r="L148" s="276" t="s">
        <v>274</v>
      </c>
      <c r="M148" s="115" t="s">
        <v>114</v>
      </c>
      <c r="N148" s="119" t="s">
        <v>115</v>
      </c>
    </row>
    <row r="149" hidden="1" outlineLevel="1">
      <c r="A149" s="367" t="s">
        <v>2277</v>
      </c>
      <c r="B149" s="344">
        <v>46027.0</v>
      </c>
      <c r="C149" s="133" t="str">
        <f t="shared" ref="C149:C163" si="22">IF(B149="", "", TEXT(B149, "ddd"))</f>
        <v>Mon</v>
      </c>
      <c r="D149" s="136">
        <f t="shared" ref="D149:D163" si="23">IF(E149="Yes",0.05,0)
+IF(F149="Yes",0.1,0)
+IF(G149="Yes",0.15,0)
+IF(H149="Yes",0.15,0)
+IF(I149="Yes",0.05,0)
+IF(J149="Yes",0.05,0)
+IF(K149="Yes",0.15,0)
+IF(L149="Yes",0.3,0)
</f>
        <v>1</v>
      </c>
      <c r="E149" s="137" t="s">
        <v>129</v>
      </c>
      <c r="F149" s="137" t="s">
        <v>129</v>
      </c>
      <c r="G149" s="137" t="s">
        <v>129</v>
      </c>
      <c r="H149" s="137" t="s">
        <v>129</v>
      </c>
      <c r="I149" s="137" t="s">
        <v>129</v>
      </c>
      <c r="J149" s="137" t="s">
        <v>129</v>
      </c>
      <c r="K149" s="137" t="s">
        <v>129</v>
      </c>
      <c r="L149" s="137" t="s">
        <v>129</v>
      </c>
      <c r="M149" s="141"/>
      <c r="N149" s="143"/>
    </row>
    <row r="150" hidden="1" outlineLevel="1">
      <c r="A150" s="367" t="s">
        <v>2281</v>
      </c>
      <c r="B150" s="344">
        <v>46027.0</v>
      </c>
      <c r="C150" s="133" t="str">
        <f t="shared" si="22"/>
        <v>Mon</v>
      </c>
      <c r="D150" s="136">
        <f t="shared" si="23"/>
        <v>1</v>
      </c>
      <c r="E150" s="137" t="s">
        <v>129</v>
      </c>
      <c r="F150" s="137" t="s">
        <v>129</v>
      </c>
      <c r="G150" s="137" t="s">
        <v>129</v>
      </c>
      <c r="H150" s="137" t="s">
        <v>129</v>
      </c>
      <c r="I150" s="137" t="s">
        <v>129</v>
      </c>
      <c r="J150" s="137" t="s">
        <v>129</v>
      </c>
      <c r="K150" s="137" t="s">
        <v>129</v>
      </c>
      <c r="L150" s="137" t="s">
        <v>129</v>
      </c>
      <c r="M150" s="141"/>
      <c r="N150" s="147"/>
    </row>
    <row r="151" hidden="1" outlineLevel="1">
      <c r="A151" s="367" t="s">
        <v>2283</v>
      </c>
      <c r="B151" s="344">
        <v>46027.0</v>
      </c>
      <c r="C151" s="133" t="str">
        <f t="shared" si="22"/>
        <v>Mon</v>
      </c>
      <c r="D151" s="136">
        <f t="shared" si="23"/>
        <v>1</v>
      </c>
      <c r="E151" s="137" t="s">
        <v>129</v>
      </c>
      <c r="F151" s="137" t="s">
        <v>129</v>
      </c>
      <c r="G151" s="137" t="s">
        <v>129</v>
      </c>
      <c r="H151" s="137" t="s">
        <v>129</v>
      </c>
      <c r="I151" s="137" t="s">
        <v>129</v>
      </c>
      <c r="J151" s="137" t="s">
        <v>129</v>
      </c>
      <c r="K151" s="137" t="s">
        <v>129</v>
      </c>
      <c r="L151" s="137" t="s">
        <v>129</v>
      </c>
      <c r="M151" s="141"/>
      <c r="N151" s="147"/>
    </row>
    <row r="152" hidden="1" outlineLevel="1">
      <c r="A152" s="471" t="s">
        <v>2287</v>
      </c>
      <c r="B152" s="344">
        <v>46028.0</v>
      </c>
      <c r="C152" s="133" t="str">
        <f t="shared" si="22"/>
        <v>Tue</v>
      </c>
      <c r="D152" s="136">
        <f t="shared" si="23"/>
        <v>1</v>
      </c>
      <c r="E152" s="137" t="s">
        <v>129</v>
      </c>
      <c r="F152" s="137" t="s">
        <v>129</v>
      </c>
      <c r="G152" s="137" t="s">
        <v>129</v>
      </c>
      <c r="H152" s="137" t="s">
        <v>129</v>
      </c>
      <c r="I152" s="137" t="s">
        <v>129</v>
      </c>
      <c r="J152" s="137" t="s">
        <v>129</v>
      </c>
      <c r="K152" s="137" t="s">
        <v>129</v>
      </c>
      <c r="L152" s="137" t="s">
        <v>129</v>
      </c>
      <c r="M152" s="141"/>
      <c r="N152" s="143"/>
    </row>
    <row r="153" hidden="1" outlineLevel="1">
      <c r="A153" s="471" t="s">
        <v>2295</v>
      </c>
      <c r="B153" s="344">
        <v>46028.0</v>
      </c>
      <c r="C153" s="133" t="str">
        <f t="shared" si="22"/>
        <v>Tue</v>
      </c>
      <c r="D153" s="136">
        <f t="shared" si="23"/>
        <v>1</v>
      </c>
      <c r="E153" s="137" t="s">
        <v>129</v>
      </c>
      <c r="F153" s="137" t="s">
        <v>129</v>
      </c>
      <c r="G153" s="137" t="s">
        <v>129</v>
      </c>
      <c r="H153" s="137" t="s">
        <v>129</v>
      </c>
      <c r="I153" s="137" t="s">
        <v>129</v>
      </c>
      <c r="J153" s="137" t="s">
        <v>129</v>
      </c>
      <c r="K153" s="137" t="s">
        <v>129</v>
      </c>
      <c r="L153" s="137" t="s">
        <v>129</v>
      </c>
      <c r="M153" s="141"/>
      <c r="N153" s="143"/>
    </row>
    <row r="154" hidden="1" outlineLevel="1">
      <c r="A154" s="471" t="s">
        <v>2297</v>
      </c>
      <c r="B154" s="344">
        <v>46028.0</v>
      </c>
      <c r="C154" s="133" t="str">
        <f t="shared" si="22"/>
        <v>Tue</v>
      </c>
      <c r="D154" s="136">
        <f t="shared" si="23"/>
        <v>1</v>
      </c>
      <c r="E154" s="137" t="s">
        <v>129</v>
      </c>
      <c r="F154" s="137" t="s">
        <v>129</v>
      </c>
      <c r="G154" s="137" t="s">
        <v>129</v>
      </c>
      <c r="H154" s="137" t="s">
        <v>129</v>
      </c>
      <c r="I154" s="137" t="s">
        <v>129</v>
      </c>
      <c r="J154" s="137" t="s">
        <v>129</v>
      </c>
      <c r="K154" s="137" t="s">
        <v>129</v>
      </c>
      <c r="L154" s="137" t="s">
        <v>129</v>
      </c>
      <c r="M154" s="141"/>
      <c r="N154" s="143"/>
    </row>
    <row r="155" hidden="1" outlineLevel="1">
      <c r="A155" s="367" t="s">
        <v>2302</v>
      </c>
      <c r="B155" s="344">
        <v>46029.0</v>
      </c>
      <c r="C155" s="133" t="str">
        <f t="shared" si="22"/>
        <v>Wed</v>
      </c>
      <c r="D155" s="136">
        <f t="shared" si="23"/>
        <v>1</v>
      </c>
      <c r="E155" s="137" t="s">
        <v>129</v>
      </c>
      <c r="F155" s="137" t="s">
        <v>129</v>
      </c>
      <c r="G155" s="137" t="s">
        <v>129</v>
      </c>
      <c r="H155" s="137" t="s">
        <v>129</v>
      </c>
      <c r="I155" s="137" t="s">
        <v>129</v>
      </c>
      <c r="J155" s="137" t="s">
        <v>129</v>
      </c>
      <c r="K155" s="137" t="s">
        <v>129</v>
      </c>
      <c r="L155" s="137" t="s">
        <v>129</v>
      </c>
      <c r="M155" s="141"/>
      <c r="N155" s="147"/>
    </row>
    <row r="156" hidden="1" outlineLevel="1">
      <c r="A156" s="367" t="s">
        <v>2305</v>
      </c>
      <c r="B156" s="344">
        <v>46029.0</v>
      </c>
      <c r="C156" s="133" t="str">
        <f t="shared" si="22"/>
        <v>Wed</v>
      </c>
      <c r="D156" s="136">
        <f t="shared" si="23"/>
        <v>1</v>
      </c>
      <c r="E156" s="137" t="s">
        <v>129</v>
      </c>
      <c r="F156" s="137" t="s">
        <v>129</v>
      </c>
      <c r="G156" s="137" t="s">
        <v>129</v>
      </c>
      <c r="H156" s="137" t="s">
        <v>129</v>
      </c>
      <c r="I156" s="137" t="s">
        <v>129</v>
      </c>
      <c r="J156" s="137" t="s">
        <v>129</v>
      </c>
      <c r="K156" s="137" t="s">
        <v>129</v>
      </c>
      <c r="L156" s="137" t="s">
        <v>129</v>
      </c>
      <c r="M156" s="141"/>
      <c r="N156" s="147"/>
    </row>
    <row r="157" hidden="1" outlineLevel="1">
      <c r="A157" s="367" t="s">
        <v>2308</v>
      </c>
      <c r="B157" s="344">
        <v>46029.0</v>
      </c>
      <c r="C157" s="133" t="str">
        <f t="shared" si="22"/>
        <v>Wed</v>
      </c>
      <c r="D157" s="136">
        <f t="shared" si="23"/>
        <v>1</v>
      </c>
      <c r="E157" s="137" t="s">
        <v>129</v>
      </c>
      <c r="F157" s="137" t="s">
        <v>129</v>
      </c>
      <c r="G157" s="137" t="s">
        <v>129</v>
      </c>
      <c r="H157" s="137" t="s">
        <v>129</v>
      </c>
      <c r="I157" s="137" t="s">
        <v>129</v>
      </c>
      <c r="J157" s="137" t="s">
        <v>129</v>
      </c>
      <c r="K157" s="137" t="s">
        <v>129</v>
      </c>
      <c r="L157" s="137" t="s">
        <v>129</v>
      </c>
      <c r="M157" s="141"/>
      <c r="N157" s="143"/>
    </row>
    <row r="158" hidden="1" outlineLevel="1">
      <c r="A158" s="473" t="s">
        <v>2310</v>
      </c>
      <c r="B158" s="344">
        <v>46031.0</v>
      </c>
      <c r="C158" s="133" t="str">
        <f t="shared" si="22"/>
        <v>Fri</v>
      </c>
      <c r="D158" s="136">
        <f t="shared" si="23"/>
        <v>1</v>
      </c>
      <c r="E158" s="137" t="s">
        <v>129</v>
      </c>
      <c r="F158" s="137" t="s">
        <v>129</v>
      </c>
      <c r="G158" s="137" t="s">
        <v>129</v>
      </c>
      <c r="H158" s="137" t="s">
        <v>129</v>
      </c>
      <c r="I158" s="137" t="s">
        <v>129</v>
      </c>
      <c r="J158" s="137" t="s">
        <v>129</v>
      </c>
      <c r="K158" s="137" t="s">
        <v>129</v>
      </c>
      <c r="L158" s="137" t="s">
        <v>129</v>
      </c>
      <c r="M158" s="141"/>
      <c r="N158" s="143"/>
    </row>
    <row r="159" hidden="1" outlineLevel="1">
      <c r="A159" s="473" t="s">
        <v>2316</v>
      </c>
      <c r="B159" s="344">
        <v>46031.0</v>
      </c>
      <c r="C159" s="133" t="str">
        <f t="shared" si="22"/>
        <v>Fri</v>
      </c>
      <c r="D159" s="136">
        <f t="shared" si="23"/>
        <v>1</v>
      </c>
      <c r="E159" s="137" t="s">
        <v>129</v>
      </c>
      <c r="F159" s="137" t="s">
        <v>129</v>
      </c>
      <c r="G159" s="137" t="s">
        <v>129</v>
      </c>
      <c r="H159" s="137" t="s">
        <v>129</v>
      </c>
      <c r="I159" s="137" t="s">
        <v>129</v>
      </c>
      <c r="J159" s="137" t="s">
        <v>129</v>
      </c>
      <c r="K159" s="137" t="s">
        <v>129</v>
      </c>
      <c r="L159" s="137" t="s">
        <v>129</v>
      </c>
      <c r="M159" s="141"/>
      <c r="N159" s="147"/>
    </row>
    <row r="160" hidden="1" outlineLevel="1">
      <c r="A160" s="473" t="s">
        <v>2318</v>
      </c>
      <c r="B160" s="344">
        <v>46031.0</v>
      </c>
      <c r="C160" s="133" t="str">
        <f t="shared" si="22"/>
        <v>Fri</v>
      </c>
      <c r="D160" s="136">
        <f t="shared" si="23"/>
        <v>1</v>
      </c>
      <c r="E160" s="137" t="s">
        <v>129</v>
      </c>
      <c r="F160" s="137" t="s">
        <v>129</v>
      </c>
      <c r="G160" s="137" t="s">
        <v>129</v>
      </c>
      <c r="H160" s="137" t="s">
        <v>129</v>
      </c>
      <c r="I160" s="137" t="s">
        <v>129</v>
      </c>
      <c r="J160" s="137" t="s">
        <v>129</v>
      </c>
      <c r="K160" s="137" t="s">
        <v>129</v>
      </c>
      <c r="L160" s="137" t="s">
        <v>129</v>
      </c>
      <c r="M160" s="141"/>
      <c r="N160" s="143"/>
    </row>
    <row r="161" hidden="1" outlineLevel="1">
      <c r="A161" s="343" t="s">
        <v>2319</v>
      </c>
      <c r="B161" s="344">
        <v>46032.0</v>
      </c>
      <c r="C161" s="186" t="str">
        <f t="shared" si="22"/>
        <v>Sat</v>
      </c>
      <c r="D161" s="136">
        <f t="shared" si="23"/>
        <v>1</v>
      </c>
      <c r="E161" s="137" t="s">
        <v>129</v>
      </c>
      <c r="F161" s="137" t="s">
        <v>129</v>
      </c>
      <c r="G161" s="137" t="s">
        <v>129</v>
      </c>
      <c r="H161" s="137" t="s">
        <v>129</v>
      </c>
      <c r="I161" s="137" t="s">
        <v>129</v>
      </c>
      <c r="J161" s="137" t="s">
        <v>129</v>
      </c>
      <c r="K161" s="137" t="s">
        <v>129</v>
      </c>
      <c r="L161" s="137" t="s">
        <v>129</v>
      </c>
      <c r="M161" s="141"/>
      <c r="N161" s="143"/>
    </row>
    <row r="162" hidden="1" outlineLevel="1">
      <c r="A162" s="343" t="s">
        <v>2321</v>
      </c>
      <c r="B162" s="344">
        <v>46032.0</v>
      </c>
      <c r="C162" s="186" t="str">
        <f t="shared" si="22"/>
        <v>Sat</v>
      </c>
      <c r="D162" s="136">
        <f t="shared" si="23"/>
        <v>1</v>
      </c>
      <c r="E162" s="137" t="s">
        <v>129</v>
      </c>
      <c r="F162" s="137" t="s">
        <v>129</v>
      </c>
      <c r="G162" s="137" t="s">
        <v>129</v>
      </c>
      <c r="H162" s="137" t="s">
        <v>129</v>
      </c>
      <c r="I162" s="137" t="s">
        <v>129</v>
      </c>
      <c r="J162" s="137" t="s">
        <v>129</v>
      </c>
      <c r="K162" s="137" t="s">
        <v>129</v>
      </c>
      <c r="L162" s="137" t="s">
        <v>129</v>
      </c>
      <c r="M162" s="141"/>
      <c r="N162" s="143"/>
    </row>
    <row r="163" ht="15.0" hidden="1" customHeight="1" outlineLevel="1">
      <c r="A163" s="343" t="s">
        <v>2323</v>
      </c>
      <c r="B163" s="344">
        <v>46032.0</v>
      </c>
      <c r="C163" s="186" t="str">
        <f t="shared" si="22"/>
        <v>Sat</v>
      </c>
      <c r="D163" s="136">
        <f t="shared" si="23"/>
        <v>1</v>
      </c>
      <c r="E163" s="137" t="s">
        <v>129</v>
      </c>
      <c r="F163" s="137" t="s">
        <v>129</v>
      </c>
      <c r="G163" s="137" t="s">
        <v>129</v>
      </c>
      <c r="H163" s="137" t="s">
        <v>129</v>
      </c>
      <c r="I163" s="137" t="s">
        <v>129</v>
      </c>
      <c r="J163" s="137" t="s">
        <v>129</v>
      </c>
      <c r="K163" s="137" t="s">
        <v>129</v>
      </c>
      <c r="L163" s="137" t="s">
        <v>129</v>
      </c>
      <c r="M163" s="141"/>
      <c r="N163" s="147"/>
    </row>
    <row r="164" hidden="1" outlineLevel="1">
      <c r="B164" s="189"/>
      <c r="C164" s="191" t="s">
        <v>194</v>
      </c>
      <c r="D164" s="204">
        <f>AVERAGE(D149:D163)</f>
        <v>1</v>
      </c>
      <c r="E164" s="200"/>
      <c r="L164" s="191" t="s">
        <v>194</v>
      </c>
      <c r="M164" s="204">
        <f>SUM(M149:M163)/75*0.1</f>
        <v>0</v>
      </c>
    </row>
    <row r="165" hidden="1" collapsed="1">
      <c r="A165" s="206" t="s">
        <v>516</v>
      </c>
      <c r="B165" s="207"/>
      <c r="C165" s="207"/>
      <c r="D165" s="208"/>
      <c r="E165" s="109"/>
      <c r="F165" s="109"/>
      <c r="G165" s="110"/>
      <c r="H165" s="110"/>
      <c r="I165" s="110"/>
      <c r="J165" s="110"/>
      <c r="K165" s="110"/>
      <c r="L165" s="110"/>
      <c r="M165" s="111"/>
      <c r="N165" s="113"/>
    </row>
    <row r="166" hidden="1" outlineLevel="1">
      <c r="A166" s="115" t="s">
        <v>98</v>
      </c>
      <c r="B166" s="115" t="s">
        <v>100</v>
      </c>
      <c r="C166" s="115" t="s">
        <v>102</v>
      </c>
      <c r="D166" s="119" t="s">
        <v>103</v>
      </c>
      <c r="E166" s="275" t="s">
        <v>269</v>
      </c>
      <c r="F166" s="275" t="s">
        <v>272</v>
      </c>
      <c r="G166" s="276" t="s">
        <v>328</v>
      </c>
      <c r="H166" s="121" t="s">
        <v>107</v>
      </c>
      <c r="I166" s="121" t="s">
        <v>108</v>
      </c>
      <c r="J166" s="276" t="s">
        <v>329</v>
      </c>
      <c r="K166" s="121" t="s">
        <v>111</v>
      </c>
      <c r="L166" s="276" t="s">
        <v>274</v>
      </c>
      <c r="M166" s="115" t="s">
        <v>114</v>
      </c>
      <c r="N166" s="119" t="s">
        <v>115</v>
      </c>
    </row>
    <row r="167" hidden="1" outlineLevel="1">
      <c r="A167" s="219" t="s">
        <v>2329</v>
      </c>
      <c r="B167" s="344">
        <v>46034.0</v>
      </c>
      <c r="C167" s="133" t="str">
        <f t="shared" ref="C167:C181" si="24">IF(B167="", "", TEXT(B167, "ddd"))</f>
        <v>Mon</v>
      </c>
      <c r="D167" s="136">
        <f t="shared" ref="D167:D181" si="25">IF(E167="Yes",0.05,0)
+IF(F167="Yes",0.1,0)
+IF(G167="Yes",0.15,0)
+IF(H167="Yes",0.15,0)
+IF(I167="Yes",0.05,0)
+IF(J167="Yes",0.05,0)
+IF(K167="Yes",0.15,0)
+IF(L167="Yes",0.3,0)
</f>
        <v>1</v>
      </c>
      <c r="E167" s="137" t="s">
        <v>129</v>
      </c>
      <c r="F167" s="137" t="s">
        <v>129</v>
      </c>
      <c r="G167" s="137" t="s">
        <v>129</v>
      </c>
      <c r="H167" s="137" t="s">
        <v>129</v>
      </c>
      <c r="I167" s="137" t="s">
        <v>129</v>
      </c>
      <c r="J167" s="137" t="s">
        <v>129</v>
      </c>
      <c r="K167" s="137" t="s">
        <v>129</v>
      </c>
      <c r="L167" s="137" t="s">
        <v>129</v>
      </c>
      <c r="M167" s="141"/>
      <c r="N167" s="143"/>
    </row>
    <row r="168" hidden="1" outlineLevel="1">
      <c r="A168" s="219" t="s">
        <v>2335</v>
      </c>
      <c r="B168" s="344">
        <v>46034.0</v>
      </c>
      <c r="C168" s="133" t="str">
        <f t="shared" si="24"/>
        <v>Mon</v>
      </c>
      <c r="D168" s="136">
        <f t="shared" si="25"/>
        <v>1</v>
      </c>
      <c r="E168" s="137" t="s">
        <v>129</v>
      </c>
      <c r="F168" s="137" t="s">
        <v>129</v>
      </c>
      <c r="G168" s="137" t="s">
        <v>129</v>
      </c>
      <c r="H168" s="137" t="s">
        <v>129</v>
      </c>
      <c r="I168" s="137" t="s">
        <v>129</v>
      </c>
      <c r="J168" s="137" t="s">
        <v>129</v>
      </c>
      <c r="K168" s="137" t="s">
        <v>129</v>
      </c>
      <c r="L168" s="137" t="s">
        <v>129</v>
      </c>
      <c r="M168" s="141"/>
      <c r="N168" s="147"/>
    </row>
    <row r="169" hidden="1" outlineLevel="1">
      <c r="A169" s="219" t="s">
        <v>2336</v>
      </c>
      <c r="B169" s="344">
        <v>46034.0</v>
      </c>
      <c r="C169" s="133" t="str">
        <f t="shared" si="24"/>
        <v>Mon</v>
      </c>
      <c r="D169" s="136">
        <f t="shared" si="25"/>
        <v>1</v>
      </c>
      <c r="E169" s="137" t="s">
        <v>129</v>
      </c>
      <c r="F169" s="137" t="s">
        <v>129</v>
      </c>
      <c r="G169" s="137" t="s">
        <v>129</v>
      </c>
      <c r="H169" s="137" t="s">
        <v>129</v>
      </c>
      <c r="I169" s="137" t="s">
        <v>129</v>
      </c>
      <c r="J169" s="137" t="s">
        <v>129</v>
      </c>
      <c r="K169" s="137" t="s">
        <v>129</v>
      </c>
      <c r="L169" s="137" t="s">
        <v>129</v>
      </c>
      <c r="M169" s="141"/>
      <c r="N169" s="147"/>
    </row>
    <row r="170" hidden="1" outlineLevel="1">
      <c r="A170" s="255" t="s">
        <v>2340</v>
      </c>
      <c r="B170" s="344">
        <v>46035.0</v>
      </c>
      <c r="C170" s="133" t="str">
        <f t="shared" si="24"/>
        <v>Tue</v>
      </c>
      <c r="D170" s="136">
        <f t="shared" si="25"/>
        <v>1</v>
      </c>
      <c r="E170" s="137" t="s">
        <v>129</v>
      </c>
      <c r="F170" s="137" t="s">
        <v>129</v>
      </c>
      <c r="G170" s="137" t="s">
        <v>129</v>
      </c>
      <c r="H170" s="137" t="s">
        <v>129</v>
      </c>
      <c r="I170" s="137" t="s">
        <v>129</v>
      </c>
      <c r="J170" s="137" t="s">
        <v>129</v>
      </c>
      <c r="K170" s="137" t="s">
        <v>129</v>
      </c>
      <c r="L170" s="137" t="s">
        <v>129</v>
      </c>
      <c r="M170" s="141"/>
      <c r="N170" s="143"/>
    </row>
    <row r="171" hidden="1" outlineLevel="1">
      <c r="A171" s="255" t="s">
        <v>2344</v>
      </c>
      <c r="B171" s="344">
        <v>46035.0</v>
      </c>
      <c r="C171" s="133" t="str">
        <f t="shared" si="24"/>
        <v>Tue</v>
      </c>
      <c r="D171" s="136">
        <f t="shared" si="25"/>
        <v>1</v>
      </c>
      <c r="E171" s="137" t="s">
        <v>129</v>
      </c>
      <c r="F171" s="137" t="s">
        <v>129</v>
      </c>
      <c r="G171" s="137" t="s">
        <v>129</v>
      </c>
      <c r="H171" s="137" t="s">
        <v>129</v>
      </c>
      <c r="I171" s="137" t="s">
        <v>129</v>
      </c>
      <c r="J171" s="137" t="s">
        <v>129</v>
      </c>
      <c r="K171" s="137" t="s">
        <v>129</v>
      </c>
      <c r="L171" s="137" t="s">
        <v>129</v>
      </c>
      <c r="M171" s="141"/>
      <c r="N171" s="143"/>
    </row>
    <row r="172" hidden="1" outlineLevel="1">
      <c r="A172" s="255" t="s">
        <v>2353</v>
      </c>
      <c r="B172" s="344">
        <v>46035.0</v>
      </c>
      <c r="C172" s="133" t="str">
        <f t="shared" si="24"/>
        <v>Tue</v>
      </c>
      <c r="D172" s="136">
        <f t="shared" si="25"/>
        <v>1</v>
      </c>
      <c r="E172" s="137" t="s">
        <v>129</v>
      </c>
      <c r="F172" s="137" t="s">
        <v>129</v>
      </c>
      <c r="G172" s="137" t="s">
        <v>129</v>
      </c>
      <c r="H172" s="137" t="s">
        <v>129</v>
      </c>
      <c r="I172" s="137" t="s">
        <v>129</v>
      </c>
      <c r="J172" s="137" t="s">
        <v>129</v>
      </c>
      <c r="K172" s="137" t="s">
        <v>129</v>
      </c>
      <c r="L172" s="137" t="s">
        <v>129</v>
      </c>
      <c r="M172" s="141"/>
      <c r="N172" s="143"/>
    </row>
    <row r="173" hidden="1" outlineLevel="1">
      <c r="A173" s="255" t="s">
        <v>2355</v>
      </c>
      <c r="B173" s="344">
        <v>46037.0</v>
      </c>
      <c r="C173" s="133" t="str">
        <f t="shared" si="24"/>
        <v>Thu</v>
      </c>
      <c r="D173" s="136">
        <f t="shared" si="25"/>
        <v>1</v>
      </c>
      <c r="E173" s="137" t="s">
        <v>129</v>
      </c>
      <c r="F173" s="137" t="s">
        <v>129</v>
      </c>
      <c r="G173" s="137" t="s">
        <v>129</v>
      </c>
      <c r="H173" s="137" t="s">
        <v>129</v>
      </c>
      <c r="I173" s="137" t="s">
        <v>129</v>
      </c>
      <c r="J173" s="137" t="s">
        <v>129</v>
      </c>
      <c r="K173" s="137" t="s">
        <v>129</v>
      </c>
      <c r="L173" s="137" t="s">
        <v>129</v>
      </c>
      <c r="M173" s="141"/>
      <c r="N173" s="143"/>
    </row>
    <row r="174" hidden="1" outlineLevel="1">
      <c r="A174" s="255" t="s">
        <v>2360</v>
      </c>
      <c r="B174" s="344">
        <v>46037.0</v>
      </c>
      <c r="C174" s="133" t="str">
        <f t="shared" si="24"/>
        <v>Thu</v>
      </c>
      <c r="D174" s="136">
        <f t="shared" si="25"/>
        <v>1</v>
      </c>
      <c r="E174" s="137" t="s">
        <v>129</v>
      </c>
      <c r="F174" s="137" t="s">
        <v>129</v>
      </c>
      <c r="G174" s="137" t="s">
        <v>129</v>
      </c>
      <c r="H174" s="137" t="s">
        <v>129</v>
      </c>
      <c r="I174" s="137" t="s">
        <v>129</v>
      </c>
      <c r="J174" s="137" t="s">
        <v>129</v>
      </c>
      <c r="K174" s="137" t="s">
        <v>129</v>
      </c>
      <c r="L174" s="137" t="s">
        <v>129</v>
      </c>
      <c r="M174" s="141"/>
      <c r="N174" s="147"/>
    </row>
    <row r="175" hidden="1" outlineLevel="1">
      <c r="A175" s="219" t="s">
        <v>2362</v>
      </c>
      <c r="B175" s="344">
        <v>46037.0</v>
      </c>
      <c r="C175" s="133" t="str">
        <f t="shared" si="24"/>
        <v>Thu</v>
      </c>
      <c r="D175" s="136">
        <f t="shared" si="25"/>
        <v>1</v>
      </c>
      <c r="E175" s="137" t="s">
        <v>129</v>
      </c>
      <c r="F175" s="137" t="s">
        <v>129</v>
      </c>
      <c r="G175" s="137" t="s">
        <v>129</v>
      </c>
      <c r="H175" s="137" t="s">
        <v>129</v>
      </c>
      <c r="I175" s="137" t="s">
        <v>129</v>
      </c>
      <c r="J175" s="137" t="s">
        <v>129</v>
      </c>
      <c r="K175" s="137" t="s">
        <v>129</v>
      </c>
      <c r="L175" s="137" t="s">
        <v>129</v>
      </c>
      <c r="M175" s="141"/>
      <c r="N175" s="143"/>
    </row>
    <row r="176" hidden="1" outlineLevel="1">
      <c r="A176" s="255" t="s">
        <v>2366</v>
      </c>
      <c r="B176" s="344">
        <v>46038.0</v>
      </c>
      <c r="C176" s="133" t="str">
        <f t="shared" si="24"/>
        <v>Fri</v>
      </c>
      <c r="D176" s="136">
        <f t="shared" si="25"/>
        <v>1</v>
      </c>
      <c r="E176" s="137" t="s">
        <v>129</v>
      </c>
      <c r="F176" s="137" t="s">
        <v>129</v>
      </c>
      <c r="G176" s="137" t="s">
        <v>129</v>
      </c>
      <c r="H176" s="137" t="s">
        <v>129</v>
      </c>
      <c r="I176" s="137" t="s">
        <v>129</v>
      </c>
      <c r="J176" s="137" t="s">
        <v>129</v>
      </c>
      <c r="K176" s="137" t="s">
        <v>129</v>
      </c>
      <c r="L176" s="137" t="s">
        <v>129</v>
      </c>
      <c r="M176" s="141"/>
      <c r="N176" s="143"/>
    </row>
    <row r="177" hidden="1" outlineLevel="1">
      <c r="A177" s="255" t="s">
        <v>2369</v>
      </c>
      <c r="B177" s="344">
        <v>46038.0</v>
      </c>
      <c r="C177" s="133" t="str">
        <f t="shared" si="24"/>
        <v>Fri</v>
      </c>
      <c r="D177" s="136">
        <f t="shared" si="25"/>
        <v>1</v>
      </c>
      <c r="E177" s="137" t="s">
        <v>129</v>
      </c>
      <c r="F177" s="137" t="s">
        <v>129</v>
      </c>
      <c r="G177" s="137" t="s">
        <v>129</v>
      </c>
      <c r="H177" s="137" t="s">
        <v>129</v>
      </c>
      <c r="I177" s="137" t="s">
        <v>129</v>
      </c>
      <c r="J177" s="137" t="s">
        <v>129</v>
      </c>
      <c r="K177" s="137" t="s">
        <v>129</v>
      </c>
      <c r="L177" s="137" t="s">
        <v>129</v>
      </c>
      <c r="M177" s="141"/>
      <c r="N177" s="147"/>
    </row>
    <row r="178" hidden="1" outlineLevel="1">
      <c r="A178" s="269" t="s">
        <v>2372</v>
      </c>
      <c r="B178" s="344">
        <v>46038.0</v>
      </c>
      <c r="C178" s="133" t="str">
        <f t="shared" si="24"/>
        <v>Fri</v>
      </c>
      <c r="D178" s="136">
        <f t="shared" si="25"/>
        <v>1</v>
      </c>
      <c r="E178" s="137" t="s">
        <v>129</v>
      </c>
      <c r="F178" s="137" t="s">
        <v>129</v>
      </c>
      <c r="G178" s="137" t="s">
        <v>129</v>
      </c>
      <c r="H178" s="137" t="s">
        <v>129</v>
      </c>
      <c r="I178" s="137" t="s">
        <v>129</v>
      </c>
      <c r="J178" s="137" t="s">
        <v>129</v>
      </c>
      <c r="K178" s="137" t="s">
        <v>129</v>
      </c>
      <c r="L178" s="137" t="s">
        <v>129</v>
      </c>
      <c r="M178" s="141"/>
      <c r="N178" s="143"/>
    </row>
    <row r="179" hidden="1" outlineLevel="1">
      <c r="A179" s="219" t="s">
        <v>2375</v>
      </c>
      <c r="B179" s="344">
        <v>46039.0</v>
      </c>
      <c r="C179" s="133" t="str">
        <f t="shared" si="24"/>
        <v>Sat</v>
      </c>
      <c r="D179" s="136">
        <f t="shared" si="25"/>
        <v>1</v>
      </c>
      <c r="E179" s="137" t="s">
        <v>129</v>
      </c>
      <c r="F179" s="137" t="s">
        <v>129</v>
      </c>
      <c r="G179" s="137" t="s">
        <v>129</v>
      </c>
      <c r="H179" s="137" t="s">
        <v>129</v>
      </c>
      <c r="I179" s="137" t="s">
        <v>129</v>
      </c>
      <c r="J179" s="137" t="s">
        <v>129</v>
      </c>
      <c r="K179" s="137" t="s">
        <v>129</v>
      </c>
      <c r="L179" s="137" t="s">
        <v>129</v>
      </c>
      <c r="M179" s="141"/>
      <c r="N179" s="143"/>
    </row>
    <row r="180" hidden="1" outlineLevel="1">
      <c r="A180" s="219" t="s">
        <v>2376</v>
      </c>
      <c r="B180" s="344">
        <v>46039.0</v>
      </c>
      <c r="C180" s="133" t="str">
        <f t="shared" si="24"/>
        <v>Sat</v>
      </c>
      <c r="D180" s="136">
        <f t="shared" si="25"/>
        <v>1</v>
      </c>
      <c r="E180" s="137" t="s">
        <v>129</v>
      </c>
      <c r="F180" s="137" t="s">
        <v>129</v>
      </c>
      <c r="G180" s="137" t="s">
        <v>129</v>
      </c>
      <c r="H180" s="137" t="s">
        <v>129</v>
      </c>
      <c r="I180" s="137" t="s">
        <v>129</v>
      </c>
      <c r="J180" s="137" t="s">
        <v>129</v>
      </c>
      <c r="K180" s="137" t="s">
        <v>129</v>
      </c>
      <c r="L180" s="137" t="s">
        <v>129</v>
      </c>
      <c r="M180" s="141"/>
      <c r="N180" s="143"/>
    </row>
    <row r="181" ht="15.0" hidden="1" customHeight="1" outlineLevel="1">
      <c r="A181" s="219" t="s">
        <v>2379</v>
      </c>
      <c r="B181" s="344">
        <v>46039.0</v>
      </c>
      <c r="C181" s="133" t="str">
        <f t="shared" si="24"/>
        <v>Sat</v>
      </c>
      <c r="D181" s="136">
        <f t="shared" si="25"/>
        <v>0.95</v>
      </c>
      <c r="E181" s="137" t="s">
        <v>129</v>
      </c>
      <c r="F181" s="137" t="s">
        <v>129</v>
      </c>
      <c r="G181" s="137" t="s">
        <v>129</v>
      </c>
      <c r="H181" s="137" t="s">
        <v>129</v>
      </c>
      <c r="I181" s="137" t="s">
        <v>129</v>
      </c>
      <c r="J181" s="137" t="s">
        <v>174</v>
      </c>
      <c r="K181" s="137" t="s">
        <v>129</v>
      </c>
      <c r="L181" s="137" t="s">
        <v>129</v>
      </c>
      <c r="M181" s="141"/>
      <c r="N181" s="147" t="s">
        <v>2382</v>
      </c>
    </row>
    <row r="182" hidden="1" outlineLevel="1">
      <c r="B182" s="189"/>
      <c r="C182" s="191" t="s">
        <v>194</v>
      </c>
      <c r="D182" s="204">
        <f>AVERAGE(D167:D181)</f>
        <v>0.9966666667</v>
      </c>
      <c r="E182" s="200"/>
      <c r="L182" s="191" t="s">
        <v>194</v>
      </c>
      <c r="M182" s="204">
        <f>SUM(M167:M181)/75*0.1</f>
        <v>0</v>
      </c>
    </row>
    <row r="183" hidden="1" collapsed="1">
      <c r="A183" s="206" t="s">
        <v>549</v>
      </c>
      <c r="B183" s="207"/>
      <c r="C183" s="207"/>
      <c r="D183" s="208"/>
      <c r="E183" s="109"/>
      <c r="F183" s="109"/>
      <c r="G183" s="110"/>
      <c r="H183" s="110"/>
      <c r="I183" s="110"/>
      <c r="J183" s="110"/>
      <c r="K183" s="110"/>
      <c r="L183" s="110"/>
      <c r="M183" s="111"/>
      <c r="N183" s="113"/>
    </row>
    <row r="184" hidden="1" outlineLevel="1">
      <c r="A184" s="115" t="s">
        <v>98</v>
      </c>
      <c r="B184" s="115" t="s">
        <v>100</v>
      </c>
      <c r="C184" s="115" t="s">
        <v>102</v>
      </c>
      <c r="D184" s="119" t="s">
        <v>103</v>
      </c>
      <c r="E184" s="275" t="s">
        <v>269</v>
      </c>
      <c r="F184" s="275" t="s">
        <v>272</v>
      </c>
      <c r="G184" s="276" t="s">
        <v>328</v>
      </c>
      <c r="H184" s="121" t="s">
        <v>107</v>
      </c>
      <c r="I184" s="121" t="s">
        <v>108</v>
      </c>
      <c r="J184" s="276" t="s">
        <v>329</v>
      </c>
      <c r="K184" s="121" t="s">
        <v>111</v>
      </c>
      <c r="L184" s="276" t="s">
        <v>274</v>
      </c>
      <c r="M184" s="115" t="s">
        <v>114</v>
      </c>
      <c r="N184" s="119" t="s">
        <v>115</v>
      </c>
    </row>
    <row r="185" hidden="1" outlineLevel="1">
      <c r="A185" s="219" t="s">
        <v>2392</v>
      </c>
      <c r="B185" s="344">
        <v>46041.0</v>
      </c>
      <c r="C185" s="133" t="str">
        <f t="shared" ref="C185:C199" si="26">IF(B185="", "", TEXT(B185, "ddd"))</f>
        <v>Mon</v>
      </c>
      <c r="D185" s="136">
        <f t="shared" ref="D185:D199" si="27">IF(E185="Yes",0.05,0)
+IF(F185="Yes",0.1,0)
+IF(G185="Yes",0.15,0)
+IF(H185="Yes",0.15,0)
+IF(I185="Yes",0.05,0)
+IF(J185="Yes",0.05,0)
+IF(K185="Yes",0.15,0)
+IF(L185="Yes",0.3,0)
</f>
        <v>1</v>
      </c>
      <c r="E185" s="137" t="s">
        <v>129</v>
      </c>
      <c r="F185" s="137" t="s">
        <v>129</v>
      </c>
      <c r="G185" s="137" t="s">
        <v>129</v>
      </c>
      <c r="H185" s="137" t="s">
        <v>129</v>
      </c>
      <c r="I185" s="137" t="s">
        <v>129</v>
      </c>
      <c r="J185" s="137" t="s">
        <v>129</v>
      </c>
      <c r="K185" s="137" t="s">
        <v>129</v>
      </c>
      <c r="L185" s="137" t="s">
        <v>129</v>
      </c>
      <c r="M185" s="141"/>
      <c r="N185" s="143"/>
    </row>
    <row r="186" hidden="1" outlineLevel="1">
      <c r="A186" s="219" t="s">
        <v>2397</v>
      </c>
      <c r="B186" s="344">
        <v>46041.0</v>
      </c>
      <c r="C186" s="133" t="str">
        <f t="shared" si="26"/>
        <v>Mon</v>
      </c>
      <c r="D186" s="136">
        <f t="shared" si="27"/>
        <v>1</v>
      </c>
      <c r="E186" s="137" t="s">
        <v>129</v>
      </c>
      <c r="F186" s="137" t="s">
        <v>129</v>
      </c>
      <c r="G186" s="137" t="s">
        <v>129</v>
      </c>
      <c r="H186" s="137" t="s">
        <v>129</v>
      </c>
      <c r="I186" s="137" t="s">
        <v>129</v>
      </c>
      <c r="J186" s="137" t="s">
        <v>129</v>
      </c>
      <c r="K186" s="137" t="s">
        <v>129</v>
      </c>
      <c r="L186" s="137" t="s">
        <v>129</v>
      </c>
      <c r="M186" s="141"/>
      <c r="N186" s="147"/>
    </row>
    <row r="187" hidden="1" outlineLevel="1">
      <c r="A187" s="219" t="s">
        <v>2400</v>
      </c>
      <c r="B187" s="344">
        <v>46041.0</v>
      </c>
      <c r="C187" s="133" t="str">
        <f t="shared" si="26"/>
        <v>Mon</v>
      </c>
      <c r="D187" s="136">
        <f t="shared" si="27"/>
        <v>1</v>
      </c>
      <c r="E187" s="137" t="s">
        <v>129</v>
      </c>
      <c r="F187" s="137" t="s">
        <v>129</v>
      </c>
      <c r="G187" s="137" t="s">
        <v>129</v>
      </c>
      <c r="H187" s="137" t="s">
        <v>129</v>
      </c>
      <c r="I187" s="137" t="s">
        <v>129</v>
      </c>
      <c r="J187" s="137" t="s">
        <v>129</v>
      </c>
      <c r="K187" s="137" t="s">
        <v>129</v>
      </c>
      <c r="L187" s="137" t="s">
        <v>129</v>
      </c>
      <c r="M187" s="141"/>
      <c r="N187" s="147"/>
    </row>
    <row r="188" hidden="1" outlineLevel="1">
      <c r="A188" s="219" t="s">
        <v>2403</v>
      </c>
      <c r="B188" s="344">
        <v>46042.0</v>
      </c>
      <c r="C188" s="133" t="str">
        <f t="shared" si="26"/>
        <v>Tue</v>
      </c>
      <c r="D188" s="136">
        <f t="shared" si="27"/>
        <v>1</v>
      </c>
      <c r="E188" s="137" t="s">
        <v>129</v>
      </c>
      <c r="F188" s="137" t="s">
        <v>129</v>
      </c>
      <c r="G188" s="137" t="s">
        <v>129</v>
      </c>
      <c r="H188" s="137" t="s">
        <v>129</v>
      </c>
      <c r="I188" s="137" t="s">
        <v>129</v>
      </c>
      <c r="J188" s="137" t="s">
        <v>129</v>
      </c>
      <c r="K188" s="137" t="s">
        <v>129</v>
      </c>
      <c r="L188" s="137" t="s">
        <v>129</v>
      </c>
      <c r="M188" s="141"/>
      <c r="N188" s="143"/>
    </row>
    <row r="189" hidden="1" outlineLevel="1">
      <c r="A189" s="219" t="s">
        <v>2405</v>
      </c>
      <c r="B189" s="344">
        <v>46042.0</v>
      </c>
      <c r="C189" s="133" t="str">
        <f t="shared" si="26"/>
        <v>Tue</v>
      </c>
      <c r="D189" s="136">
        <f t="shared" si="27"/>
        <v>1</v>
      </c>
      <c r="E189" s="137" t="s">
        <v>129</v>
      </c>
      <c r="F189" s="137" t="s">
        <v>129</v>
      </c>
      <c r="G189" s="137" t="s">
        <v>129</v>
      </c>
      <c r="H189" s="137" t="s">
        <v>129</v>
      </c>
      <c r="I189" s="137" t="s">
        <v>129</v>
      </c>
      <c r="J189" s="137" t="s">
        <v>129</v>
      </c>
      <c r="K189" s="137" t="s">
        <v>129</v>
      </c>
      <c r="L189" s="137" t="s">
        <v>129</v>
      </c>
      <c r="M189" s="141"/>
      <c r="N189" s="143"/>
    </row>
    <row r="190" hidden="1" outlineLevel="1">
      <c r="A190" s="219" t="s">
        <v>2407</v>
      </c>
      <c r="B190" s="344">
        <v>46042.0</v>
      </c>
      <c r="C190" s="133" t="str">
        <f t="shared" si="26"/>
        <v>Tue</v>
      </c>
      <c r="D190" s="136">
        <f t="shared" si="27"/>
        <v>1</v>
      </c>
      <c r="E190" s="137" t="s">
        <v>129</v>
      </c>
      <c r="F190" s="137" t="s">
        <v>129</v>
      </c>
      <c r="G190" s="137" t="s">
        <v>129</v>
      </c>
      <c r="H190" s="137" t="s">
        <v>129</v>
      </c>
      <c r="I190" s="137" t="s">
        <v>129</v>
      </c>
      <c r="J190" s="137" t="s">
        <v>129</v>
      </c>
      <c r="K190" s="137" t="s">
        <v>129</v>
      </c>
      <c r="L190" s="137" t="s">
        <v>129</v>
      </c>
      <c r="M190" s="141"/>
      <c r="N190" s="143"/>
    </row>
    <row r="191" hidden="1" outlineLevel="1">
      <c r="A191" s="303" t="s">
        <v>2411</v>
      </c>
      <c r="B191" s="344">
        <v>46043.0</v>
      </c>
      <c r="C191" s="133" t="str">
        <f t="shared" si="26"/>
        <v>Wed</v>
      </c>
      <c r="D191" s="136">
        <f t="shared" si="27"/>
        <v>1</v>
      </c>
      <c r="E191" s="137" t="s">
        <v>129</v>
      </c>
      <c r="F191" s="137" t="s">
        <v>129</v>
      </c>
      <c r="G191" s="137" t="s">
        <v>129</v>
      </c>
      <c r="H191" s="137" t="s">
        <v>129</v>
      </c>
      <c r="I191" s="137" t="s">
        <v>129</v>
      </c>
      <c r="J191" s="137" t="s">
        <v>129</v>
      </c>
      <c r="K191" s="137" t="s">
        <v>129</v>
      </c>
      <c r="L191" s="137" t="s">
        <v>129</v>
      </c>
      <c r="M191" s="141"/>
      <c r="N191" s="143"/>
    </row>
    <row r="192" hidden="1" outlineLevel="1">
      <c r="A192" s="303" t="s">
        <v>2415</v>
      </c>
      <c r="B192" s="344">
        <v>46043.0</v>
      </c>
      <c r="C192" s="133" t="str">
        <f t="shared" si="26"/>
        <v>Wed</v>
      </c>
      <c r="D192" s="136">
        <f t="shared" si="27"/>
        <v>1</v>
      </c>
      <c r="E192" s="137" t="s">
        <v>129</v>
      </c>
      <c r="F192" s="137" t="s">
        <v>129</v>
      </c>
      <c r="G192" s="137" t="s">
        <v>129</v>
      </c>
      <c r="H192" s="137" t="s">
        <v>129</v>
      </c>
      <c r="I192" s="137" t="s">
        <v>129</v>
      </c>
      <c r="J192" s="137" t="s">
        <v>129</v>
      </c>
      <c r="K192" s="137" t="s">
        <v>129</v>
      </c>
      <c r="L192" s="137" t="s">
        <v>129</v>
      </c>
      <c r="M192" s="141"/>
      <c r="N192" s="147"/>
    </row>
    <row r="193" hidden="1" outlineLevel="1">
      <c r="A193" s="303" t="s">
        <v>2420</v>
      </c>
      <c r="B193" s="344">
        <v>46043.0</v>
      </c>
      <c r="C193" s="133" t="str">
        <f t="shared" si="26"/>
        <v>Wed</v>
      </c>
      <c r="D193" s="136">
        <f t="shared" si="27"/>
        <v>1</v>
      </c>
      <c r="E193" s="137" t="s">
        <v>129</v>
      </c>
      <c r="F193" s="137" t="s">
        <v>129</v>
      </c>
      <c r="G193" s="137" t="s">
        <v>129</v>
      </c>
      <c r="H193" s="137" t="s">
        <v>129</v>
      </c>
      <c r="I193" s="137" t="s">
        <v>129</v>
      </c>
      <c r="J193" s="137" t="s">
        <v>129</v>
      </c>
      <c r="K193" s="137" t="s">
        <v>129</v>
      </c>
      <c r="L193" s="137" t="s">
        <v>129</v>
      </c>
      <c r="M193" s="141"/>
      <c r="N193" s="143"/>
    </row>
    <row r="194" hidden="1" outlineLevel="1">
      <c r="A194" s="219" t="s">
        <v>2424</v>
      </c>
      <c r="B194" s="344">
        <v>46044.0</v>
      </c>
      <c r="C194" s="133" t="str">
        <f t="shared" si="26"/>
        <v>Thu</v>
      </c>
      <c r="D194" s="136">
        <f t="shared" si="27"/>
        <v>1</v>
      </c>
      <c r="E194" s="137" t="s">
        <v>129</v>
      </c>
      <c r="F194" s="137" t="s">
        <v>129</v>
      </c>
      <c r="G194" s="137" t="s">
        <v>129</v>
      </c>
      <c r="H194" s="137" t="s">
        <v>129</v>
      </c>
      <c r="I194" s="137" t="s">
        <v>129</v>
      </c>
      <c r="J194" s="137" t="s">
        <v>129</v>
      </c>
      <c r="K194" s="137" t="s">
        <v>129</v>
      </c>
      <c r="L194" s="137" t="s">
        <v>129</v>
      </c>
      <c r="M194" s="141"/>
      <c r="N194" s="143"/>
    </row>
    <row r="195" hidden="1" outlineLevel="1">
      <c r="A195" s="219" t="s">
        <v>2428</v>
      </c>
      <c r="B195" s="344">
        <v>46044.0</v>
      </c>
      <c r="C195" s="133" t="str">
        <f t="shared" si="26"/>
        <v>Thu</v>
      </c>
      <c r="D195" s="136">
        <f t="shared" si="27"/>
        <v>1</v>
      </c>
      <c r="E195" s="137" t="s">
        <v>129</v>
      </c>
      <c r="F195" s="137" t="s">
        <v>129</v>
      </c>
      <c r="G195" s="137" t="s">
        <v>129</v>
      </c>
      <c r="H195" s="137" t="s">
        <v>129</v>
      </c>
      <c r="I195" s="137" t="s">
        <v>129</v>
      </c>
      <c r="J195" s="137" t="s">
        <v>129</v>
      </c>
      <c r="K195" s="137" t="s">
        <v>129</v>
      </c>
      <c r="L195" s="137" t="s">
        <v>129</v>
      </c>
      <c r="M195" s="141"/>
      <c r="N195" s="147"/>
    </row>
    <row r="196" hidden="1" outlineLevel="1">
      <c r="A196" s="219" t="s">
        <v>2433</v>
      </c>
      <c r="B196" s="344">
        <v>46044.0</v>
      </c>
      <c r="C196" s="133" t="str">
        <f t="shared" si="26"/>
        <v>Thu</v>
      </c>
      <c r="D196" s="136">
        <f t="shared" si="27"/>
        <v>1</v>
      </c>
      <c r="E196" s="137" t="s">
        <v>129</v>
      </c>
      <c r="F196" s="137" t="s">
        <v>129</v>
      </c>
      <c r="G196" s="137" t="s">
        <v>129</v>
      </c>
      <c r="H196" s="137" t="s">
        <v>129</v>
      </c>
      <c r="I196" s="137" t="s">
        <v>129</v>
      </c>
      <c r="J196" s="137" t="s">
        <v>129</v>
      </c>
      <c r="K196" s="137" t="s">
        <v>129</v>
      </c>
      <c r="L196" s="137" t="s">
        <v>129</v>
      </c>
      <c r="M196" s="141"/>
      <c r="N196" s="143"/>
    </row>
    <row r="197" hidden="1" outlineLevel="1">
      <c r="A197" s="479" t="s">
        <v>2437</v>
      </c>
      <c r="B197" s="344">
        <v>46045.0</v>
      </c>
      <c r="C197" s="133" t="str">
        <f t="shared" si="26"/>
        <v>Fri</v>
      </c>
      <c r="D197" s="136">
        <f t="shared" si="27"/>
        <v>1</v>
      </c>
      <c r="E197" s="137" t="s">
        <v>129</v>
      </c>
      <c r="F197" s="137" t="s">
        <v>129</v>
      </c>
      <c r="G197" s="137" t="s">
        <v>129</v>
      </c>
      <c r="H197" s="137" t="s">
        <v>129</v>
      </c>
      <c r="I197" s="137" t="s">
        <v>129</v>
      </c>
      <c r="J197" s="137" t="s">
        <v>129</v>
      </c>
      <c r="K197" s="137" t="s">
        <v>129</v>
      </c>
      <c r="L197" s="137" t="s">
        <v>129</v>
      </c>
      <c r="M197" s="141"/>
      <c r="N197" s="143"/>
    </row>
    <row r="198" hidden="1" outlineLevel="1">
      <c r="A198" s="479" t="s">
        <v>2440</v>
      </c>
      <c r="B198" s="344">
        <v>46045.0</v>
      </c>
      <c r="C198" s="133" t="str">
        <f t="shared" si="26"/>
        <v>Fri</v>
      </c>
      <c r="D198" s="136">
        <f t="shared" si="27"/>
        <v>1</v>
      </c>
      <c r="E198" s="137" t="s">
        <v>129</v>
      </c>
      <c r="F198" s="137" t="s">
        <v>129</v>
      </c>
      <c r="G198" s="137" t="s">
        <v>129</v>
      </c>
      <c r="H198" s="137" t="s">
        <v>129</v>
      </c>
      <c r="I198" s="137" t="s">
        <v>129</v>
      </c>
      <c r="J198" s="137" t="s">
        <v>129</v>
      </c>
      <c r="K198" s="137" t="s">
        <v>129</v>
      </c>
      <c r="L198" s="137" t="s">
        <v>129</v>
      </c>
      <c r="M198" s="141"/>
      <c r="N198" s="143"/>
    </row>
    <row r="199" ht="15.0" hidden="1" customHeight="1" outlineLevel="1">
      <c r="A199" s="479" t="s">
        <v>2444</v>
      </c>
      <c r="B199" s="344">
        <v>46045.0</v>
      </c>
      <c r="C199" s="133" t="str">
        <f t="shared" si="26"/>
        <v>Fri</v>
      </c>
      <c r="D199" s="136">
        <f t="shared" si="27"/>
        <v>1</v>
      </c>
      <c r="E199" s="137" t="s">
        <v>129</v>
      </c>
      <c r="F199" s="137" t="s">
        <v>129</v>
      </c>
      <c r="G199" s="137" t="s">
        <v>129</v>
      </c>
      <c r="H199" s="137" t="s">
        <v>129</v>
      </c>
      <c r="I199" s="137" t="s">
        <v>129</v>
      </c>
      <c r="J199" s="137" t="s">
        <v>129</v>
      </c>
      <c r="K199" s="137" t="s">
        <v>129</v>
      </c>
      <c r="L199" s="137" t="s">
        <v>129</v>
      </c>
      <c r="M199" s="141"/>
      <c r="N199" s="147"/>
    </row>
    <row r="200" hidden="1" outlineLevel="1">
      <c r="B200" s="189"/>
      <c r="C200" s="191" t="s">
        <v>194</v>
      </c>
      <c r="D200" s="204">
        <f>AVERAGE(D185:D199)</f>
        <v>1</v>
      </c>
      <c r="E200" s="200"/>
      <c r="L200" s="191" t="s">
        <v>194</v>
      </c>
      <c r="M200" s="204">
        <f>SUM(M185:M199)/75*0.1</f>
        <v>0</v>
      </c>
    </row>
    <row r="201" hidden="1" collapsed="1">
      <c r="A201" s="206" t="s">
        <v>578</v>
      </c>
      <c r="B201" s="207"/>
      <c r="C201" s="207"/>
      <c r="D201" s="208"/>
      <c r="E201" s="109"/>
      <c r="F201" s="109"/>
      <c r="G201" s="110"/>
      <c r="H201" s="110"/>
      <c r="I201" s="110"/>
      <c r="J201" s="110"/>
      <c r="K201" s="110"/>
      <c r="L201" s="110"/>
      <c r="M201" s="111"/>
      <c r="N201" s="113"/>
    </row>
    <row r="202" hidden="1" outlineLevel="1">
      <c r="A202" s="115" t="s">
        <v>98</v>
      </c>
      <c r="B202" s="115" t="s">
        <v>100</v>
      </c>
      <c r="C202" s="115" t="s">
        <v>102</v>
      </c>
      <c r="D202" s="119" t="s">
        <v>103</v>
      </c>
      <c r="E202" s="275" t="s">
        <v>269</v>
      </c>
      <c r="F202" s="275" t="s">
        <v>272</v>
      </c>
      <c r="G202" s="276" t="s">
        <v>328</v>
      </c>
      <c r="H202" s="121" t="s">
        <v>107</v>
      </c>
      <c r="I202" s="121" t="s">
        <v>108</v>
      </c>
      <c r="J202" s="276" t="s">
        <v>329</v>
      </c>
      <c r="K202" s="121" t="s">
        <v>111</v>
      </c>
      <c r="L202" s="276" t="s">
        <v>274</v>
      </c>
      <c r="M202" s="115" t="s">
        <v>114</v>
      </c>
      <c r="N202" s="119" t="s">
        <v>115</v>
      </c>
    </row>
    <row r="203" hidden="1" outlineLevel="1">
      <c r="A203" s="303" t="s">
        <v>2450</v>
      </c>
      <c r="B203" s="344">
        <v>46048.0</v>
      </c>
      <c r="C203" s="133" t="str">
        <f t="shared" ref="C203:C217" si="28">IF(B203="", "", TEXT(B203, "ddd"))</f>
        <v>Mon</v>
      </c>
      <c r="D203" s="136">
        <f t="shared" ref="D203:D217" si="29">IF(E203="Yes",0.05,0)
+IF(F203="Yes",0.1,0)
+IF(G203="Yes",0.15,0)
+IF(H203="Yes",0.15,0)
+IF(I203="Yes",0.05,0)
+IF(J203="Yes",0.05,0)
+IF(K203="Yes",0.15,0)
+IF(L203="Yes",0.3,0)
</f>
        <v>1</v>
      </c>
      <c r="E203" s="137" t="s">
        <v>129</v>
      </c>
      <c r="F203" s="137" t="s">
        <v>129</v>
      </c>
      <c r="G203" s="137" t="s">
        <v>129</v>
      </c>
      <c r="H203" s="137" t="s">
        <v>129</v>
      </c>
      <c r="I203" s="137" t="s">
        <v>129</v>
      </c>
      <c r="J203" s="137" t="s">
        <v>129</v>
      </c>
      <c r="K203" s="137" t="s">
        <v>129</v>
      </c>
      <c r="L203" s="137" t="s">
        <v>129</v>
      </c>
      <c r="M203" s="141"/>
      <c r="N203" s="143"/>
    </row>
    <row r="204" hidden="1" outlineLevel="1">
      <c r="A204" s="303" t="s">
        <v>2457</v>
      </c>
      <c r="B204" s="344">
        <v>46048.0</v>
      </c>
      <c r="C204" s="133" t="str">
        <f t="shared" si="28"/>
        <v>Mon</v>
      </c>
      <c r="D204" s="136">
        <f t="shared" si="29"/>
        <v>1</v>
      </c>
      <c r="E204" s="137" t="s">
        <v>129</v>
      </c>
      <c r="F204" s="137" t="s">
        <v>129</v>
      </c>
      <c r="G204" s="137" t="s">
        <v>129</v>
      </c>
      <c r="H204" s="137" t="s">
        <v>129</v>
      </c>
      <c r="I204" s="137" t="s">
        <v>129</v>
      </c>
      <c r="J204" s="137" t="s">
        <v>129</v>
      </c>
      <c r="K204" s="137" t="s">
        <v>129</v>
      </c>
      <c r="L204" s="137" t="s">
        <v>129</v>
      </c>
      <c r="M204" s="141"/>
      <c r="N204" s="147"/>
    </row>
    <row r="205" hidden="1" outlineLevel="1">
      <c r="A205" s="303" t="s">
        <v>2460</v>
      </c>
      <c r="B205" s="344">
        <v>46048.0</v>
      </c>
      <c r="C205" s="133" t="str">
        <f t="shared" si="28"/>
        <v>Mon</v>
      </c>
      <c r="D205" s="136">
        <f t="shared" si="29"/>
        <v>1</v>
      </c>
      <c r="E205" s="137" t="s">
        <v>129</v>
      </c>
      <c r="F205" s="137" t="s">
        <v>129</v>
      </c>
      <c r="G205" s="137" t="s">
        <v>129</v>
      </c>
      <c r="H205" s="137" t="s">
        <v>129</v>
      </c>
      <c r="I205" s="137" t="s">
        <v>129</v>
      </c>
      <c r="J205" s="137" t="s">
        <v>129</v>
      </c>
      <c r="K205" s="137" t="s">
        <v>129</v>
      </c>
      <c r="L205" s="137" t="s">
        <v>129</v>
      </c>
      <c r="M205" s="141"/>
      <c r="N205" s="147"/>
    </row>
    <row r="206" hidden="1" outlineLevel="1">
      <c r="A206" s="219" t="s">
        <v>2465</v>
      </c>
      <c r="B206" s="344">
        <v>46049.0</v>
      </c>
      <c r="C206" s="133" t="str">
        <f t="shared" si="28"/>
        <v>Tue</v>
      </c>
      <c r="D206" s="136">
        <f t="shared" si="29"/>
        <v>1</v>
      </c>
      <c r="E206" s="137" t="s">
        <v>129</v>
      </c>
      <c r="F206" s="137" t="s">
        <v>129</v>
      </c>
      <c r="G206" s="137" t="s">
        <v>129</v>
      </c>
      <c r="H206" s="137" t="s">
        <v>129</v>
      </c>
      <c r="I206" s="137" t="s">
        <v>129</v>
      </c>
      <c r="J206" s="137" t="s">
        <v>129</v>
      </c>
      <c r="K206" s="137" t="s">
        <v>129</v>
      </c>
      <c r="L206" s="137" t="s">
        <v>129</v>
      </c>
      <c r="M206" s="141"/>
      <c r="N206" s="143"/>
    </row>
    <row r="207" hidden="1" outlineLevel="1">
      <c r="A207" s="219" t="s">
        <v>2470</v>
      </c>
      <c r="B207" s="344">
        <v>46049.0</v>
      </c>
      <c r="C207" s="133" t="str">
        <f t="shared" si="28"/>
        <v>Tue</v>
      </c>
      <c r="D207" s="136">
        <f t="shared" si="29"/>
        <v>1</v>
      </c>
      <c r="E207" s="137" t="s">
        <v>129</v>
      </c>
      <c r="F207" s="137" t="s">
        <v>129</v>
      </c>
      <c r="G207" s="137" t="s">
        <v>129</v>
      </c>
      <c r="H207" s="137" t="s">
        <v>129</v>
      </c>
      <c r="I207" s="137" t="s">
        <v>129</v>
      </c>
      <c r="J207" s="137" t="s">
        <v>129</v>
      </c>
      <c r="K207" s="137" t="s">
        <v>129</v>
      </c>
      <c r="L207" s="137" t="s">
        <v>129</v>
      </c>
      <c r="M207" s="141"/>
      <c r="N207" s="143"/>
    </row>
    <row r="208" hidden="1" outlineLevel="1">
      <c r="A208" s="219" t="s">
        <v>2474</v>
      </c>
      <c r="B208" s="344">
        <v>46049.0</v>
      </c>
      <c r="C208" s="133" t="str">
        <f t="shared" si="28"/>
        <v>Tue</v>
      </c>
      <c r="D208" s="136">
        <f t="shared" si="29"/>
        <v>1</v>
      </c>
      <c r="E208" s="137" t="s">
        <v>129</v>
      </c>
      <c r="F208" s="137" t="s">
        <v>129</v>
      </c>
      <c r="G208" s="137" t="s">
        <v>129</v>
      </c>
      <c r="H208" s="137" t="s">
        <v>129</v>
      </c>
      <c r="I208" s="137" t="s">
        <v>129</v>
      </c>
      <c r="J208" s="137" t="s">
        <v>129</v>
      </c>
      <c r="K208" s="137" t="s">
        <v>129</v>
      </c>
      <c r="L208" s="137" t="s">
        <v>129</v>
      </c>
      <c r="M208" s="141"/>
      <c r="N208" s="143"/>
    </row>
    <row r="209" hidden="1" outlineLevel="1">
      <c r="A209" s="303" t="s">
        <v>2477</v>
      </c>
      <c r="B209" s="344">
        <v>46050.0</v>
      </c>
      <c r="C209" s="133" t="str">
        <f t="shared" si="28"/>
        <v>Wed</v>
      </c>
      <c r="D209" s="136">
        <f t="shared" si="29"/>
        <v>1</v>
      </c>
      <c r="E209" s="137" t="s">
        <v>129</v>
      </c>
      <c r="F209" s="137" t="s">
        <v>129</v>
      </c>
      <c r="G209" s="137" t="s">
        <v>129</v>
      </c>
      <c r="H209" s="137" t="s">
        <v>129</v>
      </c>
      <c r="I209" s="137" t="s">
        <v>129</v>
      </c>
      <c r="J209" s="137" t="s">
        <v>129</v>
      </c>
      <c r="K209" s="137" t="s">
        <v>129</v>
      </c>
      <c r="L209" s="137" t="s">
        <v>129</v>
      </c>
      <c r="M209" s="141"/>
      <c r="N209" s="143"/>
    </row>
    <row r="210" hidden="1" outlineLevel="1">
      <c r="A210" s="303" t="s">
        <v>2480</v>
      </c>
      <c r="B210" s="344">
        <v>46050.0</v>
      </c>
      <c r="C210" s="133" t="str">
        <f t="shared" si="28"/>
        <v>Wed</v>
      </c>
      <c r="D210" s="136">
        <f t="shared" si="29"/>
        <v>1</v>
      </c>
      <c r="E210" s="137" t="s">
        <v>129</v>
      </c>
      <c r="F210" s="137" t="s">
        <v>129</v>
      </c>
      <c r="G210" s="137" t="s">
        <v>129</v>
      </c>
      <c r="H210" s="137" t="s">
        <v>129</v>
      </c>
      <c r="I210" s="137" t="s">
        <v>129</v>
      </c>
      <c r="J210" s="137" t="s">
        <v>129</v>
      </c>
      <c r="K210" s="137" t="s">
        <v>129</v>
      </c>
      <c r="L210" s="137" t="s">
        <v>129</v>
      </c>
      <c r="M210" s="141"/>
      <c r="N210" s="147"/>
    </row>
    <row r="211" hidden="1" outlineLevel="1">
      <c r="A211" s="303" t="s">
        <v>2485</v>
      </c>
      <c r="B211" s="344">
        <v>46050.0</v>
      </c>
      <c r="C211" s="133" t="str">
        <f t="shared" si="28"/>
        <v>Wed</v>
      </c>
      <c r="D211" s="136">
        <f t="shared" si="29"/>
        <v>1</v>
      </c>
      <c r="E211" s="137" t="s">
        <v>129</v>
      </c>
      <c r="F211" s="137" t="s">
        <v>129</v>
      </c>
      <c r="G211" s="137" t="s">
        <v>129</v>
      </c>
      <c r="H211" s="137" t="s">
        <v>129</v>
      </c>
      <c r="I211" s="137" t="s">
        <v>129</v>
      </c>
      <c r="J211" s="137" t="s">
        <v>129</v>
      </c>
      <c r="K211" s="137" t="s">
        <v>129</v>
      </c>
      <c r="L211" s="137" t="s">
        <v>129</v>
      </c>
      <c r="M211" s="141"/>
      <c r="N211" s="143"/>
    </row>
    <row r="212" hidden="1" outlineLevel="1">
      <c r="A212" s="433" t="s">
        <v>2488</v>
      </c>
      <c r="B212" s="344">
        <v>46052.0</v>
      </c>
      <c r="C212" s="133" t="str">
        <f t="shared" si="28"/>
        <v>Fri</v>
      </c>
      <c r="D212" s="136">
        <f t="shared" si="29"/>
        <v>1</v>
      </c>
      <c r="E212" s="137" t="s">
        <v>129</v>
      </c>
      <c r="F212" s="137" t="s">
        <v>129</v>
      </c>
      <c r="G212" s="137" t="s">
        <v>129</v>
      </c>
      <c r="H212" s="137" t="s">
        <v>129</v>
      </c>
      <c r="I212" s="137" t="s">
        <v>129</v>
      </c>
      <c r="J212" s="137" t="s">
        <v>129</v>
      </c>
      <c r="K212" s="137" t="s">
        <v>129</v>
      </c>
      <c r="L212" s="137" t="s">
        <v>129</v>
      </c>
      <c r="M212" s="141"/>
      <c r="N212" s="147"/>
    </row>
    <row r="213" hidden="1" outlineLevel="1">
      <c r="A213" s="433" t="s">
        <v>2491</v>
      </c>
      <c r="B213" s="344">
        <v>46052.0</v>
      </c>
      <c r="C213" s="133" t="str">
        <f t="shared" si="28"/>
        <v>Fri</v>
      </c>
      <c r="D213" s="136">
        <f t="shared" si="29"/>
        <v>1</v>
      </c>
      <c r="E213" s="137" t="s">
        <v>129</v>
      </c>
      <c r="F213" s="137" t="s">
        <v>129</v>
      </c>
      <c r="G213" s="137" t="s">
        <v>129</v>
      </c>
      <c r="H213" s="137" t="s">
        <v>129</v>
      </c>
      <c r="I213" s="137" t="s">
        <v>129</v>
      </c>
      <c r="J213" s="137" t="s">
        <v>129</v>
      </c>
      <c r="K213" s="137" t="s">
        <v>129</v>
      </c>
      <c r="L213" s="137" t="s">
        <v>129</v>
      </c>
      <c r="M213" s="141"/>
      <c r="N213" s="147"/>
    </row>
    <row r="214" hidden="1" outlineLevel="1">
      <c r="A214" s="433" t="s">
        <v>2500</v>
      </c>
      <c r="B214" s="344">
        <v>46052.0</v>
      </c>
      <c r="C214" s="133" t="str">
        <f t="shared" si="28"/>
        <v>Fri</v>
      </c>
      <c r="D214" s="136">
        <f t="shared" si="29"/>
        <v>1</v>
      </c>
      <c r="E214" s="137" t="s">
        <v>129</v>
      </c>
      <c r="F214" s="137" t="s">
        <v>129</v>
      </c>
      <c r="G214" s="137" t="s">
        <v>129</v>
      </c>
      <c r="H214" s="137" t="s">
        <v>129</v>
      </c>
      <c r="I214" s="137" t="s">
        <v>129</v>
      </c>
      <c r="J214" s="137" t="s">
        <v>129</v>
      </c>
      <c r="K214" s="137" t="s">
        <v>129</v>
      </c>
      <c r="L214" s="137" t="s">
        <v>129</v>
      </c>
      <c r="M214" s="141"/>
      <c r="N214" s="147"/>
    </row>
    <row r="215" hidden="1" outlineLevel="1">
      <c r="A215" s="219" t="s">
        <v>2503</v>
      </c>
      <c r="B215" s="344">
        <v>46053.0</v>
      </c>
      <c r="C215" s="186" t="str">
        <f t="shared" si="28"/>
        <v>Sat</v>
      </c>
      <c r="D215" s="136">
        <f t="shared" si="29"/>
        <v>1</v>
      </c>
      <c r="E215" s="137" t="s">
        <v>129</v>
      </c>
      <c r="F215" s="137" t="s">
        <v>129</v>
      </c>
      <c r="G215" s="137" t="s">
        <v>129</v>
      </c>
      <c r="H215" s="137" t="s">
        <v>129</v>
      </c>
      <c r="I215" s="137" t="s">
        <v>129</v>
      </c>
      <c r="J215" s="137" t="s">
        <v>129</v>
      </c>
      <c r="K215" s="137" t="s">
        <v>129</v>
      </c>
      <c r="L215" s="137" t="s">
        <v>129</v>
      </c>
      <c r="M215" s="141"/>
      <c r="N215" s="143"/>
    </row>
    <row r="216" hidden="1" outlineLevel="1">
      <c r="A216" s="219" t="s">
        <v>2509</v>
      </c>
      <c r="B216" s="344">
        <v>46053.0</v>
      </c>
      <c r="C216" s="186" t="str">
        <f t="shared" si="28"/>
        <v>Sat</v>
      </c>
      <c r="D216" s="136">
        <f t="shared" si="29"/>
        <v>1</v>
      </c>
      <c r="E216" s="137" t="s">
        <v>129</v>
      </c>
      <c r="F216" s="137" t="s">
        <v>129</v>
      </c>
      <c r="G216" s="137" t="s">
        <v>129</v>
      </c>
      <c r="H216" s="137" t="s">
        <v>129</v>
      </c>
      <c r="I216" s="137" t="s">
        <v>129</v>
      </c>
      <c r="J216" s="137" t="s">
        <v>129</v>
      </c>
      <c r="K216" s="137" t="s">
        <v>129</v>
      </c>
      <c r="L216" s="137" t="s">
        <v>129</v>
      </c>
      <c r="M216" s="141"/>
      <c r="N216" s="143"/>
    </row>
    <row r="217" ht="15.0" hidden="1" customHeight="1" outlineLevel="1">
      <c r="A217" s="219" t="s">
        <v>2511</v>
      </c>
      <c r="B217" s="344">
        <v>46053.0</v>
      </c>
      <c r="C217" s="186" t="str">
        <f t="shared" si="28"/>
        <v>Sat</v>
      </c>
      <c r="D217" s="136">
        <f t="shared" si="29"/>
        <v>1</v>
      </c>
      <c r="E217" s="137" t="s">
        <v>129</v>
      </c>
      <c r="F217" s="137" t="s">
        <v>129</v>
      </c>
      <c r="G217" s="137" t="s">
        <v>129</v>
      </c>
      <c r="H217" s="137" t="s">
        <v>129</v>
      </c>
      <c r="I217" s="137" t="s">
        <v>129</v>
      </c>
      <c r="J217" s="137" t="s">
        <v>129</v>
      </c>
      <c r="K217" s="137" t="s">
        <v>129</v>
      </c>
      <c r="L217" s="137" t="s">
        <v>129</v>
      </c>
      <c r="M217" s="141"/>
      <c r="N217" s="147"/>
    </row>
    <row r="218" hidden="1" outlineLevel="1">
      <c r="B218" s="189"/>
      <c r="C218" s="191" t="s">
        <v>194</v>
      </c>
      <c r="D218" s="204">
        <f>AVERAGE(D203:D217)</f>
        <v>1</v>
      </c>
      <c r="E218" s="200"/>
      <c r="L218" s="191" t="s">
        <v>194</v>
      </c>
      <c r="M218" s="204">
        <f>SUM(M203:M217)/75*0.1</f>
        <v>0</v>
      </c>
    </row>
    <row r="219" hidden="1" collapsed="1">
      <c r="A219" s="206" t="s">
        <v>613</v>
      </c>
      <c r="B219" s="207"/>
      <c r="C219" s="207"/>
      <c r="D219" s="208"/>
      <c r="E219" s="109"/>
      <c r="F219" s="109"/>
      <c r="G219" s="110"/>
      <c r="H219" s="110"/>
      <c r="I219" s="110"/>
      <c r="J219" s="110"/>
      <c r="K219" s="110"/>
      <c r="L219" s="110"/>
      <c r="M219" s="111"/>
      <c r="N219" s="113"/>
    </row>
    <row r="220" hidden="1" outlineLevel="1">
      <c r="A220" s="115" t="s">
        <v>98</v>
      </c>
      <c r="B220" s="115" t="s">
        <v>100</v>
      </c>
      <c r="C220" s="115" t="s">
        <v>102</v>
      </c>
      <c r="D220" s="119" t="s">
        <v>103</v>
      </c>
      <c r="E220" s="275" t="s">
        <v>269</v>
      </c>
      <c r="F220" s="275" t="s">
        <v>272</v>
      </c>
      <c r="G220" s="276" t="s">
        <v>328</v>
      </c>
      <c r="H220" s="121" t="s">
        <v>107</v>
      </c>
      <c r="I220" s="121" t="s">
        <v>108</v>
      </c>
      <c r="J220" s="276" t="s">
        <v>329</v>
      </c>
      <c r="K220" s="121" t="s">
        <v>111</v>
      </c>
      <c r="L220" s="276" t="s">
        <v>274</v>
      </c>
      <c r="M220" s="115" t="s">
        <v>114</v>
      </c>
      <c r="N220" s="119" t="s">
        <v>115</v>
      </c>
    </row>
    <row r="221" hidden="1" outlineLevel="1">
      <c r="A221" s="303" t="s">
        <v>2514</v>
      </c>
      <c r="B221" s="344">
        <v>46055.0</v>
      </c>
      <c r="C221" s="133" t="str">
        <f t="shared" ref="C221:C235" si="30">IF(B221="", "", TEXT(B221, "ddd"))</f>
        <v>Mon</v>
      </c>
      <c r="D221" s="136">
        <f t="shared" ref="D221:D235" si="31">IF(E221="Yes",0.05,0)
+IF(F221="Yes",0.1,0)
+IF(G221="Yes",0.15,0)
+IF(H221="Yes",0.15,0)
+IF(I221="Yes",0.05,0)
+IF(J221="Yes",0.05,0)
+IF(K221="Yes",0.15,0)
+IF(L221="Yes",0.3,0)
</f>
        <v>1</v>
      </c>
      <c r="E221" s="137" t="s">
        <v>129</v>
      </c>
      <c r="F221" s="137" t="s">
        <v>129</v>
      </c>
      <c r="G221" s="137" t="s">
        <v>129</v>
      </c>
      <c r="H221" s="137" t="s">
        <v>129</v>
      </c>
      <c r="I221" s="137" t="s">
        <v>129</v>
      </c>
      <c r="J221" s="137" t="s">
        <v>129</v>
      </c>
      <c r="K221" s="137" t="s">
        <v>129</v>
      </c>
      <c r="L221" s="137" t="s">
        <v>129</v>
      </c>
      <c r="M221" s="141"/>
      <c r="N221" s="143"/>
    </row>
    <row r="222" hidden="1" outlineLevel="1">
      <c r="A222" s="303" t="s">
        <v>2521</v>
      </c>
      <c r="B222" s="344">
        <v>46055.0</v>
      </c>
      <c r="C222" s="133" t="str">
        <f t="shared" si="30"/>
        <v>Mon</v>
      </c>
      <c r="D222" s="136">
        <f t="shared" si="31"/>
        <v>1</v>
      </c>
      <c r="E222" s="137" t="s">
        <v>129</v>
      </c>
      <c r="F222" s="137" t="s">
        <v>129</v>
      </c>
      <c r="G222" s="137" t="s">
        <v>129</v>
      </c>
      <c r="H222" s="137" t="s">
        <v>129</v>
      </c>
      <c r="I222" s="137" t="s">
        <v>129</v>
      </c>
      <c r="J222" s="137" t="s">
        <v>129</v>
      </c>
      <c r="K222" s="137" t="s">
        <v>129</v>
      </c>
      <c r="L222" s="137" t="s">
        <v>129</v>
      </c>
      <c r="M222" s="141"/>
      <c r="N222" s="147"/>
    </row>
    <row r="223" hidden="1" outlineLevel="1">
      <c r="A223" s="303" t="s">
        <v>2524</v>
      </c>
      <c r="B223" s="344">
        <v>46055.0</v>
      </c>
      <c r="C223" s="133" t="str">
        <f t="shared" si="30"/>
        <v>Mon</v>
      </c>
      <c r="D223" s="136">
        <f t="shared" si="31"/>
        <v>1</v>
      </c>
      <c r="E223" s="137" t="s">
        <v>129</v>
      </c>
      <c r="F223" s="137" t="s">
        <v>129</v>
      </c>
      <c r="G223" s="137" t="s">
        <v>129</v>
      </c>
      <c r="H223" s="137" t="s">
        <v>129</v>
      </c>
      <c r="I223" s="137" t="s">
        <v>129</v>
      </c>
      <c r="J223" s="137" t="s">
        <v>129</v>
      </c>
      <c r="K223" s="137" t="s">
        <v>129</v>
      </c>
      <c r="L223" s="137" t="s">
        <v>129</v>
      </c>
      <c r="M223" s="141"/>
      <c r="N223" s="147"/>
    </row>
    <row r="224" hidden="1" outlineLevel="1">
      <c r="A224" s="219" t="s">
        <v>2529</v>
      </c>
      <c r="B224" s="344">
        <v>46056.0</v>
      </c>
      <c r="C224" s="133" t="str">
        <f t="shared" si="30"/>
        <v>Tue</v>
      </c>
      <c r="D224" s="136">
        <f t="shared" si="31"/>
        <v>1</v>
      </c>
      <c r="E224" s="137" t="s">
        <v>129</v>
      </c>
      <c r="F224" s="137" t="s">
        <v>129</v>
      </c>
      <c r="G224" s="137" t="s">
        <v>129</v>
      </c>
      <c r="H224" s="137" t="s">
        <v>129</v>
      </c>
      <c r="I224" s="137" t="s">
        <v>129</v>
      </c>
      <c r="J224" s="137" t="s">
        <v>129</v>
      </c>
      <c r="K224" s="137" t="s">
        <v>129</v>
      </c>
      <c r="L224" s="137" t="s">
        <v>129</v>
      </c>
      <c r="M224" s="141"/>
      <c r="N224" s="143"/>
    </row>
    <row r="225" hidden="1" outlineLevel="1">
      <c r="A225" s="219" t="s">
        <v>2533</v>
      </c>
      <c r="B225" s="344">
        <v>46056.0</v>
      </c>
      <c r="C225" s="133" t="str">
        <f t="shared" si="30"/>
        <v>Tue</v>
      </c>
      <c r="D225" s="136">
        <f t="shared" si="31"/>
        <v>1</v>
      </c>
      <c r="E225" s="137" t="s">
        <v>129</v>
      </c>
      <c r="F225" s="137" t="s">
        <v>129</v>
      </c>
      <c r="G225" s="137" t="s">
        <v>129</v>
      </c>
      <c r="H225" s="137" t="s">
        <v>129</v>
      </c>
      <c r="I225" s="137" t="s">
        <v>129</v>
      </c>
      <c r="J225" s="137" t="s">
        <v>129</v>
      </c>
      <c r="K225" s="137" t="s">
        <v>129</v>
      </c>
      <c r="L225" s="137" t="s">
        <v>129</v>
      </c>
      <c r="M225" s="141"/>
      <c r="N225" s="143"/>
    </row>
    <row r="226" hidden="1" outlineLevel="1">
      <c r="A226" s="219" t="s">
        <v>2539</v>
      </c>
      <c r="B226" s="344">
        <v>46056.0</v>
      </c>
      <c r="C226" s="133" t="str">
        <f t="shared" si="30"/>
        <v>Tue</v>
      </c>
      <c r="D226" s="136">
        <f t="shared" si="31"/>
        <v>1</v>
      </c>
      <c r="E226" s="137" t="s">
        <v>129</v>
      </c>
      <c r="F226" s="137" t="s">
        <v>129</v>
      </c>
      <c r="G226" s="137" t="s">
        <v>129</v>
      </c>
      <c r="H226" s="137" t="s">
        <v>129</v>
      </c>
      <c r="I226" s="137" t="s">
        <v>129</v>
      </c>
      <c r="J226" s="137" t="s">
        <v>129</v>
      </c>
      <c r="K226" s="137" t="s">
        <v>129</v>
      </c>
      <c r="L226" s="137" t="s">
        <v>129</v>
      </c>
      <c r="M226" s="141"/>
      <c r="N226" s="143"/>
    </row>
    <row r="227" hidden="1" outlineLevel="1">
      <c r="A227" s="303" t="s">
        <v>2544</v>
      </c>
      <c r="B227" s="344">
        <v>46057.0</v>
      </c>
      <c r="C227" s="133" t="str">
        <f t="shared" si="30"/>
        <v>Wed</v>
      </c>
      <c r="D227" s="136">
        <f t="shared" si="31"/>
        <v>1</v>
      </c>
      <c r="E227" s="137" t="s">
        <v>129</v>
      </c>
      <c r="F227" s="137" t="s">
        <v>129</v>
      </c>
      <c r="G227" s="137" t="s">
        <v>129</v>
      </c>
      <c r="H227" s="137" t="s">
        <v>129</v>
      </c>
      <c r="I227" s="137" t="s">
        <v>129</v>
      </c>
      <c r="J227" s="137" t="s">
        <v>129</v>
      </c>
      <c r="K227" s="137" t="s">
        <v>129</v>
      </c>
      <c r="L227" s="137" t="s">
        <v>129</v>
      </c>
      <c r="M227" s="141"/>
      <c r="N227" s="143"/>
    </row>
    <row r="228" hidden="1" outlineLevel="1">
      <c r="A228" s="303" t="s">
        <v>2548</v>
      </c>
      <c r="B228" s="344">
        <v>46057.0</v>
      </c>
      <c r="C228" s="133" t="str">
        <f t="shared" si="30"/>
        <v>Wed</v>
      </c>
      <c r="D228" s="136">
        <f t="shared" si="31"/>
        <v>1</v>
      </c>
      <c r="E228" s="137" t="s">
        <v>129</v>
      </c>
      <c r="F228" s="137" t="s">
        <v>129</v>
      </c>
      <c r="G228" s="137" t="s">
        <v>129</v>
      </c>
      <c r="H228" s="137" t="s">
        <v>129</v>
      </c>
      <c r="I228" s="137" t="s">
        <v>129</v>
      </c>
      <c r="J228" s="137" t="s">
        <v>129</v>
      </c>
      <c r="K228" s="137" t="s">
        <v>129</v>
      </c>
      <c r="L228" s="137" t="s">
        <v>129</v>
      </c>
      <c r="M228" s="141"/>
      <c r="N228" s="147"/>
    </row>
    <row r="229" hidden="1" outlineLevel="1">
      <c r="A229" s="303" t="s">
        <v>2550</v>
      </c>
      <c r="B229" s="344">
        <v>46057.0</v>
      </c>
      <c r="C229" s="133" t="str">
        <f t="shared" si="30"/>
        <v>Wed</v>
      </c>
      <c r="D229" s="136">
        <f t="shared" si="31"/>
        <v>1</v>
      </c>
      <c r="E229" s="137" t="s">
        <v>129</v>
      </c>
      <c r="F229" s="137" t="s">
        <v>129</v>
      </c>
      <c r="G229" s="137" t="s">
        <v>129</v>
      </c>
      <c r="H229" s="137" t="s">
        <v>129</v>
      </c>
      <c r="I229" s="137" t="s">
        <v>129</v>
      </c>
      <c r="J229" s="137" t="s">
        <v>129</v>
      </c>
      <c r="K229" s="137" t="s">
        <v>129</v>
      </c>
      <c r="L229" s="137" t="s">
        <v>129</v>
      </c>
      <c r="M229" s="141"/>
      <c r="N229" s="143"/>
    </row>
    <row r="230" hidden="1" outlineLevel="1">
      <c r="A230" s="255"/>
      <c r="B230" s="344"/>
      <c r="C230" s="133" t="str">
        <f t="shared" si="30"/>
        <v/>
      </c>
      <c r="D230" s="136">
        <f t="shared" si="31"/>
        <v>1</v>
      </c>
      <c r="E230" s="137" t="s">
        <v>129</v>
      </c>
      <c r="F230" s="137" t="s">
        <v>129</v>
      </c>
      <c r="G230" s="137" t="s">
        <v>129</v>
      </c>
      <c r="H230" s="137" t="s">
        <v>129</v>
      </c>
      <c r="I230" s="137" t="s">
        <v>129</v>
      </c>
      <c r="J230" s="137" t="s">
        <v>129</v>
      </c>
      <c r="K230" s="137" t="s">
        <v>129</v>
      </c>
      <c r="L230" s="137" t="s">
        <v>129</v>
      </c>
      <c r="M230" s="141"/>
      <c r="N230" s="147"/>
    </row>
    <row r="231" hidden="1" outlineLevel="1">
      <c r="A231" s="255"/>
      <c r="B231" s="344"/>
      <c r="C231" s="133" t="str">
        <f t="shared" si="30"/>
        <v/>
      </c>
      <c r="D231" s="136">
        <f t="shared" si="31"/>
        <v>1</v>
      </c>
      <c r="E231" s="137" t="s">
        <v>129</v>
      </c>
      <c r="F231" s="137" t="s">
        <v>129</v>
      </c>
      <c r="G231" s="137" t="s">
        <v>129</v>
      </c>
      <c r="H231" s="137" t="s">
        <v>129</v>
      </c>
      <c r="I231" s="137" t="s">
        <v>129</v>
      </c>
      <c r="J231" s="137" t="s">
        <v>129</v>
      </c>
      <c r="K231" s="137" t="s">
        <v>129</v>
      </c>
      <c r="L231" s="137" t="s">
        <v>129</v>
      </c>
      <c r="M231" s="141"/>
      <c r="N231" s="147"/>
    </row>
    <row r="232" hidden="1" outlineLevel="1">
      <c r="A232" s="255"/>
      <c r="B232" s="344"/>
      <c r="C232" s="133" t="str">
        <f t="shared" si="30"/>
        <v/>
      </c>
      <c r="D232" s="136">
        <f t="shared" si="31"/>
        <v>1</v>
      </c>
      <c r="E232" s="137" t="s">
        <v>129</v>
      </c>
      <c r="F232" s="137" t="s">
        <v>129</v>
      </c>
      <c r="G232" s="137" t="s">
        <v>129</v>
      </c>
      <c r="H232" s="137" t="s">
        <v>129</v>
      </c>
      <c r="I232" s="137" t="s">
        <v>129</v>
      </c>
      <c r="J232" s="137" t="s">
        <v>129</v>
      </c>
      <c r="K232" s="137" t="s">
        <v>129</v>
      </c>
      <c r="L232" s="137" t="s">
        <v>129</v>
      </c>
      <c r="M232" s="141"/>
      <c r="N232" s="147"/>
    </row>
    <row r="233" hidden="1" outlineLevel="1">
      <c r="A233" s="255"/>
      <c r="B233" s="344"/>
      <c r="C233" s="133" t="str">
        <f t="shared" si="30"/>
        <v/>
      </c>
      <c r="D233" s="136">
        <f t="shared" si="31"/>
        <v>1</v>
      </c>
      <c r="E233" s="137" t="s">
        <v>129</v>
      </c>
      <c r="F233" s="137" t="s">
        <v>129</v>
      </c>
      <c r="G233" s="137" t="s">
        <v>129</v>
      </c>
      <c r="H233" s="137" t="s">
        <v>129</v>
      </c>
      <c r="I233" s="137" t="s">
        <v>129</v>
      </c>
      <c r="J233" s="137" t="s">
        <v>129</v>
      </c>
      <c r="K233" s="137" t="s">
        <v>129</v>
      </c>
      <c r="L233" s="137" t="s">
        <v>129</v>
      </c>
      <c r="M233" s="141"/>
      <c r="N233" s="143"/>
    </row>
    <row r="234" hidden="1" outlineLevel="1">
      <c r="A234" s="255"/>
      <c r="B234" s="344"/>
      <c r="C234" s="133" t="str">
        <f t="shared" si="30"/>
        <v/>
      </c>
      <c r="D234" s="136">
        <f t="shared" si="31"/>
        <v>1</v>
      </c>
      <c r="E234" s="137" t="s">
        <v>129</v>
      </c>
      <c r="F234" s="137" t="s">
        <v>129</v>
      </c>
      <c r="G234" s="137" t="s">
        <v>129</v>
      </c>
      <c r="H234" s="137" t="s">
        <v>129</v>
      </c>
      <c r="I234" s="137" t="s">
        <v>129</v>
      </c>
      <c r="J234" s="137" t="s">
        <v>129</v>
      </c>
      <c r="K234" s="137" t="s">
        <v>129</v>
      </c>
      <c r="L234" s="137" t="s">
        <v>129</v>
      </c>
      <c r="M234" s="141"/>
      <c r="N234" s="143"/>
    </row>
    <row r="235" ht="15.0" hidden="1" customHeight="1" outlineLevel="1">
      <c r="A235" s="219"/>
      <c r="B235" s="344"/>
      <c r="C235" s="133" t="str">
        <f t="shared" si="30"/>
        <v/>
      </c>
      <c r="D235" s="136">
        <f t="shared" si="31"/>
        <v>1</v>
      </c>
      <c r="E235" s="137" t="s">
        <v>129</v>
      </c>
      <c r="F235" s="137" t="s">
        <v>129</v>
      </c>
      <c r="G235" s="137" t="s">
        <v>129</v>
      </c>
      <c r="H235" s="137" t="s">
        <v>129</v>
      </c>
      <c r="I235" s="137" t="s">
        <v>129</v>
      </c>
      <c r="J235" s="137" t="s">
        <v>129</v>
      </c>
      <c r="K235" s="137" t="s">
        <v>129</v>
      </c>
      <c r="L235" s="137" t="s">
        <v>129</v>
      </c>
      <c r="M235" s="141"/>
      <c r="N235" s="147"/>
    </row>
    <row r="236" hidden="1" outlineLevel="1">
      <c r="B236" s="189"/>
      <c r="C236" s="191" t="s">
        <v>194</v>
      </c>
      <c r="D236" s="204">
        <f>AVERAGE(D221:D235)</f>
        <v>1</v>
      </c>
      <c r="E236" s="200"/>
      <c r="L236" s="191" t="s">
        <v>194</v>
      </c>
      <c r="M236" s="204">
        <f>SUM(M221:M235)/75*0.1</f>
        <v>0</v>
      </c>
    </row>
    <row r="237" hidden="1" collapsed="1">
      <c r="A237" s="206" t="s">
        <v>638</v>
      </c>
      <c r="B237" s="207"/>
      <c r="C237" s="207"/>
      <c r="D237" s="208"/>
      <c r="E237" s="109"/>
      <c r="F237" s="109"/>
      <c r="G237" s="110"/>
      <c r="H237" s="110"/>
      <c r="I237" s="110"/>
      <c r="J237" s="110"/>
      <c r="K237" s="110"/>
      <c r="L237" s="110"/>
      <c r="M237" s="111"/>
      <c r="N237" s="113"/>
    </row>
    <row r="238" hidden="1" outlineLevel="1">
      <c r="A238" s="115" t="s">
        <v>98</v>
      </c>
      <c r="B238" s="115" t="s">
        <v>100</v>
      </c>
      <c r="C238" s="115" t="s">
        <v>102</v>
      </c>
      <c r="D238" s="119" t="s">
        <v>103</v>
      </c>
      <c r="E238" s="275" t="s">
        <v>269</v>
      </c>
      <c r="F238" s="275" t="s">
        <v>272</v>
      </c>
      <c r="G238" s="276" t="s">
        <v>328</v>
      </c>
      <c r="H238" s="121" t="s">
        <v>107</v>
      </c>
      <c r="I238" s="121" t="s">
        <v>108</v>
      </c>
      <c r="J238" s="276" t="s">
        <v>329</v>
      </c>
      <c r="K238" s="121" t="s">
        <v>111</v>
      </c>
      <c r="L238" s="276" t="s">
        <v>274</v>
      </c>
      <c r="M238" s="115" t="s">
        <v>114</v>
      </c>
      <c r="N238" s="119" t="s">
        <v>115</v>
      </c>
    </row>
    <row r="239" hidden="1" outlineLevel="1">
      <c r="A239" s="367" t="s">
        <v>2574</v>
      </c>
      <c r="B239" s="344">
        <v>46062.0</v>
      </c>
      <c r="C239" s="133" t="str">
        <f t="shared" ref="C239:C253" si="32">IF(B239="", "", TEXT(B239, "ddd"))</f>
        <v>Mon</v>
      </c>
      <c r="D239" s="136">
        <f t="shared" ref="D239:D253" si="33">IF(E239="Yes",0.05,0)
+IF(F239="Yes",0.1,0)
+IF(G239="Yes",0.15,0)
+IF(H239="Yes",0.15,0)
+IF(I239="Yes",0.05,0)
+IF(J239="Yes",0.05,0)
+IF(K239="Yes",0.15,0)
+IF(L239="Yes",0.3,0)
</f>
        <v>1</v>
      </c>
      <c r="E239" s="137" t="s">
        <v>129</v>
      </c>
      <c r="F239" s="137" t="s">
        <v>129</v>
      </c>
      <c r="G239" s="137" t="s">
        <v>129</v>
      </c>
      <c r="H239" s="137" t="s">
        <v>129</v>
      </c>
      <c r="I239" s="137" t="s">
        <v>129</v>
      </c>
      <c r="J239" s="137" t="s">
        <v>129</v>
      </c>
      <c r="K239" s="137" t="s">
        <v>129</v>
      </c>
      <c r="L239" s="137" t="s">
        <v>129</v>
      </c>
      <c r="M239" s="141"/>
      <c r="N239" s="143"/>
    </row>
    <row r="240" hidden="1" outlineLevel="1">
      <c r="A240" s="367" t="s">
        <v>2580</v>
      </c>
      <c r="B240" s="344">
        <v>46062.0</v>
      </c>
      <c r="C240" s="133" t="str">
        <f t="shared" si="32"/>
        <v>Mon</v>
      </c>
      <c r="D240" s="136">
        <f t="shared" si="33"/>
        <v>1</v>
      </c>
      <c r="E240" s="137" t="s">
        <v>129</v>
      </c>
      <c r="F240" s="137" t="s">
        <v>129</v>
      </c>
      <c r="G240" s="137" t="s">
        <v>129</v>
      </c>
      <c r="H240" s="137" t="s">
        <v>129</v>
      </c>
      <c r="I240" s="137" t="s">
        <v>129</v>
      </c>
      <c r="J240" s="137" t="s">
        <v>129</v>
      </c>
      <c r="K240" s="137" t="s">
        <v>129</v>
      </c>
      <c r="L240" s="137" t="s">
        <v>129</v>
      </c>
      <c r="M240" s="141"/>
      <c r="N240" s="147"/>
    </row>
    <row r="241" hidden="1" outlineLevel="1">
      <c r="A241" s="438" t="s">
        <v>2581</v>
      </c>
      <c r="B241" s="344">
        <v>46062.0</v>
      </c>
      <c r="C241" s="133" t="str">
        <f t="shared" si="32"/>
        <v>Mon</v>
      </c>
      <c r="D241" s="136">
        <f t="shared" si="33"/>
        <v>1</v>
      </c>
      <c r="E241" s="137" t="s">
        <v>129</v>
      </c>
      <c r="F241" s="137" t="s">
        <v>129</v>
      </c>
      <c r="G241" s="137" t="s">
        <v>129</v>
      </c>
      <c r="H241" s="137" t="s">
        <v>129</v>
      </c>
      <c r="I241" s="137" t="s">
        <v>129</v>
      </c>
      <c r="J241" s="137" t="s">
        <v>129</v>
      </c>
      <c r="K241" s="137" t="s">
        <v>129</v>
      </c>
      <c r="L241" s="137" t="s">
        <v>129</v>
      </c>
      <c r="M241" s="141"/>
      <c r="N241" s="147"/>
    </row>
    <row r="242" hidden="1" outlineLevel="1">
      <c r="A242" s="255" t="s">
        <v>2584</v>
      </c>
      <c r="B242" s="344">
        <v>46063.0</v>
      </c>
      <c r="C242" s="133" t="str">
        <f t="shared" si="32"/>
        <v>Tue</v>
      </c>
      <c r="D242" s="136">
        <f t="shared" si="33"/>
        <v>1</v>
      </c>
      <c r="E242" s="137" t="s">
        <v>129</v>
      </c>
      <c r="F242" s="137" t="s">
        <v>129</v>
      </c>
      <c r="G242" s="137" t="s">
        <v>129</v>
      </c>
      <c r="H242" s="137" t="s">
        <v>129</v>
      </c>
      <c r="I242" s="137" t="s">
        <v>129</v>
      </c>
      <c r="J242" s="137" t="s">
        <v>129</v>
      </c>
      <c r="K242" s="137" t="s">
        <v>129</v>
      </c>
      <c r="L242" s="137" t="s">
        <v>129</v>
      </c>
      <c r="M242" s="141"/>
      <c r="N242" s="143"/>
    </row>
    <row r="243" hidden="1" outlineLevel="1">
      <c r="A243" s="480" t="s">
        <v>2591</v>
      </c>
      <c r="B243" s="344">
        <v>46063.0</v>
      </c>
      <c r="C243" s="133" t="str">
        <f t="shared" si="32"/>
        <v>Tue</v>
      </c>
      <c r="D243" s="136">
        <f t="shared" si="33"/>
        <v>1</v>
      </c>
      <c r="E243" s="137" t="s">
        <v>129</v>
      </c>
      <c r="F243" s="137" t="s">
        <v>129</v>
      </c>
      <c r="G243" s="137" t="s">
        <v>129</v>
      </c>
      <c r="H243" s="137" t="s">
        <v>129</v>
      </c>
      <c r="I243" s="137" t="s">
        <v>129</v>
      </c>
      <c r="J243" s="137" t="s">
        <v>129</v>
      </c>
      <c r="K243" s="137" t="s">
        <v>129</v>
      </c>
      <c r="L243" s="137" t="s">
        <v>129</v>
      </c>
      <c r="M243" s="141"/>
      <c r="N243" s="143"/>
    </row>
    <row r="244" hidden="1" outlineLevel="1">
      <c r="A244" s="255" t="s">
        <v>2596</v>
      </c>
      <c r="B244" s="344">
        <v>46063.0</v>
      </c>
      <c r="C244" s="133" t="str">
        <f t="shared" si="32"/>
        <v>Tue</v>
      </c>
      <c r="D244" s="136">
        <f t="shared" si="33"/>
        <v>1</v>
      </c>
      <c r="E244" s="137" t="s">
        <v>129</v>
      </c>
      <c r="F244" s="137" t="s">
        <v>129</v>
      </c>
      <c r="G244" s="137" t="s">
        <v>129</v>
      </c>
      <c r="H244" s="137" t="s">
        <v>129</v>
      </c>
      <c r="I244" s="137" t="s">
        <v>129</v>
      </c>
      <c r="J244" s="137" t="s">
        <v>129</v>
      </c>
      <c r="K244" s="137" t="s">
        <v>129</v>
      </c>
      <c r="L244" s="137" t="s">
        <v>129</v>
      </c>
      <c r="M244" s="141"/>
      <c r="N244" s="143"/>
    </row>
    <row r="245" hidden="1" outlineLevel="1">
      <c r="A245" s="255" t="s">
        <v>2598</v>
      </c>
      <c r="B245" s="344">
        <v>46064.0</v>
      </c>
      <c r="C245" s="133" t="str">
        <f t="shared" si="32"/>
        <v>Wed</v>
      </c>
      <c r="D245" s="136">
        <f t="shared" si="33"/>
        <v>1</v>
      </c>
      <c r="E245" s="137" t="s">
        <v>129</v>
      </c>
      <c r="F245" s="137" t="s">
        <v>129</v>
      </c>
      <c r="G245" s="137" t="s">
        <v>129</v>
      </c>
      <c r="H245" s="137" t="s">
        <v>129</v>
      </c>
      <c r="I245" s="137" t="s">
        <v>129</v>
      </c>
      <c r="J245" s="137" t="s">
        <v>129</v>
      </c>
      <c r="K245" s="137" t="s">
        <v>129</v>
      </c>
      <c r="L245" s="137" t="s">
        <v>129</v>
      </c>
      <c r="M245" s="141"/>
      <c r="N245" s="143"/>
    </row>
    <row r="246" hidden="1" outlineLevel="1">
      <c r="A246" s="219" t="s">
        <v>2602</v>
      </c>
      <c r="B246" s="344">
        <v>46064.0</v>
      </c>
      <c r="C246" s="133" t="str">
        <f t="shared" si="32"/>
        <v>Wed</v>
      </c>
      <c r="D246" s="136">
        <f t="shared" si="33"/>
        <v>1</v>
      </c>
      <c r="E246" s="137" t="s">
        <v>129</v>
      </c>
      <c r="F246" s="137" t="s">
        <v>129</v>
      </c>
      <c r="G246" s="137" t="s">
        <v>129</v>
      </c>
      <c r="H246" s="137" t="s">
        <v>129</v>
      </c>
      <c r="I246" s="137" t="s">
        <v>129</v>
      </c>
      <c r="J246" s="137" t="s">
        <v>129</v>
      </c>
      <c r="K246" s="137" t="s">
        <v>129</v>
      </c>
      <c r="L246" s="137" t="s">
        <v>129</v>
      </c>
      <c r="M246" s="141"/>
      <c r="N246" s="147"/>
    </row>
    <row r="247" hidden="1" outlineLevel="1">
      <c r="A247" s="255" t="s">
        <v>2602</v>
      </c>
      <c r="B247" s="344">
        <v>46064.0</v>
      </c>
      <c r="C247" s="133" t="str">
        <f t="shared" si="32"/>
        <v>Wed</v>
      </c>
      <c r="D247" s="136">
        <f t="shared" si="33"/>
        <v>1</v>
      </c>
      <c r="E247" s="137" t="s">
        <v>129</v>
      </c>
      <c r="F247" s="137" t="s">
        <v>129</v>
      </c>
      <c r="G247" s="137" t="s">
        <v>129</v>
      </c>
      <c r="H247" s="137" t="s">
        <v>129</v>
      </c>
      <c r="I247" s="137" t="s">
        <v>129</v>
      </c>
      <c r="J247" s="137" t="s">
        <v>129</v>
      </c>
      <c r="K247" s="137" t="s">
        <v>129</v>
      </c>
      <c r="L247" s="137" t="s">
        <v>129</v>
      </c>
      <c r="M247" s="141"/>
      <c r="N247" s="143"/>
    </row>
    <row r="248" hidden="1" outlineLevel="1">
      <c r="A248" s="255" t="s">
        <v>2608</v>
      </c>
      <c r="B248" s="344">
        <v>46066.0</v>
      </c>
      <c r="C248" s="133" t="str">
        <f t="shared" si="32"/>
        <v>Fri</v>
      </c>
      <c r="D248" s="136">
        <f t="shared" si="33"/>
        <v>1</v>
      </c>
      <c r="E248" s="137" t="s">
        <v>129</v>
      </c>
      <c r="F248" s="137" t="s">
        <v>129</v>
      </c>
      <c r="G248" s="137" t="s">
        <v>129</v>
      </c>
      <c r="H248" s="137" t="s">
        <v>129</v>
      </c>
      <c r="I248" s="137" t="s">
        <v>129</v>
      </c>
      <c r="J248" s="137" t="s">
        <v>129</v>
      </c>
      <c r="K248" s="137" t="s">
        <v>129</v>
      </c>
      <c r="L248" s="137" t="s">
        <v>129</v>
      </c>
      <c r="M248" s="141"/>
      <c r="N248" s="147"/>
    </row>
    <row r="249" hidden="1" outlineLevel="1">
      <c r="A249" s="255" t="s">
        <v>2612</v>
      </c>
      <c r="B249" s="344">
        <v>46066.0</v>
      </c>
      <c r="C249" s="133" t="str">
        <f t="shared" si="32"/>
        <v>Fri</v>
      </c>
      <c r="D249" s="136">
        <f t="shared" si="33"/>
        <v>1</v>
      </c>
      <c r="E249" s="137" t="s">
        <v>129</v>
      </c>
      <c r="F249" s="137" t="s">
        <v>129</v>
      </c>
      <c r="G249" s="137" t="s">
        <v>129</v>
      </c>
      <c r="H249" s="137" t="s">
        <v>129</v>
      </c>
      <c r="I249" s="137" t="s">
        <v>129</v>
      </c>
      <c r="J249" s="137" t="s">
        <v>129</v>
      </c>
      <c r="K249" s="137" t="s">
        <v>129</v>
      </c>
      <c r="L249" s="137" t="s">
        <v>129</v>
      </c>
      <c r="M249" s="141"/>
      <c r="N249" s="147"/>
    </row>
    <row r="250" hidden="1" outlineLevel="1">
      <c r="A250" s="255" t="s">
        <v>2616</v>
      </c>
      <c r="B250" s="344">
        <v>46066.0</v>
      </c>
      <c r="C250" s="133" t="str">
        <f t="shared" si="32"/>
        <v>Fri</v>
      </c>
      <c r="D250" s="136">
        <f t="shared" si="33"/>
        <v>1</v>
      </c>
      <c r="E250" s="137" t="s">
        <v>129</v>
      </c>
      <c r="F250" s="137" t="s">
        <v>129</v>
      </c>
      <c r="G250" s="137" t="s">
        <v>129</v>
      </c>
      <c r="H250" s="137" t="s">
        <v>129</v>
      </c>
      <c r="I250" s="137" t="s">
        <v>129</v>
      </c>
      <c r="J250" s="137" t="s">
        <v>129</v>
      </c>
      <c r="K250" s="137" t="s">
        <v>129</v>
      </c>
      <c r="L250" s="137" t="s">
        <v>129</v>
      </c>
      <c r="M250" s="141"/>
      <c r="N250" s="147"/>
    </row>
    <row r="251" hidden="1" outlineLevel="1">
      <c r="A251" s="255" t="s">
        <v>2621</v>
      </c>
      <c r="B251" s="344">
        <v>46067.0</v>
      </c>
      <c r="C251" s="133" t="str">
        <f t="shared" si="32"/>
        <v>Sat</v>
      </c>
      <c r="D251" s="136">
        <f t="shared" si="33"/>
        <v>1</v>
      </c>
      <c r="E251" s="137" t="s">
        <v>129</v>
      </c>
      <c r="F251" s="137" t="s">
        <v>129</v>
      </c>
      <c r="G251" s="137" t="s">
        <v>129</v>
      </c>
      <c r="H251" s="137" t="s">
        <v>129</v>
      </c>
      <c r="I251" s="137" t="s">
        <v>129</v>
      </c>
      <c r="J251" s="137" t="s">
        <v>129</v>
      </c>
      <c r="K251" s="137" t="s">
        <v>129</v>
      </c>
      <c r="L251" s="137" t="s">
        <v>129</v>
      </c>
      <c r="M251" s="141"/>
      <c r="N251" s="143"/>
    </row>
    <row r="252" hidden="1" outlineLevel="1">
      <c r="A252" s="481" t="s">
        <v>2626</v>
      </c>
      <c r="B252" s="344">
        <v>46067.0</v>
      </c>
      <c r="C252" s="133" t="str">
        <f t="shared" si="32"/>
        <v>Sat</v>
      </c>
      <c r="D252" s="136">
        <f t="shared" si="33"/>
        <v>1</v>
      </c>
      <c r="E252" s="137" t="s">
        <v>129</v>
      </c>
      <c r="F252" s="137" t="s">
        <v>129</v>
      </c>
      <c r="G252" s="137" t="s">
        <v>129</v>
      </c>
      <c r="H252" s="137" t="s">
        <v>129</v>
      </c>
      <c r="I252" s="137" t="s">
        <v>129</v>
      </c>
      <c r="J252" s="137" t="s">
        <v>129</v>
      </c>
      <c r="K252" s="137" t="s">
        <v>129</v>
      </c>
      <c r="L252" s="137" t="s">
        <v>129</v>
      </c>
      <c r="M252" s="141"/>
      <c r="N252" s="143"/>
    </row>
    <row r="253" ht="15.0" hidden="1" customHeight="1" outlineLevel="1">
      <c r="A253" s="255" t="s">
        <v>2630</v>
      </c>
      <c r="B253" s="344">
        <v>46067.0</v>
      </c>
      <c r="C253" s="133" t="str">
        <f t="shared" si="32"/>
        <v>Sat</v>
      </c>
      <c r="D253" s="136">
        <f t="shared" si="33"/>
        <v>1</v>
      </c>
      <c r="E253" s="137" t="s">
        <v>129</v>
      </c>
      <c r="F253" s="137" t="s">
        <v>129</v>
      </c>
      <c r="G253" s="137" t="s">
        <v>129</v>
      </c>
      <c r="H253" s="137" t="s">
        <v>129</v>
      </c>
      <c r="I253" s="137" t="s">
        <v>129</v>
      </c>
      <c r="J253" s="137" t="s">
        <v>129</v>
      </c>
      <c r="K253" s="137" t="s">
        <v>129</v>
      </c>
      <c r="L253" s="137" t="s">
        <v>129</v>
      </c>
      <c r="M253" s="141"/>
      <c r="N253" s="147"/>
    </row>
    <row r="254" hidden="1" outlineLevel="1">
      <c r="B254" s="189"/>
      <c r="C254" s="191" t="s">
        <v>194</v>
      </c>
      <c r="D254" s="204">
        <f>AVERAGE(D239:D253)</f>
        <v>1</v>
      </c>
      <c r="E254" s="200"/>
      <c r="L254" s="191" t="s">
        <v>194</v>
      </c>
      <c r="M254" s="204">
        <f>SUM(M239:M253)/75*0.1</f>
        <v>0</v>
      </c>
    </row>
    <row r="255" hidden="1" collapsed="1">
      <c r="A255" s="206" t="s">
        <v>670</v>
      </c>
      <c r="B255" s="207"/>
      <c r="C255" s="207"/>
      <c r="D255" s="208"/>
      <c r="E255" s="109"/>
      <c r="F255" s="109"/>
      <c r="G255" s="110"/>
      <c r="H255" s="110"/>
      <c r="I255" s="110"/>
      <c r="J255" s="110"/>
      <c r="K255" s="110"/>
      <c r="L255" s="110"/>
      <c r="M255" s="111"/>
      <c r="N255" s="113"/>
    </row>
    <row r="256" hidden="1" outlineLevel="1">
      <c r="A256" s="373" t="s">
        <v>98</v>
      </c>
      <c r="B256" s="115" t="s">
        <v>100</v>
      </c>
      <c r="C256" s="115" t="s">
        <v>102</v>
      </c>
      <c r="D256" s="119" t="s">
        <v>103</v>
      </c>
      <c r="E256" s="275" t="s">
        <v>269</v>
      </c>
      <c r="F256" s="275" t="s">
        <v>272</v>
      </c>
      <c r="G256" s="276" t="s">
        <v>328</v>
      </c>
      <c r="H256" s="121" t="s">
        <v>107</v>
      </c>
      <c r="I256" s="121" t="s">
        <v>108</v>
      </c>
      <c r="J256" s="276" t="s">
        <v>329</v>
      </c>
      <c r="K256" s="121" t="s">
        <v>111</v>
      </c>
      <c r="L256" s="276" t="s">
        <v>274</v>
      </c>
      <c r="M256" s="115" t="s">
        <v>114</v>
      </c>
      <c r="N256" s="119" t="s">
        <v>115</v>
      </c>
    </row>
    <row r="257" hidden="1" outlineLevel="1">
      <c r="A257" s="303" t="s">
        <v>2640</v>
      </c>
      <c r="B257" s="344">
        <v>46069.0</v>
      </c>
      <c r="C257" s="133" t="str">
        <f t="shared" ref="C257:C271" si="34">IF(B257="", "", TEXT(B257, "ddd"))</f>
        <v>Mon</v>
      </c>
      <c r="D257" s="136">
        <f t="shared" ref="D257:D271" si="35">IF(E257="Yes",0.05,0)
+IF(F257="Yes",0.1,0)
+IF(G257="Yes",0.15,0)
+IF(H257="Yes",0.15,0)
+IF(I257="Yes",0.05,0)
+IF(J257="Yes",0.05,0)
+IF(K257="Yes",0.15,0)
+IF(L257="Yes",0.3,0)
</f>
        <v>1</v>
      </c>
      <c r="E257" s="137" t="s">
        <v>129</v>
      </c>
      <c r="F257" s="137" t="s">
        <v>129</v>
      </c>
      <c r="G257" s="137" t="s">
        <v>129</v>
      </c>
      <c r="H257" s="137" t="s">
        <v>129</v>
      </c>
      <c r="I257" s="137" t="s">
        <v>129</v>
      </c>
      <c r="J257" s="137" t="s">
        <v>129</v>
      </c>
      <c r="K257" s="137" t="s">
        <v>129</v>
      </c>
      <c r="L257" s="137" t="s">
        <v>129</v>
      </c>
      <c r="M257" s="141"/>
      <c r="N257" s="143"/>
    </row>
    <row r="258" hidden="1" outlineLevel="1">
      <c r="A258" s="255" t="s">
        <v>2645</v>
      </c>
      <c r="B258" s="344">
        <v>46069.0</v>
      </c>
      <c r="C258" s="133" t="str">
        <f t="shared" si="34"/>
        <v>Mon</v>
      </c>
      <c r="D258" s="136">
        <f t="shared" si="35"/>
        <v>1</v>
      </c>
      <c r="E258" s="137" t="s">
        <v>129</v>
      </c>
      <c r="F258" s="137" t="s">
        <v>129</v>
      </c>
      <c r="G258" s="137" t="s">
        <v>129</v>
      </c>
      <c r="H258" s="137" t="s">
        <v>129</v>
      </c>
      <c r="I258" s="137" t="s">
        <v>129</v>
      </c>
      <c r="J258" s="137" t="s">
        <v>129</v>
      </c>
      <c r="K258" s="137" t="s">
        <v>129</v>
      </c>
      <c r="L258" s="137" t="s">
        <v>129</v>
      </c>
      <c r="M258" s="141"/>
      <c r="N258" s="147"/>
    </row>
    <row r="259" hidden="1" outlineLevel="1">
      <c r="A259" s="255" t="s">
        <v>2647</v>
      </c>
      <c r="B259" s="344">
        <v>46069.0</v>
      </c>
      <c r="C259" s="133" t="str">
        <f t="shared" si="34"/>
        <v>Mon</v>
      </c>
      <c r="D259" s="136">
        <f t="shared" si="35"/>
        <v>1</v>
      </c>
      <c r="E259" s="137" t="s">
        <v>129</v>
      </c>
      <c r="F259" s="137" t="s">
        <v>129</v>
      </c>
      <c r="G259" s="137" t="s">
        <v>129</v>
      </c>
      <c r="H259" s="137" t="s">
        <v>129</v>
      </c>
      <c r="I259" s="137" t="s">
        <v>129</v>
      </c>
      <c r="J259" s="137" t="s">
        <v>129</v>
      </c>
      <c r="K259" s="137" t="s">
        <v>129</v>
      </c>
      <c r="L259" s="137" t="s">
        <v>129</v>
      </c>
      <c r="M259" s="141"/>
      <c r="N259" s="147"/>
    </row>
    <row r="260" hidden="1" outlineLevel="1">
      <c r="A260" s="255" t="s">
        <v>2654</v>
      </c>
      <c r="B260" s="344">
        <v>46070.0</v>
      </c>
      <c r="C260" s="133" t="str">
        <f t="shared" si="34"/>
        <v>Tue</v>
      </c>
      <c r="D260" s="136">
        <f t="shared" si="35"/>
        <v>1</v>
      </c>
      <c r="E260" s="137" t="s">
        <v>129</v>
      </c>
      <c r="F260" s="137" t="s">
        <v>129</v>
      </c>
      <c r="G260" s="137" t="s">
        <v>129</v>
      </c>
      <c r="H260" s="137" t="s">
        <v>129</v>
      </c>
      <c r="I260" s="137" t="s">
        <v>129</v>
      </c>
      <c r="J260" s="137" t="s">
        <v>129</v>
      </c>
      <c r="K260" s="137" t="s">
        <v>129</v>
      </c>
      <c r="L260" s="137" t="s">
        <v>129</v>
      </c>
      <c r="M260" s="141"/>
      <c r="N260" s="143"/>
    </row>
    <row r="261" hidden="1" outlineLevel="1">
      <c r="A261" s="255" t="s">
        <v>2658</v>
      </c>
      <c r="B261" s="344">
        <v>46070.0</v>
      </c>
      <c r="C261" s="133" t="str">
        <f t="shared" si="34"/>
        <v>Tue</v>
      </c>
      <c r="D261" s="136">
        <f t="shared" si="35"/>
        <v>1</v>
      </c>
      <c r="E261" s="137" t="s">
        <v>129</v>
      </c>
      <c r="F261" s="137" t="s">
        <v>129</v>
      </c>
      <c r="G261" s="137" t="s">
        <v>129</v>
      </c>
      <c r="H261" s="137" t="s">
        <v>129</v>
      </c>
      <c r="I261" s="137" t="s">
        <v>129</v>
      </c>
      <c r="J261" s="137" t="s">
        <v>129</v>
      </c>
      <c r="K261" s="137" t="s">
        <v>129</v>
      </c>
      <c r="L261" s="137" t="s">
        <v>129</v>
      </c>
      <c r="M261" s="141"/>
      <c r="N261" s="143"/>
    </row>
    <row r="262" hidden="1" outlineLevel="1">
      <c r="A262" s="255" t="s">
        <v>2661</v>
      </c>
      <c r="B262" s="344">
        <v>46070.0</v>
      </c>
      <c r="C262" s="133" t="str">
        <f t="shared" si="34"/>
        <v>Tue</v>
      </c>
      <c r="D262" s="136">
        <f t="shared" si="35"/>
        <v>1</v>
      </c>
      <c r="E262" s="137" t="s">
        <v>129</v>
      </c>
      <c r="F262" s="137" t="s">
        <v>129</v>
      </c>
      <c r="G262" s="137" t="s">
        <v>129</v>
      </c>
      <c r="H262" s="137" t="s">
        <v>129</v>
      </c>
      <c r="I262" s="137" t="s">
        <v>129</v>
      </c>
      <c r="J262" s="137" t="s">
        <v>129</v>
      </c>
      <c r="K262" s="137" t="s">
        <v>129</v>
      </c>
      <c r="L262" s="137" t="s">
        <v>129</v>
      </c>
      <c r="M262" s="141"/>
      <c r="N262" s="143"/>
    </row>
    <row r="263" hidden="1" outlineLevel="1">
      <c r="A263" s="367" t="s">
        <v>2664</v>
      </c>
      <c r="B263" s="344">
        <v>46073.0</v>
      </c>
      <c r="C263" s="133" t="str">
        <f t="shared" si="34"/>
        <v>Fri</v>
      </c>
      <c r="D263" s="136">
        <f t="shared" si="35"/>
        <v>1</v>
      </c>
      <c r="E263" s="137" t="s">
        <v>129</v>
      </c>
      <c r="F263" s="137" t="s">
        <v>129</v>
      </c>
      <c r="G263" s="137" t="s">
        <v>129</v>
      </c>
      <c r="H263" s="137" t="s">
        <v>129</v>
      </c>
      <c r="I263" s="137" t="s">
        <v>129</v>
      </c>
      <c r="J263" s="137" t="s">
        <v>129</v>
      </c>
      <c r="K263" s="137" t="s">
        <v>129</v>
      </c>
      <c r="L263" s="137" t="s">
        <v>129</v>
      </c>
      <c r="M263" s="141"/>
      <c r="N263" s="143"/>
    </row>
    <row r="264" hidden="1" outlineLevel="1">
      <c r="A264" s="255" t="s">
        <v>2668</v>
      </c>
      <c r="B264" s="344">
        <v>46073.0</v>
      </c>
      <c r="C264" s="133" t="str">
        <f t="shared" si="34"/>
        <v>Fri</v>
      </c>
      <c r="D264" s="136">
        <f t="shared" si="35"/>
        <v>1</v>
      </c>
      <c r="E264" s="137" t="s">
        <v>129</v>
      </c>
      <c r="F264" s="137" t="s">
        <v>129</v>
      </c>
      <c r="G264" s="137" t="s">
        <v>129</v>
      </c>
      <c r="H264" s="137" t="s">
        <v>129</v>
      </c>
      <c r="I264" s="137" t="s">
        <v>129</v>
      </c>
      <c r="J264" s="137" t="s">
        <v>129</v>
      </c>
      <c r="K264" s="137" t="s">
        <v>129</v>
      </c>
      <c r="L264" s="137" t="s">
        <v>129</v>
      </c>
      <c r="M264" s="141"/>
      <c r="N264" s="147"/>
    </row>
    <row r="265" hidden="1" outlineLevel="1">
      <c r="A265" s="255" t="s">
        <v>2672</v>
      </c>
      <c r="B265" s="344">
        <v>46073.0</v>
      </c>
      <c r="C265" s="133" t="str">
        <f t="shared" si="34"/>
        <v>Fri</v>
      </c>
      <c r="D265" s="136">
        <f t="shared" si="35"/>
        <v>1</v>
      </c>
      <c r="E265" s="137" t="s">
        <v>129</v>
      </c>
      <c r="F265" s="137" t="s">
        <v>129</v>
      </c>
      <c r="G265" s="137" t="s">
        <v>129</v>
      </c>
      <c r="H265" s="137" t="s">
        <v>129</v>
      </c>
      <c r="I265" s="137" t="s">
        <v>129</v>
      </c>
      <c r="J265" s="137" t="s">
        <v>129</v>
      </c>
      <c r="K265" s="137" t="s">
        <v>129</v>
      </c>
      <c r="L265" s="137" t="s">
        <v>129</v>
      </c>
      <c r="M265" s="141"/>
      <c r="N265" s="143"/>
    </row>
    <row r="266" hidden="1" outlineLevel="1">
      <c r="A266" s="255" t="s">
        <v>2677</v>
      </c>
      <c r="B266" s="344">
        <v>46074.0</v>
      </c>
      <c r="C266" s="133" t="str">
        <f t="shared" si="34"/>
        <v>Sat</v>
      </c>
      <c r="D266" s="136">
        <f t="shared" si="35"/>
        <v>1</v>
      </c>
      <c r="E266" s="137" t="s">
        <v>129</v>
      </c>
      <c r="F266" s="137" t="s">
        <v>129</v>
      </c>
      <c r="G266" s="137" t="s">
        <v>129</v>
      </c>
      <c r="H266" s="137" t="s">
        <v>129</v>
      </c>
      <c r="I266" s="137" t="s">
        <v>129</v>
      </c>
      <c r="J266" s="137" t="s">
        <v>129</v>
      </c>
      <c r="K266" s="137" t="s">
        <v>129</v>
      </c>
      <c r="L266" s="137" t="s">
        <v>129</v>
      </c>
      <c r="M266" s="141"/>
      <c r="N266" s="147"/>
    </row>
    <row r="267" hidden="1" outlineLevel="1">
      <c r="A267" s="255" t="s">
        <v>2680</v>
      </c>
      <c r="B267" s="344">
        <v>46074.0</v>
      </c>
      <c r="C267" s="133" t="str">
        <f t="shared" si="34"/>
        <v>Sat</v>
      </c>
      <c r="D267" s="136">
        <f t="shared" si="35"/>
        <v>1</v>
      </c>
      <c r="E267" s="137" t="s">
        <v>129</v>
      </c>
      <c r="F267" s="137" t="s">
        <v>129</v>
      </c>
      <c r="G267" s="137" t="s">
        <v>129</v>
      </c>
      <c r="H267" s="137" t="s">
        <v>129</v>
      </c>
      <c r="I267" s="137" t="s">
        <v>129</v>
      </c>
      <c r="J267" s="137" t="s">
        <v>129</v>
      </c>
      <c r="K267" s="137" t="s">
        <v>129</v>
      </c>
      <c r="L267" s="137" t="s">
        <v>129</v>
      </c>
      <c r="M267" s="141"/>
      <c r="N267" s="147"/>
    </row>
    <row r="268" hidden="1" outlineLevel="1">
      <c r="A268" s="255" t="s">
        <v>2683</v>
      </c>
      <c r="B268" s="344">
        <v>46074.0</v>
      </c>
      <c r="C268" s="133" t="str">
        <f t="shared" si="34"/>
        <v>Sat</v>
      </c>
      <c r="D268" s="136">
        <f t="shared" si="35"/>
        <v>1</v>
      </c>
      <c r="E268" s="137" t="s">
        <v>129</v>
      </c>
      <c r="F268" s="137" t="s">
        <v>129</v>
      </c>
      <c r="G268" s="137" t="s">
        <v>129</v>
      </c>
      <c r="H268" s="137" t="s">
        <v>129</v>
      </c>
      <c r="I268" s="137" t="s">
        <v>129</v>
      </c>
      <c r="J268" s="137" t="s">
        <v>129</v>
      </c>
      <c r="K268" s="137" t="s">
        <v>129</v>
      </c>
      <c r="L268" s="137" t="s">
        <v>129</v>
      </c>
      <c r="M268" s="141"/>
      <c r="N268" s="147"/>
    </row>
    <row r="269" hidden="1" outlineLevel="1">
      <c r="A269" s="255" t="s">
        <v>2687</v>
      </c>
      <c r="B269" s="344">
        <v>46075.0</v>
      </c>
      <c r="C269" s="133" t="str">
        <f t="shared" si="34"/>
        <v>Sun</v>
      </c>
      <c r="D269" s="136">
        <f t="shared" si="35"/>
        <v>1</v>
      </c>
      <c r="E269" s="137" t="s">
        <v>129</v>
      </c>
      <c r="F269" s="137" t="s">
        <v>129</v>
      </c>
      <c r="G269" s="137" t="s">
        <v>129</v>
      </c>
      <c r="H269" s="137" t="s">
        <v>129</v>
      </c>
      <c r="I269" s="137" t="s">
        <v>129</v>
      </c>
      <c r="J269" s="137" t="s">
        <v>129</v>
      </c>
      <c r="K269" s="137" t="s">
        <v>129</v>
      </c>
      <c r="L269" s="137" t="s">
        <v>129</v>
      </c>
      <c r="M269" s="141"/>
      <c r="N269" s="143"/>
    </row>
    <row r="270" hidden="1" outlineLevel="1">
      <c r="A270" s="255" t="s">
        <v>2689</v>
      </c>
      <c r="B270" s="344">
        <v>46075.0</v>
      </c>
      <c r="C270" s="133" t="str">
        <f t="shared" si="34"/>
        <v>Sun</v>
      </c>
      <c r="D270" s="136">
        <f t="shared" si="35"/>
        <v>1</v>
      </c>
      <c r="E270" s="137" t="s">
        <v>129</v>
      </c>
      <c r="F270" s="137" t="s">
        <v>129</v>
      </c>
      <c r="G270" s="137" t="s">
        <v>129</v>
      </c>
      <c r="H270" s="137" t="s">
        <v>129</v>
      </c>
      <c r="I270" s="137" t="s">
        <v>129</v>
      </c>
      <c r="J270" s="137" t="s">
        <v>129</v>
      </c>
      <c r="K270" s="137" t="s">
        <v>129</v>
      </c>
      <c r="L270" s="137" t="s">
        <v>129</v>
      </c>
      <c r="M270" s="141"/>
      <c r="N270" s="143"/>
    </row>
    <row r="271" ht="15.0" hidden="1" customHeight="1" outlineLevel="1">
      <c r="A271" s="255" t="s">
        <v>2692</v>
      </c>
      <c r="B271" s="344">
        <v>46075.0</v>
      </c>
      <c r="C271" s="133" t="str">
        <f t="shared" si="34"/>
        <v>Sun</v>
      </c>
      <c r="D271" s="136">
        <f t="shared" si="35"/>
        <v>1</v>
      </c>
      <c r="E271" s="137" t="s">
        <v>129</v>
      </c>
      <c r="F271" s="137" t="s">
        <v>129</v>
      </c>
      <c r="G271" s="137" t="s">
        <v>129</v>
      </c>
      <c r="H271" s="137" t="s">
        <v>129</v>
      </c>
      <c r="I271" s="137" t="s">
        <v>129</v>
      </c>
      <c r="J271" s="137" t="s">
        <v>129</v>
      </c>
      <c r="K271" s="137" t="s">
        <v>129</v>
      </c>
      <c r="L271" s="137" t="s">
        <v>129</v>
      </c>
      <c r="M271" s="141"/>
      <c r="N271" s="147"/>
    </row>
    <row r="272" hidden="1" outlineLevel="1">
      <c r="B272" s="189"/>
      <c r="C272" s="191" t="s">
        <v>194</v>
      </c>
      <c r="D272" s="204">
        <f>AVERAGE(D257:D271)</f>
        <v>1</v>
      </c>
      <c r="E272" s="200"/>
      <c r="L272" s="191" t="s">
        <v>194</v>
      </c>
      <c r="M272" s="204">
        <f>SUM(M257:M271)/75*0.1</f>
        <v>0</v>
      </c>
    </row>
    <row r="273" hidden="1" collapsed="1">
      <c r="A273" s="206" t="s">
        <v>705</v>
      </c>
      <c r="B273" s="207"/>
      <c r="C273" s="207"/>
      <c r="D273" s="208"/>
      <c r="E273" s="109"/>
      <c r="F273" s="109"/>
      <c r="G273" s="110"/>
      <c r="H273" s="110"/>
      <c r="I273" s="110"/>
      <c r="J273" s="110"/>
      <c r="K273" s="110"/>
      <c r="L273" s="110"/>
      <c r="M273" s="111"/>
      <c r="N273" s="113"/>
    </row>
    <row r="274" hidden="1" outlineLevel="1">
      <c r="A274" s="373" t="s">
        <v>98</v>
      </c>
      <c r="B274" s="115" t="s">
        <v>100</v>
      </c>
      <c r="C274" s="115" t="s">
        <v>102</v>
      </c>
      <c r="D274" s="119" t="s">
        <v>103</v>
      </c>
      <c r="E274" s="275" t="s">
        <v>269</v>
      </c>
      <c r="F274" s="275" t="s">
        <v>272</v>
      </c>
      <c r="G274" s="276" t="s">
        <v>328</v>
      </c>
      <c r="H274" s="121" t="s">
        <v>107</v>
      </c>
      <c r="I274" s="121" t="s">
        <v>108</v>
      </c>
      <c r="J274" s="276" t="s">
        <v>329</v>
      </c>
      <c r="K274" s="121" t="s">
        <v>111</v>
      </c>
      <c r="L274" s="276" t="s">
        <v>274</v>
      </c>
      <c r="M274" s="115" t="s">
        <v>114</v>
      </c>
      <c r="N274" s="119" t="s">
        <v>115</v>
      </c>
    </row>
    <row r="275" hidden="1" outlineLevel="1">
      <c r="A275" s="433" t="s">
        <v>2700</v>
      </c>
      <c r="B275" s="344">
        <v>46076.0</v>
      </c>
      <c r="C275" s="133" t="str">
        <f t="shared" ref="C275:C289" si="36">IF(B275="", "", TEXT(B275, "ddd"))</f>
        <v>Mon</v>
      </c>
      <c r="D275" s="136">
        <f t="shared" ref="D275:D289" si="37">IF(E275="Yes",0.05,0)
+IF(F275="Yes",0.1,0)
+IF(G275="Yes",0.15,0)
+IF(H275="Yes",0.15,0)
+IF(I275="Yes",0.05,0)
+IF(J275="Yes",0.05,0)
+IF(K275="Yes",0.15,0)
+IF(L275="Yes",0.3,0)
</f>
        <v>1</v>
      </c>
      <c r="E275" s="137" t="s">
        <v>129</v>
      </c>
      <c r="F275" s="137" t="s">
        <v>129</v>
      </c>
      <c r="G275" s="137" t="s">
        <v>129</v>
      </c>
      <c r="H275" s="137" t="s">
        <v>129</v>
      </c>
      <c r="I275" s="137" t="s">
        <v>129</v>
      </c>
      <c r="J275" s="137" t="s">
        <v>129</v>
      </c>
      <c r="K275" s="137" t="s">
        <v>129</v>
      </c>
      <c r="L275" s="137" t="s">
        <v>129</v>
      </c>
      <c r="M275" s="141"/>
      <c r="N275" s="143"/>
    </row>
    <row r="276" hidden="1" outlineLevel="1">
      <c r="A276" s="433" t="s">
        <v>2706</v>
      </c>
      <c r="B276" s="344">
        <v>46076.0</v>
      </c>
      <c r="C276" s="133" t="str">
        <f t="shared" si="36"/>
        <v>Mon</v>
      </c>
      <c r="D276" s="136">
        <f t="shared" si="37"/>
        <v>1</v>
      </c>
      <c r="E276" s="137" t="s">
        <v>129</v>
      </c>
      <c r="F276" s="137" t="s">
        <v>129</v>
      </c>
      <c r="G276" s="137" t="s">
        <v>129</v>
      </c>
      <c r="H276" s="137" t="s">
        <v>129</v>
      </c>
      <c r="I276" s="137" t="s">
        <v>129</v>
      </c>
      <c r="J276" s="137" t="s">
        <v>129</v>
      </c>
      <c r="K276" s="137" t="s">
        <v>129</v>
      </c>
      <c r="L276" s="137" t="s">
        <v>129</v>
      </c>
      <c r="M276" s="141"/>
      <c r="N276" s="147"/>
    </row>
    <row r="277" hidden="1" outlineLevel="1">
      <c r="A277" s="433" t="s">
        <v>2709</v>
      </c>
      <c r="B277" s="344">
        <v>46076.0</v>
      </c>
      <c r="C277" s="133" t="str">
        <f t="shared" si="36"/>
        <v>Mon</v>
      </c>
      <c r="D277" s="136">
        <f t="shared" si="37"/>
        <v>1</v>
      </c>
      <c r="E277" s="137" t="s">
        <v>129</v>
      </c>
      <c r="F277" s="137" t="s">
        <v>129</v>
      </c>
      <c r="G277" s="137" t="s">
        <v>129</v>
      </c>
      <c r="H277" s="137" t="s">
        <v>129</v>
      </c>
      <c r="I277" s="137" t="s">
        <v>129</v>
      </c>
      <c r="J277" s="137" t="s">
        <v>129</v>
      </c>
      <c r="K277" s="137" t="s">
        <v>129</v>
      </c>
      <c r="L277" s="137" t="s">
        <v>129</v>
      </c>
      <c r="M277" s="141"/>
      <c r="N277" s="147"/>
    </row>
    <row r="278" hidden="1" outlineLevel="1">
      <c r="A278" s="433" t="s">
        <v>2712</v>
      </c>
      <c r="B278" s="344">
        <v>46077.0</v>
      </c>
      <c r="C278" s="133" t="str">
        <f t="shared" si="36"/>
        <v>Tue</v>
      </c>
      <c r="D278" s="136">
        <f t="shared" si="37"/>
        <v>1</v>
      </c>
      <c r="E278" s="137" t="s">
        <v>129</v>
      </c>
      <c r="F278" s="137" t="s">
        <v>129</v>
      </c>
      <c r="G278" s="137" t="s">
        <v>129</v>
      </c>
      <c r="H278" s="137" t="s">
        <v>129</v>
      </c>
      <c r="I278" s="137" t="s">
        <v>129</v>
      </c>
      <c r="J278" s="137" t="s">
        <v>129</v>
      </c>
      <c r="K278" s="137" t="s">
        <v>129</v>
      </c>
      <c r="L278" s="137" t="s">
        <v>129</v>
      </c>
      <c r="M278" s="141"/>
      <c r="N278" s="143"/>
    </row>
    <row r="279" hidden="1" outlineLevel="1">
      <c r="A279" s="433" t="s">
        <v>2715</v>
      </c>
      <c r="B279" s="344">
        <v>46077.0</v>
      </c>
      <c r="C279" s="133" t="str">
        <f t="shared" si="36"/>
        <v>Tue</v>
      </c>
      <c r="D279" s="136">
        <f t="shared" si="37"/>
        <v>1</v>
      </c>
      <c r="E279" s="137" t="s">
        <v>129</v>
      </c>
      <c r="F279" s="137" t="s">
        <v>129</v>
      </c>
      <c r="G279" s="137" t="s">
        <v>129</v>
      </c>
      <c r="H279" s="137" t="s">
        <v>129</v>
      </c>
      <c r="I279" s="137" t="s">
        <v>129</v>
      </c>
      <c r="J279" s="137" t="s">
        <v>129</v>
      </c>
      <c r="K279" s="137" t="s">
        <v>129</v>
      </c>
      <c r="L279" s="137" t="s">
        <v>129</v>
      </c>
      <c r="M279" s="141"/>
      <c r="N279" s="143"/>
    </row>
    <row r="280" hidden="1" outlineLevel="1">
      <c r="A280" s="433" t="s">
        <v>2716</v>
      </c>
      <c r="B280" s="344">
        <v>46077.0</v>
      </c>
      <c r="C280" s="133" t="str">
        <f t="shared" si="36"/>
        <v>Tue</v>
      </c>
      <c r="D280" s="136">
        <f t="shared" si="37"/>
        <v>1</v>
      </c>
      <c r="E280" s="137" t="s">
        <v>129</v>
      </c>
      <c r="F280" s="137" t="s">
        <v>129</v>
      </c>
      <c r="G280" s="137" t="s">
        <v>129</v>
      </c>
      <c r="H280" s="137" t="s">
        <v>129</v>
      </c>
      <c r="I280" s="137" t="s">
        <v>129</v>
      </c>
      <c r="J280" s="137" t="s">
        <v>129</v>
      </c>
      <c r="K280" s="137" t="s">
        <v>129</v>
      </c>
      <c r="L280" s="137" t="s">
        <v>129</v>
      </c>
      <c r="M280" s="141"/>
      <c r="N280" s="143"/>
    </row>
    <row r="281" hidden="1" outlineLevel="1">
      <c r="A281" s="367" t="s">
        <v>2720</v>
      </c>
      <c r="B281" s="344">
        <v>46078.0</v>
      </c>
      <c r="C281" s="133" t="str">
        <f t="shared" si="36"/>
        <v>Wed</v>
      </c>
      <c r="D281" s="136">
        <f t="shared" si="37"/>
        <v>1</v>
      </c>
      <c r="E281" s="137" t="s">
        <v>129</v>
      </c>
      <c r="F281" s="137" t="s">
        <v>129</v>
      </c>
      <c r="G281" s="137" t="s">
        <v>129</v>
      </c>
      <c r="H281" s="137" t="s">
        <v>129</v>
      </c>
      <c r="I281" s="137" t="s">
        <v>129</v>
      </c>
      <c r="J281" s="137" t="s">
        <v>129</v>
      </c>
      <c r="K281" s="137" t="s">
        <v>129</v>
      </c>
      <c r="L281" s="137" t="s">
        <v>129</v>
      </c>
      <c r="M281" s="141"/>
      <c r="N281" s="143"/>
    </row>
    <row r="282" hidden="1" outlineLevel="1">
      <c r="A282" s="367" t="s">
        <v>2723</v>
      </c>
      <c r="B282" s="344">
        <v>46078.0</v>
      </c>
      <c r="C282" s="133" t="str">
        <f t="shared" si="36"/>
        <v>Wed</v>
      </c>
      <c r="D282" s="136">
        <f t="shared" si="37"/>
        <v>1</v>
      </c>
      <c r="E282" s="137" t="s">
        <v>129</v>
      </c>
      <c r="F282" s="137" t="s">
        <v>129</v>
      </c>
      <c r="G282" s="137" t="s">
        <v>129</v>
      </c>
      <c r="H282" s="137" t="s">
        <v>129</v>
      </c>
      <c r="I282" s="137" t="s">
        <v>129</v>
      </c>
      <c r="J282" s="137" t="s">
        <v>129</v>
      </c>
      <c r="K282" s="137" t="s">
        <v>129</v>
      </c>
      <c r="L282" s="137" t="s">
        <v>129</v>
      </c>
      <c r="M282" s="141"/>
      <c r="N282" s="147"/>
    </row>
    <row r="283" hidden="1" outlineLevel="1">
      <c r="A283" s="367" t="s">
        <v>2727</v>
      </c>
      <c r="B283" s="344">
        <v>46078.0</v>
      </c>
      <c r="C283" s="133" t="str">
        <f t="shared" si="36"/>
        <v>Wed</v>
      </c>
      <c r="D283" s="136">
        <f t="shared" si="37"/>
        <v>1</v>
      </c>
      <c r="E283" s="137" t="s">
        <v>129</v>
      </c>
      <c r="F283" s="137" t="s">
        <v>129</v>
      </c>
      <c r="G283" s="137" t="s">
        <v>129</v>
      </c>
      <c r="H283" s="137" t="s">
        <v>129</v>
      </c>
      <c r="I283" s="137" t="s">
        <v>129</v>
      </c>
      <c r="J283" s="137" t="s">
        <v>129</v>
      </c>
      <c r="K283" s="137" t="s">
        <v>129</v>
      </c>
      <c r="L283" s="137" t="s">
        <v>129</v>
      </c>
      <c r="M283" s="141"/>
      <c r="N283" s="143"/>
    </row>
    <row r="284" hidden="1" outlineLevel="1">
      <c r="A284" s="367" t="s">
        <v>2734</v>
      </c>
      <c r="B284" s="344">
        <v>46080.0</v>
      </c>
      <c r="C284" s="133" t="str">
        <f t="shared" si="36"/>
        <v>Fri</v>
      </c>
      <c r="D284" s="136">
        <f t="shared" si="37"/>
        <v>1</v>
      </c>
      <c r="E284" s="137" t="s">
        <v>129</v>
      </c>
      <c r="F284" s="137" t="s">
        <v>129</v>
      </c>
      <c r="G284" s="137" t="s">
        <v>129</v>
      </c>
      <c r="H284" s="137" t="s">
        <v>129</v>
      </c>
      <c r="I284" s="137" t="s">
        <v>129</v>
      </c>
      <c r="J284" s="137" t="s">
        <v>129</v>
      </c>
      <c r="K284" s="137" t="s">
        <v>129</v>
      </c>
      <c r="L284" s="137" t="s">
        <v>129</v>
      </c>
      <c r="M284" s="141"/>
      <c r="N284" s="147"/>
    </row>
    <row r="285" hidden="1" outlineLevel="1">
      <c r="A285" s="367" t="s">
        <v>2738</v>
      </c>
      <c r="B285" s="344">
        <v>46080.0</v>
      </c>
      <c r="C285" s="133" t="str">
        <f t="shared" si="36"/>
        <v>Fri</v>
      </c>
      <c r="D285" s="136">
        <f t="shared" si="37"/>
        <v>1</v>
      </c>
      <c r="E285" s="137" t="s">
        <v>129</v>
      </c>
      <c r="F285" s="137" t="s">
        <v>129</v>
      </c>
      <c r="G285" s="137" t="s">
        <v>129</v>
      </c>
      <c r="H285" s="137" t="s">
        <v>129</v>
      </c>
      <c r="I285" s="137" t="s">
        <v>129</v>
      </c>
      <c r="J285" s="137" t="s">
        <v>129</v>
      </c>
      <c r="K285" s="137" t="s">
        <v>129</v>
      </c>
      <c r="L285" s="137" t="s">
        <v>129</v>
      </c>
      <c r="M285" s="141"/>
      <c r="N285" s="147"/>
    </row>
    <row r="286" hidden="1" outlineLevel="1">
      <c r="A286" s="367" t="s">
        <v>2740</v>
      </c>
      <c r="B286" s="344">
        <v>46080.0</v>
      </c>
      <c r="C286" s="133" t="str">
        <f t="shared" si="36"/>
        <v>Fri</v>
      </c>
      <c r="D286" s="136">
        <f t="shared" si="37"/>
        <v>1</v>
      </c>
      <c r="E286" s="137" t="s">
        <v>129</v>
      </c>
      <c r="F286" s="137" t="s">
        <v>129</v>
      </c>
      <c r="G286" s="137" t="s">
        <v>129</v>
      </c>
      <c r="H286" s="137" t="s">
        <v>129</v>
      </c>
      <c r="I286" s="137" t="s">
        <v>129</v>
      </c>
      <c r="J286" s="137" t="s">
        <v>129</v>
      </c>
      <c r="K286" s="137" t="s">
        <v>129</v>
      </c>
      <c r="L286" s="137" t="s">
        <v>129</v>
      </c>
      <c r="M286" s="141"/>
      <c r="N286" s="147"/>
    </row>
    <row r="287" hidden="1" outlineLevel="1">
      <c r="A287" s="367" t="s">
        <v>2743</v>
      </c>
      <c r="B287" s="344">
        <v>46081.0</v>
      </c>
      <c r="C287" s="133" t="str">
        <f t="shared" si="36"/>
        <v>Sat</v>
      </c>
      <c r="D287" s="136">
        <f t="shared" si="37"/>
        <v>1</v>
      </c>
      <c r="E287" s="137" t="s">
        <v>129</v>
      </c>
      <c r="F287" s="137" t="s">
        <v>129</v>
      </c>
      <c r="G287" s="137" t="s">
        <v>129</v>
      </c>
      <c r="H287" s="137" t="s">
        <v>129</v>
      </c>
      <c r="I287" s="137" t="s">
        <v>129</v>
      </c>
      <c r="J287" s="137" t="s">
        <v>129</v>
      </c>
      <c r="K287" s="137" t="s">
        <v>129</v>
      </c>
      <c r="L287" s="137" t="s">
        <v>129</v>
      </c>
      <c r="M287" s="141"/>
      <c r="N287" s="143"/>
    </row>
    <row r="288" hidden="1" outlineLevel="1">
      <c r="A288" s="367" t="s">
        <v>2745</v>
      </c>
      <c r="B288" s="344">
        <v>46081.0</v>
      </c>
      <c r="C288" s="133" t="str">
        <f t="shared" si="36"/>
        <v>Sat</v>
      </c>
      <c r="D288" s="136">
        <f t="shared" si="37"/>
        <v>1</v>
      </c>
      <c r="E288" s="137" t="s">
        <v>129</v>
      </c>
      <c r="F288" s="137" t="s">
        <v>129</v>
      </c>
      <c r="G288" s="137" t="s">
        <v>129</v>
      </c>
      <c r="H288" s="137" t="s">
        <v>129</v>
      </c>
      <c r="I288" s="137" t="s">
        <v>129</v>
      </c>
      <c r="J288" s="137" t="s">
        <v>129</v>
      </c>
      <c r="K288" s="137" t="s">
        <v>129</v>
      </c>
      <c r="L288" s="137" t="s">
        <v>129</v>
      </c>
      <c r="M288" s="141"/>
      <c r="N288" s="143"/>
    </row>
    <row r="289" ht="15.0" hidden="1" customHeight="1" outlineLevel="1">
      <c r="A289" s="367" t="s">
        <v>2752</v>
      </c>
      <c r="B289" s="344">
        <v>46081.0</v>
      </c>
      <c r="C289" s="133" t="str">
        <f t="shared" si="36"/>
        <v>Sat</v>
      </c>
      <c r="D289" s="136">
        <f t="shared" si="37"/>
        <v>1</v>
      </c>
      <c r="E289" s="137" t="s">
        <v>129</v>
      </c>
      <c r="F289" s="137" t="s">
        <v>129</v>
      </c>
      <c r="G289" s="137" t="s">
        <v>129</v>
      </c>
      <c r="H289" s="137" t="s">
        <v>129</v>
      </c>
      <c r="I289" s="137" t="s">
        <v>129</v>
      </c>
      <c r="J289" s="137" t="s">
        <v>129</v>
      </c>
      <c r="K289" s="137" t="s">
        <v>129</v>
      </c>
      <c r="L289" s="137" t="s">
        <v>129</v>
      </c>
      <c r="M289" s="141"/>
      <c r="N289" s="147"/>
    </row>
    <row r="290" hidden="1" outlineLevel="1">
      <c r="B290" s="189"/>
      <c r="C290" s="191" t="s">
        <v>194</v>
      </c>
      <c r="D290" s="204">
        <f>AVERAGE(D275:D289)</f>
        <v>1</v>
      </c>
      <c r="E290" s="200"/>
      <c r="L290" s="191" t="s">
        <v>194</v>
      </c>
      <c r="M290" s="204">
        <f>SUM(M275:M289)/75*0.1</f>
        <v>0</v>
      </c>
    </row>
    <row r="291" hidden="1" collapsed="1">
      <c r="A291" s="206" t="s">
        <v>731</v>
      </c>
      <c r="B291" s="207"/>
      <c r="C291" s="207"/>
      <c r="D291" s="208"/>
      <c r="E291" s="109"/>
      <c r="F291" s="109"/>
      <c r="G291" s="110"/>
      <c r="H291" s="110"/>
      <c r="I291" s="110"/>
      <c r="J291" s="110"/>
      <c r="K291" s="110"/>
      <c r="L291" s="110"/>
      <c r="M291" s="111"/>
      <c r="N291" s="113"/>
    </row>
    <row r="292" hidden="1" outlineLevel="1">
      <c r="A292" s="373" t="s">
        <v>98</v>
      </c>
      <c r="B292" s="115" t="s">
        <v>100</v>
      </c>
      <c r="C292" s="115" t="s">
        <v>102</v>
      </c>
      <c r="D292" s="119" t="s">
        <v>103</v>
      </c>
      <c r="E292" s="275" t="s">
        <v>269</v>
      </c>
      <c r="F292" s="275" t="s">
        <v>272</v>
      </c>
      <c r="G292" s="276" t="s">
        <v>328</v>
      </c>
      <c r="H292" s="121" t="s">
        <v>107</v>
      </c>
      <c r="I292" s="121" t="s">
        <v>108</v>
      </c>
      <c r="J292" s="276" t="s">
        <v>329</v>
      </c>
      <c r="K292" s="121" t="s">
        <v>111</v>
      </c>
      <c r="L292" s="276" t="s">
        <v>274</v>
      </c>
      <c r="M292" s="115" t="s">
        <v>114</v>
      </c>
      <c r="N292" s="119" t="s">
        <v>115</v>
      </c>
    </row>
    <row r="293" hidden="1" outlineLevel="1">
      <c r="A293" s="303" t="s">
        <v>2759</v>
      </c>
      <c r="B293" s="344">
        <v>46083.0</v>
      </c>
      <c r="C293" s="133" t="str">
        <f t="shared" ref="C293:C307" si="38">IF(B293="", "", TEXT(B293, "ddd"))</f>
        <v>Mon</v>
      </c>
      <c r="D293" s="136">
        <f t="shared" ref="D293:D307" si="39">IF(E293="Yes",0.05,0)
+IF(F293="Yes",0.1,0)
+IF(G293="Yes",0.15,0)
+IF(H293="Yes",0.15,0)
+IF(I293="Yes",0.05,0)
+IF(J293="Yes",0.05,0)
+IF(K293="Yes",0.15,0)
+IF(L293="Yes",0.3,0)
</f>
        <v>1</v>
      </c>
      <c r="E293" s="137" t="s">
        <v>129</v>
      </c>
      <c r="F293" s="137" t="s">
        <v>129</v>
      </c>
      <c r="G293" s="137" t="s">
        <v>129</v>
      </c>
      <c r="H293" s="137" t="s">
        <v>129</v>
      </c>
      <c r="I293" s="137" t="s">
        <v>129</v>
      </c>
      <c r="J293" s="137" t="s">
        <v>129</v>
      </c>
      <c r="K293" s="137" t="s">
        <v>129</v>
      </c>
      <c r="L293" s="137" t="s">
        <v>129</v>
      </c>
      <c r="M293" s="141"/>
      <c r="N293" s="143"/>
    </row>
    <row r="294" hidden="1" outlineLevel="1">
      <c r="A294" s="303" t="s">
        <v>2762</v>
      </c>
      <c r="B294" s="344">
        <v>46083.0</v>
      </c>
      <c r="C294" s="133" t="str">
        <f t="shared" si="38"/>
        <v>Mon</v>
      </c>
      <c r="D294" s="136">
        <f t="shared" si="39"/>
        <v>1</v>
      </c>
      <c r="E294" s="137" t="s">
        <v>129</v>
      </c>
      <c r="F294" s="137" t="s">
        <v>129</v>
      </c>
      <c r="G294" s="137" t="s">
        <v>129</v>
      </c>
      <c r="H294" s="137" t="s">
        <v>129</v>
      </c>
      <c r="I294" s="137" t="s">
        <v>129</v>
      </c>
      <c r="J294" s="137" t="s">
        <v>129</v>
      </c>
      <c r="K294" s="137" t="s">
        <v>129</v>
      </c>
      <c r="L294" s="137" t="s">
        <v>129</v>
      </c>
      <c r="M294" s="141"/>
      <c r="N294" s="147"/>
    </row>
    <row r="295" hidden="1" outlineLevel="1">
      <c r="A295" s="303" t="s">
        <v>2766</v>
      </c>
      <c r="B295" s="344">
        <v>46083.0</v>
      </c>
      <c r="C295" s="133" t="str">
        <f t="shared" si="38"/>
        <v>Mon</v>
      </c>
      <c r="D295" s="136">
        <f t="shared" si="39"/>
        <v>1</v>
      </c>
      <c r="E295" s="137" t="s">
        <v>129</v>
      </c>
      <c r="F295" s="137" t="s">
        <v>129</v>
      </c>
      <c r="G295" s="137" t="s">
        <v>129</v>
      </c>
      <c r="H295" s="137" t="s">
        <v>129</v>
      </c>
      <c r="I295" s="137" t="s">
        <v>129</v>
      </c>
      <c r="J295" s="137" t="s">
        <v>129</v>
      </c>
      <c r="K295" s="137" t="s">
        <v>129</v>
      </c>
      <c r="L295" s="137" t="s">
        <v>129</v>
      </c>
      <c r="M295" s="141"/>
      <c r="N295" s="147"/>
    </row>
    <row r="296" hidden="1" outlineLevel="1">
      <c r="A296" s="433" t="s">
        <v>2772</v>
      </c>
      <c r="B296" s="344">
        <v>46084.0</v>
      </c>
      <c r="C296" s="133" t="str">
        <f t="shared" si="38"/>
        <v>Tue</v>
      </c>
      <c r="D296" s="136">
        <f t="shared" si="39"/>
        <v>1</v>
      </c>
      <c r="E296" s="137" t="s">
        <v>129</v>
      </c>
      <c r="F296" s="137" t="s">
        <v>129</v>
      </c>
      <c r="G296" s="137" t="s">
        <v>129</v>
      </c>
      <c r="H296" s="137" t="s">
        <v>129</v>
      </c>
      <c r="I296" s="137" t="s">
        <v>129</v>
      </c>
      <c r="J296" s="137" t="s">
        <v>129</v>
      </c>
      <c r="K296" s="137" t="s">
        <v>129</v>
      </c>
      <c r="L296" s="137" t="s">
        <v>129</v>
      </c>
      <c r="M296" s="141"/>
      <c r="N296" s="143"/>
    </row>
    <row r="297" hidden="1" outlineLevel="1">
      <c r="A297" s="433" t="s">
        <v>2775</v>
      </c>
      <c r="B297" s="344">
        <v>46084.0</v>
      </c>
      <c r="C297" s="133" t="str">
        <f t="shared" si="38"/>
        <v>Tue</v>
      </c>
      <c r="D297" s="136">
        <f t="shared" si="39"/>
        <v>1</v>
      </c>
      <c r="E297" s="137" t="s">
        <v>129</v>
      </c>
      <c r="F297" s="137" t="s">
        <v>129</v>
      </c>
      <c r="G297" s="137" t="s">
        <v>129</v>
      </c>
      <c r="H297" s="137" t="s">
        <v>129</v>
      </c>
      <c r="I297" s="137" t="s">
        <v>129</v>
      </c>
      <c r="J297" s="137" t="s">
        <v>129</v>
      </c>
      <c r="K297" s="137" t="s">
        <v>129</v>
      </c>
      <c r="L297" s="137" t="s">
        <v>129</v>
      </c>
      <c r="M297" s="141"/>
      <c r="N297" s="143"/>
    </row>
    <row r="298" hidden="1" outlineLevel="1">
      <c r="A298" s="433" t="s">
        <v>2778</v>
      </c>
      <c r="B298" s="344">
        <v>46084.0</v>
      </c>
      <c r="C298" s="133" t="str">
        <f t="shared" si="38"/>
        <v>Tue</v>
      </c>
      <c r="D298" s="136">
        <f t="shared" si="39"/>
        <v>1</v>
      </c>
      <c r="E298" s="137" t="s">
        <v>129</v>
      </c>
      <c r="F298" s="137" t="s">
        <v>129</v>
      </c>
      <c r="G298" s="137" t="s">
        <v>129</v>
      </c>
      <c r="H298" s="137" t="s">
        <v>129</v>
      </c>
      <c r="I298" s="137" t="s">
        <v>129</v>
      </c>
      <c r="J298" s="137" t="s">
        <v>129</v>
      </c>
      <c r="K298" s="137" t="s">
        <v>129</v>
      </c>
      <c r="L298" s="137" t="s">
        <v>129</v>
      </c>
      <c r="M298" s="141"/>
      <c r="N298" s="143"/>
    </row>
    <row r="299" hidden="1" outlineLevel="1">
      <c r="A299" s="486" t="s">
        <v>2782</v>
      </c>
      <c r="B299" s="344">
        <v>46086.0</v>
      </c>
      <c r="C299" s="133" t="str">
        <f t="shared" si="38"/>
        <v>Thu</v>
      </c>
      <c r="D299" s="136">
        <f t="shared" si="39"/>
        <v>1</v>
      </c>
      <c r="E299" s="137" t="s">
        <v>129</v>
      </c>
      <c r="F299" s="137" t="s">
        <v>129</v>
      </c>
      <c r="G299" s="137" t="s">
        <v>129</v>
      </c>
      <c r="H299" s="137" t="s">
        <v>129</v>
      </c>
      <c r="I299" s="137" t="s">
        <v>129</v>
      </c>
      <c r="J299" s="137" t="s">
        <v>129</v>
      </c>
      <c r="K299" s="137" t="s">
        <v>129</v>
      </c>
      <c r="L299" s="137" t="s">
        <v>129</v>
      </c>
      <c r="M299" s="141"/>
      <c r="N299" s="143"/>
    </row>
    <row r="300" hidden="1" outlineLevel="1">
      <c r="A300" s="486" t="s">
        <v>2785</v>
      </c>
      <c r="B300" s="344">
        <v>46086.0</v>
      </c>
      <c r="C300" s="133" t="str">
        <f t="shared" si="38"/>
        <v>Thu</v>
      </c>
      <c r="D300" s="136">
        <f t="shared" si="39"/>
        <v>1</v>
      </c>
      <c r="E300" s="137" t="s">
        <v>129</v>
      </c>
      <c r="F300" s="137" t="s">
        <v>129</v>
      </c>
      <c r="G300" s="137" t="s">
        <v>129</v>
      </c>
      <c r="H300" s="137" t="s">
        <v>129</v>
      </c>
      <c r="I300" s="137" t="s">
        <v>129</v>
      </c>
      <c r="J300" s="137" t="s">
        <v>129</v>
      </c>
      <c r="K300" s="137" t="s">
        <v>129</v>
      </c>
      <c r="L300" s="137" t="s">
        <v>129</v>
      </c>
      <c r="M300" s="141"/>
      <c r="N300" s="147"/>
    </row>
    <row r="301" hidden="1" outlineLevel="1">
      <c r="A301" s="486" t="s">
        <v>2791</v>
      </c>
      <c r="B301" s="344">
        <v>46086.0</v>
      </c>
      <c r="C301" s="133" t="str">
        <f t="shared" si="38"/>
        <v>Thu</v>
      </c>
      <c r="D301" s="136">
        <f t="shared" si="39"/>
        <v>0.7</v>
      </c>
      <c r="E301" s="137" t="s">
        <v>129</v>
      </c>
      <c r="F301" s="137" t="s">
        <v>129</v>
      </c>
      <c r="G301" s="137" t="s">
        <v>129</v>
      </c>
      <c r="H301" s="137" t="s">
        <v>129</v>
      </c>
      <c r="I301" s="137" t="s">
        <v>129</v>
      </c>
      <c r="J301" s="137" t="s">
        <v>129</v>
      </c>
      <c r="K301" s="137" t="s">
        <v>129</v>
      </c>
      <c r="L301" s="137" t="s">
        <v>174</v>
      </c>
      <c r="M301" s="141"/>
      <c r="N301" s="147" t="s">
        <v>2794</v>
      </c>
    </row>
    <row r="302" hidden="1" outlineLevel="1">
      <c r="A302" s="255" t="s">
        <v>2795</v>
      </c>
      <c r="B302" s="344">
        <v>46087.0</v>
      </c>
      <c r="C302" s="133" t="str">
        <f t="shared" si="38"/>
        <v>Fri</v>
      </c>
      <c r="D302" s="136">
        <f t="shared" si="39"/>
        <v>1</v>
      </c>
      <c r="E302" s="137" t="s">
        <v>129</v>
      </c>
      <c r="F302" s="137" t="s">
        <v>129</v>
      </c>
      <c r="G302" s="137" t="s">
        <v>129</v>
      </c>
      <c r="H302" s="137" t="s">
        <v>129</v>
      </c>
      <c r="I302" s="137" t="s">
        <v>129</v>
      </c>
      <c r="J302" s="137" t="s">
        <v>129</v>
      </c>
      <c r="K302" s="137" t="s">
        <v>129</v>
      </c>
      <c r="L302" s="137" t="s">
        <v>129</v>
      </c>
      <c r="M302" s="141"/>
      <c r="N302" s="147"/>
    </row>
    <row r="303" hidden="1" outlineLevel="1">
      <c r="A303" s="255" t="s">
        <v>2796</v>
      </c>
      <c r="B303" s="344">
        <v>46087.0</v>
      </c>
      <c r="C303" s="133" t="str">
        <f t="shared" si="38"/>
        <v>Fri</v>
      </c>
      <c r="D303" s="136">
        <f t="shared" si="39"/>
        <v>1</v>
      </c>
      <c r="E303" s="137" t="s">
        <v>129</v>
      </c>
      <c r="F303" s="137" t="s">
        <v>129</v>
      </c>
      <c r="G303" s="137" t="s">
        <v>129</v>
      </c>
      <c r="H303" s="137" t="s">
        <v>129</v>
      </c>
      <c r="I303" s="137" t="s">
        <v>129</v>
      </c>
      <c r="J303" s="137" t="s">
        <v>129</v>
      </c>
      <c r="K303" s="137" t="s">
        <v>129</v>
      </c>
      <c r="L303" s="137" t="s">
        <v>129</v>
      </c>
      <c r="M303" s="141"/>
      <c r="N303" s="147"/>
    </row>
    <row r="304" hidden="1" outlineLevel="1">
      <c r="A304" s="255" t="s">
        <v>2799</v>
      </c>
      <c r="B304" s="344">
        <v>46087.0</v>
      </c>
      <c r="C304" s="133" t="str">
        <f t="shared" si="38"/>
        <v>Fri</v>
      </c>
      <c r="D304" s="136">
        <f t="shared" si="39"/>
        <v>1</v>
      </c>
      <c r="E304" s="137" t="s">
        <v>129</v>
      </c>
      <c r="F304" s="137" t="s">
        <v>129</v>
      </c>
      <c r="G304" s="137" t="s">
        <v>129</v>
      </c>
      <c r="H304" s="137" t="s">
        <v>129</v>
      </c>
      <c r="I304" s="137" t="s">
        <v>129</v>
      </c>
      <c r="J304" s="137" t="s">
        <v>129</v>
      </c>
      <c r="K304" s="137" t="s">
        <v>129</v>
      </c>
      <c r="L304" s="137" t="s">
        <v>129</v>
      </c>
      <c r="M304" s="141"/>
      <c r="N304" s="147"/>
    </row>
    <row r="305" hidden="1" outlineLevel="1">
      <c r="A305" s="255" t="s">
        <v>2802</v>
      </c>
      <c r="B305" s="344">
        <v>46088.0</v>
      </c>
      <c r="C305" s="133" t="str">
        <f t="shared" si="38"/>
        <v>Sat</v>
      </c>
      <c r="D305" s="136">
        <f t="shared" si="39"/>
        <v>1</v>
      </c>
      <c r="E305" s="137" t="s">
        <v>129</v>
      </c>
      <c r="F305" s="137" t="s">
        <v>129</v>
      </c>
      <c r="G305" s="137" t="s">
        <v>129</v>
      </c>
      <c r="H305" s="137" t="s">
        <v>129</v>
      </c>
      <c r="I305" s="137" t="s">
        <v>129</v>
      </c>
      <c r="J305" s="137" t="s">
        <v>129</v>
      </c>
      <c r="K305" s="137" t="s">
        <v>129</v>
      </c>
      <c r="L305" s="137" t="s">
        <v>129</v>
      </c>
      <c r="M305" s="141"/>
      <c r="N305" s="143"/>
    </row>
    <row r="306" hidden="1" outlineLevel="1">
      <c r="A306" s="255" t="s">
        <v>2804</v>
      </c>
      <c r="B306" s="344">
        <v>46088.0</v>
      </c>
      <c r="C306" s="133" t="str">
        <f t="shared" si="38"/>
        <v>Sat</v>
      </c>
      <c r="D306" s="136">
        <f t="shared" si="39"/>
        <v>1</v>
      </c>
      <c r="E306" s="137" t="s">
        <v>129</v>
      </c>
      <c r="F306" s="137" t="s">
        <v>129</v>
      </c>
      <c r="G306" s="137" t="s">
        <v>129</v>
      </c>
      <c r="H306" s="137" t="s">
        <v>129</v>
      </c>
      <c r="I306" s="137" t="s">
        <v>129</v>
      </c>
      <c r="J306" s="137" t="s">
        <v>129</v>
      </c>
      <c r="K306" s="137" t="s">
        <v>129</v>
      </c>
      <c r="L306" s="137" t="s">
        <v>129</v>
      </c>
      <c r="M306" s="141"/>
      <c r="N306" s="143"/>
    </row>
    <row r="307" ht="15.0" hidden="1" customHeight="1" outlineLevel="1">
      <c r="A307" s="255" t="s">
        <v>2806</v>
      </c>
      <c r="B307" s="344">
        <v>46088.0</v>
      </c>
      <c r="C307" s="133" t="str">
        <f t="shared" si="38"/>
        <v>Sat</v>
      </c>
      <c r="D307" s="136">
        <f t="shared" si="39"/>
        <v>1</v>
      </c>
      <c r="E307" s="137" t="s">
        <v>129</v>
      </c>
      <c r="F307" s="137" t="s">
        <v>129</v>
      </c>
      <c r="G307" s="137" t="s">
        <v>129</v>
      </c>
      <c r="H307" s="137" t="s">
        <v>129</v>
      </c>
      <c r="I307" s="137" t="s">
        <v>129</v>
      </c>
      <c r="J307" s="137" t="s">
        <v>129</v>
      </c>
      <c r="K307" s="137" t="s">
        <v>129</v>
      </c>
      <c r="L307" s="137" t="s">
        <v>129</v>
      </c>
      <c r="M307" s="141"/>
      <c r="N307" s="147"/>
    </row>
    <row r="308" hidden="1" outlineLevel="1">
      <c r="B308" s="189"/>
      <c r="C308" s="191" t="s">
        <v>194</v>
      </c>
      <c r="D308" s="204">
        <f>AVERAGE(D293:D307)</f>
        <v>0.98</v>
      </c>
      <c r="E308" s="200"/>
      <c r="L308" s="191" t="s">
        <v>194</v>
      </c>
      <c r="M308" s="204">
        <f>SUM(M293:M307)/75*0.1</f>
        <v>0</v>
      </c>
    </row>
    <row r="309" hidden="1" collapsed="1">
      <c r="A309" s="206" t="s">
        <v>766</v>
      </c>
      <c r="B309" s="207"/>
      <c r="C309" s="207"/>
      <c r="D309" s="208"/>
      <c r="E309" s="109"/>
      <c r="F309" s="109"/>
      <c r="G309" s="110"/>
      <c r="H309" s="110"/>
      <c r="I309" s="110"/>
      <c r="J309" s="110"/>
      <c r="K309" s="110"/>
      <c r="L309" s="110"/>
      <c r="M309" s="111"/>
      <c r="N309" s="113"/>
    </row>
    <row r="310" hidden="1" outlineLevel="1">
      <c r="A310" s="373" t="s">
        <v>98</v>
      </c>
      <c r="B310" s="115" t="s">
        <v>100</v>
      </c>
      <c r="C310" s="115" t="s">
        <v>102</v>
      </c>
      <c r="D310" s="119" t="s">
        <v>103</v>
      </c>
      <c r="E310" s="275" t="s">
        <v>269</v>
      </c>
      <c r="F310" s="275" t="s">
        <v>272</v>
      </c>
      <c r="G310" s="276" t="s">
        <v>328</v>
      </c>
      <c r="H310" s="121" t="s">
        <v>107</v>
      </c>
      <c r="I310" s="121" t="s">
        <v>108</v>
      </c>
      <c r="J310" s="276" t="s">
        <v>329</v>
      </c>
      <c r="K310" s="121" t="s">
        <v>111</v>
      </c>
      <c r="L310" s="276" t="s">
        <v>274</v>
      </c>
      <c r="M310" s="115" t="s">
        <v>114</v>
      </c>
      <c r="N310" s="119" t="s">
        <v>115</v>
      </c>
    </row>
    <row r="311" hidden="1" outlineLevel="1">
      <c r="A311" s="255" t="s">
        <v>2812</v>
      </c>
      <c r="B311" s="344">
        <v>46090.0</v>
      </c>
      <c r="C311" s="133" t="str">
        <f t="shared" ref="C311:C325" si="40">IF(B311="", "", TEXT(B311, "ddd"))</f>
        <v>Mon</v>
      </c>
      <c r="D311" s="136">
        <f t="shared" ref="D311:D325" si="41">IF(E311="Yes",0.05,0)
+IF(F311="Yes",0.1,0)
+IF(G311="Yes",0.15,0)
+IF(H311="Yes",0.15,0)
+IF(I311="Yes",0.05,0)
+IF(J311="Yes",0.05,0)
+IF(K311="Yes",0.15,0)
+IF(L311="Yes",0.3,0)
</f>
        <v>1</v>
      </c>
      <c r="E311" s="137" t="s">
        <v>129</v>
      </c>
      <c r="F311" s="137" t="s">
        <v>129</v>
      </c>
      <c r="G311" s="137" t="s">
        <v>129</v>
      </c>
      <c r="H311" s="137" t="s">
        <v>129</v>
      </c>
      <c r="I311" s="137" t="s">
        <v>129</v>
      </c>
      <c r="J311" s="137" t="s">
        <v>129</v>
      </c>
      <c r="K311" s="137" t="s">
        <v>129</v>
      </c>
      <c r="L311" s="137" t="s">
        <v>129</v>
      </c>
      <c r="M311" s="141"/>
      <c r="N311" s="143"/>
    </row>
    <row r="312" hidden="1" outlineLevel="1">
      <c r="A312" s="367" t="s">
        <v>2817</v>
      </c>
      <c r="B312" s="344">
        <v>46090.0</v>
      </c>
      <c r="C312" s="133" t="str">
        <f t="shared" si="40"/>
        <v>Mon</v>
      </c>
      <c r="D312" s="136">
        <f t="shared" si="41"/>
        <v>1</v>
      </c>
      <c r="E312" s="137" t="s">
        <v>129</v>
      </c>
      <c r="F312" s="137" t="s">
        <v>129</v>
      </c>
      <c r="G312" s="137" t="s">
        <v>129</v>
      </c>
      <c r="H312" s="137" t="s">
        <v>129</v>
      </c>
      <c r="I312" s="137" t="s">
        <v>129</v>
      </c>
      <c r="J312" s="137" t="s">
        <v>129</v>
      </c>
      <c r="K312" s="137" t="s">
        <v>129</v>
      </c>
      <c r="L312" s="137" t="s">
        <v>129</v>
      </c>
      <c r="M312" s="141"/>
      <c r="N312" s="147"/>
    </row>
    <row r="313" hidden="1" outlineLevel="1">
      <c r="A313" s="367" t="s">
        <v>2823</v>
      </c>
      <c r="B313" s="344">
        <v>46090.0</v>
      </c>
      <c r="C313" s="133" t="str">
        <f t="shared" si="40"/>
        <v>Mon</v>
      </c>
      <c r="D313" s="136">
        <f t="shared" si="41"/>
        <v>1</v>
      </c>
      <c r="E313" s="137" t="s">
        <v>129</v>
      </c>
      <c r="F313" s="137" t="s">
        <v>129</v>
      </c>
      <c r="G313" s="137" t="s">
        <v>129</v>
      </c>
      <c r="H313" s="137" t="s">
        <v>129</v>
      </c>
      <c r="I313" s="137" t="s">
        <v>129</v>
      </c>
      <c r="J313" s="137" t="s">
        <v>129</v>
      </c>
      <c r="K313" s="137" t="s">
        <v>129</v>
      </c>
      <c r="L313" s="137" t="s">
        <v>129</v>
      </c>
      <c r="M313" s="141"/>
      <c r="N313" s="147"/>
    </row>
    <row r="314" hidden="1" outlineLevel="1">
      <c r="A314" s="219" t="s">
        <v>2826</v>
      </c>
      <c r="B314" s="344">
        <v>46091.0</v>
      </c>
      <c r="C314" s="133" t="str">
        <f t="shared" si="40"/>
        <v>Tue</v>
      </c>
      <c r="D314" s="136">
        <f t="shared" si="41"/>
        <v>1</v>
      </c>
      <c r="E314" s="137" t="s">
        <v>129</v>
      </c>
      <c r="F314" s="137" t="s">
        <v>129</v>
      </c>
      <c r="G314" s="137" t="s">
        <v>129</v>
      </c>
      <c r="H314" s="137" t="s">
        <v>129</v>
      </c>
      <c r="I314" s="137" t="s">
        <v>129</v>
      </c>
      <c r="J314" s="137" t="s">
        <v>129</v>
      </c>
      <c r="K314" s="137" t="s">
        <v>129</v>
      </c>
      <c r="L314" s="137" t="s">
        <v>129</v>
      </c>
      <c r="M314" s="141"/>
      <c r="N314" s="143"/>
    </row>
    <row r="315" hidden="1" outlineLevel="1">
      <c r="A315" s="219" t="s">
        <v>2831</v>
      </c>
      <c r="B315" s="344">
        <v>46091.0</v>
      </c>
      <c r="C315" s="133" t="str">
        <f t="shared" si="40"/>
        <v>Tue</v>
      </c>
      <c r="D315" s="136">
        <f t="shared" si="41"/>
        <v>1</v>
      </c>
      <c r="E315" s="137" t="s">
        <v>129</v>
      </c>
      <c r="F315" s="137" t="s">
        <v>129</v>
      </c>
      <c r="G315" s="137" t="s">
        <v>129</v>
      </c>
      <c r="H315" s="137" t="s">
        <v>129</v>
      </c>
      <c r="I315" s="137" t="s">
        <v>129</v>
      </c>
      <c r="J315" s="137" t="s">
        <v>129</v>
      </c>
      <c r="K315" s="137" t="s">
        <v>129</v>
      </c>
      <c r="L315" s="137" t="s">
        <v>129</v>
      </c>
      <c r="M315" s="141"/>
      <c r="N315" s="143"/>
    </row>
    <row r="316" hidden="1" outlineLevel="1">
      <c r="A316" s="219" t="s">
        <v>2834</v>
      </c>
      <c r="B316" s="344">
        <v>46091.0</v>
      </c>
      <c r="C316" s="133" t="str">
        <f t="shared" si="40"/>
        <v>Tue</v>
      </c>
      <c r="D316" s="136">
        <f t="shared" si="41"/>
        <v>1</v>
      </c>
      <c r="E316" s="137" t="s">
        <v>129</v>
      </c>
      <c r="F316" s="137" t="s">
        <v>129</v>
      </c>
      <c r="G316" s="137" t="s">
        <v>129</v>
      </c>
      <c r="H316" s="137" t="s">
        <v>129</v>
      </c>
      <c r="I316" s="137" t="s">
        <v>129</v>
      </c>
      <c r="J316" s="137" t="s">
        <v>129</v>
      </c>
      <c r="K316" s="137" t="s">
        <v>129</v>
      </c>
      <c r="L316" s="137" t="s">
        <v>129</v>
      </c>
      <c r="M316" s="141"/>
      <c r="N316" s="143"/>
    </row>
    <row r="317" hidden="1" outlineLevel="1">
      <c r="A317" s="255" t="s">
        <v>2837</v>
      </c>
      <c r="B317" s="344">
        <v>46093.0</v>
      </c>
      <c r="C317" s="133" t="str">
        <f t="shared" si="40"/>
        <v>Thu</v>
      </c>
      <c r="D317" s="136">
        <f t="shared" si="41"/>
        <v>1</v>
      </c>
      <c r="E317" s="137" t="s">
        <v>129</v>
      </c>
      <c r="F317" s="137" t="s">
        <v>129</v>
      </c>
      <c r="G317" s="137" t="s">
        <v>129</v>
      </c>
      <c r="H317" s="137" t="s">
        <v>129</v>
      </c>
      <c r="I317" s="137" t="s">
        <v>129</v>
      </c>
      <c r="J317" s="137" t="s">
        <v>129</v>
      </c>
      <c r="K317" s="137" t="s">
        <v>129</v>
      </c>
      <c r="L317" s="137" t="s">
        <v>129</v>
      </c>
      <c r="M317" s="141"/>
      <c r="N317" s="143"/>
    </row>
    <row r="318" hidden="1" outlineLevel="1">
      <c r="A318" s="255" t="s">
        <v>2840</v>
      </c>
      <c r="B318" s="344">
        <v>46093.0</v>
      </c>
      <c r="C318" s="133" t="str">
        <f t="shared" si="40"/>
        <v>Thu</v>
      </c>
      <c r="D318" s="136">
        <f t="shared" si="41"/>
        <v>1</v>
      </c>
      <c r="E318" s="137" t="s">
        <v>129</v>
      </c>
      <c r="F318" s="137" t="s">
        <v>129</v>
      </c>
      <c r="G318" s="137" t="s">
        <v>129</v>
      </c>
      <c r="H318" s="137" t="s">
        <v>129</v>
      </c>
      <c r="I318" s="137" t="s">
        <v>129</v>
      </c>
      <c r="J318" s="137" t="s">
        <v>129</v>
      </c>
      <c r="K318" s="137" t="s">
        <v>129</v>
      </c>
      <c r="L318" s="137" t="s">
        <v>129</v>
      </c>
      <c r="M318" s="141"/>
      <c r="N318" s="147"/>
    </row>
    <row r="319" hidden="1" outlineLevel="1">
      <c r="A319" s="255" t="s">
        <v>2844</v>
      </c>
      <c r="B319" s="344">
        <v>46093.0</v>
      </c>
      <c r="C319" s="133" t="str">
        <f t="shared" si="40"/>
        <v>Thu</v>
      </c>
      <c r="D319" s="136">
        <f t="shared" si="41"/>
        <v>1</v>
      </c>
      <c r="E319" s="137" t="s">
        <v>129</v>
      </c>
      <c r="F319" s="137" t="s">
        <v>129</v>
      </c>
      <c r="G319" s="137" t="s">
        <v>129</v>
      </c>
      <c r="H319" s="137" t="s">
        <v>129</v>
      </c>
      <c r="I319" s="137" t="s">
        <v>129</v>
      </c>
      <c r="J319" s="137" t="s">
        <v>129</v>
      </c>
      <c r="K319" s="137" t="s">
        <v>129</v>
      </c>
      <c r="L319" s="137" t="s">
        <v>129</v>
      </c>
      <c r="M319" s="141"/>
      <c r="N319" s="143"/>
    </row>
    <row r="320" hidden="1" outlineLevel="1">
      <c r="A320" s="219" t="s">
        <v>2848</v>
      </c>
      <c r="B320" s="344">
        <v>46094.0</v>
      </c>
      <c r="C320" s="133" t="str">
        <f t="shared" si="40"/>
        <v>Fri</v>
      </c>
      <c r="D320" s="136">
        <f t="shared" si="41"/>
        <v>1</v>
      </c>
      <c r="E320" s="137" t="s">
        <v>129</v>
      </c>
      <c r="F320" s="137" t="s">
        <v>129</v>
      </c>
      <c r="G320" s="137" t="s">
        <v>129</v>
      </c>
      <c r="H320" s="137" t="s">
        <v>129</v>
      </c>
      <c r="I320" s="137" t="s">
        <v>129</v>
      </c>
      <c r="J320" s="137" t="s">
        <v>129</v>
      </c>
      <c r="K320" s="137" t="s">
        <v>129</v>
      </c>
      <c r="L320" s="137" t="s">
        <v>129</v>
      </c>
      <c r="M320" s="141"/>
      <c r="N320" s="147"/>
    </row>
    <row r="321" hidden="1" outlineLevel="1">
      <c r="A321" s="219" t="s">
        <v>2853</v>
      </c>
      <c r="B321" s="344">
        <v>46094.0</v>
      </c>
      <c r="C321" s="133" t="str">
        <f t="shared" si="40"/>
        <v>Fri</v>
      </c>
      <c r="D321" s="136">
        <f t="shared" si="41"/>
        <v>1</v>
      </c>
      <c r="E321" s="137" t="s">
        <v>129</v>
      </c>
      <c r="F321" s="137" t="s">
        <v>129</v>
      </c>
      <c r="G321" s="137" t="s">
        <v>129</v>
      </c>
      <c r="H321" s="137" t="s">
        <v>129</v>
      </c>
      <c r="I321" s="137" t="s">
        <v>129</v>
      </c>
      <c r="J321" s="137" t="s">
        <v>129</v>
      </c>
      <c r="K321" s="137" t="s">
        <v>129</v>
      </c>
      <c r="L321" s="137" t="s">
        <v>129</v>
      </c>
      <c r="M321" s="141"/>
      <c r="N321" s="147"/>
    </row>
    <row r="322" hidden="1" outlineLevel="1">
      <c r="A322" s="219" t="s">
        <v>2855</v>
      </c>
      <c r="B322" s="344">
        <v>46094.0</v>
      </c>
      <c r="C322" s="133" t="str">
        <f t="shared" si="40"/>
        <v>Fri</v>
      </c>
      <c r="D322" s="136">
        <f t="shared" si="41"/>
        <v>1</v>
      </c>
      <c r="E322" s="137" t="s">
        <v>129</v>
      </c>
      <c r="F322" s="137" t="s">
        <v>129</v>
      </c>
      <c r="G322" s="137" t="s">
        <v>129</v>
      </c>
      <c r="H322" s="137" t="s">
        <v>129</v>
      </c>
      <c r="I322" s="137" t="s">
        <v>129</v>
      </c>
      <c r="J322" s="137" t="s">
        <v>129</v>
      </c>
      <c r="K322" s="137" t="s">
        <v>129</v>
      </c>
      <c r="L322" s="137" t="s">
        <v>129</v>
      </c>
      <c r="M322" s="141"/>
      <c r="N322" s="147"/>
    </row>
    <row r="323" hidden="1" outlineLevel="1">
      <c r="A323" s="367" t="s">
        <v>2857</v>
      </c>
      <c r="B323" s="344">
        <v>46095.0</v>
      </c>
      <c r="C323" s="133" t="str">
        <f t="shared" si="40"/>
        <v>Sat</v>
      </c>
      <c r="D323" s="136">
        <f t="shared" si="41"/>
        <v>1</v>
      </c>
      <c r="E323" s="137" t="s">
        <v>129</v>
      </c>
      <c r="F323" s="137" t="s">
        <v>129</v>
      </c>
      <c r="G323" s="137" t="s">
        <v>129</v>
      </c>
      <c r="H323" s="137" t="s">
        <v>129</v>
      </c>
      <c r="I323" s="137" t="s">
        <v>129</v>
      </c>
      <c r="J323" s="137" t="s">
        <v>129</v>
      </c>
      <c r="K323" s="137" t="s">
        <v>129</v>
      </c>
      <c r="L323" s="137" t="s">
        <v>129</v>
      </c>
      <c r="M323" s="141"/>
      <c r="N323" s="143"/>
    </row>
    <row r="324" hidden="1" outlineLevel="1">
      <c r="A324" s="367" t="s">
        <v>2859</v>
      </c>
      <c r="B324" s="344">
        <v>46095.0</v>
      </c>
      <c r="C324" s="133" t="str">
        <f t="shared" si="40"/>
        <v>Sat</v>
      </c>
      <c r="D324" s="136">
        <f t="shared" si="41"/>
        <v>1</v>
      </c>
      <c r="E324" s="137" t="s">
        <v>129</v>
      </c>
      <c r="F324" s="137" t="s">
        <v>129</v>
      </c>
      <c r="G324" s="137" t="s">
        <v>129</v>
      </c>
      <c r="H324" s="137" t="s">
        <v>129</v>
      </c>
      <c r="I324" s="137" t="s">
        <v>129</v>
      </c>
      <c r="J324" s="137" t="s">
        <v>129</v>
      </c>
      <c r="K324" s="137" t="s">
        <v>129</v>
      </c>
      <c r="L324" s="137" t="s">
        <v>129</v>
      </c>
      <c r="M324" s="141"/>
      <c r="N324" s="143"/>
    </row>
    <row r="325" ht="15.0" hidden="1" customHeight="1" outlineLevel="1">
      <c r="A325" s="367" t="s">
        <v>2862</v>
      </c>
      <c r="B325" s="344">
        <v>46095.0</v>
      </c>
      <c r="C325" s="133" t="str">
        <f t="shared" si="40"/>
        <v>Sat</v>
      </c>
      <c r="D325" s="136">
        <f t="shared" si="41"/>
        <v>1</v>
      </c>
      <c r="E325" s="137" t="s">
        <v>129</v>
      </c>
      <c r="F325" s="137" t="s">
        <v>129</v>
      </c>
      <c r="G325" s="137" t="s">
        <v>129</v>
      </c>
      <c r="H325" s="137" t="s">
        <v>129</v>
      </c>
      <c r="I325" s="137" t="s">
        <v>129</v>
      </c>
      <c r="J325" s="137" t="s">
        <v>129</v>
      </c>
      <c r="K325" s="137" t="s">
        <v>129</v>
      </c>
      <c r="L325" s="137" t="s">
        <v>129</v>
      </c>
      <c r="M325" s="141"/>
      <c r="N325" s="147"/>
    </row>
    <row r="326" hidden="1" outlineLevel="1">
      <c r="B326" s="189"/>
      <c r="C326" s="191" t="s">
        <v>194</v>
      </c>
      <c r="D326" s="204">
        <f>AVERAGE(D311:D325)</f>
        <v>1</v>
      </c>
      <c r="E326" s="200"/>
      <c r="L326" s="191" t="s">
        <v>194</v>
      </c>
      <c r="M326" s="204">
        <f>SUM(M311:M325)/75*0.1</f>
        <v>0</v>
      </c>
    </row>
    <row r="327" hidden="1" collapsed="1">
      <c r="A327" s="206" t="s">
        <v>792</v>
      </c>
      <c r="B327" s="207"/>
      <c r="C327" s="207"/>
      <c r="D327" s="208"/>
      <c r="E327" s="109"/>
      <c r="F327" s="109"/>
      <c r="G327" s="110"/>
      <c r="H327" s="110"/>
      <c r="I327" s="110"/>
      <c r="J327" s="110"/>
      <c r="K327" s="110"/>
      <c r="L327" s="110"/>
      <c r="M327" s="111"/>
      <c r="N327" s="113"/>
    </row>
    <row r="328" hidden="1" outlineLevel="1">
      <c r="A328" s="373" t="s">
        <v>98</v>
      </c>
      <c r="B328" s="115" t="s">
        <v>100</v>
      </c>
      <c r="C328" s="115" t="s">
        <v>102</v>
      </c>
      <c r="D328" s="119" t="s">
        <v>103</v>
      </c>
      <c r="E328" s="275" t="s">
        <v>269</v>
      </c>
      <c r="F328" s="275" t="s">
        <v>272</v>
      </c>
      <c r="G328" s="276" t="s">
        <v>328</v>
      </c>
      <c r="H328" s="121" t="s">
        <v>107</v>
      </c>
      <c r="I328" s="121" t="s">
        <v>108</v>
      </c>
      <c r="J328" s="276" t="s">
        <v>329</v>
      </c>
      <c r="K328" s="121" t="s">
        <v>111</v>
      </c>
      <c r="L328" s="276" t="s">
        <v>274</v>
      </c>
      <c r="M328" s="115" t="s">
        <v>114</v>
      </c>
      <c r="N328" s="119" t="s">
        <v>115</v>
      </c>
    </row>
    <row r="329" hidden="1" outlineLevel="1">
      <c r="A329" s="433" t="s">
        <v>2866</v>
      </c>
      <c r="B329" s="344">
        <v>46097.0</v>
      </c>
      <c r="C329" s="133" t="str">
        <f t="shared" ref="C329:C343" si="42">IF(B329="", "", TEXT(B329, "ddd"))</f>
        <v>Mon</v>
      </c>
      <c r="D329" s="136">
        <f t="shared" ref="D329:D343" si="43">IF(E329="Yes",0.05,0)
+IF(F329="Yes",0.1,0)
+IF(G329="Yes",0.15,0)
+IF(H329="Yes",0.15,0)
+IF(I329="Yes",0.05,0)
+IF(J329="Yes",0.05,0)
+IF(K329="Yes",0.15,0)
+IF(L329="Yes",0.3,0)
</f>
        <v>1</v>
      </c>
      <c r="E329" s="137" t="s">
        <v>129</v>
      </c>
      <c r="F329" s="137" t="s">
        <v>129</v>
      </c>
      <c r="G329" s="137" t="s">
        <v>129</v>
      </c>
      <c r="H329" s="137" t="s">
        <v>129</v>
      </c>
      <c r="I329" s="137" t="s">
        <v>129</v>
      </c>
      <c r="J329" s="137" t="s">
        <v>129</v>
      </c>
      <c r="K329" s="137" t="s">
        <v>129</v>
      </c>
      <c r="L329" s="137" t="s">
        <v>129</v>
      </c>
      <c r="M329" s="141"/>
      <c r="N329" s="143"/>
    </row>
    <row r="330" hidden="1" outlineLevel="1">
      <c r="A330" s="433" t="s">
        <v>2870</v>
      </c>
      <c r="B330" s="344">
        <v>46097.0</v>
      </c>
      <c r="C330" s="133" t="str">
        <f t="shared" si="42"/>
        <v>Mon</v>
      </c>
      <c r="D330" s="136">
        <f t="shared" si="43"/>
        <v>1</v>
      </c>
      <c r="E330" s="137" t="s">
        <v>129</v>
      </c>
      <c r="F330" s="137" t="s">
        <v>129</v>
      </c>
      <c r="G330" s="137" t="s">
        <v>129</v>
      </c>
      <c r="H330" s="137" t="s">
        <v>129</v>
      </c>
      <c r="I330" s="137" t="s">
        <v>129</v>
      </c>
      <c r="J330" s="137" t="s">
        <v>129</v>
      </c>
      <c r="K330" s="137" t="s">
        <v>129</v>
      </c>
      <c r="L330" s="137" t="s">
        <v>129</v>
      </c>
      <c r="M330" s="141"/>
      <c r="N330" s="147"/>
    </row>
    <row r="331" hidden="1" outlineLevel="1">
      <c r="A331" s="488" t="s">
        <v>2872</v>
      </c>
      <c r="B331" s="344">
        <v>46097.0</v>
      </c>
      <c r="C331" s="133" t="str">
        <f t="shared" si="42"/>
        <v>Mon</v>
      </c>
      <c r="D331" s="136">
        <f t="shared" si="43"/>
        <v>1</v>
      </c>
      <c r="E331" s="137" t="s">
        <v>129</v>
      </c>
      <c r="F331" s="137" t="s">
        <v>129</v>
      </c>
      <c r="G331" s="137" t="s">
        <v>129</v>
      </c>
      <c r="H331" s="137" t="s">
        <v>129</v>
      </c>
      <c r="I331" s="137" t="s">
        <v>129</v>
      </c>
      <c r="J331" s="137" t="s">
        <v>129</v>
      </c>
      <c r="K331" s="137" t="s">
        <v>129</v>
      </c>
      <c r="L331" s="137" t="s">
        <v>129</v>
      </c>
      <c r="M331" s="141"/>
      <c r="N331" s="147"/>
    </row>
    <row r="332" hidden="1" outlineLevel="1">
      <c r="A332" s="219" t="s">
        <v>2874</v>
      </c>
      <c r="B332" s="344">
        <v>46098.0</v>
      </c>
      <c r="C332" s="133" t="str">
        <f t="shared" si="42"/>
        <v>Tue</v>
      </c>
      <c r="D332" s="136">
        <f t="shared" si="43"/>
        <v>1</v>
      </c>
      <c r="E332" s="137" t="s">
        <v>129</v>
      </c>
      <c r="F332" s="137" t="s">
        <v>129</v>
      </c>
      <c r="G332" s="137" t="s">
        <v>129</v>
      </c>
      <c r="H332" s="137" t="s">
        <v>129</v>
      </c>
      <c r="I332" s="137" t="s">
        <v>129</v>
      </c>
      <c r="J332" s="137" t="s">
        <v>129</v>
      </c>
      <c r="K332" s="137" t="s">
        <v>129</v>
      </c>
      <c r="L332" s="137" t="s">
        <v>129</v>
      </c>
      <c r="M332" s="141"/>
      <c r="N332" s="143"/>
    </row>
    <row r="333" hidden="1" outlineLevel="1">
      <c r="A333" s="219" t="s">
        <v>2877</v>
      </c>
      <c r="B333" s="344">
        <v>46098.0</v>
      </c>
      <c r="C333" s="133" t="str">
        <f t="shared" si="42"/>
        <v>Tue</v>
      </c>
      <c r="D333" s="136">
        <f t="shared" si="43"/>
        <v>1</v>
      </c>
      <c r="E333" s="137" t="s">
        <v>129</v>
      </c>
      <c r="F333" s="137" t="s">
        <v>129</v>
      </c>
      <c r="G333" s="137" t="s">
        <v>129</v>
      </c>
      <c r="H333" s="137" t="s">
        <v>129</v>
      </c>
      <c r="I333" s="137" t="s">
        <v>129</v>
      </c>
      <c r="J333" s="137" t="s">
        <v>129</v>
      </c>
      <c r="K333" s="137" t="s">
        <v>129</v>
      </c>
      <c r="L333" s="137" t="s">
        <v>129</v>
      </c>
      <c r="M333" s="141"/>
      <c r="N333" s="143"/>
    </row>
    <row r="334" hidden="1" outlineLevel="1">
      <c r="A334" s="219" t="s">
        <v>2880</v>
      </c>
      <c r="B334" s="344">
        <v>46098.0</v>
      </c>
      <c r="C334" s="133" t="str">
        <f t="shared" si="42"/>
        <v>Tue</v>
      </c>
      <c r="D334" s="136">
        <f t="shared" si="43"/>
        <v>1</v>
      </c>
      <c r="E334" s="137" t="s">
        <v>129</v>
      </c>
      <c r="F334" s="137" t="s">
        <v>129</v>
      </c>
      <c r="G334" s="137" t="s">
        <v>129</v>
      </c>
      <c r="H334" s="137" t="s">
        <v>129</v>
      </c>
      <c r="I334" s="137" t="s">
        <v>129</v>
      </c>
      <c r="J334" s="137" t="s">
        <v>129</v>
      </c>
      <c r="K334" s="137" t="s">
        <v>129</v>
      </c>
      <c r="L334" s="137" t="s">
        <v>129</v>
      </c>
      <c r="M334" s="141"/>
      <c r="N334" s="143"/>
    </row>
    <row r="335" hidden="1" outlineLevel="1">
      <c r="A335" s="303" t="s">
        <v>2888</v>
      </c>
      <c r="B335" s="344">
        <v>46099.0</v>
      </c>
      <c r="C335" s="133" t="str">
        <f t="shared" si="42"/>
        <v>Wed</v>
      </c>
      <c r="D335" s="136">
        <f t="shared" si="43"/>
        <v>1</v>
      </c>
      <c r="E335" s="137" t="s">
        <v>129</v>
      </c>
      <c r="F335" s="137" t="s">
        <v>129</v>
      </c>
      <c r="G335" s="137" t="s">
        <v>129</v>
      </c>
      <c r="H335" s="137" t="s">
        <v>129</v>
      </c>
      <c r="I335" s="137" t="s">
        <v>129</v>
      </c>
      <c r="J335" s="137" t="s">
        <v>129</v>
      </c>
      <c r="K335" s="137" t="s">
        <v>129</v>
      </c>
      <c r="L335" s="137" t="s">
        <v>129</v>
      </c>
      <c r="M335" s="141"/>
      <c r="N335" s="143"/>
    </row>
    <row r="336" hidden="1" outlineLevel="1">
      <c r="A336" s="303" t="s">
        <v>2890</v>
      </c>
      <c r="B336" s="344">
        <v>46099.0</v>
      </c>
      <c r="C336" s="133" t="str">
        <f t="shared" si="42"/>
        <v>Wed</v>
      </c>
      <c r="D336" s="136">
        <f t="shared" si="43"/>
        <v>1</v>
      </c>
      <c r="E336" s="137" t="s">
        <v>129</v>
      </c>
      <c r="F336" s="137" t="s">
        <v>129</v>
      </c>
      <c r="G336" s="137" t="s">
        <v>129</v>
      </c>
      <c r="H336" s="137" t="s">
        <v>129</v>
      </c>
      <c r="I336" s="137" t="s">
        <v>129</v>
      </c>
      <c r="J336" s="137" t="s">
        <v>129</v>
      </c>
      <c r="K336" s="137" t="s">
        <v>129</v>
      </c>
      <c r="L336" s="137" t="s">
        <v>129</v>
      </c>
      <c r="M336" s="141"/>
      <c r="N336" s="147"/>
    </row>
    <row r="337" hidden="1" outlineLevel="1">
      <c r="A337" s="303" t="s">
        <v>2891</v>
      </c>
      <c r="B337" s="344">
        <v>46099.0</v>
      </c>
      <c r="C337" s="133" t="str">
        <f t="shared" si="42"/>
        <v>Wed</v>
      </c>
      <c r="D337" s="136">
        <f t="shared" si="43"/>
        <v>1</v>
      </c>
      <c r="E337" s="137" t="s">
        <v>129</v>
      </c>
      <c r="F337" s="137" t="s">
        <v>129</v>
      </c>
      <c r="G337" s="137" t="s">
        <v>129</v>
      </c>
      <c r="H337" s="137" t="s">
        <v>129</v>
      </c>
      <c r="I337" s="137" t="s">
        <v>129</v>
      </c>
      <c r="J337" s="137" t="s">
        <v>129</v>
      </c>
      <c r="K337" s="137" t="s">
        <v>129</v>
      </c>
      <c r="L337" s="137" t="s">
        <v>129</v>
      </c>
      <c r="M337" s="141"/>
      <c r="N337" s="143"/>
    </row>
    <row r="338" hidden="1" outlineLevel="1">
      <c r="A338" s="303" t="s">
        <v>2893</v>
      </c>
      <c r="B338" s="344">
        <v>46100.0</v>
      </c>
      <c r="C338" s="133" t="str">
        <f t="shared" si="42"/>
        <v>Thu</v>
      </c>
      <c r="D338" s="136">
        <f t="shared" si="43"/>
        <v>1</v>
      </c>
      <c r="E338" s="137" t="s">
        <v>129</v>
      </c>
      <c r="F338" s="137" t="s">
        <v>129</v>
      </c>
      <c r="G338" s="137" t="s">
        <v>129</v>
      </c>
      <c r="H338" s="137" t="s">
        <v>129</v>
      </c>
      <c r="I338" s="137" t="s">
        <v>129</v>
      </c>
      <c r="J338" s="137" t="s">
        <v>129</v>
      </c>
      <c r="K338" s="137" t="s">
        <v>129</v>
      </c>
      <c r="L338" s="137" t="s">
        <v>129</v>
      </c>
      <c r="M338" s="141"/>
      <c r="N338" s="147"/>
    </row>
    <row r="339" hidden="1" outlineLevel="1">
      <c r="A339" s="303" t="s">
        <v>2896</v>
      </c>
      <c r="B339" s="344">
        <v>46100.0</v>
      </c>
      <c r="C339" s="133" t="str">
        <f t="shared" si="42"/>
        <v>Thu</v>
      </c>
      <c r="D339" s="136">
        <f t="shared" si="43"/>
        <v>1</v>
      </c>
      <c r="E339" s="137" t="s">
        <v>129</v>
      </c>
      <c r="F339" s="137" t="s">
        <v>129</v>
      </c>
      <c r="G339" s="137" t="s">
        <v>129</v>
      </c>
      <c r="H339" s="137" t="s">
        <v>129</v>
      </c>
      <c r="I339" s="137" t="s">
        <v>129</v>
      </c>
      <c r="J339" s="137" t="s">
        <v>129</v>
      </c>
      <c r="K339" s="137" t="s">
        <v>129</v>
      </c>
      <c r="L339" s="137" t="s">
        <v>129</v>
      </c>
      <c r="M339" s="141"/>
      <c r="N339" s="147"/>
    </row>
    <row r="340" hidden="1" outlineLevel="1">
      <c r="A340" s="303" t="s">
        <v>2901</v>
      </c>
      <c r="B340" s="344">
        <v>46100.0</v>
      </c>
      <c r="C340" s="133" t="str">
        <f t="shared" si="42"/>
        <v>Thu</v>
      </c>
      <c r="D340" s="136">
        <f t="shared" si="43"/>
        <v>1</v>
      </c>
      <c r="E340" s="137" t="s">
        <v>129</v>
      </c>
      <c r="F340" s="137" t="s">
        <v>129</v>
      </c>
      <c r="G340" s="137" t="s">
        <v>129</v>
      </c>
      <c r="H340" s="137" t="s">
        <v>129</v>
      </c>
      <c r="I340" s="137" t="s">
        <v>129</v>
      </c>
      <c r="J340" s="137" t="s">
        <v>129</v>
      </c>
      <c r="K340" s="137" t="s">
        <v>129</v>
      </c>
      <c r="L340" s="137" t="s">
        <v>129</v>
      </c>
      <c r="M340" s="141"/>
      <c r="N340" s="147"/>
    </row>
    <row r="341" hidden="1" outlineLevel="1">
      <c r="A341" s="303" t="s">
        <v>2904</v>
      </c>
      <c r="B341" s="344">
        <v>46103.0</v>
      </c>
      <c r="C341" s="133" t="str">
        <f t="shared" si="42"/>
        <v>Sun</v>
      </c>
      <c r="D341" s="136">
        <f t="shared" si="43"/>
        <v>1</v>
      </c>
      <c r="E341" s="137" t="s">
        <v>129</v>
      </c>
      <c r="F341" s="137" t="s">
        <v>129</v>
      </c>
      <c r="G341" s="137" t="s">
        <v>129</v>
      </c>
      <c r="H341" s="137" t="s">
        <v>129</v>
      </c>
      <c r="I341" s="137" t="s">
        <v>129</v>
      </c>
      <c r="J341" s="137" t="s">
        <v>129</v>
      </c>
      <c r="K341" s="137" t="s">
        <v>129</v>
      </c>
      <c r="L341" s="137" t="s">
        <v>129</v>
      </c>
      <c r="M341" s="141"/>
      <c r="N341" s="143"/>
    </row>
    <row r="342" hidden="1" outlineLevel="1">
      <c r="A342" s="376" t="s">
        <v>2907</v>
      </c>
      <c r="B342" s="344">
        <v>46103.0</v>
      </c>
      <c r="C342" s="133" t="str">
        <f t="shared" si="42"/>
        <v>Sun</v>
      </c>
      <c r="D342" s="136">
        <f t="shared" si="43"/>
        <v>1</v>
      </c>
      <c r="E342" s="137" t="s">
        <v>129</v>
      </c>
      <c r="F342" s="137" t="s">
        <v>129</v>
      </c>
      <c r="G342" s="137" t="s">
        <v>129</v>
      </c>
      <c r="H342" s="137" t="s">
        <v>129</v>
      </c>
      <c r="I342" s="137" t="s">
        <v>129</v>
      </c>
      <c r="J342" s="137" t="s">
        <v>129</v>
      </c>
      <c r="K342" s="137" t="s">
        <v>129</v>
      </c>
      <c r="L342" s="137" t="s">
        <v>129</v>
      </c>
      <c r="M342" s="141"/>
      <c r="N342" s="143"/>
    </row>
    <row r="343" ht="15.0" hidden="1" customHeight="1" outlineLevel="1">
      <c r="A343" s="303" t="s">
        <v>2909</v>
      </c>
      <c r="B343" s="344">
        <v>46103.0</v>
      </c>
      <c r="C343" s="133" t="str">
        <f t="shared" si="42"/>
        <v>Sun</v>
      </c>
      <c r="D343" s="136">
        <f t="shared" si="43"/>
        <v>1</v>
      </c>
      <c r="E343" s="137" t="s">
        <v>129</v>
      </c>
      <c r="F343" s="137" t="s">
        <v>129</v>
      </c>
      <c r="G343" s="137" t="s">
        <v>129</v>
      </c>
      <c r="H343" s="137" t="s">
        <v>129</v>
      </c>
      <c r="I343" s="137" t="s">
        <v>129</v>
      </c>
      <c r="J343" s="137" t="s">
        <v>129</v>
      </c>
      <c r="K343" s="137" t="s">
        <v>129</v>
      </c>
      <c r="L343" s="137" t="s">
        <v>129</v>
      </c>
      <c r="M343" s="141"/>
      <c r="N343" s="147"/>
    </row>
    <row r="344" hidden="1" outlineLevel="1">
      <c r="B344" s="189"/>
      <c r="C344" s="191" t="s">
        <v>194</v>
      </c>
      <c r="D344" s="204">
        <f>AVERAGE(D329:D343)</f>
        <v>1</v>
      </c>
      <c r="E344" s="200"/>
      <c r="L344" s="191" t="s">
        <v>194</v>
      </c>
      <c r="M344" s="204">
        <f>SUM(M329:M343)/75*0.1</f>
        <v>0</v>
      </c>
    </row>
    <row r="345" hidden="1" collapsed="1">
      <c r="A345" s="206" t="s">
        <v>831</v>
      </c>
      <c r="B345" s="207"/>
      <c r="C345" s="207"/>
      <c r="D345" s="208"/>
      <c r="E345" s="109"/>
      <c r="F345" s="109"/>
      <c r="G345" s="110"/>
      <c r="H345" s="110"/>
      <c r="I345" s="110"/>
      <c r="J345" s="110"/>
      <c r="K345" s="110"/>
      <c r="L345" s="110"/>
      <c r="M345" s="111"/>
      <c r="N345" s="113"/>
    </row>
    <row r="346" hidden="1" outlineLevel="1">
      <c r="A346" s="373" t="s">
        <v>98</v>
      </c>
      <c r="B346" s="115" t="s">
        <v>100</v>
      </c>
      <c r="C346" s="115" t="s">
        <v>102</v>
      </c>
      <c r="D346" s="119" t="s">
        <v>103</v>
      </c>
      <c r="E346" s="275" t="s">
        <v>269</v>
      </c>
      <c r="F346" s="275" t="s">
        <v>272</v>
      </c>
      <c r="G346" s="276" t="s">
        <v>328</v>
      </c>
      <c r="H346" s="121" t="s">
        <v>107</v>
      </c>
      <c r="I346" s="121" t="s">
        <v>108</v>
      </c>
      <c r="J346" s="276" t="s">
        <v>329</v>
      </c>
      <c r="K346" s="121" t="s">
        <v>111</v>
      </c>
      <c r="L346" s="276" t="s">
        <v>274</v>
      </c>
      <c r="M346" s="115" t="s">
        <v>114</v>
      </c>
      <c r="N346" s="119" t="s">
        <v>115</v>
      </c>
    </row>
    <row r="347" hidden="1" outlineLevel="1">
      <c r="A347" s="303" t="s">
        <v>2914</v>
      </c>
      <c r="B347" s="344">
        <v>46104.0</v>
      </c>
      <c r="C347" s="133" t="str">
        <f t="shared" ref="C347:C361" si="44">IF(B347="", "", TEXT(B347, "ddd"))</f>
        <v>Mon</v>
      </c>
      <c r="D347" s="136">
        <f t="shared" ref="D347:D361" si="45">IF(E347="Yes",0.05,0)
+IF(F347="Yes",0.1,0)
+IF(G347="Yes",0.15,0)
+IF(H347="Yes",0.15,0)
+IF(I347="Yes",0.05,0)
+IF(J347="Yes",0.05,0)
+IF(K347="Yes",0.15,0)
+IF(L347="Yes",0.3,0)
</f>
        <v>1</v>
      </c>
      <c r="E347" s="137" t="s">
        <v>129</v>
      </c>
      <c r="F347" s="137" t="s">
        <v>129</v>
      </c>
      <c r="G347" s="137" t="s">
        <v>129</v>
      </c>
      <c r="H347" s="137" t="s">
        <v>129</v>
      </c>
      <c r="I347" s="137" t="s">
        <v>129</v>
      </c>
      <c r="J347" s="137" t="s">
        <v>129</v>
      </c>
      <c r="K347" s="137" t="s">
        <v>129</v>
      </c>
      <c r="L347" s="137" t="s">
        <v>129</v>
      </c>
      <c r="M347" s="141"/>
      <c r="N347" s="143"/>
    </row>
    <row r="348" hidden="1" outlineLevel="1">
      <c r="A348" s="303" t="s">
        <v>2921</v>
      </c>
      <c r="B348" s="344">
        <v>46104.0</v>
      </c>
      <c r="C348" s="133" t="str">
        <f t="shared" si="44"/>
        <v>Mon</v>
      </c>
      <c r="D348" s="136">
        <f t="shared" si="45"/>
        <v>1</v>
      </c>
      <c r="E348" s="137" t="s">
        <v>129</v>
      </c>
      <c r="F348" s="137" t="s">
        <v>129</v>
      </c>
      <c r="G348" s="137" t="s">
        <v>129</v>
      </c>
      <c r="H348" s="137" t="s">
        <v>129</v>
      </c>
      <c r="I348" s="137" t="s">
        <v>129</v>
      </c>
      <c r="J348" s="137" t="s">
        <v>129</v>
      </c>
      <c r="K348" s="137" t="s">
        <v>129</v>
      </c>
      <c r="L348" s="137" t="s">
        <v>129</v>
      </c>
      <c r="M348" s="141"/>
      <c r="N348" s="147"/>
    </row>
    <row r="349" hidden="1" outlineLevel="1">
      <c r="A349" s="303" t="s">
        <v>2925</v>
      </c>
      <c r="B349" s="344">
        <v>46104.0</v>
      </c>
      <c r="C349" s="133" t="str">
        <f t="shared" si="44"/>
        <v>Mon</v>
      </c>
      <c r="D349" s="136">
        <f t="shared" si="45"/>
        <v>1</v>
      </c>
      <c r="E349" s="137" t="s">
        <v>129</v>
      </c>
      <c r="F349" s="137" t="s">
        <v>129</v>
      </c>
      <c r="G349" s="137" t="s">
        <v>129</v>
      </c>
      <c r="H349" s="137" t="s">
        <v>129</v>
      </c>
      <c r="I349" s="137" t="s">
        <v>129</v>
      </c>
      <c r="J349" s="137" t="s">
        <v>129</v>
      </c>
      <c r="K349" s="137" t="s">
        <v>129</v>
      </c>
      <c r="L349" s="137" t="s">
        <v>129</v>
      </c>
      <c r="M349" s="141"/>
      <c r="N349" s="147"/>
    </row>
    <row r="350" hidden="1" outlineLevel="1">
      <c r="A350" s="255" t="s">
        <v>2928</v>
      </c>
      <c r="B350" s="344">
        <v>46105.0</v>
      </c>
      <c r="C350" s="133" t="str">
        <f t="shared" si="44"/>
        <v>Tue</v>
      </c>
      <c r="D350" s="136">
        <f t="shared" si="45"/>
        <v>1</v>
      </c>
      <c r="E350" s="137" t="s">
        <v>129</v>
      </c>
      <c r="F350" s="137" t="s">
        <v>129</v>
      </c>
      <c r="G350" s="137" t="s">
        <v>129</v>
      </c>
      <c r="H350" s="137" t="s">
        <v>129</v>
      </c>
      <c r="I350" s="137" t="s">
        <v>129</v>
      </c>
      <c r="J350" s="137" t="s">
        <v>129</v>
      </c>
      <c r="K350" s="137" t="s">
        <v>129</v>
      </c>
      <c r="L350" s="137" t="s">
        <v>129</v>
      </c>
      <c r="M350" s="141"/>
      <c r="N350" s="143"/>
    </row>
    <row r="351" hidden="1" outlineLevel="1">
      <c r="A351" s="255" t="s">
        <v>2930</v>
      </c>
      <c r="B351" s="344">
        <v>46105.0</v>
      </c>
      <c r="C351" s="133" t="str">
        <f t="shared" si="44"/>
        <v>Tue</v>
      </c>
      <c r="D351" s="136">
        <f t="shared" si="45"/>
        <v>1</v>
      </c>
      <c r="E351" s="137" t="s">
        <v>129</v>
      </c>
      <c r="F351" s="137" t="s">
        <v>129</v>
      </c>
      <c r="G351" s="137" t="s">
        <v>129</v>
      </c>
      <c r="H351" s="137" t="s">
        <v>129</v>
      </c>
      <c r="I351" s="137" t="s">
        <v>129</v>
      </c>
      <c r="J351" s="137" t="s">
        <v>129</v>
      </c>
      <c r="K351" s="137" t="s">
        <v>129</v>
      </c>
      <c r="L351" s="137" t="s">
        <v>129</v>
      </c>
      <c r="M351" s="141"/>
      <c r="N351" s="143"/>
    </row>
    <row r="352" hidden="1" outlineLevel="1">
      <c r="A352" s="255" t="s">
        <v>2932</v>
      </c>
      <c r="B352" s="344">
        <v>46105.0</v>
      </c>
      <c r="C352" s="133" t="str">
        <f t="shared" si="44"/>
        <v>Tue</v>
      </c>
      <c r="D352" s="136">
        <f t="shared" si="45"/>
        <v>1</v>
      </c>
      <c r="E352" s="137" t="s">
        <v>129</v>
      </c>
      <c r="F352" s="137" t="s">
        <v>129</v>
      </c>
      <c r="G352" s="137" t="s">
        <v>129</v>
      </c>
      <c r="H352" s="137" t="s">
        <v>129</v>
      </c>
      <c r="I352" s="137" t="s">
        <v>129</v>
      </c>
      <c r="J352" s="137" t="s">
        <v>129</v>
      </c>
      <c r="K352" s="137" t="s">
        <v>129</v>
      </c>
      <c r="L352" s="137" t="s">
        <v>129</v>
      </c>
      <c r="M352" s="141"/>
      <c r="N352" s="143"/>
    </row>
    <row r="353" hidden="1" outlineLevel="1">
      <c r="A353" s="303" t="s">
        <v>2933</v>
      </c>
      <c r="B353" s="344">
        <v>46106.0</v>
      </c>
      <c r="C353" s="133" t="str">
        <f t="shared" si="44"/>
        <v>Wed</v>
      </c>
      <c r="D353" s="136">
        <f t="shared" si="45"/>
        <v>1</v>
      </c>
      <c r="E353" s="137" t="s">
        <v>129</v>
      </c>
      <c r="F353" s="137" t="s">
        <v>129</v>
      </c>
      <c r="G353" s="137" t="s">
        <v>129</v>
      </c>
      <c r="H353" s="137" t="s">
        <v>129</v>
      </c>
      <c r="I353" s="137" t="s">
        <v>129</v>
      </c>
      <c r="J353" s="137" t="s">
        <v>129</v>
      </c>
      <c r="K353" s="137" t="s">
        <v>129</v>
      </c>
      <c r="L353" s="137" t="s">
        <v>129</v>
      </c>
      <c r="M353" s="141"/>
      <c r="N353" s="143"/>
    </row>
    <row r="354" hidden="1" outlineLevel="1">
      <c r="A354" s="303" t="s">
        <v>2936</v>
      </c>
      <c r="B354" s="344">
        <v>46106.0</v>
      </c>
      <c r="C354" s="133" t="str">
        <f t="shared" si="44"/>
        <v>Wed</v>
      </c>
      <c r="D354" s="136">
        <f t="shared" si="45"/>
        <v>1</v>
      </c>
      <c r="E354" s="137" t="s">
        <v>129</v>
      </c>
      <c r="F354" s="137" t="s">
        <v>129</v>
      </c>
      <c r="G354" s="137" t="s">
        <v>129</v>
      </c>
      <c r="H354" s="137" t="s">
        <v>129</v>
      </c>
      <c r="I354" s="137" t="s">
        <v>129</v>
      </c>
      <c r="J354" s="137" t="s">
        <v>129</v>
      </c>
      <c r="K354" s="137" t="s">
        <v>129</v>
      </c>
      <c r="L354" s="137" t="s">
        <v>129</v>
      </c>
      <c r="M354" s="141"/>
      <c r="N354" s="147"/>
    </row>
    <row r="355" hidden="1" outlineLevel="1">
      <c r="A355" s="303" t="s">
        <v>2938</v>
      </c>
      <c r="B355" s="344">
        <v>46106.0</v>
      </c>
      <c r="C355" s="133" t="str">
        <f t="shared" si="44"/>
        <v>Wed</v>
      </c>
      <c r="D355" s="136">
        <f t="shared" si="45"/>
        <v>1</v>
      </c>
      <c r="E355" s="137" t="s">
        <v>129</v>
      </c>
      <c r="F355" s="137" t="s">
        <v>129</v>
      </c>
      <c r="G355" s="137" t="s">
        <v>129</v>
      </c>
      <c r="H355" s="137" t="s">
        <v>129</v>
      </c>
      <c r="I355" s="137" t="s">
        <v>129</v>
      </c>
      <c r="J355" s="137" t="s">
        <v>129</v>
      </c>
      <c r="K355" s="137" t="s">
        <v>129</v>
      </c>
      <c r="L355" s="137" t="s">
        <v>129</v>
      </c>
      <c r="M355" s="141"/>
      <c r="N355" s="143"/>
    </row>
    <row r="356" hidden="1" outlineLevel="1">
      <c r="A356" s="219" t="s">
        <v>2941</v>
      </c>
      <c r="B356" s="344">
        <v>46109.0</v>
      </c>
      <c r="C356" s="133" t="str">
        <f t="shared" si="44"/>
        <v>Sat</v>
      </c>
      <c r="D356" s="136">
        <f t="shared" si="45"/>
        <v>1</v>
      </c>
      <c r="E356" s="137" t="s">
        <v>129</v>
      </c>
      <c r="F356" s="137" t="s">
        <v>129</v>
      </c>
      <c r="G356" s="137" t="s">
        <v>129</v>
      </c>
      <c r="H356" s="137" t="s">
        <v>129</v>
      </c>
      <c r="I356" s="137" t="s">
        <v>129</v>
      </c>
      <c r="J356" s="137" t="s">
        <v>129</v>
      </c>
      <c r="K356" s="137" t="s">
        <v>129</v>
      </c>
      <c r="L356" s="137" t="s">
        <v>129</v>
      </c>
      <c r="M356" s="141"/>
      <c r="N356" s="147"/>
    </row>
    <row r="357" hidden="1" outlineLevel="1">
      <c r="A357" s="219" t="s">
        <v>2947</v>
      </c>
      <c r="B357" s="344">
        <v>46109.0</v>
      </c>
      <c r="C357" s="133" t="str">
        <f t="shared" si="44"/>
        <v>Sat</v>
      </c>
      <c r="D357" s="136">
        <f t="shared" si="45"/>
        <v>1</v>
      </c>
      <c r="E357" s="137" t="s">
        <v>129</v>
      </c>
      <c r="F357" s="137" t="s">
        <v>129</v>
      </c>
      <c r="G357" s="137" t="s">
        <v>129</v>
      </c>
      <c r="H357" s="137" t="s">
        <v>129</v>
      </c>
      <c r="I357" s="137" t="s">
        <v>129</v>
      </c>
      <c r="J357" s="137" t="s">
        <v>129</v>
      </c>
      <c r="K357" s="137" t="s">
        <v>129</v>
      </c>
      <c r="L357" s="137" t="s">
        <v>129</v>
      </c>
      <c r="M357" s="141"/>
      <c r="N357" s="147"/>
    </row>
    <row r="358" hidden="1" outlineLevel="1">
      <c r="A358" s="387" t="s">
        <v>2950</v>
      </c>
      <c r="B358" s="344">
        <v>46109.0</v>
      </c>
      <c r="C358" s="133" t="str">
        <f t="shared" si="44"/>
        <v>Sat</v>
      </c>
      <c r="D358" s="136">
        <f t="shared" si="45"/>
        <v>1</v>
      </c>
      <c r="E358" s="137" t="s">
        <v>129</v>
      </c>
      <c r="F358" s="137" t="s">
        <v>129</v>
      </c>
      <c r="G358" s="137" t="s">
        <v>129</v>
      </c>
      <c r="H358" s="137" t="s">
        <v>129</v>
      </c>
      <c r="I358" s="137" t="s">
        <v>129</v>
      </c>
      <c r="J358" s="137" t="s">
        <v>129</v>
      </c>
      <c r="K358" s="137" t="s">
        <v>129</v>
      </c>
      <c r="L358" s="137" t="s">
        <v>129</v>
      </c>
      <c r="M358" s="141"/>
      <c r="N358" s="147"/>
    </row>
    <row r="359" hidden="1" outlineLevel="1">
      <c r="A359" s="219" t="s">
        <v>2953</v>
      </c>
      <c r="B359" s="344">
        <v>46110.0</v>
      </c>
      <c r="C359" s="133" t="str">
        <f t="shared" si="44"/>
        <v>Sun</v>
      </c>
      <c r="D359" s="136">
        <f t="shared" si="45"/>
        <v>1</v>
      </c>
      <c r="E359" s="137" t="s">
        <v>129</v>
      </c>
      <c r="F359" s="137" t="s">
        <v>129</v>
      </c>
      <c r="G359" s="137" t="s">
        <v>129</v>
      </c>
      <c r="H359" s="137" t="s">
        <v>129</v>
      </c>
      <c r="I359" s="137" t="s">
        <v>129</v>
      </c>
      <c r="J359" s="137" t="s">
        <v>129</v>
      </c>
      <c r="K359" s="137" t="s">
        <v>129</v>
      </c>
      <c r="L359" s="137" t="s">
        <v>129</v>
      </c>
      <c r="M359" s="141"/>
      <c r="N359" s="143"/>
    </row>
    <row r="360" hidden="1" outlineLevel="1">
      <c r="A360" s="387" t="s">
        <v>2956</v>
      </c>
      <c r="B360" s="344">
        <v>46110.0</v>
      </c>
      <c r="C360" s="133" t="str">
        <f t="shared" si="44"/>
        <v>Sun</v>
      </c>
      <c r="D360" s="136">
        <f t="shared" si="45"/>
        <v>1</v>
      </c>
      <c r="E360" s="137" t="s">
        <v>129</v>
      </c>
      <c r="F360" s="137" t="s">
        <v>129</v>
      </c>
      <c r="G360" s="137" t="s">
        <v>129</v>
      </c>
      <c r="H360" s="137" t="s">
        <v>129</v>
      </c>
      <c r="I360" s="137" t="s">
        <v>129</v>
      </c>
      <c r="J360" s="137" t="s">
        <v>129</v>
      </c>
      <c r="K360" s="137" t="s">
        <v>129</v>
      </c>
      <c r="L360" s="137" t="s">
        <v>129</v>
      </c>
      <c r="M360" s="141"/>
      <c r="N360" s="143"/>
    </row>
    <row r="361" ht="15.0" hidden="1" customHeight="1" outlineLevel="1">
      <c r="A361" s="219" t="s">
        <v>2959</v>
      </c>
      <c r="B361" s="344">
        <v>46110.0</v>
      </c>
      <c r="C361" s="133" t="str">
        <f t="shared" si="44"/>
        <v>Sun</v>
      </c>
      <c r="D361" s="136">
        <f t="shared" si="45"/>
        <v>1</v>
      </c>
      <c r="E361" s="137" t="s">
        <v>129</v>
      </c>
      <c r="F361" s="137" t="s">
        <v>129</v>
      </c>
      <c r="G361" s="137" t="s">
        <v>129</v>
      </c>
      <c r="H361" s="137" t="s">
        <v>129</v>
      </c>
      <c r="I361" s="137" t="s">
        <v>129</v>
      </c>
      <c r="J361" s="137" t="s">
        <v>129</v>
      </c>
      <c r="K361" s="137" t="s">
        <v>129</v>
      </c>
      <c r="L361" s="137" t="s">
        <v>129</v>
      </c>
      <c r="M361" s="141"/>
      <c r="N361" s="147"/>
    </row>
    <row r="362" hidden="1" outlineLevel="1">
      <c r="B362" s="189"/>
      <c r="C362" s="191" t="s">
        <v>194</v>
      </c>
      <c r="D362" s="204">
        <f>AVERAGE(D347:D361)</f>
        <v>1</v>
      </c>
      <c r="E362" s="200"/>
      <c r="L362" s="191" t="s">
        <v>194</v>
      </c>
      <c r="M362" s="204">
        <f>SUM(M347:M361)/75*0.1</f>
        <v>0</v>
      </c>
    </row>
    <row r="363" hidden="1" collapsed="1">
      <c r="A363" s="206" t="s">
        <v>858</v>
      </c>
      <c r="B363" s="207"/>
      <c r="C363" s="207"/>
      <c r="D363" s="208"/>
      <c r="E363" s="109"/>
      <c r="F363" s="109"/>
      <c r="G363" s="110"/>
      <c r="H363" s="110"/>
      <c r="I363" s="110"/>
      <c r="J363" s="110"/>
      <c r="K363" s="110"/>
      <c r="L363" s="110"/>
      <c r="M363" s="111"/>
      <c r="N363" s="113"/>
    </row>
    <row r="364" hidden="1" outlineLevel="1">
      <c r="A364" s="373" t="s">
        <v>98</v>
      </c>
      <c r="B364" s="115" t="s">
        <v>100</v>
      </c>
      <c r="C364" s="115" t="s">
        <v>102</v>
      </c>
      <c r="D364" s="119" t="s">
        <v>103</v>
      </c>
      <c r="E364" s="275" t="s">
        <v>269</v>
      </c>
      <c r="F364" s="275" t="s">
        <v>272</v>
      </c>
      <c r="G364" s="276" t="s">
        <v>328</v>
      </c>
      <c r="H364" s="121" t="s">
        <v>107</v>
      </c>
      <c r="I364" s="121" t="s">
        <v>108</v>
      </c>
      <c r="J364" s="276" t="s">
        <v>329</v>
      </c>
      <c r="K364" s="121" t="s">
        <v>111</v>
      </c>
      <c r="L364" s="276" t="s">
        <v>274</v>
      </c>
      <c r="M364" s="115" t="s">
        <v>114</v>
      </c>
      <c r="N364" s="119" t="s">
        <v>115</v>
      </c>
    </row>
    <row r="365" hidden="1" outlineLevel="1">
      <c r="A365" s="303" t="s">
        <v>2964</v>
      </c>
      <c r="B365" s="344">
        <v>46111.0</v>
      </c>
      <c r="C365" s="133" t="str">
        <f t="shared" ref="C365:C379" si="46">IF(B365="", "", TEXT(B365, "ddd"))</f>
        <v>Mon</v>
      </c>
      <c r="D365" s="136">
        <f t="shared" ref="D365:D379" si="47">IF(E365="Yes",0.05,0)
+IF(F365="Yes",0.1,0)
+IF(G365="Yes",0.15,0)
+IF(H365="Yes",0.15,0)
+IF(I365="Yes",0.05,0)
+IF(J365="Yes",0.05,0)
+IF(K365="Yes",0.15,0)
+IF(L365="Yes",0.3,0)
</f>
        <v>1</v>
      </c>
      <c r="E365" s="137" t="s">
        <v>129</v>
      </c>
      <c r="F365" s="137" t="s">
        <v>129</v>
      </c>
      <c r="G365" s="137" t="s">
        <v>129</v>
      </c>
      <c r="H365" s="137" t="s">
        <v>129</v>
      </c>
      <c r="I365" s="137" t="s">
        <v>129</v>
      </c>
      <c r="J365" s="137" t="s">
        <v>129</v>
      </c>
      <c r="K365" s="137" t="s">
        <v>129</v>
      </c>
      <c r="L365" s="137" t="s">
        <v>129</v>
      </c>
      <c r="M365" s="141"/>
      <c r="N365" s="143"/>
    </row>
    <row r="366" hidden="1" outlineLevel="1">
      <c r="A366" s="303" t="s">
        <v>2967</v>
      </c>
      <c r="B366" s="344">
        <v>46111.0</v>
      </c>
      <c r="C366" s="133" t="str">
        <f t="shared" si="46"/>
        <v>Mon</v>
      </c>
      <c r="D366" s="136">
        <f t="shared" si="47"/>
        <v>1</v>
      </c>
      <c r="E366" s="137" t="s">
        <v>129</v>
      </c>
      <c r="F366" s="137" t="s">
        <v>129</v>
      </c>
      <c r="G366" s="137" t="s">
        <v>129</v>
      </c>
      <c r="H366" s="137" t="s">
        <v>129</v>
      </c>
      <c r="I366" s="137" t="s">
        <v>129</v>
      </c>
      <c r="J366" s="137" t="s">
        <v>129</v>
      </c>
      <c r="K366" s="137" t="s">
        <v>129</v>
      </c>
      <c r="L366" s="137" t="s">
        <v>129</v>
      </c>
      <c r="M366" s="141"/>
      <c r="N366" s="147"/>
    </row>
    <row r="367" hidden="1" outlineLevel="1">
      <c r="A367" s="303" t="s">
        <v>2970</v>
      </c>
      <c r="B367" s="344">
        <v>46111.0</v>
      </c>
      <c r="C367" s="133" t="str">
        <f t="shared" si="46"/>
        <v>Mon</v>
      </c>
      <c r="D367" s="136">
        <f t="shared" si="47"/>
        <v>1</v>
      </c>
      <c r="E367" s="137" t="s">
        <v>129</v>
      </c>
      <c r="F367" s="137" t="s">
        <v>129</v>
      </c>
      <c r="G367" s="137" t="s">
        <v>129</v>
      </c>
      <c r="H367" s="137" t="s">
        <v>129</v>
      </c>
      <c r="I367" s="137" t="s">
        <v>129</v>
      </c>
      <c r="J367" s="137" t="s">
        <v>129</v>
      </c>
      <c r="K367" s="137" t="s">
        <v>129</v>
      </c>
      <c r="L367" s="137" t="s">
        <v>129</v>
      </c>
      <c r="M367" s="141"/>
      <c r="N367" s="147"/>
    </row>
    <row r="368" hidden="1" outlineLevel="1">
      <c r="A368" s="219" t="s">
        <v>2972</v>
      </c>
      <c r="B368" s="344">
        <v>46112.0</v>
      </c>
      <c r="C368" s="133" t="str">
        <f t="shared" si="46"/>
        <v>Tue</v>
      </c>
      <c r="D368" s="136">
        <f t="shared" si="47"/>
        <v>1</v>
      </c>
      <c r="E368" s="137" t="s">
        <v>129</v>
      </c>
      <c r="F368" s="137" t="s">
        <v>129</v>
      </c>
      <c r="G368" s="137" t="s">
        <v>129</v>
      </c>
      <c r="H368" s="137" t="s">
        <v>129</v>
      </c>
      <c r="I368" s="137" t="s">
        <v>129</v>
      </c>
      <c r="J368" s="137" t="s">
        <v>129</v>
      </c>
      <c r="K368" s="137" t="s">
        <v>129</v>
      </c>
      <c r="L368" s="137" t="s">
        <v>129</v>
      </c>
      <c r="M368" s="141"/>
      <c r="N368" s="143"/>
    </row>
    <row r="369" hidden="1" outlineLevel="1">
      <c r="A369" s="219" t="s">
        <v>2975</v>
      </c>
      <c r="B369" s="344">
        <v>46112.0</v>
      </c>
      <c r="C369" s="133" t="str">
        <f t="shared" si="46"/>
        <v>Tue</v>
      </c>
      <c r="D369" s="136">
        <f t="shared" si="47"/>
        <v>1</v>
      </c>
      <c r="E369" s="137" t="s">
        <v>129</v>
      </c>
      <c r="F369" s="137" t="s">
        <v>129</v>
      </c>
      <c r="G369" s="137" t="s">
        <v>129</v>
      </c>
      <c r="H369" s="137" t="s">
        <v>129</v>
      </c>
      <c r="I369" s="137" t="s">
        <v>129</v>
      </c>
      <c r="J369" s="137" t="s">
        <v>129</v>
      </c>
      <c r="K369" s="137" t="s">
        <v>129</v>
      </c>
      <c r="L369" s="137" t="s">
        <v>129</v>
      </c>
      <c r="M369" s="141"/>
      <c r="N369" s="143"/>
    </row>
    <row r="370" hidden="1" outlineLevel="1">
      <c r="A370" s="219" t="s">
        <v>2977</v>
      </c>
      <c r="B370" s="344">
        <v>46112.0</v>
      </c>
      <c r="C370" s="133" t="str">
        <f t="shared" si="46"/>
        <v>Tue</v>
      </c>
      <c r="D370" s="136">
        <f t="shared" si="47"/>
        <v>1</v>
      </c>
      <c r="E370" s="137" t="s">
        <v>129</v>
      </c>
      <c r="F370" s="137" t="s">
        <v>129</v>
      </c>
      <c r="G370" s="137" t="s">
        <v>129</v>
      </c>
      <c r="H370" s="137" t="s">
        <v>129</v>
      </c>
      <c r="I370" s="137" t="s">
        <v>129</v>
      </c>
      <c r="J370" s="137" t="s">
        <v>129</v>
      </c>
      <c r="K370" s="137" t="s">
        <v>129</v>
      </c>
      <c r="L370" s="137" t="s">
        <v>129</v>
      </c>
      <c r="M370" s="141"/>
      <c r="N370" s="143"/>
    </row>
    <row r="371" hidden="1" outlineLevel="1">
      <c r="A371" s="255" t="s">
        <v>2980</v>
      </c>
      <c r="B371" s="344">
        <v>46113.0</v>
      </c>
      <c r="C371" s="133" t="str">
        <f t="shared" si="46"/>
        <v>Wed</v>
      </c>
      <c r="D371" s="136">
        <f t="shared" si="47"/>
        <v>1</v>
      </c>
      <c r="E371" s="137" t="s">
        <v>129</v>
      </c>
      <c r="F371" s="137" t="s">
        <v>129</v>
      </c>
      <c r="G371" s="137" t="s">
        <v>129</v>
      </c>
      <c r="H371" s="137" t="s">
        <v>129</v>
      </c>
      <c r="I371" s="137" t="s">
        <v>129</v>
      </c>
      <c r="J371" s="137" t="s">
        <v>129</v>
      </c>
      <c r="K371" s="137" t="s">
        <v>129</v>
      </c>
      <c r="L371" s="137" t="s">
        <v>129</v>
      </c>
      <c r="M371" s="141"/>
      <c r="N371" s="143"/>
    </row>
    <row r="372" hidden="1" outlineLevel="1">
      <c r="A372" s="255" t="s">
        <v>2983</v>
      </c>
      <c r="B372" s="344">
        <v>46113.0</v>
      </c>
      <c r="C372" s="133" t="str">
        <f t="shared" si="46"/>
        <v>Wed</v>
      </c>
      <c r="D372" s="136">
        <f t="shared" si="47"/>
        <v>1</v>
      </c>
      <c r="E372" s="137" t="s">
        <v>129</v>
      </c>
      <c r="F372" s="137" t="s">
        <v>129</v>
      </c>
      <c r="G372" s="137" t="s">
        <v>129</v>
      </c>
      <c r="H372" s="137" t="s">
        <v>129</v>
      </c>
      <c r="I372" s="137" t="s">
        <v>129</v>
      </c>
      <c r="J372" s="137" t="s">
        <v>129</v>
      </c>
      <c r="K372" s="137" t="s">
        <v>129</v>
      </c>
      <c r="L372" s="137" t="s">
        <v>129</v>
      </c>
      <c r="M372" s="141"/>
      <c r="N372" s="147"/>
    </row>
    <row r="373" hidden="1" outlineLevel="1">
      <c r="A373" s="255" t="s">
        <v>2985</v>
      </c>
      <c r="B373" s="344">
        <v>46113.0</v>
      </c>
      <c r="C373" s="133" t="str">
        <f t="shared" si="46"/>
        <v>Wed</v>
      </c>
      <c r="D373" s="136">
        <f t="shared" si="47"/>
        <v>1</v>
      </c>
      <c r="E373" s="137" t="s">
        <v>129</v>
      </c>
      <c r="F373" s="137" t="s">
        <v>129</v>
      </c>
      <c r="G373" s="137" t="s">
        <v>129</v>
      </c>
      <c r="H373" s="137" t="s">
        <v>129</v>
      </c>
      <c r="I373" s="137" t="s">
        <v>129</v>
      </c>
      <c r="J373" s="137" t="s">
        <v>129</v>
      </c>
      <c r="K373" s="137" t="s">
        <v>129</v>
      </c>
      <c r="L373" s="137" t="s">
        <v>129</v>
      </c>
      <c r="M373" s="141"/>
      <c r="N373" s="143"/>
    </row>
    <row r="374" hidden="1" outlineLevel="1">
      <c r="A374" s="255" t="s">
        <v>2990</v>
      </c>
      <c r="B374" s="344">
        <v>46116.0</v>
      </c>
      <c r="C374" s="133" t="str">
        <f t="shared" si="46"/>
        <v>Sat</v>
      </c>
      <c r="D374" s="136">
        <f t="shared" si="47"/>
        <v>1</v>
      </c>
      <c r="E374" s="137" t="s">
        <v>129</v>
      </c>
      <c r="F374" s="137" t="s">
        <v>129</v>
      </c>
      <c r="G374" s="137" t="s">
        <v>129</v>
      </c>
      <c r="H374" s="137" t="s">
        <v>129</v>
      </c>
      <c r="I374" s="137" t="s">
        <v>129</v>
      </c>
      <c r="J374" s="137" t="s">
        <v>129</v>
      </c>
      <c r="K374" s="137" t="s">
        <v>129</v>
      </c>
      <c r="L374" s="137" t="s">
        <v>129</v>
      </c>
      <c r="M374" s="141"/>
      <c r="N374" s="147"/>
    </row>
    <row r="375" hidden="1" outlineLevel="1">
      <c r="A375" s="255" t="s">
        <v>2992</v>
      </c>
      <c r="B375" s="344">
        <v>46116.0</v>
      </c>
      <c r="C375" s="133" t="str">
        <f t="shared" si="46"/>
        <v>Sat</v>
      </c>
      <c r="D375" s="136">
        <f t="shared" si="47"/>
        <v>1</v>
      </c>
      <c r="E375" s="137" t="s">
        <v>129</v>
      </c>
      <c r="F375" s="137" t="s">
        <v>129</v>
      </c>
      <c r="G375" s="137" t="s">
        <v>129</v>
      </c>
      <c r="H375" s="137" t="s">
        <v>129</v>
      </c>
      <c r="I375" s="137" t="s">
        <v>129</v>
      </c>
      <c r="J375" s="137" t="s">
        <v>129</v>
      </c>
      <c r="K375" s="137" t="s">
        <v>129</v>
      </c>
      <c r="L375" s="137" t="s">
        <v>129</v>
      </c>
      <c r="M375" s="141"/>
      <c r="N375" s="147"/>
    </row>
    <row r="376" hidden="1" outlineLevel="1">
      <c r="A376" s="255" t="s">
        <v>2993</v>
      </c>
      <c r="B376" s="344">
        <v>46116.0</v>
      </c>
      <c r="C376" s="133" t="str">
        <f t="shared" si="46"/>
        <v>Sat</v>
      </c>
      <c r="D376" s="136">
        <f t="shared" si="47"/>
        <v>1</v>
      </c>
      <c r="E376" s="137" t="s">
        <v>129</v>
      </c>
      <c r="F376" s="137" t="s">
        <v>129</v>
      </c>
      <c r="G376" s="137" t="s">
        <v>129</v>
      </c>
      <c r="H376" s="137" t="s">
        <v>129</v>
      </c>
      <c r="I376" s="137" t="s">
        <v>129</v>
      </c>
      <c r="J376" s="137" t="s">
        <v>129</v>
      </c>
      <c r="K376" s="137" t="s">
        <v>129</v>
      </c>
      <c r="L376" s="137" t="s">
        <v>129</v>
      </c>
      <c r="M376" s="141"/>
      <c r="N376" s="147"/>
    </row>
    <row r="377" hidden="1" outlineLevel="1">
      <c r="A377" s="255" t="s">
        <v>2997</v>
      </c>
      <c r="B377" s="344">
        <v>46117.0</v>
      </c>
      <c r="C377" s="133" t="str">
        <f t="shared" si="46"/>
        <v>Sun</v>
      </c>
      <c r="D377" s="136">
        <f t="shared" si="47"/>
        <v>1</v>
      </c>
      <c r="E377" s="137" t="s">
        <v>129</v>
      </c>
      <c r="F377" s="137" t="s">
        <v>129</v>
      </c>
      <c r="G377" s="137" t="s">
        <v>129</v>
      </c>
      <c r="H377" s="137" t="s">
        <v>129</v>
      </c>
      <c r="I377" s="137" t="s">
        <v>129</v>
      </c>
      <c r="J377" s="137" t="s">
        <v>129</v>
      </c>
      <c r="K377" s="137" t="s">
        <v>129</v>
      </c>
      <c r="L377" s="137" t="s">
        <v>129</v>
      </c>
      <c r="M377" s="141"/>
      <c r="N377" s="143"/>
    </row>
    <row r="378" hidden="1" outlineLevel="1">
      <c r="A378" s="255" t="s">
        <v>2999</v>
      </c>
      <c r="B378" s="344">
        <v>46117.0</v>
      </c>
      <c r="C378" s="133" t="str">
        <f t="shared" si="46"/>
        <v>Sun</v>
      </c>
      <c r="D378" s="136">
        <f t="shared" si="47"/>
        <v>1</v>
      </c>
      <c r="E378" s="137" t="s">
        <v>129</v>
      </c>
      <c r="F378" s="137" t="s">
        <v>129</v>
      </c>
      <c r="G378" s="137" t="s">
        <v>129</v>
      </c>
      <c r="H378" s="137" t="s">
        <v>129</v>
      </c>
      <c r="I378" s="137" t="s">
        <v>129</v>
      </c>
      <c r="J378" s="137" t="s">
        <v>129</v>
      </c>
      <c r="K378" s="137" t="s">
        <v>129</v>
      </c>
      <c r="L378" s="137" t="s">
        <v>129</v>
      </c>
      <c r="M378" s="141"/>
      <c r="N378" s="143"/>
    </row>
    <row r="379" ht="15.0" hidden="1" customHeight="1" outlineLevel="1">
      <c r="A379" s="255" t="s">
        <v>3002</v>
      </c>
      <c r="B379" s="344">
        <v>46117.0</v>
      </c>
      <c r="C379" s="133" t="str">
        <f t="shared" si="46"/>
        <v>Sun</v>
      </c>
      <c r="D379" s="136">
        <f t="shared" si="47"/>
        <v>1</v>
      </c>
      <c r="E379" s="137" t="s">
        <v>129</v>
      </c>
      <c r="F379" s="137" t="s">
        <v>129</v>
      </c>
      <c r="G379" s="137" t="s">
        <v>129</v>
      </c>
      <c r="H379" s="137" t="s">
        <v>129</v>
      </c>
      <c r="I379" s="137" t="s">
        <v>129</v>
      </c>
      <c r="J379" s="137" t="s">
        <v>129</v>
      </c>
      <c r="K379" s="137" t="s">
        <v>129</v>
      </c>
      <c r="L379" s="137" t="s">
        <v>129</v>
      </c>
      <c r="M379" s="141"/>
      <c r="N379" s="147"/>
    </row>
    <row r="380" hidden="1" outlineLevel="1">
      <c r="B380" s="189"/>
      <c r="C380" s="191" t="s">
        <v>194</v>
      </c>
      <c r="D380" s="204">
        <f>AVERAGE(D365:D379)</f>
        <v>1</v>
      </c>
      <c r="E380" s="200"/>
      <c r="L380" s="191" t="s">
        <v>194</v>
      </c>
      <c r="M380" s="204">
        <f>SUM(M365:M379)/75*0.1</f>
        <v>0</v>
      </c>
    </row>
    <row r="381" hidden="1" collapsed="1">
      <c r="A381" s="206" t="s">
        <v>886</v>
      </c>
      <c r="B381" s="207"/>
      <c r="C381" s="207"/>
      <c r="D381" s="208"/>
      <c r="E381" s="109"/>
      <c r="F381" s="109"/>
      <c r="G381" s="110"/>
      <c r="H381" s="110"/>
      <c r="I381" s="110"/>
      <c r="J381" s="110"/>
      <c r="K381" s="110"/>
      <c r="L381" s="110"/>
      <c r="M381" s="111"/>
      <c r="N381" s="113"/>
    </row>
    <row r="382" hidden="1" outlineLevel="1">
      <c r="A382" s="373" t="s">
        <v>98</v>
      </c>
      <c r="B382" s="115" t="s">
        <v>100</v>
      </c>
      <c r="C382" s="115" t="s">
        <v>102</v>
      </c>
      <c r="D382" s="119" t="s">
        <v>103</v>
      </c>
      <c r="E382" s="275" t="s">
        <v>269</v>
      </c>
      <c r="F382" s="275" t="s">
        <v>272</v>
      </c>
      <c r="G382" s="276" t="s">
        <v>328</v>
      </c>
      <c r="H382" s="121" t="s">
        <v>107</v>
      </c>
      <c r="I382" s="121" t="s">
        <v>108</v>
      </c>
      <c r="J382" s="276" t="s">
        <v>329</v>
      </c>
      <c r="K382" s="121" t="s">
        <v>111</v>
      </c>
      <c r="L382" s="276" t="s">
        <v>274</v>
      </c>
      <c r="M382" s="115" t="s">
        <v>114</v>
      </c>
      <c r="N382" s="119" t="s">
        <v>115</v>
      </c>
    </row>
    <row r="383" hidden="1" outlineLevel="1">
      <c r="A383" s="303" t="s">
        <v>3012</v>
      </c>
      <c r="B383" s="344">
        <v>46118.0</v>
      </c>
      <c r="C383" s="133" t="str">
        <f t="shared" ref="C383:C397" si="48">IF(B383="", "", TEXT(B383, "ddd"))</f>
        <v>Mon</v>
      </c>
      <c r="D383" s="136">
        <f t="shared" ref="D383:D397" si="49">IF(E383="Yes",0.05,0)
+IF(F383="Yes",0.1,0)
+IF(G383="Yes",0.15,0)
+IF(H383="Yes",0.15,0)
+IF(I383="Yes",0.05,0)
+IF(J383="Yes",0.05,0)
+IF(K383="Yes",0.15,0)
+IF(L383="Yes",0.3,0)
</f>
        <v>1</v>
      </c>
      <c r="E383" s="137" t="s">
        <v>129</v>
      </c>
      <c r="F383" s="137" t="s">
        <v>129</v>
      </c>
      <c r="G383" s="137" t="s">
        <v>129</v>
      </c>
      <c r="H383" s="137" t="s">
        <v>129</v>
      </c>
      <c r="I383" s="137" t="s">
        <v>129</v>
      </c>
      <c r="J383" s="137" t="s">
        <v>129</v>
      </c>
      <c r="K383" s="137" t="s">
        <v>129</v>
      </c>
      <c r="L383" s="137" t="s">
        <v>129</v>
      </c>
      <c r="M383" s="141"/>
      <c r="N383" s="143"/>
    </row>
    <row r="384" hidden="1" outlineLevel="1">
      <c r="A384" s="303" t="s">
        <v>3017</v>
      </c>
      <c r="B384" s="344">
        <v>46118.0</v>
      </c>
      <c r="C384" s="133" t="str">
        <f t="shared" si="48"/>
        <v>Mon</v>
      </c>
      <c r="D384" s="136">
        <f t="shared" si="49"/>
        <v>1</v>
      </c>
      <c r="E384" s="137" t="s">
        <v>129</v>
      </c>
      <c r="F384" s="137" t="s">
        <v>129</v>
      </c>
      <c r="G384" s="137" t="s">
        <v>129</v>
      </c>
      <c r="H384" s="137" t="s">
        <v>129</v>
      </c>
      <c r="I384" s="137" t="s">
        <v>129</v>
      </c>
      <c r="J384" s="137" t="s">
        <v>129</v>
      </c>
      <c r="K384" s="137" t="s">
        <v>129</v>
      </c>
      <c r="L384" s="137" t="s">
        <v>129</v>
      </c>
      <c r="M384" s="141"/>
      <c r="N384" s="147"/>
    </row>
    <row r="385" hidden="1" outlineLevel="1">
      <c r="A385" s="303" t="s">
        <v>3018</v>
      </c>
      <c r="B385" s="344">
        <v>46118.0</v>
      </c>
      <c r="C385" s="133" t="str">
        <f t="shared" si="48"/>
        <v>Mon</v>
      </c>
      <c r="D385" s="136">
        <f t="shared" si="49"/>
        <v>1</v>
      </c>
      <c r="E385" s="137" t="s">
        <v>129</v>
      </c>
      <c r="F385" s="137" t="s">
        <v>129</v>
      </c>
      <c r="G385" s="137" t="s">
        <v>129</v>
      </c>
      <c r="H385" s="137" t="s">
        <v>129</v>
      </c>
      <c r="I385" s="137" t="s">
        <v>129</v>
      </c>
      <c r="J385" s="137" t="s">
        <v>129</v>
      </c>
      <c r="K385" s="137" t="s">
        <v>129</v>
      </c>
      <c r="L385" s="137" t="s">
        <v>129</v>
      </c>
      <c r="M385" s="141"/>
      <c r="N385" s="147"/>
    </row>
    <row r="386" hidden="1" outlineLevel="1">
      <c r="A386" s="219" t="s">
        <v>3020</v>
      </c>
      <c r="B386" s="344">
        <v>46119.0</v>
      </c>
      <c r="C386" s="133" t="str">
        <f t="shared" si="48"/>
        <v>Tue</v>
      </c>
      <c r="D386" s="136">
        <f t="shared" si="49"/>
        <v>1</v>
      </c>
      <c r="E386" s="137" t="s">
        <v>129</v>
      </c>
      <c r="F386" s="137" t="s">
        <v>129</v>
      </c>
      <c r="G386" s="137" t="s">
        <v>129</v>
      </c>
      <c r="H386" s="137" t="s">
        <v>129</v>
      </c>
      <c r="I386" s="137" t="s">
        <v>129</v>
      </c>
      <c r="J386" s="137" t="s">
        <v>129</v>
      </c>
      <c r="K386" s="137" t="s">
        <v>129</v>
      </c>
      <c r="L386" s="137" t="s">
        <v>129</v>
      </c>
      <c r="M386" s="141"/>
      <c r="N386" s="143"/>
    </row>
    <row r="387" hidden="1" outlineLevel="1">
      <c r="A387" s="219" t="s">
        <v>3024</v>
      </c>
      <c r="B387" s="344">
        <v>46119.0</v>
      </c>
      <c r="C387" s="133" t="str">
        <f t="shared" si="48"/>
        <v>Tue</v>
      </c>
      <c r="D387" s="136">
        <f t="shared" si="49"/>
        <v>1</v>
      </c>
      <c r="E387" s="137" t="s">
        <v>129</v>
      </c>
      <c r="F387" s="137" t="s">
        <v>129</v>
      </c>
      <c r="G387" s="137" t="s">
        <v>129</v>
      </c>
      <c r="H387" s="137" t="s">
        <v>129</v>
      </c>
      <c r="I387" s="137" t="s">
        <v>129</v>
      </c>
      <c r="J387" s="137" t="s">
        <v>129</v>
      </c>
      <c r="K387" s="137" t="s">
        <v>129</v>
      </c>
      <c r="L387" s="137" t="s">
        <v>129</v>
      </c>
      <c r="M387" s="141"/>
      <c r="N387" s="143"/>
    </row>
    <row r="388" hidden="1" outlineLevel="1">
      <c r="A388" s="219" t="s">
        <v>3026</v>
      </c>
      <c r="B388" s="344">
        <v>46119.0</v>
      </c>
      <c r="C388" s="133" t="str">
        <f t="shared" si="48"/>
        <v>Tue</v>
      </c>
      <c r="D388" s="136">
        <f t="shared" si="49"/>
        <v>1</v>
      </c>
      <c r="E388" s="137" t="s">
        <v>129</v>
      </c>
      <c r="F388" s="137" t="s">
        <v>129</v>
      </c>
      <c r="G388" s="137" t="s">
        <v>129</v>
      </c>
      <c r="H388" s="137" t="s">
        <v>129</v>
      </c>
      <c r="I388" s="137" t="s">
        <v>129</v>
      </c>
      <c r="J388" s="137" t="s">
        <v>129</v>
      </c>
      <c r="K388" s="137" t="s">
        <v>129</v>
      </c>
      <c r="L388" s="137" t="s">
        <v>129</v>
      </c>
      <c r="M388" s="141"/>
      <c r="N388" s="143"/>
    </row>
    <row r="389" hidden="1" outlineLevel="1">
      <c r="A389" s="303" t="s">
        <v>3029</v>
      </c>
      <c r="B389" s="344">
        <v>46120.0</v>
      </c>
      <c r="C389" s="133" t="str">
        <f t="shared" si="48"/>
        <v>Wed</v>
      </c>
      <c r="D389" s="136">
        <f t="shared" si="49"/>
        <v>1</v>
      </c>
      <c r="E389" s="137" t="s">
        <v>129</v>
      </c>
      <c r="F389" s="137" t="s">
        <v>129</v>
      </c>
      <c r="G389" s="137" t="s">
        <v>129</v>
      </c>
      <c r="H389" s="137" t="s">
        <v>129</v>
      </c>
      <c r="I389" s="137" t="s">
        <v>129</v>
      </c>
      <c r="J389" s="137" t="s">
        <v>129</v>
      </c>
      <c r="K389" s="137" t="s">
        <v>129</v>
      </c>
      <c r="L389" s="137" t="s">
        <v>129</v>
      </c>
      <c r="M389" s="141"/>
      <c r="N389" s="143"/>
    </row>
    <row r="390" hidden="1" outlineLevel="1">
      <c r="A390" s="303" t="s">
        <v>3038</v>
      </c>
      <c r="B390" s="344">
        <v>46120.0</v>
      </c>
      <c r="C390" s="133" t="str">
        <f t="shared" si="48"/>
        <v>Wed</v>
      </c>
      <c r="D390" s="136">
        <f t="shared" si="49"/>
        <v>1</v>
      </c>
      <c r="E390" s="137" t="s">
        <v>129</v>
      </c>
      <c r="F390" s="137" t="s">
        <v>129</v>
      </c>
      <c r="G390" s="137" t="s">
        <v>129</v>
      </c>
      <c r="H390" s="137" t="s">
        <v>129</v>
      </c>
      <c r="I390" s="137" t="s">
        <v>129</v>
      </c>
      <c r="J390" s="137" t="s">
        <v>129</v>
      </c>
      <c r="K390" s="137" t="s">
        <v>129</v>
      </c>
      <c r="L390" s="137" t="s">
        <v>129</v>
      </c>
      <c r="M390" s="141"/>
      <c r="N390" s="147"/>
    </row>
    <row r="391" hidden="1" outlineLevel="1">
      <c r="A391" s="303" t="s">
        <v>3040</v>
      </c>
      <c r="B391" s="344">
        <v>46120.0</v>
      </c>
      <c r="C391" s="133" t="str">
        <f t="shared" si="48"/>
        <v>Wed</v>
      </c>
      <c r="D391" s="136">
        <f t="shared" si="49"/>
        <v>1</v>
      </c>
      <c r="E391" s="137" t="s">
        <v>129</v>
      </c>
      <c r="F391" s="137" t="s">
        <v>129</v>
      </c>
      <c r="G391" s="137" t="s">
        <v>129</v>
      </c>
      <c r="H391" s="137" t="s">
        <v>129</v>
      </c>
      <c r="I391" s="137" t="s">
        <v>129</v>
      </c>
      <c r="J391" s="137" t="s">
        <v>129</v>
      </c>
      <c r="K391" s="137" t="s">
        <v>129</v>
      </c>
      <c r="L391" s="137" t="s">
        <v>129</v>
      </c>
      <c r="M391" s="141"/>
      <c r="N391" s="143"/>
    </row>
    <row r="392" hidden="1" outlineLevel="1">
      <c r="A392" s="303" t="s">
        <v>3042</v>
      </c>
      <c r="B392" s="344">
        <v>46121.0</v>
      </c>
      <c r="C392" s="133" t="str">
        <f t="shared" si="48"/>
        <v>Thu</v>
      </c>
      <c r="D392" s="136">
        <f t="shared" si="49"/>
        <v>1</v>
      </c>
      <c r="E392" s="137" t="s">
        <v>129</v>
      </c>
      <c r="F392" s="137" t="s">
        <v>129</v>
      </c>
      <c r="G392" s="137" t="s">
        <v>129</v>
      </c>
      <c r="H392" s="137" t="s">
        <v>129</v>
      </c>
      <c r="I392" s="137" t="s">
        <v>129</v>
      </c>
      <c r="J392" s="137" t="s">
        <v>129</v>
      </c>
      <c r="K392" s="137" t="s">
        <v>129</v>
      </c>
      <c r="L392" s="137" t="s">
        <v>129</v>
      </c>
      <c r="M392" s="141"/>
      <c r="N392" s="147"/>
    </row>
    <row r="393" hidden="1" outlineLevel="1">
      <c r="A393" s="303" t="s">
        <v>3043</v>
      </c>
      <c r="B393" s="344">
        <v>46121.0</v>
      </c>
      <c r="C393" s="133" t="str">
        <f t="shared" si="48"/>
        <v>Thu</v>
      </c>
      <c r="D393" s="136">
        <f t="shared" si="49"/>
        <v>1</v>
      </c>
      <c r="E393" s="137" t="s">
        <v>129</v>
      </c>
      <c r="F393" s="137" t="s">
        <v>129</v>
      </c>
      <c r="G393" s="137" t="s">
        <v>129</v>
      </c>
      <c r="H393" s="137" t="s">
        <v>129</v>
      </c>
      <c r="I393" s="137" t="s">
        <v>129</v>
      </c>
      <c r="J393" s="137" t="s">
        <v>129</v>
      </c>
      <c r="K393" s="137" t="s">
        <v>129</v>
      </c>
      <c r="L393" s="137" t="s">
        <v>129</v>
      </c>
      <c r="M393" s="141"/>
      <c r="N393" s="147"/>
    </row>
    <row r="394" hidden="1" outlineLevel="1">
      <c r="A394" s="303" t="s">
        <v>3044</v>
      </c>
      <c r="B394" s="344">
        <v>46121.0</v>
      </c>
      <c r="C394" s="133" t="str">
        <f t="shared" si="48"/>
        <v>Thu</v>
      </c>
      <c r="D394" s="136">
        <f t="shared" si="49"/>
        <v>1</v>
      </c>
      <c r="E394" s="137" t="s">
        <v>129</v>
      </c>
      <c r="F394" s="137" t="s">
        <v>129</v>
      </c>
      <c r="G394" s="137" t="s">
        <v>129</v>
      </c>
      <c r="H394" s="137" t="s">
        <v>129</v>
      </c>
      <c r="I394" s="137" t="s">
        <v>129</v>
      </c>
      <c r="J394" s="137" t="s">
        <v>129</v>
      </c>
      <c r="K394" s="137" t="s">
        <v>129</v>
      </c>
      <c r="L394" s="137" t="s">
        <v>129</v>
      </c>
      <c r="M394" s="141"/>
      <c r="N394" s="147"/>
    </row>
    <row r="395" hidden="1" outlineLevel="1">
      <c r="A395" s="219" t="s">
        <v>3047</v>
      </c>
      <c r="B395" s="344">
        <v>46122.0</v>
      </c>
      <c r="C395" s="133" t="str">
        <f t="shared" si="48"/>
        <v>Fri</v>
      </c>
      <c r="D395" s="136">
        <f t="shared" si="49"/>
        <v>1</v>
      </c>
      <c r="E395" s="137" t="s">
        <v>129</v>
      </c>
      <c r="F395" s="137" t="s">
        <v>129</v>
      </c>
      <c r="G395" s="137" t="s">
        <v>129</v>
      </c>
      <c r="H395" s="137" t="s">
        <v>129</v>
      </c>
      <c r="I395" s="137" t="s">
        <v>129</v>
      </c>
      <c r="J395" s="137" t="s">
        <v>129</v>
      </c>
      <c r="K395" s="137" t="s">
        <v>129</v>
      </c>
      <c r="L395" s="137" t="s">
        <v>129</v>
      </c>
      <c r="M395" s="141"/>
      <c r="N395" s="143"/>
    </row>
    <row r="396" hidden="1" outlineLevel="1">
      <c r="A396" s="219" t="s">
        <v>3049</v>
      </c>
      <c r="B396" s="344">
        <v>46122.0</v>
      </c>
      <c r="C396" s="133" t="str">
        <f t="shared" si="48"/>
        <v>Fri</v>
      </c>
      <c r="D396" s="136">
        <f t="shared" si="49"/>
        <v>1</v>
      </c>
      <c r="E396" s="137" t="s">
        <v>129</v>
      </c>
      <c r="F396" s="137" t="s">
        <v>129</v>
      </c>
      <c r="G396" s="137" t="s">
        <v>129</v>
      </c>
      <c r="H396" s="137" t="s">
        <v>129</v>
      </c>
      <c r="I396" s="137" t="s">
        <v>129</v>
      </c>
      <c r="J396" s="137" t="s">
        <v>129</v>
      </c>
      <c r="K396" s="137" t="s">
        <v>129</v>
      </c>
      <c r="L396" s="137" t="s">
        <v>129</v>
      </c>
      <c r="M396" s="141"/>
      <c r="N396" s="143"/>
    </row>
    <row r="397" ht="17.25" hidden="1" customHeight="1" outlineLevel="1">
      <c r="A397" s="219" t="s">
        <v>3051</v>
      </c>
      <c r="B397" s="344">
        <v>46122.0</v>
      </c>
      <c r="C397" s="133" t="str">
        <f t="shared" si="48"/>
        <v>Fri</v>
      </c>
      <c r="D397" s="136">
        <f t="shared" si="49"/>
        <v>1</v>
      </c>
      <c r="E397" s="137" t="s">
        <v>129</v>
      </c>
      <c r="F397" s="137" t="s">
        <v>129</v>
      </c>
      <c r="G397" s="137" t="s">
        <v>129</v>
      </c>
      <c r="H397" s="137" t="s">
        <v>129</v>
      </c>
      <c r="I397" s="137" t="s">
        <v>129</v>
      </c>
      <c r="J397" s="137" t="s">
        <v>129</v>
      </c>
      <c r="K397" s="137" t="s">
        <v>129</v>
      </c>
      <c r="L397" s="137" t="s">
        <v>129</v>
      </c>
      <c r="M397" s="141"/>
      <c r="N397" s="147"/>
    </row>
    <row r="398" hidden="1" outlineLevel="1">
      <c r="B398" s="189"/>
      <c r="C398" s="191" t="s">
        <v>194</v>
      </c>
      <c r="D398" s="204">
        <f>AVERAGE(D383:D397)</f>
        <v>1</v>
      </c>
      <c r="E398" s="200"/>
      <c r="L398" s="191" t="s">
        <v>194</v>
      </c>
      <c r="M398" s="204">
        <f>SUM(M383:M397)/75*0.1</f>
        <v>0</v>
      </c>
    </row>
    <row r="399" hidden="1" collapsed="1">
      <c r="A399" s="206" t="s">
        <v>917</v>
      </c>
      <c r="B399" s="207"/>
      <c r="C399" s="207"/>
      <c r="D399" s="208"/>
      <c r="E399" s="109"/>
      <c r="F399" s="109"/>
      <c r="G399" s="110"/>
      <c r="H399" s="110"/>
      <c r="I399" s="110"/>
      <c r="J399" s="110"/>
      <c r="K399" s="110"/>
      <c r="L399" s="110"/>
      <c r="M399" s="111"/>
      <c r="N399" s="113"/>
    </row>
    <row r="400" hidden="1" outlineLevel="1">
      <c r="A400" s="373" t="s">
        <v>98</v>
      </c>
      <c r="B400" s="115" t="s">
        <v>100</v>
      </c>
      <c r="C400" s="115" t="s">
        <v>102</v>
      </c>
      <c r="D400" s="119" t="s">
        <v>103</v>
      </c>
      <c r="E400" s="275" t="s">
        <v>269</v>
      </c>
      <c r="F400" s="275" t="s">
        <v>272</v>
      </c>
      <c r="G400" s="276" t="s">
        <v>328</v>
      </c>
      <c r="H400" s="121" t="s">
        <v>107</v>
      </c>
      <c r="I400" s="121" t="s">
        <v>108</v>
      </c>
      <c r="J400" s="276" t="s">
        <v>329</v>
      </c>
      <c r="K400" s="121" t="s">
        <v>111</v>
      </c>
      <c r="L400" s="276" t="s">
        <v>274</v>
      </c>
      <c r="M400" s="115" t="s">
        <v>114</v>
      </c>
      <c r="N400" s="119" t="s">
        <v>115</v>
      </c>
    </row>
    <row r="401" hidden="1" outlineLevel="1">
      <c r="A401" s="255" t="s">
        <v>3054</v>
      </c>
      <c r="B401" s="344">
        <v>46125.0</v>
      </c>
      <c r="C401" s="133" t="str">
        <f t="shared" ref="C401:C415" si="50">IF(B401="", "", TEXT(B401, "ddd"))</f>
        <v>Mon</v>
      </c>
      <c r="D401" s="381">
        <f t="shared" ref="D401:D415" si="51">IF(E401="Yes",0.05,0)
+IF(F401="Yes",0.1,0)
+IF(G401="Yes",0.15,0)
+IF(H401="Yes",0.15,0)
+IF(I401="Yes",0.05,0)
+IF(J401="Yes",0.05,0)
+IF(K401="Yes",0.15,0)
+IF(L401="Yes",0.3,0)
</f>
        <v>1</v>
      </c>
      <c r="E401" s="382" t="s">
        <v>129</v>
      </c>
      <c r="F401" s="137" t="s">
        <v>129</v>
      </c>
      <c r="G401" s="137" t="s">
        <v>129</v>
      </c>
      <c r="H401" s="137" t="s">
        <v>129</v>
      </c>
      <c r="I401" s="137" t="s">
        <v>129</v>
      </c>
      <c r="J401" s="137" t="s">
        <v>129</v>
      </c>
      <c r="K401" s="137" t="s">
        <v>129</v>
      </c>
      <c r="L401" s="137" t="s">
        <v>129</v>
      </c>
      <c r="M401" s="141"/>
      <c r="N401" s="143"/>
    </row>
    <row r="402" hidden="1" outlineLevel="1">
      <c r="A402" s="255" t="s">
        <v>3055</v>
      </c>
      <c r="B402" s="344">
        <v>46125.0</v>
      </c>
      <c r="C402" s="133" t="str">
        <f t="shared" si="50"/>
        <v>Mon</v>
      </c>
      <c r="D402" s="383">
        <f t="shared" si="51"/>
        <v>1</v>
      </c>
      <c r="E402" s="147" t="s">
        <v>129</v>
      </c>
      <c r="F402" s="137" t="s">
        <v>129</v>
      </c>
      <c r="G402" s="137" t="s">
        <v>129</v>
      </c>
      <c r="H402" s="137" t="s">
        <v>129</v>
      </c>
      <c r="I402" s="137" t="s">
        <v>129</v>
      </c>
      <c r="J402" s="137" t="s">
        <v>129</v>
      </c>
      <c r="K402" s="137" t="s">
        <v>129</v>
      </c>
      <c r="L402" s="137" t="s">
        <v>129</v>
      </c>
      <c r="M402" s="141"/>
      <c r="N402" s="147"/>
    </row>
    <row r="403" hidden="1" outlineLevel="1">
      <c r="A403" s="380" t="s">
        <v>3057</v>
      </c>
      <c r="B403" s="344">
        <v>46125.0</v>
      </c>
      <c r="C403" s="133" t="str">
        <f t="shared" si="50"/>
        <v>Mon</v>
      </c>
      <c r="D403" s="381">
        <f t="shared" si="51"/>
        <v>1</v>
      </c>
      <c r="E403" s="382" t="s">
        <v>129</v>
      </c>
      <c r="F403" s="137" t="s">
        <v>129</v>
      </c>
      <c r="G403" s="137" t="s">
        <v>129</v>
      </c>
      <c r="H403" s="137" t="s">
        <v>129</v>
      </c>
      <c r="I403" s="137" t="s">
        <v>129</v>
      </c>
      <c r="J403" s="137" t="s">
        <v>129</v>
      </c>
      <c r="K403" s="137" t="s">
        <v>129</v>
      </c>
      <c r="L403" s="137" t="s">
        <v>129</v>
      </c>
      <c r="M403" s="141"/>
      <c r="N403" s="147"/>
    </row>
    <row r="404" hidden="1" outlineLevel="1">
      <c r="A404" s="219" t="s">
        <v>3059</v>
      </c>
      <c r="B404" s="344">
        <v>46126.0</v>
      </c>
      <c r="C404" s="133" t="str">
        <f t="shared" si="50"/>
        <v>Tue</v>
      </c>
      <c r="D404" s="383">
        <f t="shared" si="51"/>
        <v>1</v>
      </c>
      <c r="E404" s="147" t="s">
        <v>129</v>
      </c>
      <c r="F404" s="137" t="s">
        <v>129</v>
      </c>
      <c r="G404" s="137" t="s">
        <v>129</v>
      </c>
      <c r="H404" s="137" t="s">
        <v>129</v>
      </c>
      <c r="I404" s="137" t="s">
        <v>129</v>
      </c>
      <c r="J404" s="137" t="s">
        <v>129</v>
      </c>
      <c r="K404" s="137" t="s">
        <v>129</v>
      </c>
      <c r="L404" s="137" t="s">
        <v>129</v>
      </c>
      <c r="M404" s="141"/>
      <c r="N404" s="143"/>
    </row>
    <row r="405" hidden="1" outlineLevel="1">
      <c r="A405" s="219" t="s">
        <v>3060</v>
      </c>
      <c r="B405" s="344">
        <v>46126.0</v>
      </c>
      <c r="C405" s="133" t="str">
        <f t="shared" si="50"/>
        <v>Tue</v>
      </c>
      <c r="D405" s="381">
        <f t="shared" si="51"/>
        <v>1</v>
      </c>
      <c r="E405" s="382" t="s">
        <v>129</v>
      </c>
      <c r="F405" s="137" t="s">
        <v>129</v>
      </c>
      <c r="G405" s="137" t="s">
        <v>129</v>
      </c>
      <c r="H405" s="137" t="s">
        <v>129</v>
      </c>
      <c r="I405" s="137" t="s">
        <v>129</v>
      </c>
      <c r="J405" s="137" t="s">
        <v>129</v>
      </c>
      <c r="K405" s="137" t="s">
        <v>129</v>
      </c>
      <c r="L405" s="137" t="s">
        <v>129</v>
      </c>
      <c r="M405" s="141"/>
      <c r="N405" s="143"/>
    </row>
    <row r="406" hidden="1" outlineLevel="1">
      <c r="A406" s="219" t="s">
        <v>3062</v>
      </c>
      <c r="B406" s="344">
        <v>46126.0</v>
      </c>
      <c r="C406" s="133" t="str">
        <f t="shared" si="50"/>
        <v>Tue</v>
      </c>
      <c r="D406" s="383">
        <f t="shared" si="51"/>
        <v>1</v>
      </c>
      <c r="E406" s="147" t="s">
        <v>129</v>
      </c>
      <c r="F406" s="137" t="s">
        <v>129</v>
      </c>
      <c r="G406" s="137" t="s">
        <v>129</v>
      </c>
      <c r="H406" s="137" t="s">
        <v>129</v>
      </c>
      <c r="I406" s="137" t="s">
        <v>129</v>
      </c>
      <c r="J406" s="137" t="s">
        <v>129</v>
      </c>
      <c r="K406" s="137" t="s">
        <v>129</v>
      </c>
      <c r="L406" s="137" t="s">
        <v>129</v>
      </c>
      <c r="M406" s="141"/>
      <c r="N406" s="143"/>
    </row>
    <row r="407" hidden="1" outlineLevel="1">
      <c r="A407" s="255" t="s">
        <v>3068</v>
      </c>
      <c r="B407" s="344">
        <v>46127.0</v>
      </c>
      <c r="C407" s="133" t="str">
        <f t="shared" si="50"/>
        <v>Wed</v>
      </c>
      <c r="D407" s="381">
        <f t="shared" si="51"/>
        <v>1</v>
      </c>
      <c r="E407" s="382" t="s">
        <v>129</v>
      </c>
      <c r="F407" s="137" t="s">
        <v>129</v>
      </c>
      <c r="G407" s="137" t="s">
        <v>129</v>
      </c>
      <c r="H407" s="137" t="s">
        <v>129</v>
      </c>
      <c r="I407" s="137" t="s">
        <v>129</v>
      </c>
      <c r="J407" s="137" t="s">
        <v>129</v>
      </c>
      <c r="K407" s="137" t="s">
        <v>129</v>
      </c>
      <c r="L407" s="137" t="s">
        <v>129</v>
      </c>
      <c r="M407" s="141"/>
      <c r="N407" s="143"/>
    </row>
    <row r="408" hidden="1" outlineLevel="1">
      <c r="A408" s="255" t="s">
        <v>3072</v>
      </c>
      <c r="B408" s="344">
        <v>46127.0</v>
      </c>
      <c r="C408" s="133" t="str">
        <f t="shared" si="50"/>
        <v>Wed</v>
      </c>
      <c r="D408" s="383">
        <f t="shared" si="51"/>
        <v>1</v>
      </c>
      <c r="E408" s="147" t="s">
        <v>129</v>
      </c>
      <c r="F408" s="137" t="s">
        <v>129</v>
      </c>
      <c r="G408" s="137" t="s">
        <v>129</v>
      </c>
      <c r="H408" s="137" t="s">
        <v>129</v>
      </c>
      <c r="I408" s="137" t="s">
        <v>129</v>
      </c>
      <c r="J408" s="137" t="s">
        <v>129</v>
      </c>
      <c r="K408" s="137" t="s">
        <v>129</v>
      </c>
      <c r="L408" s="137" t="s">
        <v>129</v>
      </c>
      <c r="M408" s="141"/>
      <c r="N408" s="147"/>
    </row>
    <row r="409" hidden="1" outlineLevel="1">
      <c r="A409" s="255" t="s">
        <v>3075</v>
      </c>
      <c r="B409" s="344">
        <v>46127.0</v>
      </c>
      <c r="C409" s="133" t="str">
        <f t="shared" si="50"/>
        <v>Wed</v>
      </c>
      <c r="D409" s="381">
        <f t="shared" si="51"/>
        <v>1</v>
      </c>
      <c r="E409" s="382" t="s">
        <v>129</v>
      </c>
      <c r="F409" s="137" t="s">
        <v>129</v>
      </c>
      <c r="G409" s="137" t="s">
        <v>129</v>
      </c>
      <c r="H409" s="137" t="s">
        <v>129</v>
      </c>
      <c r="I409" s="137" t="s">
        <v>129</v>
      </c>
      <c r="J409" s="137" t="s">
        <v>129</v>
      </c>
      <c r="K409" s="137" t="s">
        <v>129</v>
      </c>
      <c r="L409" s="137" t="s">
        <v>129</v>
      </c>
      <c r="M409" s="141"/>
      <c r="N409" s="143"/>
    </row>
    <row r="410" hidden="1" outlineLevel="1">
      <c r="A410" s="255" t="s">
        <v>3078</v>
      </c>
      <c r="B410" s="344">
        <v>46130.0</v>
      </c>
      <c r="C410" s="133" t="str">
        <f t="shared" si="50"/>
        <v>Sat</v>
      </c>
      <c r="D410" s="383">
        <f t="shared" si="51"/>
        <v>1</v>
      </c>
      <c r="E410" s="147" t="s">
        <v>129</v>
      </c>
      <c r="F410" s="137" t="s">
        <v>129</v>
      </c>
      <c r="G410" s="137" t="s">
        <v>129</v>
      </c>
      <c r="H410" s="137" t="s">
        <v>129</v>
      </c>
      <c r="I410" s="137" t="s">
        <v>129</v>
      </c>
      <c r="J410" s="137" t="s">
        <v>129</v>
      </c>
      <c r="K410" s="137" t="s">
        <v>129</v>
      </c>
      <c r="L410" s="137" t="s">
        <v>129</v>
      </c>
      <c r="M410" s="141"/>
      <c r="N410" s="147"/>
    </row>
    <row r="411" hidden="1" outlineLevel="1">
      <c r="A411" s="255" t="s">
        <v>3082</v>
      </c>
      <c r="B411" s="344">
        <v>46130.0</v>
      </c>
      <c r="C411" s="133" t="str">
        <f t="shared" si="50"/>
        <v>Sat</v>
      </c>
      <c r="D411" s="381">
        <f t="shared" si="51"/>
        <v>1</v>
      </c>
      <c r="E411" s="382" t="s">
        <v>129</v>
      </c>
      <c r="F411" s="137" t="s">
        <v>129</v>
      </c>
      <c r="G411" s="137" t="s">
        <v>129</v>
      </c>
      <c r="H411" s="137" t="s">
        <v>129</v>
      </c>
      <c r="I411" s="137" t="s">
        <v>129</v>
      </c>
      <c r="J411" s="137" t="s">
        <v>129</v>
      </c>
      <c r="K411" s="137" t="s">
        <v>129</v>
      </c>
      <c r="L411" s="137" t="s">
        <v>129</v>
      </c>
      <c r="M411" s="141"/>
      <c r="N411" s="147"/>
    </row>
    <row r="412" hidden="1" outlineLevel="1">
      <c r="A412" s="255" t="s">
        <v>3085</v>
      </c>
      <c r="B412" s="344">
        <v>46130.0</v>
      </c>
      <c r="C412" s="133" t="str">
        <f t="shared" si="50"/>
        <v>Sat</v>
      </c>
      <c r="D412" s="383">
        <f t="shared" si="51"/>
        <v>1</v>
      </c>
      <c r="E412" s="147" t="s">
        <v>129</v>
      </c>
      <c r="F412" s="137" t="s">
        <v>129</v>
      </c>
      <c r="G412" s="137" t="s">
        <v>129</v>
      </c>
      <c r="H412" s="137" t="s">
        <v>129</v>
      </c>
      <c r="I412" s="137" t="s">
        <v>129</v>
      </c>
      <c r="J412" s="137" t="s">
        <v>129</v>
      </c>
      <c r="K412" s="137" t="s">
        <v>129</v>
      </c>
      <c r="L412" s="137" t="s">
        <v>129</v>
      </c>
      <c r="M412" s="141"/>
      <c r="N412" s="147"/>
    </row>
    <row r="413" hidden="1" outlineLevel="1">
      <c r="A413" s="255" t="s">
        <v>3089</v>
      </c>
      <c r="B413" s="344">
        <v>46131.0</v>
      </c>
      <c r="C413" s="133" t="str">
        <f t="shared" si="50"/>
        <v>Sun</v>
      </c>
      <c r="D413" s="381">
        <f t="shared" si="51"/>
        <v>1</v>
      </c>
      <c r="E413" s="382" t="s">
        <v>129</v>
      </c>
      <c r="F413" s="137" t="s">
        <v>129</v>
      </c>
      <c r="G413" s="137" t="s">
        <v>129</v>
      </c>
      <c r="H413" s="137" t="s">
        <v>129</v>
      </c>
      <c r="I413" s="137" t="s">
        <v>129</v>
      </c>
      <c r="J413" s="137" t="s">
        <v>129</v>
      </c>
      <c r="K413" s="137" t="s">
        <v>129</v>
      </c>
      <c r="L413" s="137" t="s">
        <v>129</v>
      </c>
      <c r="M413" s="141"/>
      <c r="N413" s="143"/>
    </row>
    <row r="414" hidden="1" outlineLevel="1">
      <c r="A414" s="255" t="s">
        <v>3091</v>
      </c>
      <c r="B414" s="344">
        <v>46131.0</v>
      </c>
      <c r="C414" s="133" t="str">
        <f t="shared" si="50"/>
        <v>Sun</v>
      </c>
      <c r="D414" s="383">
        <f t="shared" si="51"/>
        <v>1</v>
      </c>
      <c r="E414" s="147" t="s">
        <v>129</v>
      </c>
      <c r="F414" s="137" t="s">
        <v>129</v>
      </c>
      <c r="G414" s="137" t="s">
        <v>129</v>
      </c>
      <c r="H414" s="137" t="s">
        <v>129</v>
      </c>
      <c r="I414" s="137" t="s">
        <v>129</v>
      </c>
      <c r="J414" s="137" t="s">
        <v>129</v>
      </c>
      <c r="K414" s="137" t="s">
        <v>129</v>
      </c>
      <c r="L414" s="137" t="s">
        <v>129</v>
      </c>
      <c r="M414" s="141"/>
      <c r="N414" s="143"/>
    </row>
    <row r="415" ht="15.0" hidden="1" customHeight="1" outlineLevel="1">
      <c r="A415" s="255" t="s">
        <v>3093</v>
      </c>
      <c r="B415" s="344">
        <v>46131.0</v>
      </c>
      <c r="C415" s="133" t="str">
        <f t="shared" si="50"/>
        <v>Sun</v>
      </c>
      <c r="D415" s="381">
        <f t="shared" si="51"/>
        <v>1</v>
      </c>
      <c r="E415" s="382" t="s">
        <v>129</v>
      </c>
      <c r="F415" s="137" t="s">
        <v>129</v>
      </c>
      <c r="G415" s="137" t="s">
        <v>129</v>
      </c>
      <c r="H415" s="137" t="s">
        <v>129</v>
      </c>
      <c r="I415" s="137" t="s">
        <v>129</v>
      </c>
      <c r="J415" s="137" t="s">
        <v>129</v>
      </c>
      <c r="K415" s="137" t="s">
        <v>129</v>
      </c>
      <c r="L415" s="137" t="s">
        <v>129</v>
      </c>
      <c r="M415" s="141"/>
      <c r="N415" s="147"/>
    </row>
    <row r="416" hidden="1" outlineLevel="1">
      <c r="B416" s="189"/>
      <c r="C416" s="191" t="s">
        <v>194</v>
      </c>
      <c r="D416" s="204">
        <f>AVERAGE(D401:D415)</f>
        <v>1</v>
      </c>
      <c r="E416" s="384"/>
      <c r="L416" s="191" t="s">
        <v>194</v>
      </c>
      <c r="M416" s="204">
        <f>SUM(M401:M415)/75*0.1</f>
        <v>0</v>
      </c>
    </row>
    <row r="417" hidden="1" collapsed="1">
      <c r="A417" s="206" t="s">
        <v>946</v>
      </c>
      <c r="B417" s="207"/>
      <c r="C417" s="207"/>
      <c r="D417" s="385"/>
      <c r="E417" s="109"/>
      <c r="F417" s="109"/>
      <c r="G417" s="110"/>
      <c r="H417" s="110"/>
      <c r="I417" s="110"/>
      <c r="J417" s="110"/>
      <c r="K417" s="110"/>
      <c r="L417" s="110"/>
      <c r="M417" s="111"/>
      <c r="N417" s="113"/>
    </row>
    <row r="418" hidden="1" outlineLevel="1">
      <c r="A418" s="373" t="s">
        <v>98</v>
      </c>
      <c r="B418" s="115" t="s">
        <v>100</v>
      </c>
      <c r="C418" s="115" t="s">
        <v>102</v>
      </c>
      <c r="D418" s="119" t="s">
        <v>103</v>
      </c>
      <c r="E418" s="275" t="s">
        <v>269</v>
      </c>
      <c r="F418" s="275" t="s">
        <v>272</v>
      </c>
      <c r="G418" s="276" t="s">
        <v>328</v>
      </c>
      <c r="H418" s="121" t="s">
        <v>107</v>
      </c>
      <c r="I418" s="121" t="s">
        <v>108</v>
      </c>
      <c r="J418" s="276" t="s">
        <v>329</v>
      </c>
      <c r="K418" s="121" t="s">
        <v>111</v>
      </c>
      <c r="L418" s="276" t="s">
        <v>274</v>
      </c>
      <c r="M418" s="115" t="s">
        <v>114</v>
      </c>
      <c r="N418" s="119" t="s">
        <v>115</v>
      </c>
    </row>
    <row r="419" hidden="1" outlineLevel="1">
      <c r="A419" s="388" t="s">
        <v>3102</v>
      </c>
      <c r="B419" s="344">
        <v>46132.0</v>
      </c>
      <c r="C419" s="133" t="str">
        <f t="shared" ref="C419:C433" si="52">IF(B419="", "", TEXT(B419, "ddd"))</f>
        <v>Mon</v>
      </c>
      <c r="D419" s="381">
        <f t="shared" ref="D419:D433" si="53">IF(E419="Yes",0.05,0)
+IF(F419="Yes",0.1,0)
+IF(G419="Yes",0.15,0)
+IF(H419="Yes",0.15,0)
+IF(I419="Yes",0.05,0)
+IF(J419="Yes",0.05,0)
+IF(K419="Yes",0.15,0)
+IF(L419="Yes",0.3,0)
</f>
        <v>1</v>
      </c>
      <c r="E419" s="382" t="s">
        <v>129</v>
      </c>
      <c r="F419" s="137" t="s">
        <v>129</v>
      </c>
      <c r="G419" s="137" t="s">
        <v>129</v>
      </c>
      <c r="H419" s="137" t="s">
        <v>129</v>
      </c>
      <c r="I419" s="137" t="s">
        <v>129</v>
      </c>
      <c r="J419" s="137" t="s">
        <v>129</v>
      </c>
      <c r="K419" s="137" t="s">
        <v>129</v>
      </c>
      <c r="L419" s="137" t="s">
        <v>129</v>
      </c>
      <c r="M419" s="141"/>
      <c r="N419" s="143"/>
    </row>
    <row r="420" hidden="1" outlineLevel="1">
      <c r="A420" s="484" t="s">
        <v>3108</v>
      </c>
      <c r="B420" s="344">
        <v>46132.0</v>
      </c>
      <c r="C420" s="133" t="str">
        <f t="shared" si="52"/>
        <v>Mon</v>
      </c>
      <c r="D420" s="383">
        <f t="shared" si="53"/>
        <v>1</v>
      </c>
      <c r="E420" s="147" t="s">
        <v>129</v>
      </c>
      <c r="F420" s="137" t="s">
        <v>129</v>
      </c>
      <c r="G420" s="137" t="s">
        <v>129</v>
      </c>
      <c r="H420" s="137" t="s">
        <v>129</v>
      </c>
      <c r="I420" s="137" t="s">
        <v>129</v>
      </c>
      <c r="J420" s="137" t="s">
        <v>129</v>
      </c>
      <c r="K420" s="137" t="s">
        <v>129</v>
      </c>
      <c r="L420" s="137" t="s">
        <v>129</v>
      </c>
      <c r="M420" s="141"/>
      <c r="N420" s="147"/>
    </row>
    <row r="421" hidden="1" outlineLevel="1">
      <c r="A421" s="483" t="s">
        <v>3111</v>
      </c>
      <c r="B421" s="344">
        <v>46132.0</v>
      </c>
      <c r="C421" s="133" t="str">
        <f t="shared" si="52"/>
        <v>Mon</v>
      </c>
      <c r="D421" s="381">
        <f t="shared" si="53"/>
        <v>1</v>
      </c>
      <c r="E421" s="382" t="s">
        <v>129</v>
      </c>
      <c r="F421" s="137" t="s">
        <v>129</v>
      </c>
      <c r="G421" s="137" t="s">
        <v>129</v>
      </c>
      <c r="H421" s="137" t="s">
        <v>129</v>
      </c>
      <c r="I421" s="137" t="s">
        <v>129</v>
      </c>
      <c r="J421" s="137" t="s">
        <v>129</v>
      </c>
      <c r="K421" s="137" t="s">
        <v>129</v>
      </c>
      <c r="L421" s="137" t="s">
        <v>129</v>
      </c>
      <c r="M421" s="141"/>
      <c r="N421" s="147"/>
    </row>
    <row r="422" hidden="1" outlineLevel="1">
      <c r="A422" s="388" t="s">
        <v>3113</v>
      </c>
      <c r="B422" s="344">
        <v>46133.0</v>
      </c>
      <c r="C422" s="133" t="str">
        <f t="shared" si="52"/>
        <v>Tue</v>
      </c>
      <c r="D422" s="383">
        <f t="shared" si="53"/>
        <v>1</v>
      </c>
      <c r="E422" s="147" t="s">
        <v>129</v>
      </c>
      <c r="F422" s="137" t="s">
        <v>129</v>
      </c>
      <c r="G422" s="137" t="s">
        <v>129</v>
      </c>
      <c r="H422" s="137" t="s">
        <v>129</v>
      </c>
      <c r="I422" s="137" t="s">
        <v>129</v>
      </c>
      <c r="J422" s="137" t="s">
        <v>129</v>
      </c>
      <c r="K422" s="137" t="s">
        <v>129</v>
      </c>
      <c r="L422" s="137" t="s">
        <v>129</v>
      </c>
      <c r="M422" s="141"/>
      <c r="N422" s="143"/>
    </row>
    <row r="423" hidden="1" outlineLevel="1">
      <c r="A423" s="388" t="s">
        <v>3117</v>
      </c>
      <c r="B423" s="344">
        <v>46133.0</v>
      </c>
      <c r="C423" s="133" t="str">
        <f t="shared" si="52"/>
        <v>Tue</v>
      </c>
      <c r="D423" s="381">
        <f t="shared" si="53"/>
        <v>1</v>
      </c>
      <c r="E423" s="382" t="s">
        <v>129</v>
      </c>
      <c r="F423" s="137" t="s">
        <v>129</v>
      </c>
      <c r="G423" s="137" t="s">
        <v>129</v>
      </c>
      <c r="H423" s="137" t="s">
        <v>129</v>
      </c>
      <c r="I423" s="137" t="s">
        <v>129</v>
      </c>
      <c r="J423" s="137" t="s">
        <v>129</v>
      </c>
      <c r="K423" s="137" t="s">
        <v>129</v>
      </c>
      <c r="L423" s="137" t="s">
        <v>129</v>
      </c>
      <c r="M423" s="141"/>
      <c r="N423" s="143"/>
    </row>
    <row r="424" hidden="1" outlineLevel="1">
      <c r="A424" s="388" t="s">
        <v>3121</v>
      </c>
      <c r="B424" s="344">
        <v>46133.0</v>
      </c>
      <c r="C424" s="133" t="str">
        <f t="shared" si="52"/>
        <v>Tue</v>
      </c>
      <c r="D424" s="383">
        <f t="shared" si="53"/>
        <v>1</v>
      </c>
      <c r="E424" s="147" t="s">
        <v>129</v>
      </c>
      <c r="F424" s="137" t="s">
        <v>129</v>
      </c>
      <c r="G424" s="137" t="s">
        <v>129</v>
      </c>
      <c r="H424" s="137" t="s">
        <v>129</v>
      </c>
      <c r="I424" s="137" t="s">
        <v>129</v>
      </c>
      <c r="J424" s="137" t="s">
        <v>129</v>
      </c>
      <c r="K424" s="137" t="s">
        <v>129</v>
      </c>
      <c r="L424" s="137" t="s">
        <v>129</v>
      </c>
      <c r="M424" s="141"/>
      <c r="N424" s="143"/>
    </row>
    <row r="425" hidden="1" outlineLevel="1">
      <c r="A425" s="388" t="s">
        <v>3131</v>
      </c>
      <c r="B425" s="344">
        <v>46134.0</v>
      </c>
      <c r="C425" s="133" t="str">
        <f t="shared" si="52"/>
        <v>Wed</v>
      </c>
      <c r="D425" s="381">
        <f t="shared" si="53"/>
        <v>1</v>
      </c>
      <c r="E425" s="382" t="s">
        <v>129</v>
      </c>
      <c r="F425" s="137" t="s">
        <v>129</v>
      </c>
      <c r="G425" s="137" t="s">
        <v>129</v>
      </c>
      <c r="H425" s="137" t="s">
        <v>129</v>
      </c>
      <c r="I425" s="137" t="s">
        <v>129</v>
      </c>
      <c r="J425" s="137" t="s">
        <v>129</v>
      </c>
      <c r="K425" s="137" t="s">
        <v>129</v>
      </c>
      <c r="L425" s="137" t="s">
        <v>129</v>
      </c>
      <c r="M425" s="141"/>
      <c r="N425" s="143"/>
    </row>
    <row r="426" hidden="1" outlineLevel="1">
      <c r="A426" s="388" t="s">
        <v>3134</v>
      </c>
      <c r="B426" s="344">
        <v>46134.0</v>
      </c>
      <c r="C426" s="133" t="str">
        <f t="shared" si="52"/>
        <v>Wed</v>
      </c>
      <c r="D426" s="383">
        <f t="shared" si="53"/>
        <v>1</v>
      </c>
      <c r="E426" s="147" t="s">
        <v>129</v>
      </c>
      <c r="F426" s="137" t="s">
        <v>129</v>
      </c>
      <c r="G426" s="137" t="s">
        <v>129</v>
      </c>
      <c r="H426" s="137" t="s">
        <v>129</v>
      </c>
      <c r="I426" s="137" t="s">
        <v>129</v>
      </c>
      <c r="J426" s="137" t="s">
        <v>129</v>
      </c>
      <c r="K426" s="137" t="s">
        <v>129</v>
      </c>
      <c r="L426" s="137" t="s">
        <v>129</v>
      </c>
      <c r="M426" s="141"/>
      <c r="N426" s="147"/>
    </row>
    <row r="427" hidden="1" outlineLevel="1">
      <c r="A427" s="388" t="s">
        <v>3137</v>
      </c>
      <c r="B427" s="344">
        <v>46134.0</v>
      </c>
      <c r="C427" s="133" t="str">
        <f t="shared" si="52"/>
        <v>Wed</v>
      </c>
      <c r="D427" s="381">
        <f t="shared" si="53"/>
        <v>1</v>
      </c>
      <c r="E427" s="382" t="s">
        <v>129</v>
      </c>
      <c r="F427" s="137" t="s">
        <v>129</v>
      </c>
      <c r="G427" s="137" t="s">
        <v>129</v>
      </c>
      <c r="H427" s="137" t="s">
        <v>129</v>
      </c>
      <c r="I427" s="137" t="s">
        <v>129</v>
      </c>
      <c r="J427" s="137" t="s">
        <v>129</v>
      </c>
      <c r="K427" s="137" t="s">
        <v>129</v>
      </c>
      <c r="L427" s="137" t="s">
        <v>129</v>
      </c>
      <c r="M427" s="141"/>
      <c r="N427" s="143"/>
    </row>
    <row r="428" hidden="1" outlineLevel="1">
      <c r="A428" s="388" t="s">
        <v>3139</v>
      </c>
      <c r="B428" s="344">
        <v>46135.0</v>
      </c>
      <c r="C428" s="133" t="str">
        <f t="shared" si="52"/>
        <v>Thu</v>
      </c>
      <c r="D428" s="383">
        <f t="shared" si="53"/>
        <v>1</v>
      </c>
      <c r="E428" s="147" t="s">
        <v>129</v>
      </c>
      <c r="F428" s="137" t="s">
        <v>129</v>
      </c>
      <c r="G428" s="137" t="s">
        <v>129</v>
      </c>
      <c r="H428" s="137" t="s">
        <v>129</v>
      </c>
      <c r="I428" s="137" t="s">
        <v>129</v>
      </c>
      <c r="J428" s="137" t="s">
        <v>129</v>
      </c>
      <c r="K428" s="137" t="s">
        <v>129</v>
      </c>
      <c r="L428" s="137" t="s">
        <v>129</v>
      </c>
      <c r="M428" s="141"/>
      <c r="N428" s="147"/>
    </row>
    <row r="429" hidden="1" outlineLevel="1">
      <c r="A429" s="388" t="s">
        <v>3141</v>
      </c>
      <c r="B429" s="344">
        <v>46135.0</v>
      </c>
      <c r="C429" s="133" t="str">
        <f t="shared" si="52"/>
        <v>Thu</v>
      </c>
      <c r="D429" s="381">
        <f t="shared" si="53"/>
        <v>1</v>
      </c>
      <c r="E429" s="382" t="s">
        <v>129</v>
      </c>
      <c r="F429" s="137" t="s">
        <v>129</v>
      </c>
      <c r="G429" s="137" t="s">
        <v>129</v>
      </c>
      <c r="H429" s="137" t="s">
        <v>129</v>
      </c>
      <c r="I429" s="137" t="s">
        <v>129</v>
      </c>
      <c r="J429" s="137" t="s">
        <v>129</v>
      </c>
      <c r="K429" s="137" t="s">
        <v>129</v>
      </c>
      <c r="L429" s="137" t="s">
        <v>129</v>
      </c>
      <c r="M429" s="141"/>
      <c r="N429" s="147"/>
    </row>
    <row r="430" hidden="1" outlineLevel="1">
      <c r="A430" s="389" t="s">
        <v>3143</v>
      </c>
      <c r="B430" s="344">
        <v>46135.0</v>
      </c>
      <c r="C430" s="133" t="str">
        <f t="shared" si="52"/>
        <v>Thu</v>
      </c>
      <c r="D430" s="383">
        <f t="shared" si="53"/>
        <v>1</v>
      </c>
      <c r="E430" s="147" t="s">
        <v>129</v>
      </c>
      <c r="F430" s="137" t="s">
        <v>129</v>
      </c>
      <c r="G430" s="137" t="s">
        <v>129</v>
      </c>
      <c r="H430" s="137" t="s">
        <v>129</v>
      </c>
      <c r="I430" s="137" t="s">
        <v>129</v>
      </c>
      <c r="J430" s="137" t="s">
        <v>129</v>
      </c>
      <c r="K430" s="137" t="s">
        <v>129</v>
      </c>
      <c r="L430" s="137" t="s">
        <v>129</v>
      </c>
      <c r="M430" s="141"/>
      <c r="N430" s="147"/>
    </row>
    <row r="431" hidden="1" outlineLevel="1">
      <c r="A431" s="303" t="s">
        <v>3145</v>
      </c>
      <c r="B431" s="344">
        <v>46138.0</v>
      </c>
      <c r="C431" s="133" t="str">
        <f t="shared" si="52"/>
        <v>Sun</v>
      </c>
      <c r="D431" s="381">
        <f t="shared" si="53"/>
        <v>1</v>
      </c>
      <c r="E431" s="382" t="s">
        <v>129</v>
      </c>
      <c r="F431" s="137" t="s">
        <v>129</v>
      </c>
      <c r="G431" s="137" t="s">
        <v>129</v>
      </c>
      <c r="H431" s="137" t="s">
        <v>129</v>
      </c>
      <c r="I431" s="137" t="s">
        <v>129</v>
      </c>
      <c r="J431" s="137" t="s">
        <v>129</v>
      </c>
      <c r="K431" s="137" t="s">
        <v>129</v>
      </c>
      <c r="L431" s="137" t="s">
        <v>129</v>
      </c>
      <c r="M431" s="141"/>
      <c r="N431" s="143"/>
    </row>
    <row r="432" hidden="1" outlineLevel="1">
      <c r="A432" s="303" t="s">
        <v>3150</v>
      </c>
      <c r="B432" s="344">
        <v>46138.0</v>
      </c>
      <c r="C432" s="133" t="str">
        <f t="shared" si="52"/>
        <v>Sun</v>
      </c>
      <c r="D432" s="383">
        <f t="shared" si="53"/>
        <v>1</v>
      </c>
      <c r="E432" s="147" t="s">
        <v>129</v>
      </c>
      <c r="F432" s="137" t="s">
        <v>129</v>
      </c>
      <c r="G432" s="137" t="s">
        <v>129</v>
      </c>
      <c r="H432" s="137" t="s">
        <v>129</v>
      </c>
      <c r="I432" s="137" t="s">
        <v>129</v>
      </c>
      <c r="J432" s="137" t="s">
        <v>129</v>
      </c>
      <c r="K432" s="137" t="s">
        <v>129</v>
      </c>
      <c r="L432" s="137" t="s">
        <v>129</v>
      </c>
      <c r="M432" s="141"/>
      <c r="N432" s="143"/>
    </row>
    <row r="433" ht="15.0" hidden="1" customHeight="1" outlineLevel="1">
      <c r="A433" s="303" t="s">
        <v>3157</v>
      </c>
      <c r="B433" s="344">
        <v>46138.0</v>
      </c>
      <c r="C433" s="133" t="str">
        <f t="shared" si="52"/>
        <v>Sun</v>
      </c>
      <c r="D433" s="381">
        <f t="shared" si="53"/>
        <v>1</v>
      </c>
      <c r="E433" s="382" t="s">
        <v>129</v>
      </c>
      <c r="F433" s="137" t="s">
        <v>129</v>
      </c>
      <c r="G433" s="137" t="s">
        <v>129</v>
      </c>
      <c r="H433" s="137" t="s">
        <v>129</v>
      </c>
      <c r="I433" s="137" t="s">
        <v>129</v>
      </c>
      <c r="J433" s="137" t="s">
        <v>129</v>
      </c>
      <c r="K433" s="137" t="s">
        <v>129</v>
      </c>
      <c r="L433" s="137" t="s">
        <v>129</v>
      </c>
      <c r="M433" s="141"/>
      <c r="N433" s="147"/>
    </row>
    <row r="434" hidden="1" outlineLevel="1">
      <c r="B434" s="189"/>
      <c r="C434" s="191" t="s">
        <v>194</v>
      </c>
      <c r="D434" s="204">
        <f>AVERAGE(D419:D433)</f>
        <v>1</v>
      </c>
      <c r="E434" s="384"/>
      <c r="L434" s="191" t="s">
        <v>194</v>
      </c>
      <c r="M434" s="204">
        <f>SUM(M419:M433)/75*0.1</f>
        <v>0</v>
      </c>
    </row>
    <row r="435" hidden="1" collapsed="1">
      <c r="A435" s="206" t="s">
        <v>978</v>
      </c>
      <c r="B435" s="207"/>
      <c r="C435" s="207"/>
      <c r="D435" s="385"/>
      <c r="E435" s="109"/>
      <c r="F435" s="109"/>
      <c r="G435" s="110"/>
      <c r="H435" s="110"/>
      <c r="I435" s="110"/>
      <c r="J435" s="110"/>
      <c r="K435" s="110"/>
      <c r="L435" s="110"/>
      <c r="M435" s="111"/>
      <c r="N435" s="113"/>
    </row>
    <row r="436" hidden="1" outlineLevel="1">
      <c r="A436" s="373" t="s">
        <v>98</v>
      </c>
      <c r="B436" s="115" t="s">
        <v>100</v>
      </c>
      <c r="C436" s="115" t="s">
        <v>102</v>
      </c>
      <c r="D436" s="119" t="s">
        <v>103</v>
      </c>
      <c r="E436" s="275" t="s">
        <v>269</v>
      </c>
      <c r="F436" s="275" t="s">
        <v>272</v>
      </c>
      <c r="G436" s="276" t="s">
        <v>328</v>
      </c>
      <c r="H436" s="121" t="s">
        <v>107</v>
      </c>
      <c r="I436" s="121" t="s">
        <v>108</v>
      </c>
      <c r="J436" s="276" t="s">
        <v>329</v>
      </c>
      <c r="K436" s="121" t="s">
        <v>111</v>
      </c>
      <c r="L436" s="276" t="s">
        <v>274</v>
      </c>
      <c r="M436" s="115" t="s">
        <v>114</v>
      </c>
      <c r="N436" s="119" t="s">
        <v>115</v>
      </c>
    </row>
    <row r="437" hidden="1" outlineLevel="1">
      <c r="A437" s="303" t="s">
        <v>3164</v>
      </c>
      <c r="B437" s="344">
        <v>46139.0</v>
      </c>
      <c r="C437" s="133" t="str">
        <f t="shared" ref="C437:C451" si="54">IF(B437="", "", TEXT(B437, "ddd"))</f>
        <v>Mon</v>
      </c>
      <c r="D437" s="381">
        <f t="shared" ref="D437:D451" si="55">IF(E437="Yes",0.05,0)
+IF(F437="Yes",0.1,0)
+IF(G437="Yes",0.15,0)
+IF(H437="Yes",0.15,0)
+IF(I437="Yes",0.05,0)
+IF(J437="Yes",0.05,0)
+IF(K437="Yes",0.15,0)
+IF(L437="Yes",0.3,0)
</f>
        <v>1</v>
      </c>
      <c r="E437" s="382" t="s">
        <v>129</v>
      </c>
      <c r="F437" s="137" t="s">
        <v>129</v>
      </c>
      <c r="G437" s="137" t="s">
        <v>129</v>
      </c>
      <c r="H437" s="137" t="s">
        <v>129</v>
      </c>
      <c r="I437" s="137" t="s">
        <v>129</v>
      </c>
      <c r="J437" s="137" t="s">
        <v>129</v>
      </c>
      <c r="K437" s="137" t="s">
        <v>129</v>
      </c>
      <c r="L437" s="137" t="s">
        <v>129</v>
      </c>
      <c r="M437" s="141"/>
      <c r="N437" s="143"/>
    </row>
    <row r="438" hidden="1" outlineLevel="1">
      <c r="A438" s="255" t="s">
        <v>3170</v>
      </c>
      <c r="B438" s="344">
        <v>46139.0</v>
      </c>
      <c r="C438" s="133" t="str">
        <f t="shared" si="54"/>
        <v>Mon</v>
      </c>
      <c r="D438" s="383">
        <f t="shared" si="55"/>
        <v>1</v>
      </c>
      <c r="E438" s="147" t="s">
        <v>129</v>
      </c>
      <c r="F438" s="137" t="s">
        <v>129</v>
      </c>
      <c r="G438" s="137" t="s">
        <v>129</v>
      </c>
      <c r="H438" s="137" t="s">
        <v>129</v>
      </c>
      <c r="I438" s="137" t="s">
        <v>129</v>
      </c>
      <c r="J438" s="137" t="s">
        <v>129</v>
      </c>
      <c r="K438" s="137" t="s">
        <v>129</v>
      </c>
      <c r="L438" s="137" t="s">
        <v>129</v>
      </c>
      <c r="M438" s="141"/>
      <c r="N438" s="147"/>
    </row>
    <row r="439" hidden="1" outlineLevel="1">
      <c r="A439" s="255" t="s">
        <v>3173</v>
      </c>
      <c r="B439" s="344">
        <v>46139.0</v>
      </c>
      <c r="C439" s="133" t="str">
        <f t="shared" si="54"/>
        <v>Mon</v>
      </c>
      <c r="D439" s="381">
        <f t="shared" si="55"/>
        <v>1</v>
      </c>
      <c r="E439" s="382" t="s">
        <v>129</v>
      </c>
      <c r="F439" s="137" t="s">
        <v>129</v>
      </c>
      <c r="G439" s="137" t="s">
        <v>129</v>
      </c>
      <c r="H439" s="137" t="s">
        <v>129</v>
      </c>
      <c r="I439" s="137" t="s">
        <v>129</v>
      </c>
      <c r="J439" s="137" t="s">
        <v>129</v>
      </c>
      <c r="K439" s="137" t="s">
        <v>129</v>
      </c>
      <c r="L439" s="137" t="s">
        <v>129</v>
      </c>
      <c r="M439" s="141"/>
      <c r="N439" s="147"/>
    </row>
    <row r="440" hidden="1" outlineLevel="1">
      <c r="A440" s="390" t="s">
        <v>3176</v>
      </c>
      <c r="B440" s="344">
        <v>46142.0</v>
      </c>
      <c r="C440" s="133" t="str">
        <f t="shared" si="54"/>
        <v>Thu</v>
      </c>
      <c r="D440" s="383">
        <f t="shared" si="55"/>
        <v>1</v>
      </c>
      <c r="E440" s="147" t="s">
        <v>129</v>
      </c>
      <c r="F440" s="137" t="s">
        <v>129</v>
      </c>
      <c r="G440" s="137" t="s">
        <v>129</v>
      </c>
      <c r="H440" s="137" t="s">
        <v>129</v>
      </c>
      <c r="I440" s="137" t="s">
        <v>129</v>
      </c>
      <c r="J440" s="137" t="s">
        <v>129</v>
      </c>
      <c r="K440" s="137" t="s">
        <v>129</v>
      </c>
      <c r="L440" s="137" t="s">
        <v>129</v>
      </c>
      <c r="M440" s="141"/>
      <c r="N440" s="143"/>
    </row>
    <row r="441" hidden="1" outlineLevel="1">
      <c r="A441" s="390" t="s">
        <v>3178</v>
      </c>
      <c r="B441" s="344">
        <v>46142.0</v>
      </c>
      <c r="C441" s="133" t="str">
        <f t="shared" si="54"/>
        <v>Thu</v>
      </c>
      <c r="D441" s="381">
        <f t="shared" si="55"/>
        <v>1</v>
      </c>
      <c r="E441" s="382" t="s">
        <v>129</v>
      </c>
      <c r="F441" s="137" t="s">
        <v>129</v>
      </c>
      <c r="G441" s="137" t="s">
        <v>129</v>
      </c>
      <c r="H441" s="137" t="s">
        <v>129</v>
      </c>
      <c r="I441" s="137" t="s">
        <v>129</v>
      </c>
      <c r="J441" s="137" t="s">
        <v>129</v>
      </c>
      <c r="K441" s="137" t="s">
        <v>129</v>
      </c>
      <c r="L441" s="137" t="s">
        <v>129</v>
      </c>
      <c r="M441" s="141"/>
      <c r="N441" s="143"/>
    </row>
    <row r="442" hidden="1" outlineLevel="1">
      <c r="A442" s="390" t="s">
        <v>3182</v>
      </c>
      <c r="B442" s="344">
        <v>46142.0</v>
      </c>
      <c r="C442" s="133" t="str">
        <f t="shared" si="54"/>
        <v>Thu</v>
      </c>
      <c r="D442" s="383">
        <f t="shared" si="55"/>
        <v>1</v>
      </c>
      <c r="E442" s="147" t="s">
        <v>129</v>
      </c>
      <c r="F442" s="137" t="s">
        <v>129</v>
      </c>
      <c r="G442" s="137" t="s">
        <v>129</v>
      </c>
      <c r="H442" s="137" t="s">
        <v>129</v>
      </c>
      <c r="I442" s="137" t="s">
        <v>129</v>
      </c>
      <c r="J442" s="137" t="s">
        <v>129</v>
      </c>
      <c r="K442" s="137" t="s">
        <v>129</v>
      </c>
      <c r="L442" s="137" t="s">
        <v>129</v>
      </c>
      <c r="M442" s="141"/>
      <c r="N442" s="143"/>
    </row>
    <row r="443" hidden="1" outlineLevel="1">
      <c r="A443" s="490" t="s">
        <v>3184</v>
      </c>
      <c r="B443" s="344">
        <v>46143.0</v>
      </c>
      <c r="C443" s="133" t="str">
        <f t="shared" si="54"/>
        <v>Fri</v>
      </c>
      <c r="D443" s="381">
        <f t="shared" si="55"/>
        <v>1</v>
      </c>
      <c r="E443" s="382" t="s">
        <v>129</v>
      </c>
      <c r="F443" s="137" t="s">
        <v>129</v>
      </c>
      <c r="G443" s="137" t="s">
        <v>129</v>
      </c>
      <c r="H443" s="137" t="s">
        <v>129</v>
      </c>
      <c r="I443" s="137" t="s">
        <v>129</v>
      </c>
      <c r="J443" s="137" t="s">
        <v>129</v>
      </c>
      <c r="K443" s="137" t="s">
        <v>129</v>
      </c>
      <c r="L443" s="137" t="s">
        <v>129</v>
      </c>
      <c r="M443" s="141"/>
      <c r="N443" s="143"/>
    </row>
    <row r="444" hidden="1" outlineLevel="1">
      <c r="A444" s="390" t="s">
        <v>3187</v>
      </c>
      <c r="B444" s="344">
        <v>46143.0</v>
      </c>
      <c r="C444" s="133" t="str">
        <f t="shared" si="54"/>
        <v>Fri</v>
      </c>
      <c r="D444" s="383">
        <f t="shared" si="55"/>
        <v>1</v>
      </c>
      <c r="E444" s="147" t="s">
        <v>129</v>
      </c>
      <c r="F444" s="137" t="s">
        <v>129</v>
      </c>
      <c r="G444" s="137" t="s">
        <v>129</v>
      </c>
      <c r="H444" s="137" t="s">
        <v>129</v>
      </c>
      <c r="I444" s="137" t="s">
        <v>129</v>
      </c>
      <c r="J444" s="137" t="s">
        <v>129</v>
      </c>
      <c r="K444" s="137" t="s">
        <v>129</v>
      </c>
      <c r="L444" s="137" t="s">
        <v>129</v>
      </c>
      <c r="M444" s="141"/>
      <c r="N444" s="147"/>
    </row>
    <row r="445" hidden="1" outlineLevel="1">
      <c r="A445" s="490" t="s">
        <v>3192</v>
      </c>
      <c r="B445" s="344">
        <v>46143.0</v>
      </c>
      <c r="C445" s="133" t="str">
        <f t="shared" si="54"/>
        <v>Fri</v>
      </c>
      <c r="D445" s="381">
        <f t="shared" si="55"/>
        <v>1</v>
      </c>
      <c r="E445" s="382" t="s">
        <v>129</v>
      </c>
      <c r="F445" s="137" t="s">
        <v>129</v>
      </c>
      <c r="G445" s="137" t="s">
        <v>129</v>
      </c>
      <c r="H445" s="137" t="s">
        <v>129</v>
      </c>
      <c r="I445" s="137" t="s">
        <v>129</v>
      </c>
      <c r="J445" s="137" t="s">
        <v>129</v>
      </c>
      <c r="K445" s="137" t="s">
        <v>129</v>
      </c>
      <c r="L445" s="137" t="s">
        <v>129</v>
      </c>
      <c r="M445" s="141"/>
      <c r="N445" s="143"/>
    </row>
    <row r="446" hidden="1" outlineLevel="1">
      <c r="A446" s="393" t="s">
        <v>3195</v>
      </c>
      <c r="B446" s="344">
        <v>46144.0</v>
      </c>
      <c r="C446" s="133" t="str">
        <f t="shared" si="54"/>
        <v>Sat</v>
      </c>
      <c r="D446" s="383">
        <f t="shared" si="55"/>
        <v>1</v>
      </c>
      <c r="E446" s="147" t="s">
        <v>129</v>
      </c>
      <c r="F446" s="137" t="s">
        <v>129</v>
      </c>
      <c r="G446" s="137" t="s">
        <v>129</v>
      </c>
      <c r="H446" s="137" t="s">
        <v>129</v>
      </c>
      <c r="I446" s="137" t="s">
        <v>129</v>
      </c>
      <c r="J446" s="137" t="s">
        <v>129</v>
      </c>
      <c r="K446" s="137" t="s">
        <v>129</v>
      </c>
      <c r="L446" s="137" t="s">
        <v>129</v>
      </c>
      <c r="M446" s="141"/>
      <c r="N446" s="147"/>
    </row>
    <row r="447" hidden="1" outlineLevel="1">
      <c r="A447" s="393" t="s">
        <v>3198</v>
      </c>
      <c r="B447" s="344">
        <v>46144.0</v>
      </c>
      <c r="C447" s="133" t="str">
        <f t="shared" si="54"/>
        <v>Sat</v>
      </c>
      <c r="D447" s="381">
        <f t="shared" si="55"/>
        <v>1</v>
      </c>
      <c r="E447" s="382" t="s">
        <v>129</v>
      </c>
      <c r="F447" s="137" t="s">
        <v>129</v>
      </c>
      <c r="G447" s="137" t="s">
        <v>129</v>
      </c>
      <c r="H447" s="137" t="s">
        <v>129</v>
      </c>
      <c r="I447" s="137" t="s">
        <v>129</v>
      </c>
      <c r="J447" s="137" t="s">
        <v>129</v>
      </c>
      <c r="K447" s="137" t="s">
        <v>129</v>
      </c>
      <c r="L447" s="137" t="s">
        <v>129</v>
      </c>
      <c r="M447" s="141"/>
      <c r="N447" s="147"/>
    </row>
    <row r="448" hidden="1" outlineLevel="1">
      <c r="A448" s="394" t="s">
        <v>3200</v>
      </c>
      <c r="B448" s="344">
        <v>46144.0</v>
      </c>
      <c r="C448" s="133" t="str">
        <f t="shared" si="54"/>
        <v>Sat</v>
      </c>
      <c r="D448" s="383">
        <f t="shared" si="55"/>
        <v>1</v>
      </c>
      <c r="E448" s="147" t="s">
        <v>129</v>
      </c>
      <c r="F448" s="137" t="s">
        <v>129</v>
      </c>
      <c r="G448" s="137" t="s">
        <v>129</v>
      </c>
      <c r="H448" s="137" t="s">
        <v>129</v>
      </c>
      <c r="I448" s="137" t="s">
        <v>129</v>
      </c>
      <c r="J448" s="137" t="s">
        <v>129</v>
      </c>
      <c r="K448" s="137" t="s">
        <v>129</v>
      </c>
      <c r="L448" s="137" t="s">
        <v>129</v>
      </c>
      <c r="M448" s="141"/>
      <c r="N448" s="147"/>
    </row>
    <row r="449" hidden="1" outlineLevel="1">
      <c r="A449" s="491" t="s">
        <v>3202</v>
      </c>
      <c r="B449" s="344">
        <v>46145.0</v>
      </c>
      <c r="C449" s="133" t="str">
        <f t="shared" si="54"/>
        <v>Sun</v>
      </c>
      <c r="D449" s="381">
        <f t="shared" si="55"/>
        <v>1</v>
      </c>
      <c r="E449" s="382" t="s">
        <v>129</v>
      </c>
      <c r="F449" s="137" t="s">
        <v>129</v>
      </c>
      <c r="G449" s="137" t="s">
        <v>129</v>
      </c>
      <c r="H449" s="137" t="s">
        <v>129</v>
      </c>
      <c r="I449" s="137" t="s">
        <v>129</v>
      </c>
      <c r="J449" s="137" t="s">
        <v>129</v>
      </c>
      <c r="K449" s="137" t="s">
        <v>129</v>
      </c>
      <c r="L449" s="137" t="s">
        <v>129</v>
      </c>
      <c r="M449" s="141"/>
      <c r="N449" s="143"/>
    </row>
    <row r="450" hidden="1" outlineLevel="1">
      <c r="A450" s="393" t="s">
        <v>3209</v>
      </c>
      <c r="B450" s="344">
        <v>46145.0</v>
      </c>
      <c r="C450" s="133" t="str">
        <f t="shared" si="54"/>
        <v>Sun</v>
      </c>
      <c r="D450" s="383">
        <f t="shared" si="55"/>
        <v>1</v>
      </c>
      <c r="E450" s="147" t="s">
        <v>129</v>
      </c>
      <c r="F450" s="137" t="s">
        <v>129</v>
      </c>
      <c r="G450" s="137" t="s">
        <v>129</v>
      </c>
      <c r="H450" s="137" t="s">
        <v>129</v>
      </c>
      <c r="I450" s="137" t="s">
        <v>129</v>
      </c>
      <c r="J450" s="137" t="s">
        <v>129</v>
      </c>
      <c r="K450" s="137" t="s">
        <v>129</v>
      </c>
      <c r="L450" s="137" t="s">
        <v>129</v>
      </c>
      <c r="M450" s="141"/>
      <c r="N450" s="143"/>
    </row>
    <row r="451" ht="15.0" hidden="1" customHeight="1" outlineLevel="1">
      <c r="A451" s="393" t="s">
        <v>3211</v>
      </c>
      <c r="B451" s="344">
        <v>46145.0</v>
      </c>
      <c r="C451" s="133" t="str">
        <f t="shared" si="54"/>
        <v>Sun</v>
      </c>
      <c r="D451" s="381">
        <f t="shared" si="55"/>
        <v>1</v>
      </c>
      <c r="E451" s="382" t="s">
        <v>129</v>
      </c>
      <c r="F451" s="137" t="s">
        <v>129</v>
      </c>
      <c r="G451" s="137" t="s">
        <v>129</v>
      </c>
      <c r="H451" s="137" t="s">
        <v>129</v>
      </c>
      <c r="I451" s="137" t="s">
        <v>129</v>
      </c>
      <c r="J451" s="137" t="s">
        <v>129</v>
      </c>
      <c r="K451" s="137" t="s">
        <v>129</v>
      </c>
      <c r="L451" s="137" t="s">
        <v>129</v>
      </c>
      <c r="M451" s="141"/>
      <c r="N451" s="147"/>
    </row>
    <row r="452" hidden="1" outlineLevel="1">
      <c r="B452" s="189"/>
      <c r="C452" s="191" t="s">
        <v>194</v>
      </c>
      <c r="D452" s="204">
        <f>AVERAGE(D437:D451)</f>
        <v>1</v>
      </c>
      <c r="E452" s="384"/>
      <c r="L452" s="191" t="s">
        <v>194</v>
      </c>
      <c r="M452" s="204">
        <f>SUM(M437:M451)/75*0.1</f>
        <v>0</v>
      </c>
    </row>
    <row r="453" hidden="1" collapsed="1">
      <c r="A453" s="206" t="s">
        <v>1006</v>
      </c>
      <c r="B453" s="207"/>
      <c r="C453" s="207"/>
      <c r="D453" s="385"/>
      <c r="E453" s="109"/>
      <c r="F453" s="109"/>
      <c r="G453" s="110"/>
      <c r="H453" s="110"/>
      <c r="I453" s="110"/>
      <c r="J453" s="110"/>
      <c r="K453" s="110"/>
      <c r="L453" s="110"/>
      <c r="M453" s="111"/>
      <c r="N453" s="113"/>
    </row>
    <row r="454" hidden="1" outlineLevel="1">
      <c r="A454" s="373" t="s">
        <v>98</v>
      </c>
      <c r="B454" s="115" t="s">
        <v>100</v>
      </c>
      <c r="C454" s="115" t="s">
        <v>102</v>
      </c>
      <c r="D454" s="119" t="s">
        <v>103</v>
      </c>
      <c r="E454" s="275" t="s">
        <v>269</v>
      </c>
      <c r="F454" s="275" t="s">
        <v>272</v>
      </c>
      <c r="G454" s="276" t="s">
        <v>328</v>
      </c>
      <c r="H454" s="121" t="s">
        <v>107</v>
      </c>
      <c r="I454" s="121" t="s">
        <v>108</v>
      </c>
      <c r="J454" s="276" t="s">
        <v>329</v>
      </c>
      <c r="K454" s="121" t="s">
        <v>111</v>
      </c>
      <c r="L454" s="276" t="s">
        <v>274</v>
      </c>
      <c r="M454" s="115" t="s">
        <v>114</v>
      </c>
      <c r="N454" s="119" t="s">
        <v>115</v>
      </c>
    </row>
    <row r="455" hidden="1" outlineLevel="1">
      <c r="A455" s="390" t="s">
        <v>3215</v>
      </c>
      <c r="B455" s="344">
        <v>46146.0</v>
      </c>
      <c r="C455" s="133" t="str">
        <f t="shared" ref="C455:C469" si="56">IF(B455="", "", TEXT(B455, "ddd"))</f>
        <v>Mon</v>
      </c>
      <c r="D455" s="381">
        <f t="shared" ref="D455:D469" si="57">IF(E455="Yes",0.05,0)
+IF(F455="Yes",0.1,0)
+IF(G455="Yes",0.15,0)
+IF(H455="Yes",0.15,0)
+IF(I455="Yes",0.05,0)
+IF(J455="Yes",0.05,0)
+IF(K455="Yes",0.15,0)
+IF(L455="Yes",0.3,0)
</f>
        <v>1</v>
      </c>
      <c r="E455" s="382" t="s">
        <v>129</v>
      </c>
      <c r="F455" s="137" t="s">
        <v>129</v>
      </c>
      <c r="G455" s="137" t="s">
        <v>129</v>
      </c>
      <c r="H455" s="137" t="s">
        <v>129</v>
      </c>
      <c r="I455" s="137" t="s">
        <v>129</v>
      </c>
      <c r="J455" s="137" t="s">
        <v>129</v>
      </c>
      <c r="K455" s="137" t="s">
        <v>129</v>
      </c>
      <c r="L455" s="137" t="s">
        <v>129</v>
      </c>
      <c r="M455" s="141"/>
      <c r="N455" s="143"/>
    </row>
    <row r="456" hidden="1" outlineLevel="1">
      <c r="A456" s="391" t="s">
        <v>3220</v>
      </c>
      <c r="B456" s="344">
        <v>46146.0</v>
      </c>
      <c r="C456" s="133" t="str">
        <f t="shared" si="56"/>
        <v>Mon</v>
      </c>
      <c r="D456" s="383">
        <f t="shared" si="57"/>
        <v>1</v>
      </c>
      <c r="E456" s="147" t="s">
        <v>129</v>
      </c>
      <c r="F456" s="137" t="s">
        <v>129</v>
      </c>
      <c r="G456" s="137" t="s">
        <v>129</v>
      </c>
      <c r="H456" s="137" t="s">
        <v>129</v>
      </c>
      <c r="I456" s="137" t="s">
        <v>129</v>
      </c>
      <c r="J456" s="137" t="s">
        <v>129</v>
      </c>
      <c r="K456" s="137" t="s">
        <v>129</v>
      </c>
      <c r="L456" s="137" t="s">
        <v>129</v>
      </c>
      <c r="M456" s="141"/>
      <c r="N456" s="143"/>
    </row>
    <row r="457" hidden="1" outlineLevel="1">
      <c r="A457" s="390" t="s">
        <v>3223</v>
      </c>
      <c r="B457" s="344">
        <v>46146.0</v>
      </c>
      <c r="C457" s="133" t="str">
        <f t="shared" si="56"/>
        <v>Mon</v>
      </c>
      <c r="D457" s="381">
        <f t="shared" si="57"/>
        <v>1</v>
      </c>
      <c r="E457" s="382" t="s">
        <v>129</v>
      </c>
      <c r="F457" s="137" t="s">
        <v>129</v>
      </c>
      <c r="G457" s="137" t="s">
        <v>129</v>
      </c>
      <c r="H457" s="137" t="s">
        <v>129</v>
      </c>
      <c r="I457" s="137" t="s">
        <v>129</v>
      </c>
      <c r="J457" s="137" t="s">
        <v>129</v>
      </c>
      <c r="K457" s="137" t="s">
        <v>129</v>
      </c>
      <c r="L457" s="137" t="s">
        <v>129</v>
      </c>
      <c r="M457" s="141"/>
      <c r="N457" s="143"/>
    </row>
    <row r="458" hidden="1" outlineLevel="1">
      <c r="A458" s="390" t="s">
        <v>3228</v>
      </c>
      <c r="B458" s="344">
        <v>46147.0</v>
      </c>
      <c r="C458" s="133" t="str">
        <f t="shared" si="56"/>
        <v>Tue</v>
      </c>
      <c r="D458" s="383">
        <f t="shared" si="57"/>
        <v>1</v>
      </c>
      <c r="E458" s="147" t="s">
        <v>129</v>
      </c>
      <c r="F458" s="137" t="s">
        <v>129</v>
      </c>
      <c r="G458" s="137" t="s">
        <v>129</v>
      </c>
      <c r="H458" s="137" t="s">
        <v>129</v>
      </c>
      <c r="I458" s="137" t="s">
        <v>129</v>
      </c>
      <c r="J458" s="137" t="s">
        <v>129</v>
      </c>
      <c r="K458" s="137" t="s">
        <v>129</v>
      </c>
      <c r="L458" s="137" t="s">
        <v>129</v>
      </c>
      <c r="M458" s="141"/>
      <c r="N458" s="143"/>
    </row>
    <row r="459" hidden="1" outlineLevel="1">
      <c r="A459" s="391" t="s">
        <v>3230</v>
      </c>
      <c r="B459" s="344">
        <v>46147.0</v>
      </c>
      <c r="C459" s="133" t="str">
        <f t="shared" si="56"/>
        <v>Tue</v>
      </c>
      <c r="D459" s="381">
        <f t="shared" si="57"/>
        <v>1</v>
      </c>
      <c r="E459" s="382" t="s">
        <v>129</v>
      </c>
      <c r="F459" s="137" t="s">
        <v>129</v>
      </c>
      <c r="G459" s="137" t="s">
        <v>129</v>
      </c>
      <c r="H459" s="137" t="s">
        <v>129</v>
      </c>
      <c r="I459" s="137" t="s">
        <v>129</v>
      </c>
      <c r="J459" s="137" t="s">
        <v>129</v>
      </c>
      <c r="K459" s="137" t="s">
        <v>129</v>
      </c>
      <c r="L459" s="137" t="s">
        <v>129</v>
      </c>
      <c r="M459" s="141"/>
      <c r="N459" s="143"/>
    </row>
    <row r="460" hidden="1" outlineLevel="1">
      <c r="A460" s="390" t="s">
        <v>3239</v>
      </c>
      <c r="B460" s="344">
        <v>46147.0</v>
      </c>
      <c r="C460" s="133" t="str">
        <f t="shared" si="56"/>
        <v>Tue</v>
      </c>
      <c r="D460" s="383">
        <f t="shared" si="57"/>
        <v>1</v>
      </c>
      <c r="E460" s="147" t="s">
        <v>129</v>
      </c>
      <c r="F460" s="137" t="s">
        <v>129</v>
      </c>
      <c r="G460" s="137" t="s">
        <v>129</v>
      </c>
      <c r="H460" s="137" t="s">
        <v>129</v>
      </c>
      <c r="I460" s="137" t="s">
        <v>129</v>
      </c>
      <c r="J460" s="137" t="s">
        <v>129</v>
      </c>
      <c r="K460" s="137" t="s">
        <v>129</v>
      </c>
      <c r="L460" s="137" t="s">
        <v>129</v>
      </c>
      <c r="M460" s="141"/>
      <c r="N460" s="143"/>
    </row>
    <row r="461" hidden="1" outlineLevel="1">
      <c r="A461" s="394" t="s">
        <v>3243</v>
      </c>
      <c r="B461" s="344">
        <v>46148.0</v>
      </c>
      <c r="C461" s="133" t="str">
        <f t="shared" si="56"/>
        <v>Wed</v>
      </c>
      <c r="D461" s="381">
        <f t="shared" si="57"/>
        <v>1</v>
      </c>
      <c r="E461" s="382" t="s">
        <v>129</v>
      </c>
      <c r="F461" s="137" t="s">
        <v>129</v>
      </c>
      <c r="G461" s="137" t="s">
        <v>129</v>
      </c>
      <c r="H461" s="137" t="s">
        <v>129</v>
      </c>
      <c r="I461" s="137" t="s">
        <v>129</v>
      </c>
      <c r="J461" s="137" t="s">
        <v>129</v>
      </c>
      <c r="K461" s="137" t="s">
        <v>129</v>
      </c>
      <c r="L461" s="137" t="s">
        <v>129</v>
      </c>
      <c r="M461" s="141"/>
      <c r="N461" s="143"/>
    </row>
    <row r="462" hidden="1" outlineLevel="1">
      <c r="A462" s="394" t="s">
        <v>3246</v>
      </c>
      <c r="B462" s="344">
        <v>46148.0</v>
      </c>
      <c r="C462" s="133" t="str">
        <f t="shared" si="56"/>
        <v>Wed</v>
      </c>
      <c r="D462" s="383">
        <f t="shared" si="57"/>
        <v>1</v>
      </c>
      <c r="E462" s="147" t="s">
        <v>129</v>
      </c>
      <c r="F462" s="137" t="s">
        <v>129</v>
      </c>
      <c r="G462" s="137" t="s">
        <v>129</v>
      </c>
      <c r="H462" s="137" t="s">
        <v>129</v>
      </c>
      <c r="I462" s="137" t="s">
        <v>129</v>
      </c>
      <c r="J462" s="137" t="s">
        <v>129</v>
      </c>
      <c r="K462" s="137" t="s">
        <v>129</v>
      </c>
      <c r="L462" s="137" t="s">
        <v>129</v>
      </c>
      <c r="M462" s="141"/>
      <c r="N462" s="147"/>
    </row>
    <row r="463" hidden="1" outlineLevel="1">
      <c r="A463" s="393" t="s">
        <v>3250</v>
      </c>
      <c r="B463" s="344">
        <v>46148.0</v>
      </c>
      <c r="C463" s="133" t="str">
        <f t="shared" si="56"/>
        <v>Wed</v>
      </c>
      <c r="D463" s="381">
        <f t="shared" si="57"/>
        <v>1</v>
      </c>
      <c r="E463" s="382" t="s">
        <v>129</v>
      </c>
      <c r="F463" s="137" t="s">
        <v>129</v>
      </c>
      <c r="G463" s="137" t="s">
        <v>129</v>
      </c>
      <c r="H463" s="137" t="s">
        <v>129</v>
      </c>
      <c r="I463" s="137" t="s">
        <v>129</v>
      </c>
      <c r="J463" s="137" t="s">
        <v>129</v>
      </c>
      <c r="K463" s="137" t="s">
        <v>129</v>
      </c>
      <c r="L463" s="137" t="s">
        <v>129</v>
      </c>
      <c r="M463" s="141"/>
      <c r="N463" s="143"/>
    </row>
    <row r="464" hidden="1" outlineLevel="1">
      <c r="A464" s="390"/>
      <c r="B464" s="344"/>
      <c r="C464" s="133" t="str">
        <f t="shared" si="56"/>
        <v/>
      </c>
      <c r="D464" s="383">
        <f t="shared" si="57"/>
        <v>0</v>
      </c>
      <c r="E464" s="147"/>
      <c r="F464" s="137"/>
      <c r="G464" s="137"/>
      <c r="H464" s="137"/>
      <c r="I464" s="137"/>
      <c r="J464" s="137"/>
      <c r="K464" s="137"/>
      <c r="L464" s="137"/>
      <c r="M464" s="141"/>
      <c r="N464" s="147"/>
    </row>
    <row r="465" hidden="1" outlineLevel="1">
      <c r="A465" s="390"/>
      <c r="B465" s="344"/>
      <c r="C465" s="133" t="str">
        <f t="shared" si="56"/>
        <v/>
      </c>
      <c r="D465" s="381">
        <f t="shared" si="57"/>
        <v>0</v>
      </c>
      <c r="E465" s="382"/>
      <c r="F465" s="137"/>
      <c r="G465" s="137"/>
      <c r="H465" s="137"/>
      <c r="I465" s="137"/>
      <c r="J465" s="137"/>
      <c r="K465" s="137"/>
      <c r="L465" s="137"/>
      <c r="M465" s="141"/>
      <c r="N465" s="147"/>
    </row>
    <row r="466" hidden="1" outlineLevel="1">
      <c r="A466" s="391"/>
      <c r="B466" s="344"/>
      <c r="C466" s="133" t="str">
        <f t="shared" si="56"/>
        <v/>
      </c>
      <c r="D466" s="383">
        <f t="shared" si="57"/>
        <v>0</v>
      </c>
      <c r="E466" s="147"/>
      <c r="F466" s="137"/>
      <c r="G466" s="137"/>
      <c r="H466" s="137"/>
      <c r="I466" s="137"/>
      <c r="J466" s="137"/>
      <c r="K466" s="137"/>
      <c r="L466" s="137"/>
      <c r="M466" s="141"/>
      <c r="N466" s="147"/>
    </row>
    <row r="467" hidden="1" outlineLevel="1">
      <c r="A467" s="390"/>
      <c r="B467" s="344"/>
      <c r="C467" s="133" t="str">
        <f t="shared" si="56"/>
        <v/>
      </c>
      <c r="D467" s="381">
        <f t="shared" si="57"/>
        <v>0</v>
      </c>
      <c r="E467" s="382"/>
      <c r="F467" s="137"/>
      <c r="G467" s="137"/>
      <c r="H467" s="137"/>
      <c r="I467" s="137"/>
      <c r="J467" s="137"/>
      <c r="K467" s="137"/>
      <c r="L467" s="137"/>
      <c r="M467" s="141"/>
      <c r="N467" s="143"/>
    </row>
    <row r="468" hidden="1" outlineLevel="1">
      <c r="A468" s="390"/>
      <c r="B468" s="344"/>
      <c r="C468" s="133" t="str">
        <f t="shared" si="56"/>
        <v/>
      </c>
      <c r="D468" s="383">
        <f t="shared" si="57"/>
        <v>0</v>
      </c>
      <c r="E468" s="147"/>
      <c r="F468" s="137"/>
      <c r="G468" s="137"/>
      <c r="H468" s="137"/>
      <c r="I468" s="137"/>
      <c r="J468" s="137"/>
      <c r="K468" s="137"/>
      <c r="L468" s="137"/>
      <c r="M468" s="141"/>
      <c r="N468" s="143"/>
    </row>
    <row r="469" ht="15.0" hidden="1" customHeight="1" outlineLevel="1">
      <c r="A469" s="391"/>
      <c r="B469" s="344"/>
      <c r="C469" s="133" t="str">
        <f t="shared" si="56"/>
        <v/>
      </c>
      <c r="D469" s="381">
        <f t="shared" si="57"/>
        <v>0</v>
      </c>
      <c r="E469" s="382"/>
      <c r="F469" s="137"/>
      <c r="G469" s="137"/>
      <c r="H469" s="137"/>
      <c r="I469" s="137"/>
      <c r="J469" s="137"/>
      <c r="K469" s="137"/>
      <c r="L469" s="137"/>
      <c r="M469" s="141"/>
      <c r="N469" s="147"/>
    </row>
    <row r="470" hidden="1" outlineLevel="1">
      <c r="B470" s="189"/>
      <c r="C470" s="191" t="s">
        <v>194</v>
      </c>
      <c r="D470" s="204">
        <f>AVERAGE(D455:D463)</f>
        <v>1</v>
      </c>
      <c r="E470" s="384"/>
      <c r="L470" s="191" t="s">
        <v>194</v>
      </c>
      <c r="M470" s="204">
        <f>SUM(M455:M469)/75*0.1</f>
        <v>0</v>
      </c>
    </row>
    <row r="471" hidden="1" collapsed="1">
      <c r="A471" s="206" t="s">
        <v>1036</v>
      </c>
      <c r="B471" s="207"/>
      <c r="C471" s="207"/>
      <c r="D471" s="385"/>
      <c r="E471" s="109"/>
      <c r="F471" s="109"/>
      <c r="G471" s="110"/>
      <c r="H471" s="110"/>
      <c r="I471" s="110"/>
      <c r="J471" s="110"/>
      <c r="K471" s="110"/>
      <c r="L471" s="110"/>
      <c r="M471" s="111"/>
      <c r="N471" s="113"/>
    </row>
    <row r="472" hidden="1" outlineLevel="1">
      <c r="A472" s="373" t="s">
        <v>98</v>
      </c>
      <c r="B472" s="115" t="s">
        <v>100</v>
      </c>
      <c r="C472" s="115" t="s">
        <v>102</v>
      </c>
      <c r="D472" s="119" t="s">
        <v>103</v>
      </c>
      <c r="E472" s="275" t="s">
        <v>269</v>
      </c>
      <c r="F472" s="275" t="s">
        <v>272</v>
      </c>
      <c r="G472" s="276" t="s">
        <v>328</v>
      </c>
      <c r="H472" s="121" t="s">
        <v>107</v>
      </c>
      <c r="I472" s="121" t="s">
        <v>108</v>
      </c>
      <c r="J472" s="276" t="s">
        <v>329</v>
      </c>
      <c r="K472" s="121" t="s">
        <v>111</v>
      </c>
      <c r="L472" s="276" t="s">
        <v>274</v>
      </c>
      <c r="M472" s="115" t="s">
        <v>114</v>
      </c>
      <c r="N472" s="119" t="s">
        <v>115</v>
      </c>
    </row>
    <row r="473" hidden="1" outlineLevel="1">
      <c r="A473" s="390" t="s">
        <v>3266</v>
      </c>
      <c r="B473" s="344">
        <v>46155.0</v>
      </c>
      <c r="C473" s="133" t="str">
        <f t="shared" ref="C473:C487" si="58">IF(B473="", "", TEXT(B473, "ddd"))</f>
        <v>Wed</v>
      </c>
      <c r="D473" s="381">
        <f t="shared" ref="D473:D487" si="59">IF(E473="Yes",0.05,0)
+IF(F473="Yes",0.1,0)
+IF(G473="Yes",0.15,0)
+IF(H473="Yes",0.15,0)
+IF(I473="Yes",0.05,0)
+IF(J473="Yes",0.05,0)
+IF(K473="Yes",0.15,0)
+IF(L473="Yes",0.3,0)
</f>
        <v>1</v>
      </c>
      <c r="E473" s="382" t="s">
        <v>129</v>
      </c>
      <c r="F473" s="137" t="s">
        <v>129</v>
      </c>
      <c r="G473" s="137" t="s">
        <v>129</v>
      </c>
      <c r="H473" s="137" t="s">
        <v>129</v>
      </c>
      <c r="I473" s="137" t="s">
        <v>129</v>
      </c>
      <c r="J473" s="137" t="s">
        <v>129</v>
      </c>
      <c r="K473" s="137" t="s">
        <v>129</v>
      </c>
      <c r="L473" s="137" t="s">
        <v>129</v>
      </c>
      <c r="M473" s="141"/>
      <c r="N473" s="143"/>
    </row>
    <row r="474" hidden="1" outlineLevel="1">
      <c r="A474" s="391" t="s">
        <v>3271</v>
      </c>
      <c r="B474" s="344">
        <v>46155.0</v>
      </c>
      <c r="C474" s="133" t="str">
        <f t="shared" si="58"/>
        <v>Wed</v>
      </c>
      <c r="D474" s="383">
        <f t="shared" si="59"/>
        <v>1</v>
      </c>
      <c r="E474" s="147" t="s">
        <v>129</v>
      </c>
      <c r="F474" s="137" t="s">
        <v>129</v>
      </c>
      <c r="G474" s="137" t="s">
        <v>129</v>
      </c>
      <c r="H474" s="137" t="s">
        <v>129</v>
      </c>
      <c r="I474" s="137" t="s">
        <v>129</v>
      </c>
      <c r="J474" s="137" t="s">
        <v>129</v>
      </c>
      <c r="K474" s="137" t="s">
        <v>129</v>
      </c>
      <c r="L474" s="137" t="s">
        <v>129</v>
      </c>
      <c r="M474" s="141"/>
      <c r="N474" s="147"/>
    </row>
    <row r="475" hidden="1" outlineLevel="1">
      <c r="A475" s="390" t="s">
        <v>3275</v>
      </c>
      <c r="B475" s="344">
        <v>46155.0</v>
      </c>
      <c r="C475" s="133" t="str">
        <f t="shared" si="58"/>
        <v>Wed</v>
      </c>
      <c r="D475" s="381">
        <f t="shared" si="59"/>
        <v>1</v>
      </c>
      <c r="E475" s="382" t="s">
        <v>129</v>
      </c>
      <c r="F475" s="137" t="s">
        <v>129</v>
      </c>
      <c r="G475" s="137" t="s">
        <v>129</v>
      </c>
      <c r="H475" s="137" t="s">
        <v>129</v>
      </c>
      <c r="I475" s="137" t="s">
        <v>129</v>
      </c>
      <c r="J475" s="137" t="s">
        <v>129</v>
      </c>
      <c r="K475" s="137" t="s">
        <v>129</v>
      </c>
      <c r="L475" s="137" t="s">
        <v>129</v>
      </c>
      <c r="M475" s="141"/>
      <c r="N475" s="147"/>
    </row>
    <row r="476" hidden="1" outlineLevel="1">
      <c r="A476" s="391" t="s">
        <v>3285</v>
      </c>
      <c r="B476" s="344">
        <v>46156.0</v>
      </c>
      <c r="C476" s="133" t="str">
        <f t="shared" si="58"/>
        <v>Thu</v>
      </c>
      <c r="D476" s="383">
        <f t="shared" si="59"/>
        <v>1</v>
      </c>
      <c r="E476" s="147" t="s">
        <v>129</v>
      </c>
      <c r="F476" s="137" t="s">
        <v>129</v>
      </c>
      <c r="G476" s="137" t="s">
        <v>129</v>
      </c>
      <c r="H476" s="137" t="s">
        <v>129</v>
      </c>
      <c r="I476" s="137" t="s">
        <v>129</v>
      </c>
      <c r="J476" s="137" t="s">
        <v>129</v>
      </c>
      <c r="K476" s="137" t="s">
        <v>129</v>
      </c>
      <c r="L476" s="137" t="s">
        <v>129</v>
      </c>
      <c r="M476" s="141"/>
      <c r="N476" s="143"/>
    </row>
    <row r="477" hidden="1" outlineLevel="1">
      <c r="A477" s="391" t="s">
        <v>3288</v>
      </c>
      <c r="B477" s="344">
        <v>46156.0</v>
      </c>
      <c r="C477" s="133" t="str">
        <f t="shared" si="58"/>
        <v>Thu</v>
      </c>
      <c r="D477" s="381">
        <f t="shared" si="59"/>
        <v>1</v>
      </c>
      <c r="E477" s="382" t="s">
        <v>129</v>
      </c>
      <c r="F477" s="137" t="s">
        <v>129</v>
      </c>
      <c r="G477" s="137" t="s">
        <v>129</v>
      </c>
      <c r="H477" s="137" t="s">
        <v>129</v>
      </c>
      <c r="I477" s="137" t="s">
        <v>129</v>
      </c>
      <c r="J477" s="137" t="s">
        <v>129</v>
      </c>
      <c r="K477" s="137" t="s">
        <v>129</v>
      </c>
      <c r="L477" s="137" t="s">
        <v>129</v>
      </c>
      <c r="M477" s="141"/>
      <c r="N477" s="143"/>
    </row>
    <row r="478" hidden="1" outlineLevel="1">
      <c r="A478" s="391" t="s">
        <v>3291</v>
      </c>
      <c r="B478" s="344">
        <v>46156.0</v>
      </c>
      <c r="C478" s="133" t="str">
        <f t="shared" si="58"/>
        <v>Thu</v>
      </c>
      <c r="D478" s="383">
        <f t="shared" si="59"/>
        <v>1</v>
      </c>
      <c r="E478" s="147" t="s">
        <v>129</v>
      </c>
      <c r="F478" s="137" t="s">
        <v>129</v>
      </c>
      <c r="G478" s="137" t="s">
        <v>129</v>
      </c>
      <c r="H478" s="137" t="s">
        <v>129</v>
      </c>
      <c r="I478" s="137" t="s">
        <v>129</v>
      </c>
      <c r="J478" s="137" t="s">
        <v>129</v>
      </c>
      <c r="K478" s="137" t="s">
        <v>129</v>
      </c>
      <c r="L478" s="137" t="s">
        <v>129</v>
      </c>
      <c r="M478" s="141"/>
      <c r="N478" s="143"/>
    </row>
    <row r="479" hidden="1" outlineLevel="1">
      <c r="A479" s="390" t="s">
        <v>3295</v>
      </c>
      <c r="B479" s="344">
        <v>46157.0</v>
      </c>
      <c r="C479" s="133" t="str">
        <f t="shared" si="58"/>
        <v>Fri</v>
      </c>
      <c r="D479" s="381">
        <f t="shared" si="59"/>
        <v>1</v>
      </c>
      <c r="E479" s="382" t="s">
        <v>129</v>
      </c>
      <c r="F479" s="137" t="s">
        <v>129</v>
      </c>
      <c r="G479" s="137" t="s">
        <v>129</v>
      </c>
      <c r="H479" s="137" t="s">
        <v>129</v>
      </c>
      <c r="I479" s="137" t="s">
        <v>129</v>
      </c>
      <c r="J479" s="137" t="s">
        <v>129</v>
      </c>
      <c r="K479" s="137" t="s">
        <v>129</v>
      </c>
      <c r="L479" s="137" t="s">
        <v>129</v>
      </c>
      <c r="M479" s="141"/>
      <c r="N479" s="143"/>
    </row>
    <row r="480" hidden="1" outlineLevel="1">
      <c r="A480" s="390" t="s">
        <v>3299</v>
      </c>
      <c r="B480" s="344">
        <v>46157.0</v>
      </c>
      <c r="C480" s="133" t="str">
        <f t="shared" si="58"/>
        <v>Fri</v>
      </c>
      <c r="D480" s="383">
        <f t="shared" si="59"/>
        <v>1</v>
      </c>
      <c r="E480" s="147" t="s">
        <v>129</v>
      </c>
      <c r="F480" s="137" t="s">
        <v>129</v>
      </c>
      <c r="G480" s="137" t="s">
        <v>129</v>
      </c>
      <c r="H480" s="137" t="s">
        <v>129</v>
      </c>
      <c r="I480" s="137" t="s">
        <v>129</v>
      </c>
      <c r="J480" s="137" t="s">
        <v>129</v>
      </c>
      <c r="K480" s="137" t="s">
        <v>129</v>
      </c>
      <c r="L480" s="137" t="s">
        <v>129</v>
      </c>
      <c r="M480" s="141"/>
      <c r="N480" s="147"/>
    </row>
    <row r="481" hidden="1" outlineLevel="1">
      <c r="A481" s="391" t="s">
        <v>3302</v>
      </c>
      <c r="B481" s="344">
        <v>46157.0</v>
      </c>
      <c r="C481" s="133" t="str">
        <f t="shared" si="58"/>
        <v>Fri</v>
      </c>
      <c r="D481" s="381">
        <f t="shared" si="59"/>
        <v>1</v>
      </c>
      <c r="E481" s="382" t="s">
        <v>129</v>
      </c>
      <c r="F481" s="137" t="s">
        <v>129</v>
      </c>
      <c r="G481" s="137" t="s">
        <v>129</v>
      </c>
      <c r="H481" s="137" t="s">
        <v>129</v>
      </c>
      <c r="I481" s="137" t="s">
        <v>129</v>
      </c>
      <c r="J481" s="137" t="s">
        <v>129</v>
      </c>
      <c r="K481" s="137" t="s">
        <v>129</v>
      </c>
      <c r="L481" s="137" t="s">
        <v>129</v>
      </c>
      <c r="M481" s="141"/>
      <c r="N481" s="143"/>
    </row>
    <row r="482" hidden="1" outlineLevel="1">
      <c r="A482" s="390" t="s">
        <v>3304</v>
      </c>
      <c r="B482" s="344">
        <v>46158.0</v>
      </c>
      <c r="C482" s="133" t="str">
        <f t="shared" si="58"/>
        <v>Sat</v>
      </c>
      <c r="D482" s="383">
        <f t="shared" si="59"/>
        <v>1</v>
      </c>
      <c r="E482" s="147" t="s">
        <v>129</v>
      </c>
      <c r="F482" s="137" t="s">
        <v>129</v>
      </c>
      <c r="G482" s="137" t="s">
        <v>129</v>
      </c>
      <c r="H482" s="137" t="s">
        <v>129</v>
      </c>
      <c r="I482" s="137" t="s">
        <v>129</v>
      </c>
      <c r="J482" s="137" t="s">
        <v>129</v>
      </c>
      <c r="K482" s="137" t="s">
        <v>129</v>
      </c>
      <c r="L482" s="137" t="s">
        <v>129</v>
      </c>
      <c r="M482" s="141"/>
      <c r="N482" s="147"/>
    </row>
    <row r="483" hidden="1" outlineLevel="1">
      <c r="A483" s="391" t="s">
        <v>3312</v>
      </c>
      <c r="B483" s="344">
        <v>46158.0</v>
      </c>
      <c r="C483" s="133" t="str">
        <f t="shared" si="58"/>
        <v>Sat</v>
      </c>
      <c r="D483" s="381">
        <f t="shared" si="59"/>
        <v>1</v>
      </c>
      <c r="E483" s="382" t="s">
        <v>129</v>
      </c>
      <c r="F483" s="137" t="s">
        <v>129</v>
      </c>
      <c r="G483" s="137" t="s">
        <v>129</v>
      </c>
      <c r="H483" s="137" t="s">
        <v>129</v>
      </c>
      <c r="I483" s="137" t="s">
        <v>129</v>
      </c>
      <c r="J483" s="137" t="s">
        <v>129</v>
      </c>
      <c r="K483" s="137" t="s">
        <v>129</v>
      </c>
      <c r="L483" s="137" t="s">
        <v>129</v>
      </c>
      <c r="M483" s="141"/>
      <c r="N483" s="147"/>
    </row>
    <row r="484" hidden="1" outlineLevel="1">
      <c r="A484" s="390" t="s">
        <v>3316</v>
      </c>
      <c r="B484" s="344">
        <v>46158.0</v>
      </c>
      <c r="C484" s="133" t="str">
        <f t="shared" si="58"/>
        <v>Sat</v>
      </c>
      <c r="D484" s="383">
        <f t="shared" si="59"/>
        <v>1</v>
      </c>
      <c r="E484" s="147" t="s">
        <v>129</v>
      </c>
      <c r="F484" s="137" t="s">
        <v>129</v>
      </c>
      <c r="G484" s="137" t="s">
        <v>129</v>
      </c>
      <c r="H484" s="137" t="s">
        <v>129</v>
      </c>
      <c r="I484" s="137" t="s">
        <v>129</v>
      </c>
      <c r="J484" s="137" t="s">
        <v>129</v>
      </c>
      <c r="K484" s="137" t="s">
        <v>129</v>
      </c>
      <c r="L484" s="137" t="s">
        <v>129</v>
      </c>
      <c r="M484" s="141"/>
      <c r="N484" s="147"/>
    </row>
    <row r="485" hidden="1" outlineLevel="1">
      <c r="A485" s="394" t="s">
        <v>3320</v>
      </c>
      <c r="B485" s="344">
        <v>46159.0</v>
      </c>
      <c r="C485" s="133" t="str">
        <f t="shared" si="58"/>
        <v>Sun</v>
      </c>
      <c r="D485" s="381">
        <f t="shared" si="59"/>
        <v>1</v>
      </c>
      <c r="E485" s="382" t="s">
        <v>129</v>
      </c>
      <c r="F485" s="137" t="s">
        <v>129</v>
      </c>
      <c r="G485" s="137" t="s">
        <v>129</v>
      </c>
      <c r="H485" s="137" t="s">
        <v>129</v>
      </c>
      <c r="I485" s="137" t="s">
        <v>129</v>
      </c>
      <c r="J485" s="137" t="s">
        <v>129</v>
      </c>
      <c r="K485" s="137" t="s">
        <v>129</v>
      </c>
      <c r="L485" s="137" t="s">
        <v>129</v>
      </c>
      <c r="M485" s="141"/>
      <c r="N485" s="143"/>
    </row>
    <row r="486" hidden="1" outlineLevel="1">
      <c r="A486" s="393" t="s">
        <v>3324</v>
      </c>
      <c r="B486" s="344">
        <v>46159.0</v>
      </c>
      <c r="C486" s="133" t="str">
        <f t="shared" si="58"/>
        <v>Sun</v>
      </c>
      <c r="D486" s="383">
        <f t="shared" si="59"/>
        <v>1</v>
      </c>
      <c r="E486" s="147" t="s">
        <v>129</v>
      </c>
      <c r="F486" s="137" t="s">
        <v>129</v>
      </c>
      <c r="G486" s="137" t="s">
        <v>129</v>
      </c>
      <c r="H486" s="137" t="s">
        <v>129</v>
      </c>
      <c r="I486" s="137" t="s">
        <v>129</v>
      </c>
      <c r="J486" s="137" t="s">
        <v>129</v>
      </c>
      <c r="K486" s="137" t="s">
        <v>129</v>
      </c>
      <c r="L486" s="137" t="s">
        <v>129</v>
      </c>
      <c r="M486" s="141"/>
      <c r="N486" s="143"/>
    </row>
    <row r="487" ht="15.0" hidden="1" customHeight="1" outlineLevel="1">
      <c r="A487" s="394" t="s">
        <v>3329</v>
      </c>
      <c r="B487" s="344">
        <v>46159.0</v>
      </c>
      <c r="C487" s="133" t="str">
        <f t="shared" si="58"/>
        <v>Sun</v>
      </c>
      <c r="D487" s="381">
        <f t="shared" si="59"/>
        <v>1</v>
      </c>
      <c r="E487" s="382" t="s">
        <v>129</v>
      </c>
      <c r="F487" s="137" t="s">
        <v>129</v>
      </c>
      <c r="G487" s="137" t="s">
        <v>129</v>
      </c>
      <c r="H487" s="137" t="s">
        <v>129</v>
      </c>
      <c r="I487" s="137" t="s">
        <v>129</v>
      </c>
      <c r="J487" s="137" t="s">
        <v>129</v>
      </c>
      <c r="K487" s="137" t="s">
        <v>129</v>
      </c>
      <c r="L487" s="137" t="s">
        <v>129</v>
      </c>
      <c r="M487" s="141"/>
      <c r="N487" s="147"/>
    </row>
    <row r="488" hidden="1" outlineLevel="1">
      <c r="B488" s="189"/>
      <c r="C488" s="191" t="s">
        <v>194</v>
      </c>
      <c r="D488" s="204">
        <f>AVERAGE(D473:D487)</f>
        <v>1</v>
      </c>
      <c r="E488" s="384"/>
      <c r="L488" s="191" t="s">
        <v>194</v>
      </c>
      <c r="M488" s="204">
        <f>SUM(M473:M487)/75*0.1</f>
        <v>0</v>
      </c>
    </row>
    <row r="489" hidden="1" collapsed="1">
      <c r="A489" s="206" t="s">
        <v>1057</v>
      </c>
      <c r="B489" s="207"/>
      <c r="C489" s="207"/>
      <c r="D489" s="385"/>
      <c r="E489" s="109"/>
      <c r="F489" s="109"/>
      <c r="G489" s="110"/>
      <c r="H489" s="110"/>
      <c r="I489" s="110"/>
      <c r="J489" s="110"/>
      <c r="K489" s="110"/>
      <c r="L489" s="110"/>
      <c r="M489" s="111"/>
      <c r="N489" s="113"/>
    </row>
    <row r="490" hidden="1" outlineLevel="1">
      <c r="A490" s="373" t="s">
        <v>98</v>
      </c>
      <c r="B490" s="115" t="s">
        <v>100</v>
      </c>
      <c r="C490" s="115" t="s">
        <v>102</v>
      </c>
      <c r="D490" s="119" t="s">
        <v>103</v>
      </c>
      <c r="E490" s="275" t="s">
        <v>269</v>
      </c>
      <c r="F490" s="275" t="s">
        <v>272</v>
      </c>
      <c r="G490" s="276" t="s">
        <v>328</v>
      </c>
      <c r="H490" s="121" t="s">
        <v>107</v>
      </c>
      <c r="I490" s="121" t="s">
        <v>108</v>
      </c>
      <c r="J490" s="276" t="s">
        <v>329</v>
      </c>
      <c r="K490" s="121" t="s">
        <v>111</v>
      </c>
      <c r="L490" s="276" t="s">
        <v>274</v>
      </c>
      <c r="M490" s="115" t="s">
        <v>114</v>
      </c>
      <c r="N490" s="119" t="s">
        <v>115</v>
      </c>
    </row>
    <row r="491" hidden="1" outlineLevel="1">
      <c r="A491" s="391" t="s">
        <v>3336</v>
      </c>
      <c r="B491" s="344">
        <v>46160.0</v>
      </c>
      <c r="C491" s="133" t="str">
        <f t="shared" ref="C491:C505" si="60">IF(B491="", "", TEXT(B491, "ddd"))</f>
        <v>Mon</v>
      </c>
      <c r="D491" s="381">
        <f t="shared" ref="D491:D505" si="61">IF(E491="Yes",0.05,0)
+IF(F491="Yes",0.1,0)
+IF(G491="Yes",0.15,0)
+IF(H491="Yes",0.15,0)
+IF(I491="Yes",0.05,0)
+IF(J491="Yes",0.05,0)
+IF(K491="Yes",0.15,0)
+IF(L491="Yes",0.3,0)
</f>
        <v>1</v>
      </c>
      <c r="E491" s="382" t="s">
        <v>129</v>
      </c>
      <c r="F491" s="137" t="s">
        <v>129</v>
      </c>
      <c r="G491" s="137" t="s">
        <v>129</v>
      </c>
      <c r="H491" s="137" t="s">
        <v>129</v>
      </c>
      <c r="I491" s="137" t="s">
        <v>129</v>
      </c>
      <c r="J491" s="137" t="s">
        <v>129</v>
      </c>
      <c r="K491" s="137" t="s">
        <v>129</v>
      </c>
      <c r="L491" s="137" t="s">
        <v>129</v>
      </c>
      <c r="M491" s="141"/>
      <c r="N491" s="143"/>
    </row>
    <row r="492" hidden="1" outlineLevel="1">
      <c r="A492" s="390" t="s">
        <v>3342</v>
      </c>
      <c r="B492" s="344">
        <v>46160.0</v>
      </c>
      <c r="C492" s="133" t="str">
        <f t="shared" si="60"/>
        <v>Mon</v>
      </c>
      <c r="D492" s="383">
        <f t="shared" si="61"/>
        <v>1</v>
      </c>
      <c r="E492" s="147" t="s">
        <v>129</v>
      </c>
      <c r="F492" s="137" t="s">
        <v>129</v>
      </c>
      <c r="G492" s="137" t="s">
        <v>129</v>
      </c>
      <c r="H492" s="137" t="s">
        <v>129</v>
      </c>
      <c r="I492" s="137" t="s">
        <v>129</v>
      </c>
      <c r="J492" s="137" t="s">
        <v>129</v>
      </c>
      <c r="K492" s="137" t="s">
        <v>129</v>
      </c>
      <c r="L492" s="137" t="s">
        <v>129</v>
      </c>
      <c r="M492" s="141"/>
      <c r="N492" s="147"/>
    </row>
    <row r="493" hidden="1" outlineLevel="1">
      <c r="A493" s="391" t="s">
        <v>3347</v>
      </c>
      <c r="B493" s="344">
        <v>46160.0</v>
      </c>
      <c r="C493" s="133" t="str">
        <f t="shared" si="60"/>
        <v>Mon</v>
      </c>
      <c r="D493" s="381">
        <f t="shared" si="61"/>
        <v>1</v>
      </c>
      <c r="E493" s="382" t="s">
        <v>129</v>
      </c>
      <c r="F493" s="137" t="s">
        <v>129</v>
      </c>
      <c r="G493" s="137" t="s">
        <v>129</v>
      </c>
      <c r="H493" s="137" t="s">
        <v>129</v>
      </c>
      <c r="I493" s="137" t="s">
        <v>129</v>
      </c>
      <c r="J493" s="137" t="s">
        <v>129</v>
      </c>
      <c r="K493" s="137" t="s">
        <v>129</v>
      </c>
      <c r="L493" s="137" t="s">
        <v>129</v>
      </c>
      <c r="M493" s="141"/>
      <c r="N493" s="147"/>
    </row>
    <row r="494" hidden="1" outlineLevel="1">
      <c r="A494" s="255" t="s">
        <v>3351</v>
      </c>
      <c r="B494" s="344">
        <v>46162.0</v>
      </c>
      <c r="C494" s="133" t="str">
        <f t="shared" si="60"/>
        <v>Wed</v>
      </c>
      <c r="D494" s="383">
        <f t="shared" si="61"/>
        <v>1</v>
      </c>
      <c r="E494" s="147" t="s">
        <v>129</v>
      </c>
      <c r="F494" s="137" t="s">
        <v>129</v>
      </c>
      <c r="G494" s="137" t="s">
        <v>129</v>
      </c>
      <c r="H494" s="137" t="s">
        <v>129</v>
      </c>
      <c r="I494" s="137" t="s">
        <v>129</v>
      </c>
      <c r="J494" s="137" t="s">
        <v>129</v>
      </c>
      <c r="K494" s="137" t="s">
        <v>129</v>
      </c>
      <c r="L494" s="137" t="s">
        <v>129</v>
      </c>
      <c r="M494" s="141"/>
      <c r="N494" s="143"/>
    </row>
    <row r="495" hidden="1" outlineLevel="1">
      <c r="A495" s="255" t="s">
        <v>3353</v>
      </c>
      <c r="B495" s="344">
        <v>46162.0</v>
      </c>
      <c r="C495" s="133" t="str">
        <f t="shared" si="60"/>
        <v>Wed</v>
      </c>
      <c r="D495" s="381">
        <f t="shared" si="61"/>
        <v>1</v>
      </c>
      <c r="E495" s="382" t="s">
        <v>129</v>
      </c>
      <c r="F495" s="137" t="s">
        <v>129</v>
      </c>
      <c r="G495" s="137" t="s">
        <v>129</v>
      </c>
      <c r="H495" s="137" t="s">
        <v>129</v>
      </c>
      <c r="I495" s="137" t="s">
        <v>129</v>
      </c>
      <c r="J495" s="137" t="s">
        <v>129</v>
      </c>
      <c r="K495" s="137" t="s">
        <v>129</v>
      </c>
      <c r="L495" s="137" t="s">
        <v>129</v>
      </c>
      <c r="M495" s="141"/>
      <c r="N495" s="143"/>
    </row>
    <row r="496" hidden="1" outlineLevel="1">
      <c r="A496" s="255" t="s">
        <v>3357</v>
      </c>
      <c r="B496" s="344">
        <v>46162.0</v>
      </c>
      <c r="C496" s="133" t="str">
        <f t="shared" si="60"/>
        <v>Wed</v>
      </c>
      <c r="D496" s="383">
        <f t="shared" si="61"/>
        <v>1</v>
      </c>
      <c r="E496" s="147" t="s">
        <v>129</v>
      </c>
      <c r="F496" s="137" t="s">
        <v>129</v>
      </c>
      <c r="G496" s="137" t="s">
        <v>129</v>
      </c>
      <c r="H496" s="137" t="s">
        <v>129</v>
      </c>
      <c r="I496" s="137" t="s">
        <v>129</v>
      </c>
      <c r="J496" s="137" t="s">
        <v>129</v>
      </c>
      <c r="K496" s="137" t="s">
        <v>129</v>
      </c>
      <c r="L496" s="137" t="s">
        <v>129</v>
      </c>
      <c r="M496" s="141"/>
      <c r="N496" s="143"/>
    </row>
    <row r="497" hidden="1" outlineLevel="1">
      <c r="A497" s="255" t="s">
        <v>3360</v>
      </c>
      <c r="B497" s="344">
        <v>46163.0</v>
      </c>
      <c r="C497" s="133" t="str">
        <f t="shared" si="60"/>
        <v>Thu</v>
      </c>
      <c r="D497" s="381">
        <f t="shared" si="61"/>
        <v>1</v>
      </c>
      <c r="E497" s="382" t="s">
        <v>129</v>
      </c>
      <c r="F497" s="137" t="s">
        <v>129</v>
      </c>
      <c r="G497" s="137" t="s">
        <v>129</v>
      </c>
      <c r="H497" s="137" t="s">
        <v>129</v>
      </c>
      <c r="I497" s="137" t="s">
        <v>129</v>
      </c>
      <c r="J497" s="137" t="s">
        <v>129</v>
      </c>
      <c r="K497" s="137" t="s">
        <v>129</v>
      </c>
      <c r="L497" s="137" t="s">
        <v>129</v>
      </c>
      <c r="M497" s="141"/>
      <c r="N497" s="143"/>
    </row>
    <row r="498" hidden="1" outlineLevel="1">
      <c r="A498" s="255" t="s">
        <v>3362</v>
      </c>
      <c r="B498" s="344">
        <v>46163.0</v>
      </c>
      <c r="C498" s="133" t="str">
        <f t="shared" si="60"/>
        <v>Thu</v>
      </c>
      <c r="D498" s="383">
        <f t="shared" si="61"/>
        <v>1</v>
      </c>
      <c r="E498" s="147" t="s">
        <v>129</v>
      </c>
      <c r="F498" s="137" t="s">
        <v>129</v>
      </c>
      <c r="G498" s="137" t="s">
        <v>129</v>
      </c>
      <c r="H498" s="137" t="s">
        <v>129</v>
      </c>
      <c r="I498" s="137" t="s">
        <v>129</v>
      </c>
      <c r="J498" s="137" t="s">
        <v>129</v>
      </c>
      <c r="K498" s="137" t="s">
        <v>129</v>
      </c>
      <c r="L498" s="137" t="s">
        <v>129</v>
      </c>
      <c r="M498" s="141"/>
      <c r="N498" s="147"/>
    </row>
    <row r="499" hidden="1" outlineLevel="1">
      <c r="A499" s="255" t="s">
        <v>3364</v>
      </c>
      <c r="B499" s="344">
        <v>46163.0</v>
      </c>
      <c r="C499" s="133" t="str">
        <f t="shared" si="60"/>
        <v>Thu</v>
      </c>
      <c r="D499" s="381">
        <f t="shared" si="61"/>
        <v>1</v>
      </c>
      <c r="E499" s="382" t="s">
        <v>129</v>
      </c>
      <c r="F499" s="137" t="s">
        <v>129</v>
      </c>
      <c r="G499" s="137" t="s">
        <v>129</v>
      </c>
      <c r="H499" s="137" t="s">
        <v>129</v>
      </c>
      <c r="I499" s="137" t="s">
        <v>129</v>
      </c>
      <c r="J499" s="137" t="s">
        <v>129</v>
      </c>
      <c r="K499" s="137" t="s">
        <v>129</v>
      </c>
      <c r="L499" s="137" t="s">
        <v>129</v>
      </c>
      <c r="M499" s="141"/>
      <c r="N499" s="143"/>
    </row>
    <row r="500" hidden="1" outlineLevel="1">
      <c r="A500" s="255" t="s">
        <v>3366</v>
      </c>
      <c r="B500" s="344">
        <v>46165.0</v>
      </c>
      <c r="C500" s="133" t="str">
        <f t="shared" si="60"/>
        <v>Sat</v>
      </c>
      <c r="D500" s="383">
        <f t="shared" si="61"/>
        <v>1</v>
      </c>
      <c r="E500" s="147" t="s">
        <v>129</v>
      </c>
      <c r="F500" s="137" t="s">
        <v>129</v>
      </c>
      <c r="G500" s="137" t="s">
        <v>129</v>
      </c>
      <c r="H500" s="137" t="s">
        <v>129</v>
      </c>
      <c r="I500" s="137" t="s">
        <v>129</v>
      </c>
      <c r="J500" s="137" t="s">
        <v>129</v>
      </c>
      <c r="K500" s="137" t="s">
        <v>129</v>
      </c>
      <c r="L500" s="137" t="s">
        <v>129</v>
      </c>
      <c r="M500" s="141"/>
      <c r="N500" s="147"/>
    </row>
    <row r="501" hidden="1" outlineLevel="1">
      <c r="A501" s="255" t="s">
        <v>3368</v>
      </c>
      <c r="B501" s="344">
        <v>46165.0</v>
      </c>
      <c r="C501" s="133" t="str">
        <f t="shared" si="60"/>
        <v>Sat</v>
      </c>
      <c r="D501" s="381">
        <f t="shared" si="61"/>
        <v>1</v>
      </c>
      <c r="E501" s="382" t="s">
        <v>129</v>
      </c>
      <c r="F501" s="137" t="s">
        <v>129</v>
      </c>
      <c r="G501" s="137" t="s">
        <v>129</v>
      </c>
      <c r="H501" s="137" t="s">
        <v>129</v>
      </c>
      <c r="I501" s="137" t="s">
        <v>129</v>
      </c>
      <c r="J501" s="137" t="s">
        <v>129</v>
      </c>
      <c r="K501" s="137" t="s">
        <v>129</v>
      </c>
      <c r="L501" s="137" t="s">
        <v>129</v>
      </c>
      <c r="M501" s="141"/>
      <c r="N501" s="147"/>
    </row>
    <row r="502" hidden="1" outlineLevel="1">
      <c r="A502" s="255" t="s">
        <v>3370</v>
      </c>
      <c r="B502" s="344">
        <v>46165.0</v>
      </c>
      <c r="C502" s="133" t="str">
        <f t="shared" si="60"/>
        <v>Sat</v>
      </c>
      <c r="D502" s="383">
        <f t="shared" si="61"/>
        <v>1</v>
      </c>
      <c r="E502" s="147" t="s">
        <v>129</v>
      </c>
      <c r="F502" s="137" t="s">
        <v>129</v>
      </c>
      <c r="G502" s="137" t="s">
        <v>129</v>
      </c>
      <c r="H502" s="137" t="s">
        <v>129</v>
      </c>
      <c r="I502" s="137" t="s">
        <v>129</v>
      </c>
      <c r="J502" s="137" t="s">
        <v>129</v>
      </c>
      <c r="K502" s="137" t="s">
        <v>129</v>
      </c>
      <c r="L502" s="137" t="s">
        <v>129</v>
      </c>
      <c r="M502" s="141"/>
      <c r="N502" s="147"/>
    </row>
    <row r="503" hidden="1" outlineLevel="1">
      <c r="A503" s="390"/>
      <c r="B503" s="344"/>
      <c r="C503" s="133" t="str">
        <f t="shared" si="60"/>
        <v/>
      </c>
      <c r="D503" s="381">
        <f t="shared" si="61"/>
        <v>1</v>
      </c>
      <c r="E503" s="382" t="s">
        <v>129</v>
      </c>
      <c r="F503" s="137" t="s">
        <v>129</v>
      </c>
      <c r="G503" s="137" t="s">
        <v>129</v>
      </c>
      <c r="H503" s="137" t="s">
        <v>129</v>
      </c>
      <c r="I503" s="137" t="s">
        <v>129</v>
      </c>
      <c r="J503" s="137" t="s">
        <v>129</v>
      </c>
      <c r="K503" s="137" t="s">
        <v>129</v>
      </c>
      <c r="L503" s="137" t="s">
        <v>129</v>
      </c>
      <c r="M503" s="141"/>
      <c r="N503" s="143"/>
    </row>
    <row r="504" hidden="1" outlineLevel="1">
      <c r="A504" s="391"/>
      <c r="B504" s="344"/>
      <c r="C504" s="133" t="str">
        <f t="shared" si="60"/>
        <v/>
      </c>
      <c r="D504" s="383">
        <f t="shared" si="61"/>
        <v>1</v>
      </c>
      <c r="E504" s="147" t="s">
        <v>129</v>
      </c>
      <c r="F504" s="137" t="s">
        <v>129</v>
      </c>
      <c r="G504" s="137" t="s">
        <v>129</v>
      </c>
      <c r="H504" s="137" t="s">
        <v>129</v>
      </c>
      <c r="I504" s="137" t="s">
        <v>129</v>
      </c>
      <c r="J504" s="137" t="s">
        <v>129</v>
      </c>
      <c r="K504" s="137" t="s">
        <v>129</v>
      </c>
      <c r="L504" s="137" t="s">
        <v>129</v>
      </c>
      <c r="M504" s="141"/>
      <c r="N504" s="143"/>
    </row>
    <row r="505" ht="15.0" hidden="1" customHeight="1" outlineLevel="1">
      <c r="A505" s="391"/>
      <c r="B505" s="344"/>
      <c r="C505" s="133" t="str">
        <f t="shared" si="60"/>
        <v/>
      </c>
      <c r="D505" s="381">
        <f t="shared" si="61"/>
        <v>1</v>
      </c>
      <c r="E505" s="382" t="s">
        <v>129</v>
      </c>
      <c r="F505" s="137" t="s">
        <v>129</v>
      </c>
      <c r="G505" s="137" t="s">
        <v>129</v>
      </c>
      <c r="H505" s="137" t="s">
        <v>129</v>
      </c>
      <c r="I505" s="137" t="s">
        <v>129</v>
      </c>
      <c r="J505" s="137" t="s">
        <v>129</v>
      </c>
      <c r="K505" s="137" t="s">
        <v>129</v>
      </c>
      <c r="L505" s="137" t="s">
        <v>129</v>
      </c>
      <c r="M505" s="141"/>
      <c r="N505" s="147"/>
    </row>
    <row r="506" hidden="1" outlineLevel="1">
      <c r="B506" s="189"/>
      <c r="C506" s="191" t="s">
        <v>194</v>
      </c>
      <c r="D506" s="204">
        <f>AVERAGE(D491:D505)</f>
        <v>1</v>
      </c>
      <c r="E506" s="384"/>
      <c r="L506" s="191" t="s">
        <v>194</v>
      </c>
      <c r="M506" s="204">
        <f>SUM(M491:M505)/75*0.1</f>
        <v>0</v>
      </c>
    </row>
    <row r="507" hidden="1" collapsed="1">
      <c r="A507" s="206" t="s">
        <v>1084</v>
      </c>
      <c r="B507" s="207"/>
      <c r="C507" s="207"/>
      <c r="D507" s="385"/>
      <c r="E507" s="109"/>
      <c r="F507" s="109"/>
      <c r="G507" s="110"/>
      <c r="H507" s="110"/>
      <c r="I507" s="110"/>
      <c r="J507" s="110"/>
      <c r="K507" s="110"/>
      <c r="L507" s="110"/>
      <c r="M507" s="111"/>
      <c r="N507" s="113"/>
    </row>
    <row r="508" hidden="1" outlineLevel="1">
      <c r="A508" s="373" t="s">
        <v>98</v>
      </c>
      <c r="B508" s="115" t="s">
        <v>100</v>
      </c>
      <c r="C508" s="115" t="s">
        <v>102</v>
      </c>
      <c r="D508" s="119" t="s">
        <v>103</v>
      </c>
      <c r="E508" s="275" t="s">
        <v>269</v>
      </c>
      <c r="F508" s="275" t="s">
        <v>272</v>
      </c>
      <c r="G508" s="276" t="s">
        <v>328</v>
      </c>
      <c r="H508" s="121" t="s">
        <v>107</v>
      </c>
      <c r="I508" s="121" t="s">
        <v>108</v>
      </c>
      <c r="J508" s="276" t="s">
        <v>329</v>
      </c>
      <c r="K508" s="121" t="s">
        <v>111</v>
      </c>
      <c r="L508" s="276" t="s">
        <v>274</v>
      </c>
      <c r="M508" s="115" t="s">
        <v>114</v>
      </c>
      <c r="N508" s="119" t="s">
        <v>115</v>
      </c>
    </row>
    <row r="509" hidden="1" outlineLevel="1">
      <c r="A509" s="303" t="s">
        <v>3379</v>
      </c>
      <c r="B509" s="344">
        <v>46167.0</v>
      </c>
      <c r="C509" s="133" t="str">
        <f t="shared" ref="C509:C523" si="62">IF(B509="", "", TEXT(B509, "ddd"))</f>
        <v>Mon</v>
      </c>
      <c r="D509" s="381">
        <f t="shared" ref="D509:D523" si="63">IF(E509="Yes",0.05,0)
+IF(F509="Yes",0.1,0)
+IF(G509="Yes",0.15,0)
+IF(H509="Yes",0.15,0)
+IF(I509="Yes",0.05,0)
+IF(J509="Yes",0.05,0)
+IF(K509="Yes",0.15,0)
+IF(L509="Yes",0.3,0)
</f>
        <v>1</v>
      </c>
      <c r="E509" s="382" t="s">
        <v>129</v>
      </c>
      <c r="F509" s="137" t="s">
        <v>129</v>
      </c>
      <c r="G509" s="137" t="s">
        <v>129</v>
      </c>
      <c r="H509" s="137" t="s">
        <v>129</v>
      </c>
      <c r="I509" s="137" t="s">
        <v>129</v>
      </c>
      <c r="J509" s="137" t="s">
        <v>129</v>
      </c>
      <c r="K509" s="137" t="s">
        <v>129</v>
      </c>
      <c r="L509" s="137" t="s">
        <v>129</v>
      </c>
      <c r="M509" s="141"/>
      <c r="N509" s="143"/>
    </row>
    <row r="510" hidden="1" outlineLevel="1">
      <c r="A510" s="303" t="s">
        <v>3386</v>
      </c>
      <c r="B510" s="344">
        <v>46167.0</v>
      </c>
      <c r="C510" s="133" t="str">
        <f t="shared" si="62"/>
        <v>Mon</v>
      </c>
      <c r="D510" s="383">
        <f t="shared" si="63"/>
        <v>1</v>
      </c>
      <c r="E510" s="147" t="s">
        <v>129</v>
      </c>
      <c r="F510" s="137" t="s">
        <v>129</v>
      </c>
      <c r="G510" s="137" t="s">
        <v>129</v>
      </c>
      <c r="H510" s="137" t="s">
        <v>129</v>
      </c>
      <c r="I510" s="137" t="s">
        <v>129</v>
      </c>
      <c r="J510" s="137" t="s">
        <v>129</v>
      </c>
      <c r="K510" s="137" t="s">
        <v>129</v>
      </c>
      <c r="L510" s="137" t="s">
        <v>129</v>
      </c>
      <c r="M510" s="141"/>
      <c r="N510" s="147"/>
    </row>
    <row r="511" hidden="1" outlineLevel="1">
      <c r="A511" s="303" t="s">
        <v>3390</v>
      </c>
      <c r="B511" s="344">
        <v>46167.0</v>
      </c>
      <c r="C511" s="133" t="str">
        <f t="shared" si="62"/>
        <v>Mon</v>
      </c>
      <c r="D511" s="381">
        <f t="shared" si="63"/>
        <v>1</v>
      </c>
      <c r="E511" s="382" t="s">
        <v>129</v>
      </c>
      <c r="F511" s="137" t="s">
        <v>129</v>
      </c>
      <c r="G511" s="137" t="s">
        <v>129</v>
      </c>
      <c r="H511" s="137" t="s">
        <v>129</v>
      </c>
      <c r="I511" s="137" t="s">
        <v>129</v>
      </c>
      <c r="J511" s="137" t="s">
        <v>129</v>
      </c>
      <c r="K511" s="137" t="s">
        <v>129</v>
      </c>
      <c r="L511" s="137" t="s">
        <v>129</v>
      </c>
      <c r="M511" s="141"/>
      <c r="N511" s="147"/>
    </row>
    <row r="512" hidden="1" outlineLevel="1">
      <c r="A512" s="303" t="s">
        <v>3394</v>
      </c>
      <c r="B512" s="344">
        <v>46168.0</v>
      </c>
      <c r="C512" s="133" t="str">
        <f t="shared" si="62"/>
        <v>Tue</v>
      </c>
      <c r="D512" s="383">
        <f t="shared" si="63"/>
        <v>1</v>
      </c>
      <c r="E512" s="147" t="s">
        <v>129</v>
      </c>
      <c r="F512" s="137" t="s">
        <v>129</v>
      </c>
      <c r="G512" s="137" t="s">
        <v>129</v>
      </c>
      <c r="H512" s="137" t="s">
        <v>129</v>
      </c>
      <c r="I512" s="137" t="s">
        <v>129</v>
      </c>
      <c r="J512" s="137" t="s">
        <v>129</v>
      </c>
      <c r="K512" s="137" t="s">
        <v>129</v>
      </c>
      <c r="L512" s="137" t="s">
        <v>129</v>
      </c>
      <c r="M512" s="141"/>
      <c r="N512" s="143"/>
    </row>
    <row r="513" hidden="1" outlineLevel="1">
      <c r="A513" s="303" t="s">
        <v>3398</v>
      </c>
      <c r="B513" s="344">
        <v>46168.0</v>
      </c>
      <c r="C513" s="133" t="str">
        <f t="shared" si="62"/>
        <v>Tue</v>
      </c>
      <c r="D513" s="381">
        <f t="shared" si="63"/>
        <v>1</v>
      </c>
      <c r="E513" s="382" t="s">
        <v>129</v>
      </c>
      <c r="F513" s="137" t="s">
        <v>129</v>
      </c>
      <c r="G513" s="137" t="s">
        <v>129</v>
      </c>
      <c r="H513" s="137" t="s">
        <v>129</v>
      </c>
      <c r="I513" s="137" t="s">
        <v>129</v>
      </c>
      <c r="J513" s="137" t="s">
        <v>129</v>
      </c>
      <c r="K513" s="137" t="s">
        <v>129</v>
      </c>
      <c r="L513" s="137" t="s">
        <v>129</v>
      </c>
      <c r="M513" s="141"/>
      <c r="N513" s="143"/>
    </row>
    <row r="514" hidden="1" outlineLevel="1">
      <c r="A514" s="303" t="s">
        <v>3402</v>
      </c>
      <c r="B514" s="344">
        <v>46168.0</v>
      </c>
      <c r="C514" s="133" t="str">
        <f t="shared" si="62"/>
        <v>Tue</v>
      </c>
      <c r="D514" s="383">
        <f t="shared" si="63"/>
        <v>1</v>
      </c>
      <c r="E514" s="147" t="s">
        <v>129</v>
      </c>
      <c r="F514" s="137" t="s">
        <v>129</v>
      </c>
      <c r="G514" s="137" t="s">
        <v>129</v>
      </c>
      <c r="H514" s="137" t="s">
        <v>129</v>
      </c>
      <c r="I514" s="137" t="s">
        <v>129</v>
      </c>
      <c r="J514" s="137" t="s">
        <v>129</v>
      </c>
      <c r="K514" s="137" t="s">
        <v>129</v>
      </c>
      <c r="L514" s="137" t="s">
        <v>129</v>
      </c>
      <c r="M514" s="141"/>
      <c r="N514" s="143"/>
    </row>
    <row r="515" hidden="1" outlineLevel="1">
      <c r="A515" s="303" t="s">
        <v>3407</v>
      </c>
      <c r="B515" s="344">
        <v>46169.0</v>
      </c>
      <c r="C515" s="133" t="str">
        <f t="shared" si="62"/>
        <v>Wed</v>
      </c>
      <c r="D515" s="381">
        <f t="shared" si="63"/>
        <v>1</v>
      </c>
      <c r="E515" s="382" t="s">
        <v>129</v>
      </c>
      <c r="F515" s="137" t="s">
        <v>129</v>
      </c>
      <c r="G515" s="137" t="s">
        <v>129</v>
      </c>
      <c r="H515" s="137" t="s">
        <v>129</v>
      </c>
      <c r="I515" s="137" t="s">
        <v>129</v>
      </c>
      <c r="J515" s="137" t="s">
        <v>129</v>
      </c>
      <c r="K515" s="137" t="s">
        <v>129</v>
      </c>
      <c r="L515" s="137" t="s">
        <v>129</v>
      </c>
      <c r="M515" s="141"/>
      <c r="N515" s="143"/>
    </row>
    <row r="516" hidden="1" outlineLevel="1">
      <c r="A516" s="303" t="s">
        <v>3417</v>
      </c>
      <c r="B516" s="344">
        <v>46169.0</v>
      </c>
      <c r="C516" s="133" t="str">
        <f t="shared" si="62"/>
        <v>Wed</v>
      </c>
      <c r="D516" s="383">
        <f t="shared" si="63"/>
        <v>1</v>
      </c>
      <c r="E516" s="147" t="s">
        <v>129</v>
      </c>
      <c r="F516" s="137" t="s">
        <v>129</v>
      </c>
      <c r="G516" s="137" t="s">
        <v>129</v>
      </c>
      <c r="H516" s="137" t="s">
        <v>129</v>
      </c>
      <c r="I516" s="137" t="s">
        <v>129</v>
      </c>
      <c r="J516" s="137" t="s">
        <v>129</v>
      </c>
      <c r="K516" s="137" t="s">
        <v>129</v>
      </c>
      <c r="L516" s="137" t="s">
        <v>129</v>
      </c>
      <c r="M516" s="141"/>
      <c r="N516" s="147"/>
    </row>
    <row r="517" hidden="1" outlineLevel="1">
      <c r="A517" s="303" t="s">
        <v>3420</v>
      </c>
      <c r="B517" s="344">
        <v>46169.0</v>
      </c>
      <c r="C517" s="133" t="str">
        <f t="shared" si="62"/>
        <v>Wed</v>
      </c>
      <c r="D517" s="381">
        <f t="shared" si="63"/>
        <v>1</v>
      </c>
      <c r="E517" s="382" t="s">
        <v>129</v>
      </c>
      <c r="F517" s="137" t="s">
        <v>129</v>
      </c>
      <c r="G517" s="137" t="s">
        <v>129</v>
      </c>
      <c r="H517" s="137" t="s">
        <v>129</v>
      </c>
      <c r="I517" s="137" t="s">
        <v>129</v>
      </c>
      <c r="J517" s="137" t="s">
        <v>129</v>
      </c>
      <c r="K517" s="137" t="s">
        <v>129</v>
      </c>
      <c r="L517" s="137" t="s">
        <v>129</v>
      </c>
      <c r="M517" s="141"/>
      <c r="N517" s="143"/>
    </row>
    <row r="518" hidden="1" outlineLevel="1">
      <c r="A518" s="303" t="s">
        <v>3425</v>
      </c>
      <c r="B518" s="344">
        <v>46172.0</v>
      </c>
      <c r="C518" s="133" t="str">
        <f t="shared" si="62"/>
        <v>Sat</v>
      </c>
      <c r="D518" s="383">
        <f t="shared" si="63"/>
        <v>1</v>
      </c>
      <c r="E518" s="147" t="s">
        <v>129</v>
      </c>
      <c r="F518" s="137" t="s">
        <v>129</v>
      </c>
      <c r="G518" s="137" t="s">
        <v>129</v>
      </c>
      <c r="H518" s="137" t="s">
        <v>129</v>
      </c>
      <c r="I518" s="137" t="s">
        <v>129</v>
      </c>
      <c r="J518" s="137" t="s">
        <v>129</v>
      </c>
      <c r="K518" s="137" t="s">
        <v>129</v>
      </c>
      <c r="L518" s="137" t="s">
        <v>129</v>
      </c>
      <c r="M518" s="141"/>
      <c r="N518" s="147"/>
    </row>
    <row r="519" hidden="1" outlineLevel="1">
      <c r="A519" s="303" t="s">
        <v>3428</v>
      </c>
      <c r="B519" s="344">
        <v>46172.0</v>
      </c>
      <c r="C519" s="133" t="str">
        <f t="shared" si="62"/>
        <v>Sat</v>
      </c>
      <c r="D519" s="381">
        <f t="shared" si="63"/>
        <v>1</v>
      </c>
      <c r="E519" s="382" t="s">
        <v>129</v>
      </c>
      <c r="F519" s="137" t="s">
        <v>129</v>
      </c>
      <c r="G519" s="137" t="s">
        <v>129</v>
      </c>
      <c r="H519" s="137" t="s">
        <v>129</v>
      </c>
      <c r="I519" s="137" t="s">
        <v>129</v>
      </c>
      <c r="J519" s="137" t="s">
        <v>129</v>
      </c>
      <c r="K519" s="137" t="s">
        <v>129</v>
      </c>
      <c r="L519" s="137" t="s">
        <v>129</v>
      </c>
      <c r="M519" s="141"/>
      <c r="N519" s="147"/>
    </row>
    <row r="520" hidden="1" outlineLevel="1">
      <c r="A520" s="303" t="s">
        <v>3430</v>
      </c>
      <c r="B520" s="344">
        <v>46172.0</v>
      </c>
      <c r="C520" s="133" t="str">
        <f t="shared" si="62"/>
        <v>Sat</v>
      </c>
      <c r="D520" s="383">
        <f t="shared" si="63"/>
        <v>1</v>
      </c>
      <c r="E520" s="147" t="s">
        <v>129</v>
      </c>
      <c r="F520" s="137" t="s">
        <v>129</v>
      </c>
      <c r="G520" s="137" t="s">
        <v>129</v>
      </c>
      <c r="H520" s="137" t="s">
        <v>129</v>
      </c>
      <c r="I520" s="137" t="s">
        <v>129</v>
      </c>
      <c r="J520" s="137" t="s">
        <v>129</v>
      </c>
      <c r="K520" s="137" t="s">
        <v>129</v>
      </c>
      <c r="L520" s="137" t="s">
        <v>129</v>
      </c>
      <c r="M520" s="141"/>
      <c r="N520" s="147"/>
    </row>
    <row r="521" hidden="1" outlineLevel="1">
      <c r="A521" s="303" t="s">
        <v>3433</v>
      </c>
      <c r="B521" s="344"/>
      <c r="C521" s="133" t="str">
        <f t="shared" si="62"/>
        <v/>
      </c>
      <c r="D521" s="381">
        <f t="shared" si="63"/>
        <v>1</v>
      </c>
      <c r="E521" s="382" t="s">
        <v>129</v>
      </c>
      <c r="F521" s="137" t="s">
        <v>129</v>
      </c>
      <c r="G521" s="137" t="s">
        <v>129</v>
      </c>
      <c r="H521" s="137" t="s">
        <v>129</v>
      </c>
      <c r="I521" s="137" t="s">
        <v>129</v>
      </c>
      <c r="J521" s="137" t="s">
        <v>129</v>
      </c>
      <c r="K521" s="137" t="s">
        <v>129</v>
      </c>
      <c r="L521" s="137" t="s">
        <v>129</v>
      </c>
      <c r="M521" s="141"/>
      <c r="N521" s="143"/>
    </row>
    <row r="522" hidden="1" outlineLevel="1">
      <c r="A522" s="303" t="s">
        <v>3436</v>
      </c>
      <c r="B522" s="344"/>
      <c r="C522" s="133" t="str">
        <f t="shared" si="62"/>
        <v/>
      </c>
      <c r="D522" s="383">
        <f t="shared" si="63"/>
        <v>1</v>
      </c>
      <c r="E522" s="147" t="s">
        <v>129</v>
      </c>
      <c r="F522" s="137" t="s">
        <v>129</v>
      </c>
      <c r="G522" s="137" t="s">
        <v>129</v>
      </c>
      <c r="H522" s="137" t="s">
        <v>129</v>
      </c>
      <c r="I522" s="137" t="s">
        <v>129</v>
      </c>
      <c r="J522" s="137" t="s">
        <v>129</v>
      </c>
      <c r="K522" s="137" t="s">
        <v>129</v>
      </c>
      <c r="L522" s="137" t="s">
        <v>129</v>
      </c>
      <c r="M522" s="141"/>
      <c r="N522" s="143"/>
    </row>
    <row r="523" ht="15.0" hidden="1" customHeight="1" outlineLevel="1">
      <c r="A523" s="303" t="s">
        <v>3438</v>
      </c>
      <c r="B523" s="344"/>
      <c r="C523" s="133" t="str">
        <f t="shared" si="62"/>
        <v/>
      </c>
      <c r="D523" s="381">
        <f t="shared" si="63"/>
        <v>1</v>
      </c>
      <c r="E523" s="382" t="s">
        <v>129</v>
      </c>
      <c r="F523" s="137" t="s">
        <v>129</v>
      </c>
      <c r="G523" s="137" t="s">
        <v>129</v>
      </c>
      <c r="H523" s="137" t="s">
        <v>129</v>
      </c>
      <c r="I523" s="137" t="s">
        <v>129</v>
      </c>
      <c r="J523" s="137" t="s">
        <v>129</v>
      </c>
      <c r="K523" s="137" t="s">
        <v>129</v>
      </c>
      <c r="L523" s="137" t="s">
        <v>129</v>
      </c>
      <c r="M523" s="141"/>
      <c r="N523" s="147"/>
    </row>
    <row r="524" hidden="1" outlineLevel="1">
      <c r="B524" s="189"/>
      <c r="C524" s="191" t="s">
        <v>194</v>
      </c>
      <c r="D524" s="204">
        <f>AVERAGE(D509:D523)</f>
        <v>1</v>
      </c>
      <c r="E524" s="384"/>
      <c r="L524" s="191" t="s">
        <v>194</v>
      </c>
      <c r="M524" s="204">
        <f>SUM(M509:M523)/75*0.1</f>
        <v>0</v>
      </c>
    </row>
    <row r="525" hidden="1" collapsed="1">
      <c r="A525" s="206" t="s">
        <v>1109</v>
      </c>
      <c r="B525" s="207"/>
      <c r="C525" s="207"/>
      <c r="D525" s="385"/>
      <c r="E525" s="109"/>
      <c r="F525" s="109"/>
      <c r="G525" s="110"/>
      <c r="H525" s="110"/>
      <c r="I525" s="110"/>
      <c r="J525" s="110"/>
      <c r="K525" s="110"/>
      <c r="L525" s="110"/>
      <c r="M525" s="111"/>
      <c r="N525" s="113"/>
    </row>
    <row r="526" hidden="1" outlineLevel="1">
      <c r="A526" s="373" t="s">
        <v>98</v>
      </c>
      <c r="B526" s="115" t="s">
        <v>100</v>
      </c>
      <c r="C526" s="115" t="s">
        <v>102</v>
      </c>
      <c r="D526" s="119" t="s">
        <v>103</v>
      </c>
      <c r="E526" s="275" t="s">
        <v>269</v>
      </c>
      <c r="F526" s="275" t="s">
        <v>272</v>
      </c>
      <c r="G526" s="276" t="s">
        <v>328</v>
      </c>
      <c r="H526" s="121" t="s">
        <v>107</v>
      </c>
      <c r="I526" s="121" t="s">
        <v>108</v>
      </c>
      <c r="J526" s="276" t="s">
        <v>329</v>
      </c>
      <c r="K526" s="121" t="s">
        <v>111</v>
      </c>
      <c r="L526" s="276" t="s">
        <v>274</v>
      </c>
      <c r="M526" s="115" t="s">
        <v>114</v>
      </c>
      <c r="N526" s="119" t="s">
        <v>115</v>
      </c>
    </row>
    <row r="527" hidden="1" outlineLevel="1">
      <c r="A527" s="255" t="s">
        <v>3456</v>
      </c>
      <c r="B527" s="344">
        <v>46174.0</v>
      </c>
      <c r="C527" s="133" t="str">
        <f t="shared" ref="C527:C541" si="64">IF(B527="", "", TEXT(B527, "ddd"))</f>
        <v>Mon</v>
      </c>
      <c r="D527" s="381">
        <f t="shared" ref="D527:D541" si="65">IF(E527="Yes",0.05,0)
+IF(F527="Yes",0.1,0)
+IF(G527="Yes",0.15,0)
+IF(H527="Yes",0.15,0)
+IF(I527="Yes",0.05,0)
+IF(J527="Yes",0.05,0)
+IF(K527="Yes",0.15,0)
+IF(L527="Yes",0.3,0)
</f>
        <v>1</v>
      </c>
      <c r="E527" s="382" t="s">
        <v>129</v>
      </c>
      <c r="F527" s="137" t="s">
        <v>129</v>
      </c>
      <c r="G527" s="137" t="s">
        <v>129</v>
      </c>
      <c r="H527" s="137" t="s">
        <v>129</v>
      </c>
      <c r="I527" s="137" t="s">
        <v>129</v>
      </c>
      <c r="J527" s="137" t="s">
        <v>129</v>
      </c>
      <c r="K527" s="137" t="s">
        <v>129</v>
      </c>
      <c r="L527" s="137" t="s">
        <v>129</v>
      </c>
      <c r="M527" s="141"/>
      <c r="N527" s="143"/>
    </row>
    <row r="528" hidden="1" outlineLevel="1">
      <c r="A528" s="255" t="s">
        <v>3462</v>
      </c>
      <c r="B528" s="344">
        <v>46174.0</v>
      </c>
      <c r="C528" s="133" t="str">
        <f t="shared" si="64"/>
        <v>Mon</v>
      </c>
      <c r="D528" s="383">
        <f t="shared" si="65"/>
        <v>1</v>
      </c>
      <c r="E528" s="147" t="s">
        <v>129</v>
      </c>
      <c r="F528" s="137" t="s">
        <v>129</v>
      </c>
      <c r="G528" s="137" t="s">
        <v>129</v>
      </c>
      <c r="H528" s="137" t="s">
        <v>129</v>
      </c>
      <c r="I528" s="137" t="s">
        <v>129</v>
      </c>
      <c r="J528" s="137" t="s">
        <v>129</v>
      </c>
      <c r="K528" s="137" t="s">
        <v>129</v>
      </c>
      <c r="L528" s="137" t="s">
        <v>129</v>
      </c>
      <c r="M528" s="141"/>
      <c r="N528" s="147"/>
    </row>
    <row r="529" hidden="1" outlineLevel="1">
      <c r="A529" s="255" t="s">
        <v>3464</v>
      </c>
      <c r="B529" s="344">
        <v>46174.0</v>
      </c>
      <c r="C529" s="133" t="str">
        <f t="shared" si="64"/>
        <v>Mon</v>
      </c>
      <c r="D529" s="381">
        <f t="shared" si="65"/>
        <v>1</v>
      </c>
      <c r="E529" s="382" t="s">
        <v>129</v>
      </c>
      <c r="F529" s="137" t="s">
        <v>129</v>
      </c>
      <c r="G529" s="137" t="s">
        <v>129</v>
      </c>
      <c r="H529" s="137" t="s">
        <v>129</v>
      </c>
      <c r="I529" s="137" t="s">
        <v>129</v>
      </c>
      <c r="J529" s="137" t="s">
        <v>129</v>
      </c>
      <c r="K529" s="137" t="s">
        <v>129</v>
      </c>
      <c r="L529" s="137" t="s">
        <v>129</v>
      </c>
      <c r="M529" s="141"/>
      <c r="N529" s="147"/>
    </row>
    <row r="530" hidden="1" outlineLevel="1">
      <c r="A530" s="255" t="s">
        <v>3466</v>
      </c>
      <c r="B530" s="344">
        <v>46175.0</v>
      </c>
      <c r="C530" s="133" t="str">
        <f t="shared" si="64"/>
        <v>Tue</v>
      </c>
      <c r="D530" s="383">
        <f t="shared" si="65"/>
        <v>1</v>
      </c>
      <c r="E530" s="147" t="s">
        <v>129</v>
      </c>
      <c r="F530" s="137" t="s">
        <v>129</v>
      </c>
      <c r="G530" s="137" t="s">
        <v>129</v>
      </c>
      <c r="H530" s="137" t="s">
        <v>129</v>
      </c>
      <c r="I530" s="137" t="s">
        <v>129</v>
      </c>
      <c r="J530" s="137" t="s">
        <v>129</v>
      </c>
      <c r="K530" s="137" t="s">
        <v>129</v>
      </c>
      <c r="L530" s="137" t="s">
        <v>129</v>
      </c>
      <c r="M530" s="141"/>
      <c r="N530" s="143"/>
    </row>
    <row r="531" hidden="1" outlineLevel="1">
      <c r="A531" s="255" t="s">
        <v>3470</v>
      </c>
      <c r="B531" s="344">
        <v>46175.0</v>
      </c>
      <c r="C531" s="133" t="str">
        <f t="shared" si="64"/>
        <v>Tue</v>
      </c>
      <c r="D531" s="381">
        <f t="shared" si="65"/>
        <v>1</v>
      </c>
      <c r="E531" s="382" t="s">
        <v>129</v>
      </c>
      <c r="F531" s="137" t="s">
        <v>129</v>
      </c>
      <c r="G531" s="137" t="s">
        <v>129</v>
      </c>
      <c r="H531" s="137" t="s">
        <v>129</v>
      </c>
      <c r="I531" s="137" t="s">
        <v>129</v>
      </c>
      <c r="J531" s="137" t="s">
        <v>129</v>
      </c>
      <c r="K531" s="137" t="s">
        <v>129</v>
      </c>
      <c r="L531" s="137" t="s">
        <v>129</v>
      </c>
      <c r="M531" s="141"/>
      <c r="N531" s="143"/>
    </row>
    <row r="532" hidden="1" outlineLevel="1">
      <c r="A532" s="255" t="s">
        <v>3480</v>
      </c>
      <c r="B532" s="344">
        <v>46175.0</v>
      </c>
      <c r="C532" s="133" t="str">
        <f t="shared" si="64"/>
        <v>Tue</v>
      </c>
      <c r="D532" s="383">
        <f t="shared" si="65"/>
        <v>1</v>
      </c>
      <c r="E532" s="147" t="s">
        <v>129</v>
      </c>
      <c r="F532" s="137" t="s">
        <v>129</v>
      </c>
      <c r="G532" s="137" t="s">
        <v>129</v>
      </c>
      <c r="H532" s="137" t="s">
        <v>129</v>
      </c>
      <c r="I532" s="137" t="s">
        <v>129</v>
      </c>
      <c r="J532" s="137" t="s">
        <v>129</v>
      </c>
      <c r="K532" s="137" t="s">
        <v>129</v>
      </c>
      <c r="L532" s="137" t="s">
        <v>129</v>
      </c>
      <c r="M532" s="141"/>
      <c r="N532" s="143"/>
    </row>
    <row r="533" hidden="1" outlineLevel="1">
      <c r="A533" s="255" t="s">
        <v>3485</v>
      </c>
      <c r="B533" s="344">
        <v>46176.0</v>
      </c>
      <c r="C533" s="133" t="str">
        <f t="shared" si="64"/>
        <v>Wed</v>
      </c>
      <c r="D533" s="381">
        <f t="shared" si="65"/>
        <v>1</v>
      </c>
      <c r="E533" s="382" t="s">
        <v>129</v>
      </c>
      <c r="F533" s="137" t="s">
        <v>129</v>
      </c>
      <c r="G533" s="137" t="s">
        <v>129</v>
      </c>
      <c r="H533" s="137" t="s">
        <v>129</v>
      </c>
      <c r="I533" s="137" t="s">
        <v>129</v>
      </c>
      <c r="J533" s="137" t="s">
        <v>129</v>
      </c>
      <c r="K533" s="137" t="s">
        <v>129</v>
      </c>
      <c r="L533" s="137" t="s">
        <v>129</v>
      </c>
      <c r="M533" s="141"/>
      <c r="N533" s="143"/>
    </row>
    <row r="534" hidden="1" outlineLevel="1">
      <c r="A534" s="255" t="s">
        <v>3488</v>
      </c>
      <c r="B534" s="344">
        <v>46176.0</v>
      </c>
      <c r="C534" s="133" t="str">
        <f t="shared" si="64"/>
        <v>Wed</v>
      </c>
      <c r="D534" s="383">
        <f t="shared" si="65"/>
        <v>1</v>
      </c>
      <c r="E534" s="147" t="s">
        <v>129</v>
      </c>
      <c r="F534" s="137" t="s">
        <v>129</v>
      </c>
      <c r="G534" s="137" t="s">
        <v>129</v>
      </c>
      <c r="H534" s="137" t="s">
        <v>129</v>
      </c>
      <c r="I534" s="137" t="s">
        <v>129</v>
      </c>
      <c r="J534" s="137" t="s">
        <v>129</v>
      </c>
      <c r="K534" s="137" t="s">
        <v>129</v>
      </c>
      <c r="L534" s="137" t="s">
        <v>129</v>
      </c>
      <c r="M534" s="141"/>
      <c r="N534" s="147"/>
    </row>
    <row r="535" hidden="1" outlineLevel="1">
      <c r="A535" s="255" t="s">
        <v>3493</v>
      </c>
      <c r="B535" s="344">
        <v>46176.0</v>
      </c>
      <c r="C535" s="133" t="str">
        <f t="shared" si="64"/>
        <v>Wed</v>
      </c>
      <c r="D535" s="381">
        <f t="shared" si="65"/>
        <v>1</v>
      </c>
      <c r="E535" s="382" t="s">
        <v>129</v>
      </c>
      <c r="F535" s="137" t="s">
        <v>129</v>
      </c>
      <c r="G535" s="137" t="s">
        <v>129</v>
      </c>
      <c r="H535" s="137" t="s">
        <v>129</v>
      </c>
      <c r="I535" s="137" t="s">
        <v>129</v>
      </c>
      <c r="J535" s="137" t="s">
        <v>129</v>
      </c>
      <c r="K535" s="137" t="s">
        <v>129</v>
      </c>
      <c r="L535" s="137" t="s">
        <v>129</v>
      </c>
      <c r="M535" s="141"/>
      <c r="N535" s="143"/>
    </row>
    <row r="536" hidden="1" outlineLevel="1">
      <c r="A536" s="255" t="s">
        <v>3495</v>
      </c>
      <c r="B536" s="344">
        <v>46179.0</v>
      </c>
      <c r="C536" s="133" t="str">
        <f t="shared" si="64"/>
        <v>Sat</v>
      </c>
      <c r="D536" s="383">
        <f t="shared" si="65"/>
        <v>1</v>
      </c>
      <c r="E536" s="147" t="s">
        <v>129</v>
      </c>
      <c r="F536" s="137" t="s">
        <v>129</v>
      </c>
      <c r="G536" s="137" t="s">
        <v>129</v>
      </c>
      <c r="H536" s="137" t="s">
        <v>129</v>
      </c>
      <c r="I536" s="137" t="s">
        <v>129</v>
      </c>
      <c r="J536" s="137" t="s">
        <v>129</v>
      </c>
      <c r="K536" s="137" t="s">
        <v>129</v>
      </c>
      <c r="L536" s="137" t="s">
        <v>129</v>
      </c>
      <c r="M536" s="141"/>
      <c r="N536" s="147"/>
    </row>
    <row r="537" hidden="1" outlineLevel="1">
      <c r="A537" s="255" t="s">
        <v>3499</v>
      </c>
      <c r="B537" s="344">
        <v>46179.0</v>
      </c>
      <c r="C537" s="133" t="str">
        <f t="shared" si="64"/>
        <v>Sat</v>
      </c>
      <c r="D537" s="381">
        <f t="shared" si="65"/>
        <v>1</v>
      </c>
      <c r="E537" s="382" t="s">
        <v>129</v>
      </c>
      <c r="F537" s="137" t="s">
        <v>129</v>
      </c>
      <c r="G537" s="137" t="s">
        <v>129</v>
      </c>
      <c r="H537" s="137" t="s">
        <v>129</v>
      </c>
      <c r="I537" s="137" t="s">
        <v>129</v>
      </c>
      <c r="J537" s="137" t="s">
        <v>129</v>
      </c>
      <c r="K537" s="137" t="s">
        <v>129</v>
      </c>
      <c r="L537" s="137" t="s">
        <v>129</v>
      </c>
      <c r="M537" s="141"/>
      <c r="N537" s="147"/>
    </row>
    <row r="538" hidden="1" outlineLevel="1">
      <c r="A538" s="255" t="s">
        <v>3503</v>
      </c>
      <c r="B538" s="344">
        <v>46179.0</v>
      </c>
      <c r="C538" s="133" t="str">
        <f t="shared" si="64"/>
        <v>Sat</v>
      </c>
      <c r="D538" s="383">
        <f t="shared" si="65"/>
        <v>1</v>
      </c>
      <c r="E538" s="147" t="s">
        <v>129</v>
      </c>
      <c r="F538" s="137" t="s">
        <v>129</v>
      </c>
      <c r="G538" s="137" t="s">
        <v>129</v>
      </c>
      <c r="H538" s="137" t="s">
        <v>129</v>
      </c>
      <c r="I538" s="137" t="s">
        <v>129</v>
      </c>
      <c r="J538" s="137" t="s">
        <v>129</v>
      </c>
      <c r="K538" s="137" t="s">
        <v>129</v>
      </c>
      <c r="L538" s="137" t="s">
        <v>129</v>
      </c>
      <c r="M538" s="141"/>
      <c r="N538" s="147"/>
    </row>
    <row r="539" hidden="1" outlineLevel="1">
      <c r="A539" s="255" t="s">
        <v>3511</v>
      </c>
      <c r="B539" s="344">
        <v>46180.0</v>
      </c>
      <c r="C539" s="133" t="str">
        <f t="shared" si="64"/>
        <v>Sun</v>
      </c>
      <c r="D539" s="381">
        <f t="shared" si="65"/>
        <v>1</v>
      </c>
      <c r="E539" s="382" t="s">
        <v>129</v>
      </c>
      <c r="F539" s="137" t="s">
        <v>129</v>
      </c>
      <c r="G539" s="137" t="s">
        <v>129</v>
      </c>
      <c r="H539" s="137" t="s">
        <v>129</v>
      </c>
      <c r="I539" s="137" t="s">
        <v>129</v>
      </c>
      <c r="J539" s="137" t="s">
        <v>129</v>
      </c>
      <c r="K539" s="137" t="s">
        <v>129</v>
      </c>
      <c r="L539" s="137" t="s">
        <v>129</v>
      </c>
      <c r="M539" s="141"/>
      <c r="N539" s="143"/>
    </row>
    <row r="540" hidden="1" outlineLevel="1">
      <c r="A540" s="255" t="s">
        <v>3516</v>
      </c>
      <c r="B540" s="344">
        <v>46180.0</v>
      </c>
      <c r="C540" s="133" t="str">
        <f t="shared" si="64"/>
        <v>Sun</v>
      </c>
      <c r="D540" s="383">
        <f t="shared" si="65"/>
        <v>1</v>
      </c>
      <c r="E540" s="147" t="s">
        <v>129</v>
      </c>
      <c r="F540" s="137" t="s">
        <v>129</v>
      </c>
      <c r="G540" s="137" t="s">
        <v>129</v>
      </c>
      <c r="H540" s="137" t="s">
        <v>129</v>
      </c>
      <c r="I540" s="137" t="s">
        <v>129</v>
      </c>
      <c r="J540" s="137" t="s">
        <v>129</v>
      </c>
      <c r="K540" s="137" t="s">
        <v>129</v>
      </c>
      <c r="L540" s="137" t="s">
        <v>129</v>
      </c>
      <c r="M540" s="141"/>
      <c r="N540" s="143"/>
    </row>
    <row r="541" ht="15.0" hidden="1" customHeight="1" outlineLevel="1">
      <c r="A541" s="255" t="s">
        <v>3522</v>
      </c>
      <c r="B541" s="344">
        <v>46180.0</v>
      </c>
      <c r="C541" s="133" t="str">
        <f t="shared" si="64"/>
        <v>Sun</v>
      </c>
      <c r="D541" s="381">
        <f t="shared" si="65"/>
        <v>1</v>
      </c>
      <c r="E541" s="382" t="s">
        <v>129</v>
      </c>
      <c r="F541" s="137" t="s">
        <v>129</v>
      </c>
      <c r="G541" s="137" t="s">
        <v>129</v>
      </c>
      <c r="H541" s="137" t="s">
        <v>129</v>
      </c>
      <c r="I541" s="137" t="s">
        <v>129</v>
      </c>
      <c r="J541" s="137" t="s">
        <v>129</v>
      </c>
      <c r="K541" s="137" t="s">
        <v>129</v>
      </c>
      <c r="L541" s="137" t="s">
        <v>129</v>
      </c>
      <c r="M541" s="141"/>
      <c r="N541" s="147"/>
    </row>
    <row r="542" hidden="1" outlineLevel="1">
      <c r="B542" s="189"/>
      <c r="C542" s="191" t="s">
        <v>194</v>
      </c>
      <c r="D542" s="204">
        <f>AVERAGE(D527:D541)</f>
        <v>1</v>
      </c>
      <c r="E542" s="384"/>
      <c r="L542" s="191" t="s">
        <v>194</v>
      </c>
      <c r="M542" s="204">
        <f>SUM(M527:M541)/75*0.1</f>
        <v>0</v>
      </c>
    </row>
    <row r="543" hidden="1" collapsed="1">
      <c r="A543" s="206" t="s">
        <v>1138</v>
      </c>
      <c r="B543" s="207"/>
      <c r="C543" s="207"/>
      <c r="D543" s="385"/>
      <c r="E543" s="109"/>
      <c r="F543" s="109"/>
      <c r="G543" s="110"/>
      <c r="H543" s="110"/>
      <c r="I543" s="110"/>
      <c r="J543" s="110"/>
      <c r="K543" s="110"/>
      <c r="L543" s="110"/>
      <c r="M543" s="111"/>
      <c r="N543" s="113"/>
    </row>
    <row r="544" hidden="1" outlineLevel="1">
      <c r="A544" s="373" t="s">
        <v>98</v>
      </c>
      <c r="B544" s="115" t="s">
        <v>100</v>
      </c>
      <c r="C544" s="115" t="s">
        <v>102</v>
      </c>
      <c r="D544" s="119" t="s">
        <v>103</v>
      </c>
      <c r="E544" s="275" t="s">
        <v>269</v>
      </c>
      <c r="F544" s="275" t="s">
        <v>272</v>
      </c>
      <c r="G544" s="276" t="s">
        <v>328</v>
      </c>
      <c r="H544" s="121" t="s">
        <v>107</v>
      </c>
      <c r="I544" s="121" t="s">
        <v>108</v>
      </c>
      <c r="J544" s="276" t="s">
        <v>329</v>
      </c>
      <c r="K544" s="121" t="s">
        <v>111</v>
      </c>
      <c r="L544" s="276" t="s">
        <v>274</v>
      </c>
      <c r="M544" s="115" t="s">
        <v>114</v>
      </c>
      <c r="N544" s="119" t="s">
        <v>115</v>
      </c>
    </row>
    <row r="545" hidden="1" outlineLevel="1">
      <c r="A545" s="255" t="s">
        <v>3529</v>
      </c>
      <c r="B545" s="344">
        <v>46181.0</v>
      </c>
      <c r="C545" s="133" t="str">
        <f t="shared" ref="C545:C559" si="66">IF(B545="", "", TEXT(B545, "ddd"))</f>
        <v>Mon</v>
      </c>
      <c r="D545" s="381">
        <f t="shared" ref="D545:D559" si="67">IF(E545="Yes",0.05,0)
+IF(F545="Yes",0.1,0)
+IF(G545="Yes",0.15,0)
+IF(H545="Yes",0.15,0)
+IF(I545="Yes",0.05,0)
+IF(J545="Yes",0.05,0)
+IF(K545="Yes",0.15,0)
+IF(L545="Yes",0.3,0)
</f>
        <v>1</v>
      </c>
      <c r="E545" s="382" t="s">
        <v>129</v>
      </c>
      <c r="F545" s="137" t="s">
        <v>129</v>
      </c>
      <c r="G545" s="137" t="s">
        <v>129</v>
      </c>
      <c r="H545" s="137" t="s">
        <v>129</v>
      </c>
      <c r="I545" s="137" t="s">
        <v>129</v>
      </c>
      <c r="J545" s="137" t="s">
        <v>129</v>
      </c>
      <c r="K545" s="137" t="s">
        <v>129</v>
      </c>
      <c r="L545" s="137" t="s">
        <v>129</v>
      </c>
      <c r="M545" s="141"/>
      <c r="N545" s="143"/>
    </row>
    <row r="546" hidden="1" outlineLevel="1">
      <c r="A546" s="255" t="s">
        <v>3537</v>
      </c>
      <c r="B546" s="344">
        <v>46181.0</v>
      </c>
      <c r="C546" s="133" t="str">
        <f t="shared" si="66"/>
        <v>Mon</v>
      </c>
      <c r="D546" s="383">
        <f t="shared" si="67"/>
        <v>1</v>
      </c>
      <c r="E546" s="147" t="s">
        <v>129</v>
      </c>
      <c r="F546" s="137" t="s">
        <v>129</v>
      </c>
      <c r="G546" s="137" t="s">
        <v>129</v>
      </c>
      <c r="H546" s="137" t="s">
        <v>129</v>
      </c>
      <c r="I546" s="137" t="s">
        <v>129</v>
      </c>
      <c r="J546" s="137" t="s">
        <v>129</v>
      </c>
      <c r="K546" s="137" t="s">
        <v>129</v>
      </c>
      <c r="L546" s="137" t="s">
        <v>129</v>
      </c>
      <c r="M546" s="141"/>
      <c r="N546" s="147"/>
    </row>
    <row r="547" hidden="1" outlineLevel="1">
      <c r="A547" s="255" t="s">
        <v>3544</v>
      </c>
      <c r="B547" s="344">
        <v>46181.0</v>
      </c>
      <c r="C547" s="133" t="str">
        <f t="shared" si="66"/>
        <v>Mon</v>
      </c>
      <c r="D547" s="381">
        <f t="shared" si="67"/>
        <v>1</v>
      </c>
      <c r="E547" s="382" t="s">
        <v>129</v>
      </c>
      <c r="F547" s="137" t="s">
        <v>129</v>
      </c>
      <c r="G547" s="137" t="s">
        <v>129</v>
      </c>
      <c r="H547" s="137" t="s">
        <v>129</v>
      </c>
      <c r="I547" s="137" t="s">
        <v>129</v>
      </c>
      <c r="J547" s="137" t="s">
        <v>129</v>
      </c>
      <c r="K547" s="137" t="s">
        <v>129</v>
      </c>
      <c r="L547" s="137" t="s">
        <v>129</v>
      </c>
      <c r="M547" s="141"/>
      <c r="N547" s="147"/>
    </row>
    <row r="548" hidden="1" outlineLevel="1">
      <c r="A548" s="255" t="s">
        <v>3548</v>
      </c>
      <c r="B548" s="344">
        <v>46182.0</v>
      </c>
      <c r="C548" s="133" t="str">
        <f t="shared" si="66"/>
        <v>Tue</v>
      </c>
      <c r="D548" s="383">
        <f t="shared" si="67"/>
        <v>1</v>
      </c>
      <c r="E548" s="147" t="s">
        <v>129</v>
      </c>
      <c r="F548" s="137" t="s">
        <v>129</v>
      </c>
      <c r="G548" s="137" t="s">
        <v>129</v>
      </c>
      <c r="H548" s="137" t="s">
        <v>129</v>
      </c>
      <c r="I548" s="137" t="s">
        <v>129</v>
      </c>
      <c r="J548" s="137" t="s">
        <v>129</v>
      </c>
      <c r="K548" s="137" t="s">
        <v>129</v>
      </c>
      <c r="L548" s="137" t="s">
        <v>129</v>
      </c>
      <c r="M548" s="141"/>
      <c r="N548" s="143"/>
    </row>
    <row r="549" hidden="1" outlineLevel="1">
      <c r="A549" s="255" t="s">
        <v>3551</v>
      </c>
      <c r="B549" s="344">
        <v>46182.0</v>
      </c>
      <c r="C549" s="133" t="str">
        <f t="shared" si="66"/>
        <v>Tue</v>
      </c>
      <c r="D549" s="381">
        <f t="shared" si="67"/>
        <v>1</v>
      </c>
      <c r="E549" s="382" t="s">
        <v>129</v>
      </c>
      <c r="F549" s="137" t="s">
        <v>129</v>
      </c>
      <c r="G549" s="137" t="s">
        <v>129</v>
      </c>
      <c r="H549" s="137" t="s">
        <v>129</v>
      </c>
      <c r="I549" s="137" t="s">
        <v>129</v>
      </c>
      <c r="J549" s="137" t="s">
        <v>129</v>
      </c>
      <c r="K549" s="137" t="s">
        <v>129</v>
      </c>
      <c r="L549" s="137" t="s">
        <v>129</v>
      </c>
      <c r="M549" s="141"/>
      <c r="N549" s="143"/>
    </row>
    <row r="550" hidden="1" outlineLevel="1">
      <c r="A550" s="255" t="s">
        <v>3554</v>
      </c>
      <c r="B550" s="344">
        <v>46182.0</v>
      </c>
      <c r="C550" s="133" t="str">
        <f t="shared" si="66"/>
        <v>Tue</v>
      </c>
      <c r="D550" s="383">
        <f t="shared" si="67"/>
        <v>1</v>
      </c>
      <c r="E550" s="147" t="s">
        <v>129</v>
      </c>
      <c r="F550" s="137" t="s">
        <v>129</v>
      </c>
      <c r="G550" s="137" t="s">
        <v>129</v>
      </c>
      <c r="H550" s="137" t="s">
        <v>129</v>
      </c>
      <c r="I550" s="137" t="s">
        <v>129</v>
      </c>
      <c r="J550" s="137" t="s">
        <v>129</v>
      </c>
      <c r="K550" s="137" t="s">
        <v>129</v>
      </c>
      <c r="L550" s="137" t="s">
        <v>129</v>
      </c>
      <c r="M550" s="141"/>
      <c r="N550" s="143"/>
    </row>
    <row r="551" hidden="1" outlineLevel="1">
      <c r="A551" s="255" t="s">
        <v>3555</v>
      </c>
      <c r="B551" s="344">
        <v>46183.0</v>
      </c>
      <c r="C551" s="133" t="str">
        <f t="shared" si="66"/>
        <v>Wed</v>
      </c>
      <c r="D551" s="381">
        <f t="shared" si="67"/>
        <v>1</v>
      </c>
      <c r="E551" s="382" t="s">
        <v>129</v>
      </c>
      <c r="F551" s="137" t="s">
        <v>129</v>
      </c>
      <c r="G551" s="137" t="s">
        <v>129</v>
      </c>
      <c r="H551" s="137" t="s">
        <v>129</v>
      </c>
      <c r="I551" s="137" t="s">
        <v>129</v>
      </c>
      <c r="J551" s="137" t="s">
        <v>129</v>
      </c>
      <c r="K551" s="137" t="s">
        <v>129</v>
      </c>
      <c r="L551" s="137" t="s">
        <v>129</v>
      </c>
      <c r="M551" s="141"/>
      <c r="N551" s="143"/>
    </row>
    <row r="552" hidden="1" outlineLevel="1">
      <c r="A552" s="255" t="s">
        <v>3559</v>
      </c>
      <c r="B552" s="344">
        <v>46183.0</v>
      </c>
      <c r="C552" s="133" t="str">
        <f t="shared" si="66"/>
        <v>Wed</v>
      </c>
      <c r="D552" s="383">
        <f t="shared" si="67"/>
        <v>1</v>
      </c>
      <c r="E552" s="147" t="s">
        <v>129</v>
      </c>
      <c r="F552" s="137" t="s">
        <v>129</v>
      </c>
      <c r="G552" s="137" t="s">
        <v>129</v>
      </c>
      <c r="H552" s="137" t="s">
        <v>129</v>
      </c>
      <c r="I552" s="137" t="s">
        <v>129</v>
      </c>
      <c r="J552" s="137" t="s">
        <v>129</v>
      </c>
      <c r="K552" s="137" t="s">
        <v>129</v>
      </c>
      <c r="L552" s="137" t="s">
        <v>129</v>
      </c>
      <c r="M552" s="141"/>
      <c r="N552" s="147"/>
    </row>
    <row r="553" hidden="1" outlineLevel="1">
      <c r="A553" s="255" t="s">
        <v>3561</v>
      </c>
      <c r="B553" s="344">
        <v>46183.0</v>
      </c>
      <c r="C553" s="133" t="str">
        <f t="shared" si="66"/>
        <v>Wed</v>
      </c>
      <c r="D553" s="381">
        <f t="shared" si="67"/>
        <v>1</v>
      </c>
      <c r="E553" s="382" t="s">
        <v>129</v>
      </c>
      <c r="F553" s="137" t="s">
        <v>129</v>
      </c>
      <c r="G553" s="137" t="s">
        <v>129</v>
      </c>
      <c r="H553" s="137" t="s">
        <v>129</v>
      </c>
      <c r="I553" s="137" t="s">
        <v>129</v>
      </c>
      <c r="J553" s="137" t="s">
        <v>129</v>
      </c>
      <c r="K553" s="137" t="s">
        <v>129</v>
      </c>
      <c r="L553" s="137" t="s">
        <v>129</v>
      </c>
      <c r="M553" s="141"/>
      <c r="N553" s="143"/>
    </row>
    <row r="554" hidden="1" outlineLevel="1">
      <c r="A554" s="495"/>
      <c r="B554" s="344">
        <v>46184.0</v>
      </c>
      <c r="C554" s="133" t="str">
        <f t="shared" si="66"/>
        <v>Thu</v>
      </c>
      <c r="D554" s="383">
        <f t="shared" si="67"/>
        <v>0</v>
      </c>
      <c r="E554" s="147"/>
      <c r="F554" s="137"/>
      <c r="G554" s="137"/>
      <c r="H554" s="137"/>
      <c r="I554" s="137"/>
      <c r="J554" s="137"/>
      <c r="K554" s="137"/>
      <c r="L554" s="137"/>
      <c r="M554" s="141"/>
      <c r="N554" s="147"/>
    </row>
    <row r="555" hidden="1" outlineLevel="1">
      <c r="A555" s="255"/>
      <c r="B555" s="344">
        <v>46184.0</v>
      </c>
      <c r="C555" s="133" t="str">
        <f t="shared" si="66"/>
        <v>Thu</v>
      </c>
      <c r="D555" s="381">
        <f t="shared" si="67"/>
        <v>0</v>
      </c>
      <c r="E555" s="382"/>
      <c r="F555" s="137"/>
      <c r="G555" s="137"/>
      <c r="H555" s="137"/>
      <c r="I555" s="137"/>
      <c r="J555" s="137"/>
      <c r="K555" s="137"/>
      <c r="L555" s="137"/>
      <c r="M555" s="141"/>
      <c r="N555" s="147"/>
    </row>
    <row r="556" hidden="1" outlineLevel="1">
      <c r="A556" s="255"/>
      <c r="B556" s="344">
        <v>46184.0</v>
      </c>
      <c r="C556" s="133" t="str">
        <f t="shared" si="66"/>
        <v>Thu</v>
      </c>
      <c r="D556" s="383">
        <f t="shared" si="67"/>
        <v>0</v>
      </c>
      <c r="E556" s="147"/>
      <c r="F556" s="137"/>
      <c r="G556" s="137"/>
      <c r="H556" s="137"/>
      <c r="I556" s="137"/>
      <c r="J556" s="137"/>
      <c r="K556" s="137"/>
      <c r="L556" s="137"/>
      <c r="M556" s="141"/>
      <c r="N556" s="147"/>
    </row>
    <row r="557" hidden="1" outlineLevel="1">
      <c r="A557" s="495" t="s">
        <v>3576</v>
      </c>
      <c r="B557" s="344">
        <v>46185.0</v>
      </c>
      <c r="C557" s="133" t="str">
        <f t="shared" si="66"/>
        <v>Fri</v>
      </c>
      <c r="D557" s="381">
        <f t="shared" si="67"/>
        <v>1</v>
      </c>
      <c r="E557" s="382" t="s">
        <v>129</v>
      </c>
      <c r="F557" s="137" t="s">
        <v>129</v>
      </c>
      <c r="G557" s="137" t="s">
        <v>129</v>
      </c>
      <c r="H557" s="137" t="s">
        <v>129</v>
      </c>
      <c r="I557" s="137" t="s">
        <v>129</v>
      </c>
      <c r="J557" s="137" t="s">
        <v>129</v>
      </c>
      <c r="K557" s="137" t="s">
        <v>129</v>
      </c>
      <c r="L557" s="137" t="s">
        <v>129</v>
      </c>
      <c r="M557" s="137" t="s">
        <v>129</v>
      </c>
      <c r="N557" s="147"/>
    </row>
    <row r="558" hidden="1" outlineLevel="1">
      <c r="A558" s="255" t="s">
        <v>3580</v>
      </c>
      <c r="B558" s="344">
        <v>46185.0</v>
      </c>
      <c r="C558" s="133" t="str">
        <f t="shared" si="66"/>
        <v>Fri</v>
      </c>
      <c r="D558" s="383">
        <f t="shared" si="67"/>
        <v>1</v>
      </c>
      <c r="E558" s="147" t="s">
        <v>129</v>
      </c>
      <c r="F558" s="137" t="s">
        <v>129</v>
      </c>
      <c r="G558" s="137" t="s">
        <v>129</v>
      </c>
      <c r="H558" s="137" t="s">
        <v>129</v>
      </c>
      <c r="I558" s="137" t="s">
        <v>129</v>
      </c>
      <c r="J558" s="137" t="s">
        <v>129</v>
      </c>
      <c r="K558" s="137" t="s">
        <v>129</v>
      </c>
      <c r="L558" s="137" t="s">
        <v>129</v>
      </c>
      <c r="M558" s="137" t="s">
        <v>129</v>
      </c>
      <c r="N558" s="147"/>
    </row>
    <row r="559" ht="15.0" hidden="1" customHeight="1" outlineLevel="1">
      <c r="A559" s="255" t="s">
        <v>3584</v>
      </c>
      <c r="B559" s="344">
        <v>46185.0</v>
      </c>
      <c r="C559" s="133" t="str">
        <f t="shared" si="66"/>
        <v>Fri</v>
      </c>
      <c r="D559" s="381">
        <f t="shared" si="67"/>
        <v>1</v>
      </c>
      <c r="E559" s="382" t="s">
        <v>129</v>
      </c>
      <c r="F559" s="137" t="s">
        <v>129</v>
      </c>
      <c r="G559" s="137" t="s">
        <v>129</v>
      </c>
      <c r="H559" s="137" t="s">
        <v>129</v>
      </c>
      <c r="I559" s="137" t="s">
        <v>129</v>
      </c>
      <c r="J559" s="137" t="s">
        <v>129</v>
      </c>
      <c r="K559" s="137" t="s">
        <v>129</v>
      </c>
      <c r="L559" s="137" t="s">
        <v>129</v>
      </c>
      <c r="M559" s="137" t="s">
        <v>129</v>
      </c>
      <c r="N559" s="147"/>
    </row>
    <row r="560" hidden="1" outlineLevel="1">
      <c r="B560" s="189"/>
      <c r="C560" s="191" t="s">
        <v>194</v>
      </c>
      <c r="D560" s="204">
        <f>AVERAGE(D545:D559)</f>
        <v>0.8</v>
      </c>
      <c r="E560" s="384"/>
      <c r="L560" s="191" t="s">
        <v>194</v>
      </c>
      <c r="M560" s="204">
        <f>SUM(M545:M559)/75*0.1</f>
        <v>0</v>
      </c>
    </row>
    <row r="561" hidden="1" collapsed="1">
      <c r="A561" s="206" t="s">
        <v>1161</v>
      </c>
      <c r="B561" s="207"/>
      <c r="C561" s="207"/>
      <c r="D561" s="385"/>
      <c r="E561" s="109"/>
      <c r="F561" s="109"/>
      <c r="G561" s="110"/>
      <c r="H561" s="110"/>
      <c r="I561" s="110"/>
      <c r="J561" s="110"/>
      <c r="K561" s="110"/>
      <c r="L561" s="110"/>
      <c r="M561" s="111"/>
      <c r="N561" s="113"/>
    </row>
    <row r="562" hidden="1" outlineLevel="1">
      <c r="A562" s="373" t="s">
        <v>98</v>
      </c>
      <c r="B562" s="115" t="s">
        <v>100</v>
      </c>
      <c r="C562" s="115" t="s">
        <v>102</v>
      </c>
      <c r="D562" s="119" t="s">
        <v>103</v>
      </c>
      <c r="E562" s="275" t="s">
        <v>269</v>
      </c>
      <c r="F562" s="275" t="s">
        <v>272</v>
      </c>
      <c r="G562" s="276" t="s">
        <v>328</v>
      </c>
      <c r="H562" s="121" t="s">
        <v>107</v>
      </c>
      <c r="I562" s="121" t="s">
        <v>108</v>
      </c>
      <c r="J562" s="276" t="s">
        <v>329</v>
      </c>
      <c r="K562" s="121" t="s">
        <v>111</v>
      </c>
      <c r="L562" s="276" t="s">
        <v>274</v>
      </c>
      <c r="M562" s="115" t="s">
        <v>114</v>
      </c>
      <c r="N562" s="119" t="s">
        <v>115</v>
      </c>
    </row>
    <row r="563" hidden="1" outlineLevel="1">
      <c r="A563" s="412" t="s">
        <v>1162</v>
      </c>
      <c r="B563" s="344"/>
      <c r="C563" s="133" t="str">
        <f t="shared" ref="C563:C577" si="68">IF(B563="", "", TEXT(B563, "ddd"))</f>
        <v/>
      </c>
      <c r="D563" s="381">
        <f t="shared" ref="D563:D577" si="69">IF(E563="Yes",0.05,0)
+IF(F563="Yes",0.1,0)
+IF(G563="Yes",0.15,0)
+IF(H563="Yes",0.15,0)
+IF(I563="Yes",0.05,0)
+IF(J563="Yes",0.05,0)
+IF(K563="Yes",0.15,0)
+IF(L563="Yes",0.3,0)
</f>
        <v>1</v>
      </c>
      <c r="E563" s="382" t="s">
        <v>129</v>
      </c>
      <c r="F563" s="137" t="s">
        <v>129</v>
      </c>
      <c r="G563" s="137" t="s">
        <v>129</v>
      </c>
      <c r="H563" s="137" t="s">
        <v>129</v>
      </c>
      <c r="I563" s="137" t="s">
        <v>129</v>
      </c>
      <c r="J563" s="137" t="s">
        <v>129</v>
      </c>
      <c r="K563" s="137" t="s">
        <v>129</v>
      </c>
      <c r="L563" s="137" t="s">
        <v>129</v>
      </c>
      <c r="M563" s="141"/>
      <c r="N563" s="143"/>
    </row>
    <row r="564" hidden="1" outlineLevel="1">
      <c r="A564" s="412" t="s">
        <v>1162</v>
      </c>
      <c r="B564" s="344"/>
      <c r="C564" s="133" t="str">
        <f t="shared" si="68"/>
        <v/>
      </c>
      <c r="D564" s="383">
        <f t="shared" si="69"/>
        <v>1</v>
      </c>
      <c r="E564" s="147" t="s">
        <v>129</v>
      </c>
      <c r="F564" s="137" t="s">
        <v>129</v>
      </c>
      <c r="G564" s="137" t="s">
        <v>129</v>
      </c>
      <c r="H564" s="137" t="s">
        <v>129</v>
      </c>
      <c r="I564" s="137" t="s">
        <v>129</v>
      </c>
      <c r="J564" s="137" t="s">
        <v>129</v>
      </c>
      <c r="K564" s="137" t="s">
        <v>129</v>
      </c>
      <c r="L564" s="137" t="s">
        <v>129</v>
      </c>
      <c r="M564" s="141"/>
      <c r="N564" s="147"/>
    </row>
    <row r="565" hidden="1" outlineLevel="1">
      <c r="A565" s="412" t="s">
        <v>1162</v>
      </c>
      <c r="B565" s="344"/>
      <c r="C565" s="133" t="str">
        <f t="shared" si="68"/>
        <v/>
      </c>
      <c r="D565" s="381">
        <f t="shared" si="69"/>
        <v>1</v>
      </c>
      <c r="E565" s="382" t="s">
        <v>129</v>
      </c>
      <c r="F565" s="137" t="s">
        <v>129</v>
      </c>
      <c r="G565" s="137" t="s">
        <v>129</v>
      </c>
      <c r="H565" s="137" t="s">
        <v>129</v>
      </c>
      <c r="I565" s="137" t="s">
        <v>129</v>
      </c>
      <c r="J565" s="137" t="s">
        <v>129</v>
      </c>
      <c r="K565" s="137" t="s">
        <v>129</v>
      </c>
      <c r="L565" s="137" t="s">
        <v>129</v>
      </c>
      <c r="M565" s="141"/>
      <c r="N565" s="147"/>
    </row>
    <row r="566" hidden="1" outlineLevel="1">
      <c r="A566" s="412" t="s">
        <v>1162</v>
      </c>
      <c r="B566" s="344"/>
      <c r="C566" s="133" t="str">
        <f t="shared" si="68"/>
        <v/>
      </c>
      <c r="D566" s="383">
        <f t="shared" si="69"/>
        <v>1</v>
      </c>
      <c r="E566" s="147" t="s">
        <v>129</v>
      </c>
      <c r="F566" s="137" t="s">
        <v>129</v>
      </c>
      <c r="G566" s="137" t="s">
        <v>129</v>
      </c>
      <c r="H566" s="137" t="s">
        <v>129</v>
      </c>
      <c r="I566" s="137" t="s">
        <v>129</v>
      </c>
      <c r="J566" s="137" t="s">
        <v>129</v>
      </c>
      <c r="K566" s="137" t="s">
        <v>129</v>
      </c>
      <c r="L566" s="137" t="s">
        <v>129</v>
      </c>
      <c r="M566" s="141"/>
      <c r="N566" s="143"/>
    </row>
    <row r="567" hidden="1" outlineLevel="1">
      <c r="A567" s="412" t="s">
        <v>1162</v>
      </c>
      <c r="B567" s="344"/>
      <c r="C567" s="133" t="str">
        <f t="shared" si="68"/>
        <v/>
      </c>
      <c r="D567" s="381">
        <f t="shared" si="69"/>
        <v>1</v>
      </c>
      <c r="E567" s="382" t="s">
        <v>129</v>
      </c>
      <c r="F567" s="137" t="s">
        <v>129</v>
      </c>
      <c r="G567" s="137" t="s">
        <v>129</v>
      </c>
      <c r="H567" s="137" t="s">
        <v>129</v>
      </c>
      <c r="I567" s="137" t="s">
        <v>129</v>
      </c>
      <c r="J567" s="137" t="s">
        <v>129</v>
      </c>
      <c r="K567" s="137" t="s">
        <v>129</v>
      </c>
      <c r="L567" s="137" t="s">
        <v>129</v>
      </c>
      <c r="M567" s="141"/>
      <c r="N567" s="143"/>
    </row>
    <row r="568" hidden="1" outlineLevel="1">
      <c r="A568" s="412" t="s">
        <v>1162</v>
      </c>
      <c r="B568" s="344"/>
      <c r="C568" s="133" t="str">
        <f t="shared" si="68"/>
        <v/>
      </c>
      <c r="D568" s="383">
        <f t="shared" si="69"/>
        <v>1</v>
      </c>
      <c r="E568" s="147" t="s">
        <v>129</v>
      </c>
      <c r="F568" s="137" t="s">
        <v>129</v>
      </c>
      <c r="G568" s="137" t="s">
        <v>129</v>
      </c>
      <c r="H568" s="137" t="s">
        <v>129</v>
      </c>
      <c r="I568" s="137" t="s">
        <v>129</v>
      </c>
      <c r="J568" s="137" t="s">
        <v>129</v>
      </c>
      <c r="K568" s="137" t="s">
        <v>129</v>
      </c>
      <c r="L568" s="137" t="s">
        <v>129</v>
      </c>
      <c r="M568" s="141"/>
      <c r="N568" s="143"/>
    </row>
    <row r="569" hidden="1" outlineLevel="1">
      <c r="A569" s="412" t="s">
        <v>1162</v>
      </c>
      <c r="B569" s="344"/>
      <c r="C569" s="133" t="str">
        <f t="shared" si="68"/>
        <v/>
      </c>
      <c r="D569" s="381">
        <f t="shared" si="69"/>
        <v>1</v>
      </c>
      <c r="E569" s="382" t="s">
        <v>129</v>
      </c>
      <c r="F569" s="137" t="s">
        <v>129</v>
      </c>
      <c r="G569" s="137" t="s">
        <v>129</v>
      </c>
      <c r="H569" s="137" t="s">
        <v>129</v>
      </c>
      <c r="I569" s="137" t="s">
        <v>129</v>
      </c>
      <c r="J569" s="137" t="s">
        <v>129</v>
      </c>
      <c r="K569" s="137" t="s">
        <v>129</v>
      </c>
      <c r="L569" s="137" t="s">
        <v>129</v>
      </c>
      <c r="M569" s="141"/>
      <c r="N569" s="143"/>
    </row>
    <row r="570" hidden="1" outlineLevel="1">
      <c r="A570" s="412" t="s">
        <v>1162</v>
      </c>
      <c r="B570" s="344"/>
      <c r="C570" s="133" t="str">
        <f t="shared" si="68"/>
        <v/>
      </c>
      <c r="D570" s="383">
        <f t="shared" si="69"/>
        <v>1</v>
      </c>
      <c r="E570" s="147" t="s">
        <v>129</v>
      </c>
      <c r="F570" s="137" t="s">
        <v>129</v>
      </c>
      <c r="G570" s="137" t="s">
        <v>129</v>
      </c>
      <c r="H570" s="137" t="s">
        <v>129</v>
      </c>
      <c r="I570" s="137" t="s">
        <v>129</v>
      </c>
      <c r="J570" s="137" t="s">
        <v>129</v>
      </c>
      <c r="K570" s="137" t="s">
        <v>129</v>
      </c>
      <c r="L570" s="137" t="s">
        <v>129</v>
      </c>
      <c r="M570" s="141"/>
      <c r="N570" s="147"/>
    </row>
    <row r="571" hidden="1" outlineLevel="1">
      <c r="A571" s="412" t="s">
        <v>1162</v>
      </c>
      <c r="B571" s="344"/>
      <c r="C571" s="133" t="str">
        <f t="shared" si="68"/>
        <v/>
      </c>
      <c r="D571" s="381">
        <f t="shared" si="69"/>
        <v>1</v>
      </c>
      <c r="E571" s="382" t="s">
        <v>129</v>
      </c>
      <c r="F571" s="137" t="s">
        <v>129</v>
      </c>
      <c r="G571" s="137" t="s">
        <v>129</v>
      </c>
      <c r="H571" s="137" t="s">
        <v>129</v>
      </c>
      <c r="I571" s="137" t="s">
        <v>129</v>
      </c>
      <c r="J571" s="137" t="s">
        <v>129</v>
      </c>
      <c r="K571" s="137" t="s">
        <v>129</v>
      </c>
      <c r="L571" s="137" t="s">
        <v>129</v>
      </c>
      <c r="M571" s="141"/>
      <c r="N571" s="143"/>
    </row>
    <row r="572" hidden="1" outlineLevel="1">
      <c r="A572" s="412" t="s">
        <v>1162</v>
      </c>
      <c r="B572" s="344"/>
      <c r="C572" s="133" t="str">
        <f t="shared" si="68"/>
        <v/>
      </c>
      <c r="D572" s="383">
        <f t="shared" si="69"/>
        <v>1</v>
      </c>
      <c r="E572" s="147" t="s">
        <v>129</v>
      </c>
      <c r="F572" s="137" t="s">
        <v>129</v>
      </c>
      <c r="G572" s="137" t="s">
        <v>129</v>
      </c>
      <c r="H572" s="137" t="s">
        <v>129</v>
      </c>
      <c r="I572" s="137" t="s">
        <v>129</v>
      </c>
      <c r="J572" s="137" t="s">
        <v>129</v>
      </c>
      <c r="K572" s="137" t="s">
        <v>129</v>
      </c>
      <c r="L572" s="137" t="s">
        <v>129</v>
      </c>
      <c r="M572" s="141"/>
      <c r="N572" s="147"/>
    </row>
    <row r="573" hidden="1" outlineLevel="1">
      <c r="A573" s="412" t="s">
        <v>1162</v>
      </c>
      <c r="B573" s="344"/>
      <c r="C573" s="133" t="str">
        <f t="shared" si="68"/>
        <v/>
      </c>
      <c r="D573" s="381">
        <f t="shared" si="69"/>
        <v>1</v>
      </c>
      <c r="E573" s="382" t="s">
        <v>129</v>
      </c>
      <c r="F573" s="137" t="s">
        <v>129</v>
      </c>
      <c r="G573" s="137" t="s">
        <v>129</v>
      </c>
      <c r="H573" s="137" t="s">
        <v>129</v>
      </c>
      <c r="I573" s="137" t="s">
        <v>129</v>
      </c>
      <c r="J573" s="137" t="s">
        <v>129</v>
      </c>
      <c r="K573" s="137" t="s">
        <v>129</v>
      </c>
      <c r="L573" s="137" t="s">
        <v>129</v>
      </c>
      <c r="M573" s="141"/>
      <c r="N573" s="147"/>
    </row>
    <row r="574" hidden="1" outlineLevel="1">
      <c r="A574" s="412" t="s">
        <v>1162</v>
      </c>
      <c r="B574" s="344"/>
      <c r="C574" s="133" t="str">
        <f t="shared" si="68"/>
        <v/>
      </c>
      <c r="D574" s="383">
        <f t="shared" si="69"/>
        <v>1</v>
      </c>
      <c r="E574" s="147" t="s">
        <v>129</v>
      </c>
      <c r="F574" s="137" t="s">
        <v>129</v>
      </c>
      <c r="G574" s="137" t="s">
        <v>129</v>
      </c>
      <c r="H574" s="137" t="s">
        <v>129</v>
      </c>
      <c r="I574" s="137" t="s">
        <v>129</v>
      </c>
      <c r="J574" s="137" t="s">
        <v>129</v>
      </c>
      <c r="K574" s="137" t="s">
        <v>129</v>
      </c>
      <c r="L574" s="137" t="s">
        <v>129</v>
      </c>
      <c r="M574" s="141"/>
      <c r="N574" s="147"/>
    </row>
    <row r="575" hidden="1" outlineLevel="1">
      <c r="A575" s="412" t="s">
        <v>1162</v>
      </c>
      <c r="B575" s="344"/>
      <c r="C575" s="133" t="str">
        <f t="shared" si="68"/>
        <v/>
      </c>
      <c r="D575" s="381">
        <f t="shared" si="69"/>
        <v>1</v>
      </c>
      <c r="E575" s="382" t="s">
        <v>129</v>
      </c>
      <c r="F575" s="137" t="s">
        <v>129</v>
      </c>
      <c r="G575" s="137" t="s">
        <v>129</v>
      </c>
      <c r="H575" s="137" t="s">
        <v>129</v>
      </c>
      <c r="I575" s="137" t="s">
        <v>129</v>
      </c>
      <c r="J575" s="137" t="s">
        <v>129</v>
      </c>
      <c r="K575" s="137" t="s">
        <v>129</v>
      </c>
      <c r="L575" s="137" t="s">
        <v>129</v>
      </c>
      <c r="M575" s="141"/>
      <c r="N575" s="143"/>
    </row>
    <row r="576" hidden="1" outlineLevel="1">
      <c r="A576" s="412" t="s">
        <v>1162</v>
      </c>
      <c r="B576" s="344"/>
      <c r="C576" s="133" t="str">
        <f t="shared" si="68"/>
        <v/>
      </c>
      <c r="D576" s="383">
        <f t="shared" si="69"/>
        <v>1</v>
      </c>
      <c r="E576" s="147" t="s">
        <v>129</v>
      </c>
      <c r="F576" s="137" t="s">
        <v>129</v>
      </c>
      <c r="G576" s="137" t="s">
        <v>129</v>
      </c>
      <c r="H576" s="137" t="s">
        <v>129</v>
      </c>
      <c r="I576" s="137" t="s">
        <v>129</v>
      </c>
      <c r="J576" s="137" t="s">
        <v>129</v>
      </c>
      <c r="K576" s="137" t="s">
        <v>129</v>
      </c>
      <c r="L576" s="137" t="s">
        <v>129</v>
      </c>
      <c r="M576" s="141"/>
      <c r="N576" s="143"/>
    </row>
    <row r="577" ht="15.0" hidden="1" customHeight="1" outlineLevel="1">
      <c r="A577" s="412" t="s">
        <v>1162</v>
      </c>
      <c r="B577" s="344"/>
      <c r="C577" s="133" t="str">
        <f t="shared" si="68"/>
        <v/>
      </c>
      <c r="D577" s="381">
        <f t="shared" si="69"/>
        <v>1</v>
      </c>
      <c r="E577" s="382" t="s">
        <v>129</v>
      </c>
      <c r="F577" s="137" t="s">
        <v>129</v>
      </c>
      <c r="G577" s="137" t="s">
        <v>129</v>
      </c>
      <c r="H577" s="137" t="s">
        <v>129</v>
      </c>
      <c r="I577" s="137" t="s">
        <v>129</v>
      </c>
      <c r="J577" s="137" t="s">
        <v>129</v>
      </c>
      <c r="K577" s="137" t="s">
        <v>129</v>
      </c>
      <c r="L577" s="137" t="s">
        <v>129</v>
      </c>
      <c r="M577" s="141"/>
      <c r="N577" s="147"/>
    </row>
    <row r="578" hidden="1" outlineLevel="1">
      <c r="B578" s="189"/>
      <c r="C578" s="191" t="s">
        <v>194</v>
      </c>
      <c r="D578" s="204">
        <f>AVERAGE(D563:D577)</f>
        <v>1</v>
      </c>
      <c r="E578" s="384"/>
      <c r="L578" s="191" t="s">
        <v>194</v>
      </c>
      <c r="M578" s="204">
        <f>SUM(M563:M577)/75*0.1</f>
        <v>0</v>
      </c>
    </row>
    <row r="579" hidden="1" collapsed="1">
      <c r="A579" s="206" t="s">
        <v>1169</v>
      </c>
      <c r="B579" s="207"/>
      <c r="C579" s="207"/>
      <c r="D579" s="385"/>
      <c r="E579" s="109"/>
      <c r="F579" s="109"/>
      <c r="G579" s="110"/>
      <c r="H579" s="110"/>
      <c r="I579" s="110"/>
      <c r="J579" s="110"/>
      <c r="K579" s="110"/>
      <c r="L579" s="110"/>
      <c r="M579" s="111"/>
      <c r="N579" s="113"/>
    </row>
    <row r="580" hidden="1" outlineLevel="1">
      <c r="A580" s="373" t="s">
        <v>98</v>
      </c>
      <c r="B580" s="115" t="s">
        <v>100</v>
      </c>
      <c r="C580" s="115" t="s">
        <v>102</v>
      </c>
      <c r="D580" s="119" t="s">
        <v>103</v>
      </c>
      <c r="E580" s="275" t="s">
        <v>269</v>
      </c>
      <c r="F580" s="275" t="s">
        <v>272</v>
      </c>
      <c r="G580" s="276" t="s">
        <v>328</v>
      </c>
      <c r="H580" s="121" t="s">
        <v>107</v>
      </c>
      <c r="I580" s="121" t="s">
        <v>108</v>
      </c>
      <c r="J580" s="276" t="s">
        <v>329</v>
      </c>
      <c r="K580" s="121" t="s">
        <v>111</v>
      </c>
      <c r="L580" s="276" t="s">
        <v>274</v>
      </c>
      <c r="M580" s="115" t="s">
        <v>114</v>
      </c>
      <c r="N580" s="119" t="s">
        <v>115</v>
      </c>
    </row>
    <row r="581" hidden="1" outlineLevel="1">
      <c r="A581" s="303" t="s">
        <v>3634</v>
      </c>
      <c r="B581" s="344">
        <v>46195.0</v>
      </c>
      <c r="C581" s="133" t="str">
        <f t="shared" ref="C581:C595" si="70">IF(B581="", "", TEXT(B581, "ddd"))</f>
        <v>Mon</v>
      </c>
      <c r="D581" s="381">
        <f t="shared" ref="D581:D595" si="71">IF(E581="Yes",0.05,0)
+IF(F581="Yes",0.1,0)
+IF(G581="Yes",0.15,0)
+IF(H581="Yes",0.15,0)
+IF(I581="Yes",0.05,0)
+IF(J581="Yes",0.05,0)
+IF(K581="Yes",0.15,0)
+IF(L581="Yes",0.3,0)
</f>
        <v>1</v>
      </c>
      <c r="E581" s="382" t="s">
        <v>129</v>
      </c>
      <c r="F581" s="137" t="s">
        <v>129</v>
      </c>
      <c r="G581" s="137" t="s">
        <v>129</v>
      </c>
      <c r="H581" s="137" t="s">
        <v>129</v>
      </c>
      <c r="I581" s="137" t="s">
        <v>129</v>
      </c>
      <c r="J581" s="137" t="s">
        <v>129</v>
      </c>
      <c r="K581" s="137" t="s">
        <v>129</v>
      </c>
      <c r="L581" s="137" t="s">
        <v>129</v>
      </c>
      <c r="M581" s="141"/>
      <c r="N581" s="143"/>
    </row>
    <row r="582" hidden="1" outlineLevel="1">
      <c r="A582" s="303" t="s">
        <v>3640</v>
      </c>
      <c r="B582" s="344">
        <v>46195.0</v>
      </c>
      <c r="C582" s="133" t="str">
        <f t="shared" si="70"/>
        <v>Mon</v>
      </c>
      <c r="D582" s="383">
        <f t="shared" si="71"/>
        <v>1</v>
      </c>
      <c r="E582" s="147" t="s">
        <v>129</v>
      </c>
      <c r="F582" s="137" t="s">
        <v>129</v>
      </c>
      <c r="G582" s="137" t="s">
        <v>129</v>
      </c>
      <c r="H582" s="137" t="s">
        <v>129</v>
      </c>
      <c r="I582" s="137" t="s">
        <v>129</v>
      </c>
      <c r="J582" s="137" t="s">
        <v>129</v>
      </c>
      <c r="K582" s="137" t="s">
        <v>129</v>
      </c>
      <c r="L582" s="137" t="s">
        <v>129</v>
      </c>
      <c r="M582" s="141"/>
      <c r="N582" s="147"/>
    </row>
    <row r="583" hidden="1" outlineLevel="1">
      <c r="A583" s="303" t="s">
        <v>3643</v>
      </c>
      <c r="B583" s="344">
        <v>46195.0</v>
      </c>
      <c r="C583" s="133" t="str">
        <f t="shared" si="70"/>
        <v>Mon</v>
      </c>
      <c r="D583" s="381">
        <f t="shared" si="71"/>
        <v>1</v>
      </c>
      <c r="E583" s="382" t="s">
        <v>129</v>
      </c>
      <c r="F583" s="137" t="s">
        <v>129</v>
      </c>
      <c r="G583" s="137" t="s">
        <v>129</v>
      </c>
      <c r="H583" s="137" t="s">
        <v>129</v>
      </c>
      <c r="I583" s="137" t="s">
        <v>129</v>
      </c>
      <c r="J583" s="137" t="s">
        <v>129</v>
      </c>
      <c r="K583" s="137" t="s">
        <v>129</v>
      </c>
      <c r="L583" s="137" t="s">
        <v>129</v>
      </c>
      <c r="M583" s="141"/>
      <c r="N583" s="147"/>
    </row>
    <row r="584" hidden="1" outlineLevel="1">
      <c r="A584" s="303" t="s">
        <v>3653</v>
      </c>
      <c r="B584" s="344">
        <v>46196.0</v>
      </c>
      <c r="C584" s="133" t="str">
        <f t="shared" si="70"/>
        <v>Tue</v>
      </c>
      <c r="D584" s="383">
        <f t="shared" si="71"/>
        <v>1</v>
      </c>
      <c r="E584" s="147" t="s">
        <v>129</v>
      </c>
      <c r="F584" s="137" t="s">
        <v>129</v>
      </c>
      <c r="G584" s="137" t="s">
        <v>129</v>
      </c>
      <c r="H584" s="137" t="s">
        <v>129</v>
      </c>
      <c r="I584" s="137" t="s">
        <v>129</v>
      </c>
      <c r="J584" s="137" t="s">
        <v>129</v>
      </c>
      <c r="K584" s="137" t="s">
        <v>129</v>
      </c>
      <c r="L584" s="137" t="s">
        <v>129</v>
      </c>
      <c r="M584" s="141"/>
      <c r="N584" s="143"/>
    </row>
    <row r="585" hidden="1" outlineLevel="1">
      <c r="A585" s="303" t="s">
        <v>3655</v>
      </c>
      <c r="B585" s="344">
        <v>46196.0</v>
      </c>
      <c r="C585" s="133" t="str">
        <f t="shared" si="70"/>
        <v>Tue</v>
      </c>
      <c r="D585" s="381">
        <f t="shared" si="71"/>
        <v>1</v>
      </c>
      <c r="E585" s="382" t="s">
        <v>129</v>
      </c>
      <c r="F585" s="137" t="s">
        <v>129</v>
      </c>
      <c r="G585" s="137" t="s">
        <v>129</v>
      </c>
      <c r="H585" s="137" t="s">
        <v>129</v>
      </c>
      <c r="I585" s="137" t="s">
        <v>129</v>
      </c>
      <c r="J585" s="137" t="s">
        <v>129</v>
      </c>
      <c r="K585" s="137" t="s">
        <v>129</v>
      </c>
      <c r="L585" s="137" t="s">
        <v>129</v>
      </c>
      <c r="M585" s="141"/>
      <c r="N585" s="143"/>
    </row>
    <row r="586" hidden="1" outlineLevel="1">
      <c r="A586" s="303" t="s">
        <v>3661</v>
      </c>
      <c r="B586" s="344">
        <v>46196.0</v>
      </c>
      <c r="C586" s="133" t="str">
        <f t="shared" si="70"/>
        <v>Tue</v>
      </c>
      <c r="D586" s="383">
        <f t="shared" si="71"/>
        <v>1</v>
      </c>
      <c r="E586" s="147" t="s">
        <v>129</v>
      </c>
      <c r="F586" s="137" t="s">
        <v>129</v>
      </c>
      <c r="G586" s="137" t="s">
        <v>129</v>
      </c>
      <c r="H586" s="137" t="s">
        <v>129</v>
      </c>
      <c r="I586" s="137" t="s">
        <v>129</v>
      </c>
      <c r="J586" s="137" t="s">
        <v>129</v>
      </c>
      <c r="K586" s="137" t="s">
        <v>129</v>
      </c>
      <c r="L586" s="137" t="s">
        <v>129</v>
      </c>
      <c r="M586" s="141"/>
      <c r="N586" s="143"/>
    </row>
    <row r="587" hidden="1" outlineLevel="1">
      <c r="A587" s="303" t="s">
        <v>3671</v>
      </c>
      <c r="B587" s="344">
        <v>46197.0</v>
      </c>
      <c r="C587" s="133" t="str">
        <f t="shared" si="70"/>
        <v>Wed</v>
      </c>
      <c r="D587" s="381">
        <f t="shared" si="71"/>
        <v>1</v>
      </c>
      <c r="E587" s="382" t="s">
        <v>129</v>
      </c>
      <c r="F587" s="137" t="s">
        <v>129</v>
      </c>
      <c r="G587" s="137" t="s">
        <v>129</v>
      </c>
      <c r="H587" s="137" t="s">
        <v>129</v>
      </c>
      <c r="I587" s="137" t="s">
        <v>129</v>
      </c>
      <c r="J587" s="137" t="s">
        <v>129</v>
      </c>
      <c r="K587" s="137" t="s">
        <v>129</v>
      </c>
      <c r="L587" s="137" t="s">
        <v>129</v>
      </c>
      <c r="M587" s="141"/>
      <c r="N587" s="143"/>
    </row>
    <row r="588" hidden="1" outlineLevel="1">
      <c r="A588" s="303" t="s">
        <v>3676</v>
      </c>
      <c r="B588" s="344">
        <v>46197.0</v>
      </c>
      <c r="C588" s="133" t="str">
        <f t="shared" si="70"/>
        <v>Wed</v>
      </c>
      <c r="D588" s="383">
        <f t="shared" si="71"/>
        <v>1</v>
      </c>
      <c r="E588" s="147" t="s">
        <v>129</v>
      </c>
      <c r="F588" s="137" t="s">
        <v>129</v>
      </c>
      <c r="G588" s="137" t="s">
        <v>129</v>
      </c>
      <c r="H588" s="137" t="s">
        <v>129</v>
      </c>
      <c r="I588" s="137" t="s">
        <v>129</v>
      </c>
      <c r="J588" s="137" t="s">
        <v>129</v>
      </c>
      <c r="K588" s="137" t="s">
        <v>129</v>
      </c>
      <c r="L588" s="137" t="s">
        <v>129</v>
      </c>
      <c r="M588" s="141"/>
      <c r="N588" s="147"/>
    </row>
    <row r="589" hidden="1" outlineLevel="1">
      <c r="A589" s="303" t="s">
        <v>3678</v>
      </c>
      <c r="B589" s="344">
        <v>46197.0</v>
      </c>
      <c r="C589" s="133" t="str">
        <f t="shared" si="70"/>
        <v>Wed</v>
      </c>
      <c r="D589" s="381">
        <f t="shared" si="71"/>
        <v>1</v>
      </c>
      <c r="E589" s="382" t="s">
        <v>129</v>
      </c>
      <c r="F589" s="137" t="s">
        <v>129</v>
      </c>
      <c r="G589" s="137" t="s">
        <v>129</v>
      </c>
      <c r="H589" s="137" t="s">
        <v>129</v>
      </c>
      <c r="I589" s="137" t="s">
        <v>129</v>
      </c>
      <c r="J589" s="137" t="s">
        <v>129</v>
      </c>
      <c r="K589" s="137" t="s">
        <v>129</v>
      </c>
      <c r="L589" s="137" t="s">
        <v>129</v>
      </c>
      <c r="M589" s="141"/>
      <c r="N589" s="143"/>
    </row>
    <row r="590" hidden="1" outlineLevel="1">
      <c r="A590" s="303" t="s">
        <v>3683</v>
      </c>
      <c r="B590" s="344">
        <v>46198.0</v>
      </c>
      <c r="C590" s="133" t="str">
        <f t="shared" si="70"/>
        <v>Thu</v>
      </c>
      <c r="D590" s="383">
        <f t="shared" si="71"/>
        <v>1</v>
      </c>
      <c r="E590" s="147" t="s">
        <v>129</v>
      </c>
      <c r="F590" s="137" t="s">
        <v>129</v>
      </c>
      <c r="G590" s="137" t="s">
        <v>129</v>
      </c>
      <c r="H590" s="137" t="s">
        <v>129</v>
      </c>
      <c r="I590" s="137" t="s">
        <v>129</v>
      </c>
      <c r="J590" s="137" t="s">
        <v>129</v>
      </c>
      <c r="K590" s="137" t="s">
        <v>129</v>
      </c>
      <c r="L590" s="137" t="s">
        <v>129</v>
      </c>
      <c r="M590" s="141"/>
      <c r="N590" s="147"/>
    </row>
    <row r="591" hidden="1" outlineLevel="1">
      <c r="A591" s="303" t="s">
        <v>3688</v>
      </c>
      <c r="B591" s="344">
        <v>46198.0</v>
      </c>
      <c r="C591" s="133" t="str">
        <f t="shared" si="70"/>
        <v>Thu</v>
      </c>
      <c r="D591" s="381">
        <f t="shared" si="71"/>
        <v>1</v>
      </c>
      <c r="E591" s="382" t="s">
        <v>129</v>
      </c>
      <c r="F591" s="137" t="s">
        <v>129</v>
      </c>
      <c r="G591" s="137" t="s">
        <v>129</v>
      </c>
      <c r="H591" s="137" t="s">
        <v>129</v>
      </c>
      <c r="I591" s="137" t="s">
        <v>129</v>
      </c>
      <c r="J591" s="137" t="s">
        <v>129</v>
      </c>
      <c r="K591" s="137" t="s">
        <v>129</v>
      </c>
      <c r="L591" s="137" t="s">
        <v>129</v>
      </c>
      <c r="M591" s="141"/>
      <c r="N591" s="147"/>
    </row>
    <row r="592" hidden="1" outlineLevel="1">
      <c r="A592" s="303" t="s">
        <v>3692</v>
      </c>
      <c r="B592" s="344">
        <v>46198.0</v>
      </c>
      <c r="C592" s="133" t="str">
        <f t="shared" si="70"/>
        <v>Thu</v>
      </c>
      <c r="D592" s="383">
        <f t="shared" si="71"/>
        <v>1</v>
      </c>
      <c r="E592" s="147" t="s">
        <v>129</v>
      </c>
      <c r="F592" s="137" t="s">
        <v>129</v>
      </c>
      <c r="G592" s="137" t="s">
        <v>129</v>
      </c>
      <c r="H592" s="137" t="s">
        <v>129</v>
      </c>
      <c r="I592" s="137" t="s">
        <v>129</v>
      </c>
      <c r="J592" s="137" t="s">
        <v>129</v>
      </c>
      <c r="K592" s="137" t="s">
        <v>129</v>
      </c>
      <c r="L592" s="137" t="s">
        <v>129</v>
      </c>
      <c r="M592" s="141"/>
      <c r="N592" s="147"/>
    </row>
    <row r="593" hidden="1" outlineLevel="1">
      <c r="A593" s="303" t="s">
        <v>3696</v>
      </c>
      <c r="B593" s="344"/>
      <c r="C593" s="133" t="str">
        <f t="shared" si="70"/>
        <v/>
      </c>
      <c r="D593" s="381">
        <f t="shared" si="71"/>
        <v>1</v>
      </c>
      <c r="E593" s="382" t="s">
        <v>129</v>
      </c>
      <c r="F593" s="137" t="s">
        <v>129</v>
      </c>
      <c r="G593" s="137" t="s">
        <v>129</v>
      </c>
      <c r="H593" s="137" t="s">
        <v>129</v>
      </c>
      <c r="I593" s="137" t="s">
        <v>129</v>
      </c>
      <c r="J593" s="137" t="s">
        <v>129</v>
      </c>
      <c r="K593" s="137" t="s">
        <v>129</v>
      </c>
      <c r="L593" s="137" t="s">
        <v>129</v>
      </c>
      <c r="M593" s="141"/>
      <c r="N593" s="143"/>
    </row>
    <row r="594" hidden="1" outlineLevel="1">
      <c r="A594" s="303" t="s">
        <v>3702</v>
      </c>
      <c r="B594" s="344"/>
      <c r="C594" s="133" t="str">
        <f t="shared" si="70"/>
        <v/>
      </c>
      <c r="D594" s="383">
        <f t="shared" si="71"/>
        <v>1</v>
      </c>
      <c r="E594" s="147" t="s">
        <v>129</v>
      </c>
      <c r="F594" s="137" t="s">
        <v>129</v>
      </c>
      <c r="G594" s="137" t="s">
        <v>129</v>
      </c>
      <c r="H594" s="137" t="s">
        <v>129</v>
      </c>
      <c r="I594" s="137" t="s">
        <v>129</v>
      </c>
      <c r="J594" s="137" t="s">
        <v>129</v>
      </c>
      <c r="K594" s="137" t="s">
        <v>129</v>
      </c>
      <c r="L594" s="137" t="s">
        <v>129</v>
      </c>
      <c r="M594" s="141"/>
      <c r="N594" s="143"/>
    </row>
    <row r="595" ht="15.0" hidden="1" customHeight="1" outlineLevel="1">
      <c r="A595" s="303" t="s">
        <v>3708</v>
      </c>
      <c r="B595" s="344"/>
      <c r="C595" s="133" t="str">
        <f t="shared" si="70"/>
        <v/>
      </c>
      <c r="D595" s="381">
        <f t="shared" si="71"/>
        <v>1</v>
      </c>
      <c r="E595" s="382" t="s">
        <v>129</v>
      </c>
      <c r="F595" s="137" t="s">
        <v>129</v>
      </c>
      <c r="G595" s="137" t="s">
        <v>129</v>
      </c>
      <c r="H595" s="137" t="s">
        <v>129</v>
      </c>
      <c r="I595" s="137" t="s">
        <v>129</v>
      </c>
      <c r="J595" s="137" t="s">
        <v>129</v>
      </c>
      <c r="K595" s="137" t="s">
        <v>129</v>
      </c>
      <c r="L595" s="137" t="s">
        <v>129</v>
      </c>
      <c r="M595" s="141"/>
      <c r="N595" s="147"/>
    </row>
    <row r="596" hidden="1" outlineLevel="1">
      <c r="B596" s="189"/>
      <c r="C596" s="191" t="s">
        <v>194</v>
      </c>
      <c r="D596" s="204">
        <f>AVERAGE(D581:D595)</f>
        <v>1</v>
      </c>
      <c r="E596" s="384"/>
      <c r="L596" s="191" t="s">
        <v>194</v>
      </c>
      <c r="M596" s="204">
        <f>SUM(M581:M595)/75*0.1</f>
        <v>0</v>
      </c>
    </row>
    <row r="597" hidden="1" collapsed="1">
      <c r="A597" s="206" t="s">
        <v>1194</v>
      </c>
      <c r="B597" s="207"/>
      <c r="C597" s="207"/>
      <c r="D597" s="385"/>
      <c r="E597" s="109"/>
      <c r="F597" s="109"/>
      <c r="G597" s="110"/>
      <c r="H597" s="110"/>
      <c r="I597" s="110"/>
      <c r="J597" s="110"/>
      <c r="K597" s="110"/>
      <c r="L597" s="110"/>
      <c r="M597" s="111"/>
      <c r="N597" s="113"/>
    </row>
    <row r="598" hidden="1" outlineLevel="1">
      <c r="A598" s="373" t="s">
        <v>98</v>
      </c>
      <c r="B598" s="115" t="s">
        <v>100</v>
      </c>
      <c r="C598" s="115" t="s">
        <v>102</v>
      </c>
      <c r="D598" s="119" t="s">
        <v>103</v>
      </c>
      <c r="E598" s="275" t="s">
        <v>269</v>
      </c>
      <c r="F598" s="275" t="s">
        <v>272</v>
      </c>
      <c r="G598" s="276" t="s">
        <v>328</v>
      </c>
      <c r="H598" s="121" t="s">
        <v>107</v>
      </c>
      <c r="I598" s="121" t="s">
        <v>108</v>
      </c>
      <c r="J598" s="276" t="s">
        <v>329</v>
      </c>
      <c r="K598" s="121" t="s">
        <v>111</v>
      </c>
      <c r="L598" s="276" t="s">
        <v>274</v>
      </c>
      <c r="M598" s="115" t="s">
        <v>114</v>
      </c>
      <c r="N598" s="119" t="s">
        <v>115</v>
      </c>
    </row>
    <row r="599" hidden="1" outlineLevel="1">
      <c r="A599" s="303" t="s">
        <v>3717</v>
      </c>
      <c r="B599" s="344">
        <v>46202.0</v>
      </c>
      <c r="C599" s="133" t="str">
        <f t="shared" ref="C599:C613" si="72">IF(B599="", "", TEXT(B599, "ddd"))</f>
        <v>Mon</v>
      </c>
      <c r="D599" s="381">
        <f t="shared" ref="D599:D613" si="73">IF(E599="Yes",0.05,0)
+IF(F599="Yes",0.1,0)
+IF(G599="Yes",0.15,0)
+IF(H599="Yes",0.15,0)
+IF(I599="Yes",0.05,0)
+IF(J599="Yes",0.05,0)
+IF(K599="Yes",0.15,0)
+IF(L599="Yes",0.3,0)
</f>
        <v>1</v>
      </c>
      <c r="E599" s="382" t="s">
        <v>129</v>
      </c>
      <c r="F599" s="137" t="s">
        <v>129</v>
      </c>
      <c r="G599" s="137" t="s">
        <v>129</v>
      </c>
      <c r="H599" s="137" t="s">
        <v>129</v>
      </c>
      <c r="I599" s="137" t="s">
        <v>129</v>
      </c>
      <c r="J599" s="137" t="s">
        <v>129</v>
      </c>
      <c r="K599" s="137" t="s">
        <v>129</v>
      </c>
      <c r="L599" s="137" t="s">
        <v>129</v>
      </c>
      <c r="M599" s="141"/>
      <c r="N599" s="143"/>
    </row>
    <row r="600" hidden="1" outlineLevel="1">
      <c r="A600" s="303" t="s">
        <v>3720</v>
      </c>
      <c r="B600" s="344">
        <v>46202.0</v>
      </c>
      <c r="C600" s="133" t="str">
        <f t="shared" si="72"/>
        <v>Mon</v>
      </c>
      <c r="D600" s="383">
        <f t="shared" si="73"/>
        <v>1</v>
      </c>
      <c r="E600" s="147" t="s">
        <v>129</v>
      </c>
      <c r="F600" s="137" t="s">
        <v>129</v>
      </c>
      <c r="G600" s="137" t="s">
        <v>129</v>
      </c>
      <c r="H600" s="137" t="s">
        <v>129</v>
      </c>
      <c r="I600" s="137" t="s">
        <v>129</v>
      </c>
      <c r="J600" s="137" t="s">
        <v>129</v>
      </c>
      <c r="K600" s="137" t="s">
        <v>129</v>
      </c>
      <c r="L600" s="137" t="s">
        <v>129</v>
      </c>
      <c r="M600" s="141"/>
      <c r="N600" s="147"/>
    </row>
    <row r="601" hidden="1" outlineLevel="1">
      <c r="A601" s="303" t="s">
        <v>3722</v>
      </c>
      <c r="B601" s="344">
        <v>46202.0</v>
      </c>
      <c r="C601" s="133" t="str">
        <f t="shared" si="72"/>
        <v>Mon</v>
      </c>
      <c r="D601" s="381">
        <f t="shared" si="73"/>
        <v>1</v>
      </c>
      <c r="E601" s="382" t="s">
        <v>129</v>
      </c>
      <c r="F601" s="137" t="s">
        <v>129</v>
      </c>
      <c r="G601" s="137" t="s">
        <v>129</v>
      </c>
      <c r="H601" s="137" t="s">
        <v>129</v>
      </c>
      <c r="I601" s="137" t="s">
        <v>129</v>
      </c>
      <c r="J601" s="137" t="s">
        <v>129</v>
      </c>
      <c r="K601" s="137" t="s">
        <v>129</v>
      </c>
      <c r="L601" s="137" t="s">
        <v>129</v>
      </c>
      <c r="M601" s="141"/>
      <c r="N601" s="147"/>
    </row>
    <row r="602" hidden="1" outlineLevel="1">
      <c r="A602" s="303" t="s">
        <v>3731</v>
      </c>
      <c r="B602" s="344">
        <v>46203.0</v>
      </c>
      <c r="C602" s="133" t="str">
        <f t="shared" si="72"/>
        <v>Tue</v>
      </c>
      <c r="D602" s="383">
        <f t="shared" si="73"/>
        <v>1</v>
      </c>
      <c r="E602" s="147" t="s">
        <v>129</v>
      </c>
      <c r="F602" s="137" t="s">
        <v>129</v>
      </c>
      <c r="G602" s="137" t="s">
        <v>129</v>
      </c>
      <c r="H602" s="137" t="s">
        <v>129</v>
      </c>
      <c r="I602" s="137" t="s">
        <v>129</v>
      </c>
      <c r="J602" s="137" t="s">
        <v>129</v>
      </c>
      <c r="K602" s="137" t="s">
        <v>129</v>
      </c>
      <c r="L602" s="137" t="s">
        <v>129</v>
      </c>
      <c r="M602" s="141"/>
      <c r="N602" s="143"/>
    </row>
    <row r="603" hidden="1" outlineLevel="1">
      <c r="A603" s="303" t="s">
        <v>3735</v>
      </c>
      <c r="B603" s="344">
        <v>46203.0</v>
      </c>
      <c r="C603" s="133" t="str">
        <f t="shared" si="72"/>
        <v>Tue</v>
      </c>
      <c r="D603" s="381">
        <f t="shared" si="73"/>
        <v>1</v>
      </c>
      <c r="E603" s="382" t="s">
        <v>129</v>
      </c>
      <c r="F603" s="137" t="s">
        <v>129</v>
      </c>
      <c r="G603" s="137" t="s">
        <v>129</v>
      </c>
      <c r="H603" s="137" t="s">
        <v>129</v>
      </c>
      <c r="I603" s="137" t="s">
        <v>129</v>
      </c>
      <c r="J603" s="137" t="s">
        <v>129</v>
      </c>
      <c r="K603" s="137" t="s">
        <v>129</v>
      </c>
      <c r="L603" s="137" t="s">
        <v>129</v>
      </c>
      <c r="M603" s="141"/>
      <c r="N603" s="143"/>
    </row>
    <row r="604" hidden="1" outlineLevel="1">
      <c r="A604" s="303" t="s">
        <v>3738</v>
      </c>
      <c r="B604" s="344">
        <v>46203.0</v>
      </c>
      <c r="C604" s="133" t="str">
        <f t="shared" si="72"/>
        <v>Tue</v>
      </c>
      <c r="D604" s="383">
        <f t="shared" si="73"/>
        <v>1</v>
      </c>
      <c r="E604" s="147" t="s">
        <v>129</v>
      </c>
      <c r="F604" s="137" t="s">
        <v>129</v>
      </c>
      <c r="G604" s="137" t="s">
        <v>129</v>
      </c>
      <c r="H604" s="137" t="s">
        <v>129</v>
      </c>
      <c r="I604" s="137" t="s">
        <v>129</v>
      </c>
      <c r="J604" s="137" t="s">
        <v>129</v>
      </c>
      <c r="K604" s="137" t="s">
        <v>129</v>
      </c>
      <c r="L604" s="137" t="s">
        <v>129</v>
      </c>
      <c r="M604" s="141"/>
      <c r="N604" s="143"/>
    </row>
    <row r="605" hidden="1" outlineLevel="1">
      <c r="A605" s="303" t="s">
        <v>3741</v>
      </c>
      <c r="B605" s="344">
        <v>46204.0</v>
      </c>
      <c r="C605" s="133" t="str">
        <f t="shared" si="72"/>
        <v>Wed</v>
      </c>
      <c r="D605" s="381">
        <f t="shared" si="73"/>
        <v>1</v>
      </c>
      <c r="E605" s="382" t="s">
        <v>129</v>
      </c>
      <c r="F605" s="137" t="s">
        <v>129</v>
      </c>
      <c r="G605" s="137" t="s">
        <v>129</v>
      </c>
      <c r="H605" s="137" t="s">
        <v>129</v>
      </c>
      <c r="I605" s="137" t="s">
        <v>129</v>
      </c>
      <c r="J605" s="137" t="s">
        <v>129</v>
      </c>
      <c r="K605" s="137" t="s">
        <v>129</v>
      </c>
      <c r="L605" s="137" t="s">
        <v>129</v>
      </c>
      <c r="M605" s="141"/>
      <c r="N605" s="143"/>
    </row>
    <row r="606" hidden="1" outlineLevel="1">
      <c r="A606" s="303" t="s">
        <v>3745</v>
      </c>
      <c r="B606" s="344">
        <v>46204.0</v>
      </c>
      <c r="C606" s="133" t="str">
        <f t="shared" si="72"/>
        <v>Wed</v>
      </c>
      <c r="D606" s="383">
        <f t="shared" si="73"/>
        <v>1</v>
      </c>
      <c r="E606" s="147" t="s">
        <v>129</v>
      </c>
      <c r="F606" s="137" t="s">
        <v>129</v>
      </c>
      <c r="G606" s="137" t="s">
        <v>129</v>
      </c>
      <c r="H606" s="137" t="s">
        <v>129</v>
      </c>
      <c r="I606" s="137" t="s">
        <v>129</v>
      </c>
      <c r="J606" s="137" t="s">
        <v>129</v>
      </c>
      <c r="K606" s="137" t="s">
        <v>129</v>
      </c>
      <c r="L606" s="137" t="s">
        <v>129</v>
      </c>
      <c r="M606" s="141"/>
      <c r="N606" s="147"/>
    </row>
    <row r="607" hidden="1" outlineLevel="1">
      <c r="A607" s="303" t="s">
        <v>3749</v>
      </c>
      <c r="B607" s="344">
        <v>46204.0</v>
      </c>
      <c r="C607" s="133" t="str">
        <f t="shared" si="72"/>
        <v>Wed</v>
      </c>
      <c r="D607" s="381">
        <f t="shared" si="73"/>
        <v>1</v>
      </c>
      <c r="E607" s="382" t="s">
        <v>129</v>
      </c>
      <c r="F607" s="137" t="s">
        <v>129</v>
      </c>
      <c r="G607" s="137" t="s">
        <v>129</v>
      </c>
      <c r="H607" s="137" t="s">
        <v>129</v>
      </c>
      <c r="I607" s="137" t="s">
        <v>129</v>
      </c>
      <c r="J607" s="137" t="s">
        <v>129</v>
      </c>
      <c r="K607" s="137" t="s">
        <v>129</v>
      </c>
      <c r="L607" s="137" t="s">
        <v>129</v>
      </c>
      <c r="M607" s="141"/>
      <c r="N607" s="143"/>
    </row>
    <row r="608" hidden="1" outlineLevel="1">
      <c r="A608" s="303" t="s">
        <v>3753</v>
      </c>
      <c r="B608" s="344">
        <v>46207.0</v>
      </c>
      <c r="C608" s="133" t="str">
        <f t="shared" si="72"/>
        <v>Sat</v>
      </c>
      <c r="D608" s="383">
        <f t="shared" si="73"/>
        <v>1</v>
      </c>
      <c r="E608" s="147" t="s">
        <v>129</v>
      </c>
      <c r="F608" s="137" t="s">
        <v>129</v>
      </c>
      <c r="G608" s="137" t="s">
        <v>129</v>
      </c>
      <c r="H608" s="137" t="s">
        <v>129</v>
      </c>
      <c r="I608" s="137" t="s">
        <v>129</v>
      </c>
      <c r="J608" s="137" t="s">
        <v>129</v>
      </c>
      <c r="K608" s="137" t="s">
        <v>129</v>
      </c>
      <c r="L608" s="137" t="s">
        <v>129</v>
      </c>
      <c r="M608" s="141"/>
      <c r="N608" s="147"/>
    </row>
    <row r="609" hidden="1" outlineLevel="1">
      <c r="A609" s="303" t="s">
        <v>3760</v>
      </c>
      <c r="B609" s="344">
        <v>46207.0</v>
      </c>
      <c r="C609" s="133" t="str">
        <f t="shared" si="72"/>
        <v>Sat</v>
      </c>
      <c r="D609" s="381">
        <f t="shared" si="73"/>
        <v>1</v>
      </c>
      <c r="E609" s="382" t="s">
        <v>129</v>
      </c>
      <c r="F609" s="137" t="s">
        <v>129</v>
      </c>
      <c r="G609" s="137" t="s">
        <v>129</v>
      </c>
      <c r="H609" s="137" t="s">
        <v>129</v>
      </c>
      <c r="I609" s="137" t="s">
        <v>129</v>
      </c>
      <c r="J609" s="137" t="s">
        <v>129</v>
      </c>
      <c r="K609" s="137" t="s">
        <v>129</v>
      </c>
      <c r="L609" s="137" t="s">
        <v>129</v>
      </c>
      <c r="M609" s="141"/>
      <c r="N609" s="147"/>
    </row>
    <row r="610" hidden="1" outlineLevel="1">
      <c r="A610" s="303" t="s">
        <v>3763</v>
      </c>
      <c r="B610" s="344">
        <v>46207.0</v>
      </c>
      <c r="C610" s="133" t="str">
        <f t="shared" si="72"/>
        <v>Sat</v>
      </c>
      <c r="D610" s="383">
        <f t="shared" si="73"/>
        <v>1</v>
      </c>
      <c r="E610" s="147" t="s">
        <v>129</v>
      </c>
      <c r="F610" s="137" t="s">
        <v>129</v>
      </c>
      <c r="G610" s="137" t="s">
        <v>129</v>
      </c>
      <c r="H610" s="137" t="s">
        <v>129</v>
      </c>
      <c r="I610" s="137" t="s">
        <v>129</v>
      </c>
      <c r="J610" s="137" t="s">
        <v>129</v>
      </c>
      <c r="K610" s="137" t="s">
        <v>129</v>
      </c>
      <c r="L610" s="137" t="s">
        <v>129</v>
      </c>
      <c r="M610" s="141"/>
      <c r="N610" s="147"/>
    </row>
    <row r="611" hidden="1" outlineLevel="1">
      <c r="A611" s="303" t="s">
        <v>3765</v>
      </c>
      <c r="B611" s="344">
        <v>46208.0</v>
      </c>
      <c r="C611" s="133" t="str">
        <f t="shared" si="72"/>
        <v>Sun</v>
      </c>
      <c r="D611" s="381">
        <f t="shared" si="73"/>
        <v>1</v>
      </c>
      <c r="E611" s="382" t="s">
        <v>129</v>
      </c>
      <c r="F611" s="137" t="s">
        <v>129</v>
      </c>
      <c r="G611" s="137" t="s">
        <v>129</v>
      </c>
      <c r="H611" s="137" t="s">
        <v>129</v>
      </c>
      <c r="I611" s="137" t="s">
        <v>129</v>
      </c>
      <c r="J611" s="137" t="s">
        <v>129</v>
      </c>
      <c r="K611" s="137" t="s">
        <v>129</v>
      </c>
      <c r="L611" s="137" t="s">
        <v>129</v>
      </c>
      <c r="M611" s="141"/>
      <c r="N611" s="143"/>
    </row>
    <row r="612" hidden="1" outlineLevel="1">
      <c r="A612" s="303" t="s">
        <v>3767</v>
      </c>
      <c r="B612" s="344">
        <v>46208.0</v>
      </c>
      <c r="C612" s="133" t="str">
        <f t="shared" si="72"/>
        <v>Sun</v>
      </c>
      <c r="D612" s="383">
        <f t="shared" si="73"/>
        <v>1</v>
      </c>
      <c r="E612" s="147" t="s">
        <v>129</v>
      </c>
      <c r="F612" s="137" t="s">
        <v>129</v>
      </c>
      <c r="G612" s="137" t="s">
        <v>129</v>
      </c>
      <c r="H612" s="137" t="s">
        <v>129</v>
      </c>
      <c r="I612" s="137" t="s">
        <v>129</v>
      </c>
      <c r="J612" s="137" t="s">
        <v>129</v>
      </c>
      <c r="K612" s="137" t="s">
        <v>129</v>
      </c>
      <c r="L612" s="137" t="s">
        <v>129</v>
      </c>
      <c r="M612" s="141"/>
      <c r="N612" s="143"/>
    </row>
    <row r="613" ht="15.0" hidden="1" customHeight="1" outlineLevel="1">
      <c r="A613" s="303" t="s">
        <v>3770</v>
      </c>
      <c r="B613" s="344">
        <v>46208.0</v>
      </c>
      <c r="C613" s="133" t="str">
        <f t="shared" si="72"/>
        <v>Sun</v>
      </c>
      <c r="D613" s="381">
        <f t="shared" si="73"/>
        <v>1</v>
      </c>
      <c r="E613" s="382" t="s">
        <v>129</v>
      </c>
      <c r="F613" s="137" t="s">
        <v>129</v>
      </c>
      <c r="G613" s="137" t="s">
        <v>129</v>
      </c>
      <c r="H613" s="137" t="s">
        <v>129</v>
      </c>
      <c r="I613" s="137" t="s">
        <v>129</v>
      </c>
      <c r="J613" s="137" t="s">
        <v>129</v>
      </c>
      <c r="K613" s="137" t="s">
        <v>129</v>
      </c>
      <c r="L613" s="137" t="s">
        <v>129</v>
      </c>
      <c r="M613" s="141"/>
      <c r="N613" s="147"/>
    </row>
    <row r="614" hidden="1" outlineLevel="1">
      <c r="B614" s="189"/>
      <c r="C614" s="191" t="s">
        <v>194</v>
      </c>
      <c r="D614" s="204">
        <f>AVERAGE(D599:D613)</f>
        <v>1</v>
      </c>
      <c r="E614" s="384"/>
      <c r="L614" s="191" t="s">
        <v>194</v>
      </c>
      <c r="M614" s="204">
        <f>SUM(M599:M613)/75*0.1</f>
        <v>0</v>
      </c>
    </row>
    <row r="615" hidden="1" collapsed="1">
      <c r="A615" s="206" t="s">
        <v>1220</v>
      </c>
      <c r="B615" s="207"/>
      <c r="C615" s="207"/>
      <c r="D615" s="385"/>
      <c r="E615" s="109"/>
      <c r="F615" s="109"/>
      <c r="G615" s="110"/>
      <c r="H615" s="110"/>
      <c r="I615" s="110"/>
      <c r="J615" s="110"/>
      <c r="K615" s="110"/>
      <c r="L615" s="110"/>
      <c r="M615" s="111"/>
      <c r="N615" s="113"/>
    </row>
    <row r="616" hidden="1" outlineLevel="1">
      <c r="A616" s="373" t="s">
        <v>98</v>
      </c>
      <c r="B616" s="115" t="s">
        <v>100</v>
      </c>
      <c r="C616" s="115" t="s">
        <v>102</v>
      </c>
      <c r="D616" s="119" t="s">
        <v>103</v>
      </c>
      <c r="E616" s="275" t="s">
        <v>269</v>
      </c>
      <c r="F616" s="275" t="s">
        <v>272</v>
      </c>
      <c r="G616" s="276" t="s">
        <v>328</v>
      </c>
      <c r="H616" s="121" t="s">
        <v>107</v>
      </c>
      <c r="I616" s="121" t="s">
        <v>108</v>
      </c>
      <c r="J616" s="276" t="s">
        <v>329</v>
      </c>
      <c r="K616" s="121" t="s">
        <v>111</v>
      </c>
      <c r="L616" s="276" t="s">
        <v>274</v>
      </c>
      <c r="M616" s="115" t="s">
        <v>114</v>
      </c>
      <c r="N616" s="119" t="s">
        <v>115</v>
      </c>
    </row>
    <row r="617" hidden="1" outlineLevel="1">
      <c r="A617" s="303" t="s">
        <v>3779</v>
      </c>
      <c r="B617" s="344">
        <v>46209.0</v>
      </c>
      <c r="C617" s="133" t="str">
        <f t="shared" ref="C617:C631" si="74">IF(B617="", "", TEXT(B617, "ddd"))</f>
        <v>Mon</v>
      </c>
      <c r="D617" s="381">
        <f t="shared" ref="D617:D631" si="75">IF(E617="Yes",0.05,0)
+IF(F617="Yes",0.1,0)
+IF(G617="Yes",0.15,0)
+IF(H617="Yes",0.15,0)
+IF(I617="Yes",0.05,0)
+IF(J617="Yes",0.05,0)
+IF(K617="Yes",0.15,0)
+IF(L617="Yes",0.3,0)
</f>
        <v>1</v>
      </c>
      <c r="E617" s="382" t="s">
        <v>129</v>
      </c>
      <c r="F617" s="137" t="s">
        <v>129</v>
      </c>
      <c r="G617" s="137" t="s">
        <v>129</v>
      </c>
      <c r="H617" s="137" t="s">
        <v>129</v>
      </c>
      <c r="I617" s="137" t="s">
        <v>129</v>
      </c>
      <c r="J617" s="137" t="s">
        <v>129</v>
      </c>
      <c r="K617" s="137" t="s">
        <v>129</v>
      </c>
      <c r="L617" s="137" t="s">
        <v>129</v>
      </c>
      <c r="M617" s="141"/>
      <c r="N617" s="143"/>
    </row>
    <row r="618" hidden="1" outlineLevel="1">
      <c r="A618" s="303" t="s">
        <v>3784</v>
      </c>
      <c r="B618" s="344">
        <v>46209.0</v>
      </c>
      <c r="C618" s="133" t="str">
        <f t="shared" si="74"/>
        <v>Mon</v>
      </c>
      <c r="D618" s="383">
        <f t="shared" si="75"/>
        <v>1</v>
      </c>
      <c r="E618" s="147" t="s">
        <v>129</v>
      </c>
      <c r="F618" s="137" t="s">
        <v>129</v>
      </c>
      <c r="G618" s="137" t="s">
        <v>129</v>
      </c>
      <c r="H618" s="137" t="s">
        <v>129</v>
      </c>
      <c r="I618" s="137" t="s">
        <v>129</v>
      </c>
      <c r="J618" s="137" t="s">
        <v>129</v>
      </c>
      <c r="K618" s="137" t="s">
        <v>129</v>
      </c>
      <c r="L618" s="137" t="s">
        <v>129</v>
      </c>
      <c r="M618" s="141"/>
      <c r="N618" s="147"/>
    </row>
    <row r="619" hidden="1" outlineLevel="1">
      <c r="A619" s="303" t="s">
        <v>3788</v>
      </c>
      <c r="B619" s="344">
        <v>46209.0</v>
      </c>
      <c r="C619" s="133" t="str">
        <f t="shared" si="74"/>
        <v>Mon</v>
      </c>
      <c r="D619" s="381">
        <f t="shared" si="75"/>
        <v>1</v>
      </c>
      <c r="E619" s="382" t="s">
        <v>129</v>
      </c>
      <c r="F619" s="137" t="s">
        <v>129</v>
      </c>
      <c r="G619" s="137" t="s">
        <v>129</v>
      </c>
      <c r="H619" s="137" t="s">
        <v>129</v>
      </c>
      <c r="I619" s="137" t="s">
        <v>129</v>
      </c>
      <c r="J619" s="137" t="s">
        <v>129</v>
      </c>
      <c r="K619" s="137" t="s">
        <v>129</v>
      </c>
      <c r="L619" s="137" t="s">
        <v>129</v>
      </c>
      <c r="M619" s="141"/>
      <c r="N619" s="147"/>
    </row>
    <row r="620" hidden="1" outlineLevel="1">
      <c r="A620" s="303" t="s">
        <v>3790</v>
      </c>
      <c r="B620" s="344">
        <v>46210.0</v>
      </c>
      <c r="C620" s="133" t="str">
        <f t="shared" si="74"/>
        <v>Tue</v>
      </c>
      <c r="D620" s="383">
        <f t="shared" si="75"/>
        <v>1</v>
      </c>
      <c r="E620" s="147" t="s">
        <v>129</v>
      </c>
      <c r="F620" s="137" t="s">
        <v>129</v>
      </c>
      <c r="G620" s="137" t="s">
        <v>129</v>
      </c>
      <c r="H620" s="137" t="s">
        <v>129</v>
      </c>
      <c r="I620" s="137" t="s">
        <v>129</v>
      </c>
      <c r="J620" s="137" t="s">
        <v>129</v>
      </c>
      <c r="K620" s="137" t="s">
        <v>129</v>
      </c>
      <c r="L620" s="137" t="s">
        <v>129</v>
      </c>
      <c r="M620" s="141"/>
      <c r="N620" s="143"/>
    </row>
    <row r="621" hidden="1" outlineLevel="1">
      <c r="A621" s="303" t="s">
        <v>3794</v>
      </c>
      <c r="B621" s="344">
        <v>46210.0</v>
      </c>
      <c r="C621" s="133" t="str">
        <f t="shared" si="74"/>
        <v>Tue</v>
      </c>
      <c r="D621" s="381">
        <f t="shared" si="75"/>
        <v>1</v>
      </c>
      <c r="E621" s="382" t="s">
        <v>129</v>
      </c>
      <c r="F621" s="137" t="s">
        <v>129</v>
      </c>
      <c r="G621" s="137" t="s">
        <v>129</v>
      </c>
      <c r="H621" s="137" t="s">
        <v>129</v>
      </c>
      <c r="I621" s="137" t="s">
        <v>129</v>
      </c>
      <c r="J621" s="137" t="s">
        <v>129</v>
      </c>
      <c r="K621" s="137" t="s">
        <v>129</v>
      </c>
      <c r="L621" s="137" t="s">
        <v>129</v>
      </c>
      <c r="M621" s="141"/>
      <c r="N621" s="143"/>
    </row>
    <row r="622" hidden="1" outlineLevel="1">
      <c r="A622" s="303" t="s">
        <v>3795</v>
      </c>
      <c r="B622" s="344">
        <v>46210.0</v>
      </c>
      <c r="C622" s="133" t="str">
        <f t="shared" si="74"/>
        <v>Tue</v>
      </c>
      <c r="D622" s="383">
        <f t="shared" si="75"/>
        <v>1</v>
      </c>
      <c r="E622" s="147" t="s">
        <v>129</v>
      </c>
      <c r="F622" s="137" t="s">
        <v>129</v>
      </c>
      <c r="G622" s="137" t="s">
        <v>129</v>
      </c>
      <c r="H622" s="137" t="s">
        <v>129</v>
      </c>
      <c r="I622" s="137" t="s">
        <v>129</v>
      </c>
      <c r="J622" s="137" t="s">
        <v>129</v>
      </c>
      <c r="K622" s="137" t="s">
        <v>129</v>
      </c>
      <c r="L622" s="137" t="s">
        <v>129</v>
      </c>
      <c r="M622" s="141"/>
      <c r="N622" s="143"/>
    </row>
    <row r="623" hidden="1" outlineLevel="1">
      <c r="A623" s="303" t="s">
        <v>3797</v>
      </c>
      <c r="B623" s="344">
        <v>46211.0</v>
      </c>
      <c r="C623" s="133" t="str">
        <f t="shared" si="74"/>
        <v>Wed</v>
      </c>
      <c r="D623" s="381">
        <f t="shared" si="75"/>
        <v>1</v>
      </c>
      <c r="E623" s="382" t="s">
        <v>129</v>
      </c>
      <c r="F623" s="137" t="s">
        <v>129</v>
      </c>
      <c r="G623" s="137" t="s">
        <v>129</v>
      </c>
      <c r="H623" s="137" t="s">
        <v>129</v>
      </c>
      <c r="I623" s="137" t="s">
        <v>129</v>
      </c>
      <c r="J623" s="137" t="s">
        <v>129</v>
      </c>
      <c r="K623" s="137" t="s">
        <v>129</v>
      </c>
      <c r="L623" s="137" t="s">
        <v>129</v>
      </c>
      <c r="M623" s="141"/>
      <c r="N623" s="143"/>
    </row>
    <row r="624" hidden="1" outlineLevel="1">
      <c r="A624" s="303" t="s">
        <v>3798</v>
      </c>
      <c r="B624" s="344">
        <v>46211.0</v>
      </c>
      <c r="C624" s="133" t="str">
        <f t="shared" si="74"/>
        <v>Wed</v>
      </c>
      <c r="D624" s="383">
        <f t="shared" si="75"/>
        <v>1</v>
      </c>
      <c r="E624" s="147" t="s">
        <v>129</v>
      </c>
      <c r="F624" s="137" t="s">
        <v>129</v>
      </c>
      <c r="G624" s="137" t="s">
        <v>129</v>
      </c>
      <c r="H624" s="137" t="s">
        <v>129</v>
      </c>
      <c r="I624" s="137" t="s">
        <v>129</v>
      </c>
      <c r="J624" s="137" t="s">
        <v>129</v>
      </c>
      <c r="K624" s="137" t="s">
        <v>129</v>
      </c>
      <c r="L624" s="137" t="s">
        <v>129</v>
      </c>
      <c r="M624" s="141"/>
      <c r="N624" s="147"/>
    </row>
    <row r="625" hidden="1" outlineLevel="1">
      <c r="A625" s="303" t="s">
        <v>3801</v>
      </c>
      <c r="B625" s="344">
        <v>46211.0</v>
      </c>
      <c r="C625" s="133" t="str">
        <f t="shared" si="74"/>
        <v>Wed</v>
      </c>
      <c r="D625" s="381">
        <f t="shared" si="75"/>
        <v>1</v>
      </c>
      <c r="E625" s="382" t="s">
        <v>129</v>
      </c>
      <c r="F625" s="137" t="s">
        <v>129</v>
      </c>
      <c r="G625" s="137" t="s">
        <v>129</v>
      </c>
      <c r="H625" s="137" t="s">
        <v>129</v>
      </c>
      <c r="I625" s="137" t="s">
        <v>129</v>
      </c>
      <c r="J625" s="137" t="s">
        <v>129</v>
      </c>
      <c r="K625" s="137" t="s">
        <v>129</v>
      </c>
      <c r="L625" s="137" t="s">
        <v>129</v>
      </c>
      <c r="M625" s="141"/>
      <c r="N625" s="143"/>
    </row>
    <row r="626" hidden="1" outlineLevel="1">
      <c r="A626" s="255" t="s">
        <v>3806</v>
      </c>
      <c r="B626" s="344">
        <v>46214.0</v>
      </c>
      <c r="C626" s="133" t="str">
        <f t="shared" si="74"/>
        <v>Sat</v>
      </c>
      <c r="D626" s="383">
        <f t="shared" si="75"/>
        <v>1</v>
      </c>
      <c r="E626" s="147" t="s">
        <v>129</v>
      </c>
      <c r="F626" s="137" t="s">
        <v>129</v>
      </c>
      <c r="G626" s="137" t="s">
        <v>129</v>
      </c>
      <c r="H626" s="137" t="s">
        <v>129</v>
      </c>
      <c r="I626" s="137" t="s">
        <v>129</v>
      </c>
      <c r="J626" s="137" t="s">
        <v>129</v>
      </c>
      <c r="K626" s="137" t="s">
        <v>129</v>
      </c>
      <c r="L626" s="137" t="s">
        <v>129</v>
      </c>
      <c r="M626" s="141"/>
      <c r="N626" s="147"/>
    </row>
    <row r="627" hidden="1" outlineLevel="1">
      <c r="A627" s="255" t="s">
        <v>3808</v>
      </c>
      <c r="B627" s="344">
        <v>46214.0</v>
      </c>
      <c r="C627" s="133" t="str">
        <f t="shared" si="74"/>
        <v>Sat</v>
      </c>
      <c r="D627" s="381">
        <f t="shared" si="75"/>
        <v>1</v>
      </c>
      <c r="E627" s="382" t="s">
        <v>129</v>
      </c>
      <c r="F627" s="137" t="s">
        <v>129</v>
      </c>
      <c r="G627" s="137" t="s">
        <v>129</v>
      </c>
      <c r="H627" s="137" t="s">
        <v>129</v>
      </c>
      <c r="I627" s="137" t="s">
        <v>129</v>
      </c>
      <c r="J627" s="137" t="s">
        <v>129</v>
      </c>
      <c r="K627" s="137" t="s">
        <v>129</v>
      </c>
      <c r="L627" s="137" t="s">
        <v>129</v>
      </c>
      <c r="M627" s="141"/>
      <c r="N627" s="147"/>
    </row>
    <row r="628" hidden="1" outlineLevel="1">
      <c r="A628" s="255" t="s">
        <v>3828</v>
      </c>
      <c r="B628" s="344">
        <v>46214.0</v>
      </c>
      <c r="C628" s="133" t="str">
        <f t="shared" si="74"/>
        <v>Sat</v>
      </c>
      <c r="D628" s="383">
        <f t="shared" si="75"/>
        <v>1</v>
      </c>
      <c r="E628" s="147" t="s">
        <v>129</v>
      </c>
      <c r="F628" s="137" t="s">
        <v>129</v>
      </c>
      <c r="G628" s="137" t="s">
        <v>129</v>
      </c>
      <c r="H628" s="137" t="s">
        <v>129</v>
      </c>
      <c r="I628" s="137" t="s">
        <v>129</v>
      </c>
      <c r="J628" s="137" t="s">
        <v>129</v>
      </c>
      <c r="K628" s="137" t="s">
        <v>129</v>
      </c>
      <c r="L628" s="137" t="s">
        <v>129</v>
      </c>
      <c r="M628" s="141"/>
      <c r="N628" s="147"/>
    </row>
    <row r="629" hidden="1" outlineLevel="1">
      <c r="A629" s="255" t="s">
        <v>3845</v>
      </c>
      <c r="B629" s="344">
        <v>46215.0</v>
      </c>
      <c r="C629" s="133" t="str">
        <f t="shared" si="74"/>
        <v>Sun</v>
      </c>
      <c r="D629" s="381">
        <f t="shared" si="75"/>
        <v>1</v>
      </c>
      <c r="E629" s="382" t="s">
        <v>129</v>
      </c>
      <c r="F629" s="137" t="s">
        <v>129</v>
      </c>
      <c r="G629" s="137" t="s">
        <v>129</v>
      </c>
      <c r="H629" s="137" t="s">
        <v>129</v>
      </c>
      <c r="I629" s="137" t="s">
        <v>129</v>
      </c>
      <c r="J629" s="137" t="s">
        <v>129</v>
      </c>
      <c r="K629" s="137" t="s">
        <v>129</v>
      </c>
      <c r="L629" s="137" t="s">
        <v>129</v>
      </c>
      <c r="M629" s="141"/>
      <c r="N629" s="143"/>
    </row>
    <row r="630" hidden="1" outlineLevel="1">
      <c r="A630" s="255" t="s">
        <v>3853</v>
      </c>
      <c r="B630" s="344">
        <v>46215.0</v>
      </c>
      <c r="C630" s="133" t="str">
        <f t="shared" si="74"/>
        <v>Sun</v>
      </c>
      <c r="D630" s="383">
        <f t="shared" si="75"/>
        <v>1</v>
      </c>
      <c r="E630" s="147" t="s">
        <v>129</v>
      </c>
      <c r="F630" s="137" t="s">
        <v>129</v>
      </c>
      <c r="G630" s="137" t="s">
        <v>129</v>
      </c>
      <c r="H630" s="137" t="s">
        <v>129</v>
      </c>
      <c r="I630" s="137" t="s">
        <v>129</v>
      </c>
      <c r="J630" s="137" t="s">
        <v>129</v>
      </c>
      <c r="K630" s="137" t="s">
        <v>129</v>
      </c>
      <c r="L630" s="137" t="s">
        <v>129</v>
      </c>
      <c r="M630" s="141"/>
      <c r="N630" s="143"/>
    </row>
    <row r="631" ht="15.0" hidden="1" customHeight="1" outlineLevel="1">
      <c r="A631" s="255" t="s">
        <v>3856</v>
      </c>
      <c r="B631" s="344">
        <v>46215.0</v>
      </c>
      <c r="C631" s="133" t="str">
        <f t="shared" si="74"/>
        <v>Sun</v>
      </c>
      <c r="D631" s="381">
        <f t="shared" si="75"/>
        <v>1</v>
      </c>
      <c r="E631" s="382" t="s">
        <v>129</v>
      </c>
      <c r="F631" s="137" t="s">
        <v>129</v>
      </c>
      <c r="G631" s="137" t="s">
        <v>129</v>
      </c>
      <c r="H631" s="137" t="s">
        <v>129</v>
      </c>
      <c r="I631" s="137" t="s">
        <v>129</v>
      </c>
      <c r="J631" s="137" t="s">
        <v>129</v>
      </c>
      <c r="K631" s="137" t="s">
        <v>129</v>
      </c>
      <c r="L631" s="137" t="s">
        <v>129</v>
      </c>
      <c r="M631" s="141"/>
      <c r="N631" s="147"/>
    </row>
    <row r="632" hidden="1" outlineLevel="1">
      <c r="B632" s="189"/>
      <c r="C632" s="191" t="s">
        <v>194</v>
      </c>
      <c r="D632" s="204">
        <f>AVERAGE(D617:D631)</f>
        <v>1</v>
      </c>
      <c r="E632" s="384"/>
      <c r="L632" s="191" t="s">
        <v>194</v>
      </c>
      <c r="M632" s="204">
        <f>SUM(M617:M631)/75*0.1</f>
        <v>0</v>
      </c>
    </row>
    <row r="633" hidden="1" collapsed="1">
      <c r="A633" s="206" t="s">
        <v>1246</v>
      </c>
      <c r="B633" s="207"/>
      <c r="C633" s="207"/>
      <c r="D633" s="385"/>
      <c r="E633" s="109"/>
      <c r="F633" s="109"/>
      <c r="G633" s="110"/>
      <c r="H633" s="110"/>
      <c r="I633" s="110"/>
      <c r="J633" s="110"/>
      <c r="K633" s="110"/>
      <c r="L633" s="110"/>
      <c r="M633" s="111"/>
      <c r="N633" s="113"/>
    </row>
    <row r="634" hidden="1" outlineLevel="1">
      <c r="A634" s="373" t="s">
        <v>98</v>
      </c>
      <c r="B634" s="115" t="s">
        <v>100</v>
      </c>
      <c r="C634" s="115" t="s">
        <v>102</v>
      </c>
      <c r="D634" s="119" t="s">
        <v>103</v>
      </c>
      <c r="E634" s="275" t="s">
        <v>269</v>
      </c>
      <c r="F634" s="275" t="s">
        <v>272</v>
      </c>
      <c r="G634" s="276" t="s">
        <v>328</v>
      </c>
      <c r="H634" s="121" t="s">
        <v>107</v>
      </c>
      <c r="I634" s="121" t="s">
        <v>108</v>
      </c>
      <c r="J634" s="276" t="s">
        <v>329</v>
      </c>
      <c r="K634" s="121" t="s">
        <v>111</v>
      </c>
      <c r="L634" s="276" t="s">
        <v>274</v>
      </c>
      <c r="M634" s="115" t="s">
        <v>114</v>
      </c>
      <c r="N634" s="119" t="s">
        <v>115</v>
      </c>
    </row>
    <row r="635" hidden="1" outlineLevel="1">
      <c r="A635" s="255" t="s">
        <v>3864</v>
      </c>
      <c r="B635" s="344">
        <v>46216.0</v>
      </c>
      <c r="C635" s="133" t="str">
        <f t="shared" ref="C635:C649" si="76">IF(B635="", "", TEXT(B635, "ddd"))</f>
        <v>Mon</v>
      </c>
      <c r="D635" s="381">
        <f t="shared" ref="D635:D649" si="77">IF(E635="Yes",0.05,0)
+IF(F635="Yes",0.1,0)
+IF(G635="Yes",0.15,0)
+IF(H635="Yes",0.15,0)
+IF(I635="Yes",0.05,0)
+IF(J635="Yes",0.05,0)
+IF(K635="Yes",0.15,0)
+IF(L635="Yes",0.3,0)
</f>
        <v>1</v>
      </c>
      <c r="E635" s="382" t="s">
        <v>129</v>
      </c>
      <c r="F635" s="137" t="s">
        <v>129</v>
      </c>
      <c r="G635" s="137" t="s">
        <v>129</v>
      </c>
      <c r="H635" s="137" t="s">
        <v>129</v>
      </c>
      <c r="I635" s="137" t="s">
        <v>129</v>
      </c>
      <c r="J635" s="137" t="s">
        <v>129</v>
      </c>
      <c r="K635" s="137" t="s">
        <v>129</v>
      </c>
      <c r="L635" s="137" t="s">
        <v>129</v>
      </c>
      <c r="M635" s="141"/>
      <c r="N635" s="143"/>
    </row>
    <row r="636" hidden="1" outlineLevel="1">
      <c r="A636" s="255" t="s">
        <v>3868</v>
      </c>
      <c r="B636" s="344">
        <v>46216.0</v>
      </c>
      <c r="C636" s="133" t="str">
        <f t="shared" si="76"/>
        <v>Mon</v>
      </c>
      <c r="D636" s="383">
        <f t="shared" si="77"/>
        <v>1</v>
      </c>
      <c r="E636" s="147" t="s">
        <v>129</v>
      </c>
      <c r="F636" s="137" t="s">
        <v>129</v>
      </c>
      <c r="G636" s="137" t="s">
        <v>129</v>
      </c>
      <c r="H636" s="137" t="s">
        <v>129</v>
      </c>
      <c r="I636" s="137" t="s">
        <v>129</v>
      </c>
      <c r="J636" s="137" t="s">
        <v>129</v>
      </c>
      <c r="K636" s="137" t="s">
        <v>129</v>
      </c>
      <c r="L636" s="137" t="s">
        <v>129</v>
      </c>
      <c r="M636" s="141"/>
      <c r="N636" s="147"/>
    </row>
    <row r="637" hidden="1" outlineLevel="1">
      <c r="A637" s="255" t="s">
        <v>3871</v>
      </c>
      <c r="B637" s="344">
        <v>46216.0</v>
      </c>
      <c r="C637" s="133" t="str">
        <f t="shared" si="76"/>
        <v>Mon</v>
      </c>
      <c r="D637" s="381">
        <f t="shared" si="77"/>
        <v>1</v>
      </c>
      <c r="E637" s="382" t="s">
        <v>129</v>
      </c>
      <c r="F637" s="137" t="s">
        <v>129</v>
      </c>
      <c r="G637" s="137" t="s">
        <v>129</v>
      </c>
      <c r="H637" s="137" t="s">
        <v>129</v>
      </c>
      <c r="I637" s="137" t="s">
        <v>129</v>
      </c>
      <c r="J637" s="137" t="s">
        <v>129</v>
      </c>
      <c r="K637" s="137" t="s">
        <v>129</v>
      </c>
      <c r="L637" s="137" t="s">
        <v>129</v>
      </c>
      <c r="M637" s="141"/>
      <c r="N637" s="147"/>
    </row>
    <row r="638" hidden="1" outlineLevel="1">
      <c r="A638" s="255" t="s">
        <v>3872</v>
      </c>
      <c r="B638" s="344">
        <v>46217.0</v>
      </c>
      <c r="C638" s="133" t="str">
        <f t="shared" si="76"/>
        <v>Tue</v>
      </c>
      <c r="D638" s="383">
        <f t="shared" si="77"/>
        <v>1</v>
      </c>
      <c r="E638" s="147" t="s">
        <v>129</v>
      </c>
      <c r="F638" s="137" t="s">
        <v>129</v>
      </c>
      <c r="G638" s="137" t="s">
        <v>129</v>
      </c>
      <c r="H638" s="137" t="s">
        <v>129</v>
      </c>
      <c r="I638" s="137" t="s">
        <v>129</v>
      </c>
      <c r="J638" s="137" t="s">
        <v>129</v>
      </c>
      <c r="K638" s="137" t="s">
        <v>129</v>
      </c>
      <c r="L638" s="137" t="s">
        <v>129</v>
      </c>
      <c r="M638" s="141"/>
      <c r="N638" s="143"/>
    </row>
    <row r="639" hidden="1" outlineLevel="1">
      <c r="A639" s="255" t="s">
        <v>3875</v>
      </c>
      <c r="B639" s="344">
        <v>46217.0</v>
      </c>
      <c r="C639" s="133" t="str">
        <f t="shared" si="76"/>
        <v>Tue</v>
      </c>
      <c r="D639" s="381">
        <f t="shared" si="77"/>
        <v>1</v>
      </c>
      <c r="E639" s="382" t="s">
        <v>129</v>
      </c>
      <c r="F639" s="137" t="s">
        <v>129</v>
      </c>
      <c r="G639" s="137" t="s">
        <v>129</v>
      </c>
      <c r="H639" s="137" t="s">
        <v>129</v>
      </c>
      <c r="I639" s="137" t="s">
        <v>129</v>
      </c>
      <c r="J639" s="137" t="s">
        <v>129</v>
      </c>
      <c r="K639" s="137" t="s">
        <v>129</v>
      </c>
      <c r="L639" s="137" t="s">
        <v>129</v>
      </c>
      <c r="M639" s="141"/>
      <c r="N639" s="143"/>
    </row>
    <row r="640" hidden="1" outlineLevel="1">
      <c r="A640" s="255" t="s">
        <v>3877</v>
      </c>
      <c r="B640" s="344">
        <v>46217.0</v>
      </c>
      <c r="C640" s="133" t="str">
        <f t="shared" si="76"/>
        <v>Tue</v>
      </c>
      <c r="D640" s="383">
        <f t="shared" si="77"/>
        <v>1</v>
      </c>
      <c r="E640" s="147" t="s">
        <v>129</v>
      </c>
      <c r="F640" s="137" t="s">
        <v>129</v>
      </c>
      <c r="G640" s="137" t="s">
        <v>129</v>
      </c>
      <c r="H640" s="137" t="s">
        <v>129</v>
      </c>
      <c r="I640" s="137" t="s">
        <v>129</v>
      </c>
      <c r="J640" s="137" t="s">
        <v>129</v>
      </c>
      <c r="K640" s="137" t="s">
        <v>129</v>
      </c>
      <c r="L640" s="137" t="s">
        <v>129</v>
      </c>
      <c r="M640" s="141"/>
      <c r="N640" s="143"/>
    </row>
    <row r="641" hidden="1" outlineLevel="1">
      <c r="A641" s="255" t="s">
        <v>3881</v>
      </c>
      <c r="B641" s="344">
        <v>46218.0</v>
      </c>
      <c r="C641" s="133" t="str">
        <f t="shared" si="76"/>
        <v>Wed</v>
      </c>
      <c r="D641" s="381">
        <f t="shared" si="77"/>
        <v>1</v>
      </c>
      <c r="E641" s="382" t="s">
        <v>129</v>
      </c>
      <c r="F641" s="137" t="s">
        <v>129</v>
      </c>
      <c r="G641" s="137" t="s">
        <v>129</v>
      </c>
      <c r="H641" s="137" t="s">
        <v>129</v>
      </c>
      <c r="I641" s="137" t="s">
        <v>129</v>
      </c>
      <c r="J641" s="137" t="s">
        <v>129</v>
      </c>
      <c r="K641" s="137" t="s">
        <v>129</v>
      </c>
      <c r="L641" s="137" t="s">
        <v>129</v>
      </c>
      <c r="M641" s="141"/>
      <c r="N641" s="143"/>
    </row>
    <row r="642" hidden="1" outlineLevel="1">
      <c r="A642" s="255" t="s">
        <v>3884</v>
      </c>
      <c r="B642" s="344">
        <v>46218.0</v>
      </c>
      <c r="C642" s="133" t="str">
        <f t="shared" si="76"/>
        <v>Wed</v>
      </c>
      <c r="D642" s="383">
        <f t="shared" si="77"/>
        <v>1</v>
      </c>
      <c r="E642" s="147" t="s">
        <v>129</v>
      </c>
      <c r="F642" s="137" t="s">
        <v>129</v>
      </c>
      <c r="G642" s="137" t="s">
        <v>129</v>
      </c>
      <c r="H642" s="137" t="s">
        <v>129</v>
      </c>
      <c r="I642" s="137" t="s">
        <v>129</v>
      </c>
      <c r="J642" s="137" t="s">
        <v>129</v>
      </c>
      <c r="K642" s="137" t="s">
        <v>129</v>
      </c>
      <c r="L642" s="137" t="s">
        <v>129</v>
      </c>
      <c r="M642" s="141"/>
      <c r="N642" s="147"/>
    </row>
    <row r="643" hidden="1" outlineLevel="1">
      <c r="A643" s="255" t="s">
        <v>3892</v>
      </c>
      <c r="B643" s="344">
        <v>46218.0</v>
      </c>
      <c r="C643" s="133" t="str">
        <f t="shared" si="76"/>
        <v>Wed</v>
      </c>
      <c r="D643" s="381">
        <f t="shared" si="77"/>
        <v>1</v>
      </c>
      <c r="E643" s="382" t="s">
        <v>129</v>
      </c>
      <c r="F643" s="137" t="s">
        <v>129</v>
      </c>
      <c r="G643" s="137" t="s">
        <v>129</v>
      </c>
      <c r="H643" s="137" t="s">
        <v>129</v>
      </c>
      <c r="I643" s="137" t="s">
        <v>129</v>
      </c>
      <c r="J643" s="137" t="s">
        <v>129</v>
      </c>
      <c r="K643" s="137" t="s">
        <v>129</v>
      </c>
      <c r="L643" s="137" t="s">
        <v>129</v>
      </c>
      <c r="M643" s="141"/>
      <c r="N643" s="143"/>
    </row>
    <row r="644" hidden="1" outlineLevel="1">
      <c r="A644" s="255" t="s">
        <v>3896</v>
      </c>
      <c r="B644" s="344">
        <v>46221.0</v>
      </c>
      <c r="C644" s="133" t="str">
        <f t="shared" si="76"/>
        <v>Sat</v>
      </c>
      <c r="D644" s="383">
        <f t="shared" si="77"/>
        <v>1</v>
      </c>
      <c r="E644" s="147" t="s">
        <v>129</v>
      </c>
      <c r="F644" s="137" t="s">
        <v>129</v>
      </c>
      <c r="G644" s="137" t="s">
        <v>129</v>
      </c>
      <c r="H644" s="137" t="s">
        <v>129</v>
      </c>
      <c r="I644" s="137" t="s">
        <v>129</v>
      </c>
      <c r="J644" s="137" t="s">
        <v>129</v>
      </c>
      <c r="K644" s="137" t="s">
        <v>129</v>
      </c>
      <c r="L644" s="137" t="s">
        <v>129</v>
      </c>
      <c r="M644" s="141"/>
      <c r="N644" s="147"/>
    </row>
    <row r="645" hidden="1" outlineLevel="1">
      <c r="A645" s="255" t="s">
        <v>3898</v>
      </c>
      <c r="B645" s="344">
        <v>46221.0</v>
      </c>
      <c r="C645" s="133" t="str">
        <f t="shared" si="76"/>
        <v>Sat</v>
      </c>
      <c r="D645" s="381">
        <f t="shared" si="77"/>
        <v>1</v>
      </c>
      <c r="E645" s="382" t="s">
        <v>129</v>
      </c>
      <c r="F645" s="137" t="s">
        <v>129</v>
      </c>
      <c r="G645" s="137" t="s">
        <v>129</v>
      </c>
      <c r="H645" s="137" t="s">
        <v>129</v>
      </c>
      <c r="I645" s="137" t="s">
        <v>129</v>
      </c>
      <c r="J645" s="137" t="s">
        <v>129</v>
      </c>
      <c r="K645" s="137" t="s">
        <v>129</v>
      </c>
      <c r="L645" s="137" t="s">
        <v>129</v>
      </c>
      <c r="M645" s="141"/>
      <c r="N645" s="147"/>
    </row>
    <row r="646" hidden="1" outlineLevel="1">
      <c r="A646" s="255" t="s">
        <v>3900</v>
      </c>
      <c r="B646" s="344">
        <v>46221.0</v>
      </c>
      <c r="C646" s="133" t="str">
        <f t="shared" si="76"/>
        <v>Sat</v>
      </c>
      <c r="D646" s="383">
        <f t="shared" si="77"/>
        <v>1</v>
      </c>
      <c r="E646" s="147" t="s">
        <v>129</v>
      </c>
      <c r="F646" s="137" t="s">
        <v>129</v>
      </c>
      <c r="G646" s="137" t="s">
        <v>129</v>
      </c>
      <c r="H646" s="137" t="s">
        <v>129</v>
      </c>
      <c r="I646" s="137" t="s">
        <v>129</v>
      </c>
      <c r="J646" s="137" t="s">
        <v>129</v>
      </c>
      <c r="K646" s="137" t="s">
        <v>129</v>
      </c>
      <c r="L646" s="137" t="s">
        <v>129</v>
      </c>
      <c r="M646" s="141"/>
      <c r="N646" s="147"/>
    </row>
    <row r="647" hidden="1" outlineLevel="1">
      <c r="A647" s="255"/>
      <c r="B647" s="344"/>
      <c r="C647" s="133" t="str">
        <f t="shared" si="76"/>
        <v/>
      </c>
      <c r="D647" s="381">
        <f t="shared" si="77"/>
        <v>0</v>
      </c>
      <c r="E647" s="382"/>
      <c r="F647" s="137"/>
      <c r="G647" s="137"/>
      <c r="H647" s="137"/>
      <c r="I647" s="137"/>
      <c r="J647" s="137"/>
      <c r="K647" s="137"/>
      <c r="L647" s="137"/>
      <c r="M647" s="141"/>
      <c r="N647" s="143"/>
    </row>
    <row r="648" hidden="1" outlineLevel="1">
      <c r="A648" s="255"/>
      <c r="B648" s="344"/>
      <c r="C648" s="133" t="str">
        <f t="shared" si="76"/>
        <v/>
      </c>
      <c r="D648" s="383">
        <f t="shared" si="77"/>
        <v>0</v>
      </c>
      <c r="E648" s="147"/>
      <c r="F648" s="137"/>
      <c r="G648" s="137"/>
      <c r="H648" s="137"/>
      <c r="I648" s="137"/>
      <c r="J648" s="137"/>
      <c r="K648" s="137"/>
      <c r="L648" s="137"/>
      <c r="M648" s="141"/>
      <c r="N648" s="143"/>
    </row>
    <row r="649" ht="15.0" hidden="1" customHeight="1" outlineLevel="1">
      <c r="A649" s="255"/>
      <c r="B649" s="344"/>
      <c r="C649" s="133" t="str">
        <f t="shared" si="76"/>
        <v/>
      </c>
      <c r="D649" s="381">
        <f t="shared" si="77"/>
        <v>0</v>
      </c>
      <c r="E649" s="382"/>
      <c r="F649" s="137"/>
      <c r="G649" s="137"/>
      <c r="H649" s="137"/>
      <c r="I649" s="137"/>
      <c r="J649" s="137"/>
      <c r="K649" s="137"/>
      <c r="L649" s="137"/>
      <c r="M649" s="141"/>
      <c r="N649" s="147"/>
    </row>
    <row r="650" hidden="1" outlineLevel="1">
      <c r="B650" s="189"/>
      <c r="C650" s="191" t="s">
        <v>194</v>
      </c>
      <c r="D650" s="204">
        <f>AVERAGE(D635:D649)</f>
        <v>0.8</v>
      </c>
      <c r="E650" s="384"/>
      <c r="L650" s="191" t="s">
        <v>194</v>
      </c>
      <c r="M650" s="204">
        <f>SUM(M635:M649)/75*0.1</f>
        <v>0</v>
      </c>
    </row>
    <row r="651" collapsed="1">
      <c r="A651" s="206" t="s">
        <v>1270</v>
      </c>
      <c r="B651" s="207"/>
      <c r="C651" s="207"/>
      <c r="D651" s="385"/>
      <c r="E651" s="109"/>
      <c r="F651" s="109"/>
      <c r="G651" s="110"/>
      <c r="H651" s="110"/>
      <c r="I651" s="110"/>
      <c r="J651" s="110"/>
      <c r="K651" s="110"/>
      <c r="L651" s="110"/>
      <c r="M651" s="111"/>
      <c r="N651" s="113"/>
    </row>
    <row r="652" hidden="1" outlineLevel="1">
      <c r="A652" s="373" t="s">
        <v>98</v>
      </c>
      <c r="B652" s="115" t="s">
        <v>100</v>
      </c>
      <c r="C652" s="115" t="s">
        <v>102</v>
      </c>
      <c r="D652" s="119" t="s">
        <v>103</v>
      </c>
      <c r="E652" s="275" t="s">
        <v>269</v>
      </c>
      <c r="F652" s="275" t="s">
        <v>272</v>
      </c>
      <c r="G652" s="276" t="s">
        <v>328</v>
      </c>
      <c r="H652" s="121" t="s">
        <v>107</v>
      </c>
      <c r="I652" s="121" t="s">
        <v>108</v>
      </c>
      <c r="J652" s="276" t="s">
        <v>329</v>
      </c>
      <c r="K652" s="121" t="s">
        <v>111</v>
      </c>
      <c r="L652" s="276" t="s">
        <v>274</v>
      </c>
      <c r="M652" s="115" t="s">
        <v>114</v>
      </c>
      <c r="N652" s="119" t="s">
        <v>115</v>
      </c>
    </row>
    <row r="653" hidden="1" outlineLevel="1">
      <c r="A653" s="303" t="s">
        <v>3909</v>
      </c>
      <c r="B653" s="344">
        <v>46223.0</v>
      </c>
      <c r="C653" s="133" t="str">
        <f t="shared" ref="C653:C667" si="78">IF(B653="", "", TEXT(B653, "ddd"))</f>
        <v>Mon</v>
      </c>
      <c r="D653" s="381">
        <f t="shared" ref="D653:D667" si="79">IF(E653="Yes",0.05,0)
+IF(F653="Yes",0.1,0)
+IF(G653="Yes",0.15,0)
+IF(H653="Yes",0.15,0)
+IF(I653="Yes",0.05,0)
+IF(J653="Yes",0.05,0)
+IF(K653="Yes",0.15,0)
+IF(L653="Yes",0.3,0)
</f>
        <v>1</v>
      </c>
      <c r="E653" s="382" t="s">
        <v>129</v>
      </c>
      <c r="F653" s="137" t="s">
        <v>129</v>
      </c>
      <c r="G653" s="137" t="s">
        <v>129</v>
      </c>
      <c r="H653" s="137" t="s">
        <v>129</v>
      </c>
      <c r="I653" s="137" t="s">
        <v>129</v>
      </c>
      <c r="J653" s="137" t="s">
        <v>129</v>
      </c>
      <c r="K653" s="137" t="s">
        <v>129</v>
      </c>
      <c r="L653" s="137" t="s">
        <v>129</v>
      </c>
      <c r="M653" s="141"/>
      <c r="N653" s="143"/>
    </row>
    <row r="654" hidden="1" outlineLevel="1">
      <c r="A654" s="303" t="s">
        <v>3915</v>
      </c>
      <c r="B654" s="344">
        <v>46223.0</v>
      </c>
      <c r="C654" s="133" t="str">
        <f t="shared" si="78"/>
        <v>Mon</v>
      </c>
      <c r="D654" s="383">
        <f t="shared" si="79"/>
        <v>1</v>
      </c>
      <c r="E654" s="147" t="s">
        <v>129</v>
      </c>
      <c r="F654" s="137" t="s">
        <v>129</v>
      </c>
      <c r="G654" s="137" t="s">
        <v>129</v>
      </c>
      <c r="H654" s="137" t="s">
        <v>129</v>
      </c>
      <c r="I654" s="137" t="s">
        <v>129</v>
      </c>
      <c r="J654" s="137" t="s">
        <v>129</v>
      </c>
      <c r="K654" s="137" t="s">
        <v>129</v>
      </c>
      <c r="L654" s="137" t="s">
        <v>129</v>
      </c>
      <c r="M654" s="141"/>
      <c r="N654" s="147"/>
    </row>
    <row r="655" hidden="1" outlineLevel="1">
      <c r="A655" s="303" t="s">
        <v>3917</v>
      </c>
      <c r="B655" s="344">
        <v>46223.0</v>
      </c>
      <c r="C655" s="133" t="str">
        <f t="shared" si="78"/>
        <v>Mon</v>
      </c>
      <c r="D655" s="381">
        <f t="shared" si="79"/>
        <v>1</v>
      </c>
      <c r="E655" s="382" t="s">
        <v>129</v>
      </c>
      <c r="F655" s="137" t="s">
        <v>129</v>
      </c>
      <c r="G655" s="137" t="s">
        <v>129</v>
      </c>
      <c r="H655" s="137" t="s">
        <v>129</v>
      </c>
      <c r="I655" s="137" t="s">
        <v>129</v>
      </c>
      <c r="J655" s="137" t="s">
        <v>129</v>
      </c>
      <c r="K655" s="137" t="s">
        <v>129</v>
      </c>
      <c r="L655" s="137" t="s">
        <v>129</v>
      </c>
      <c r="M655" s="141"/>
      <c r="N655" s="147"/>
    </row>
    <row r="656" hidden="1" outlineLevel="1">
      <c r="A656" s="303" t="s">
        <v>3920</v>
      </c>
      <c r="B656" s="344">
        <v>46224.0</v>
      </c>
      <c r="C656" s="133" t="str">
        <f t="shared" si="78"/>
        <v>Tue</v>
      </c>
      <c r="D656" s="383">
        <f t="shared" si="79"/>
        <v>1</v>
      </c>
      <c r="E656" s="147" t="s">
        <v>129</v>
      </c>
      <c r="F656" s="137" t="s">
        <v>129</v>
      </c>
      <c r="G656" s="137" t="s">
        <v>129</v>
      </c>
      <c r="H656" s="137" t="s">
        <v>129</v>
      </c>
      <c r="I656" s="137" t="s">
        <v>129</v>
      </c>
      <c r="J656" s="137" t="s">
        <v>129</v>
      </c>
      <c r="K656" s="137" t="s">
        <v>129</v>
      </c>
      <c r="L656" s="137" t="s">
        <v>129</v>
      </c>
      <c r="M656" s="141"/>
      <c r="N656" s="143"/>
    </row>
    <row r="657" hidden="1" outlineLevel="1">
      <c r="A657" s="303" t="s">
        <v>3923</v>
      </c>
      <c r="B657" s="344">
        <v>46224.0</v>
      </c>
      <c r="C657" s="133" t="str">
        <f t="shared" si="78"/>
        <v>Tue</v>
      </c>
      <c r="D657" s="381">
        <f t="shared" si="79"/>
        <v>1</v>
      </c>
      <c r="E657" s="382" t="s">
        <v>129</v>
      </c>
      <c r="F657" s="137" t="s">
        <v>129</v>
      </c>
      <c r="G657" s="137" t="s">
        <v>129</v>
      </c>
      <c r="H657" s="137" t="s">
        <v>129</v>
      </c>
      <c r="I657" s="137" t="s">
        <v>129</v>
      </c>
      <c r="J657" s="137" t="s">
        <v>129</v>
      </c>
      <c r="K657" s="137" t="s">
        <v>129</v>
      </c>
      <c r="L657" s="137" t="s">
        <v>129</v>
      </c>
      <c r="M657" s="141"/>
      <c r="N657" s="143"/>
    </row>
    <row r="658" hidden="1" outlineLevel="1">
      <c r="A658" s="303" t="s">
        <v>3925</v>
      </c>
      <c r="B658" s="344">
        <v>46224.0</v>
      </c>
      <c r="C658" s="133" t="str">
        <f t="shared" si="78"/>
        <v>Tue</v>
      </c>
      <c r="D658" s="383">
        <f t="shared" si="79"/>
        <v>1</v>
      </c>
      <c r="E658" s="147" t="s">
        <v>129</v>
      </c>
      <c r="F658" s="137" t="s">
        <v>129</v>
      </c>
      <c r="G658" s="137" t="s">
        <v>129</v>
      </c>
      <c r="H658" s="137" t="s">
        <v>129</v>
      </c>
      <c r="I658" s="137" t="s">
        <v>129</v>
      </c>
      <c r="J658" s="137" t="s">
        <v>129</v>
      </c>
      <c r="K658" s="137" t="s">
        <v>129</v>
      </c>
      <c r="L658" s="137" t="s">
        <v>129</v>
      </c>
      <c r="M658" s="141"/>
      <c r="N658" s="143"/>
    </row>
    <row r="659" hidden="1" outlineLevel="1">
      <c r="A659" s="303" t="s">
        <v>3928</v>
      </c>
      <c r="B659" s="344">
        <v>46225.0</v>
      </c>
      <c r="C659" s="133" t="str">
        <f t="shared" si="78"/>
        <v>Wed</v>
      </c>
      <c r="D659" s="381">
        <f t="shared" si="79"/>
        <v>1</v>
      </c>
      <c r="E659" s="382" t="s">
        <v>129</v>
      </c>
      <c r="F659" s="137" t="s">
        <v>129</v>
      </c>
      <c r="G659" s="137" t="s">
        <v>129</v>
      </c>
      <c r="H659" s="137" t="s">
        <v>129</v>
      </c>
      <c r="I659" s="137" t="s">
        <v>129</v>
      </c>
      <c r="J659" s="137" t="s">
        <v>129</v>
      </c>
      <c r="K659" s="137" t="s">
        <v>129</v>
      </c>
      <c r="L659" s="137" t="s">
        <v>129</v>
      </c>
      <c r="M659" s="141"/>
      <c r="N659" s="143"/>
    </row>
    <row r="660" hidden="1" outlineLevel="1">
      <c r="A660" s="303" t="s">
        <v>3930</v>
      </c>
      <c r="B660" s="344">
        <v>46225.0</v>
      </c>
      <c r="C660" s="133" t="str">
        <f t="shared" si="78"/>
        <v>Wed</v>
      </c>
      <c r="D660" s="383">
        <f t="shared" si="79"/>
        <v>1</v>
      </c>
      <c r="E660" s="147" t="s">
        <v>129</v>
      </c>
      <c r="F660" s="137" t="s">
        <v>129</v>
      </c>
      <c r="G660" s="137" t="s">
        <v>129</v>
      </c>
      <c r="H660" s="137" t="s">
        <v>129</v>
      </c>
      <c r="I660" s="137" t="s">
        <v>129</v>
      </c>
      <c r="J660" s="137" t="s">
        <v>129</v>
      </c>
      <c r="K660" s="137" t="s">
        <v>129</v>
      </c>
      <c r="L660" s="137" t="s">
        <v>129</v>
      </c>
      <c r="M660" s="141"/>
      <c r="N660" s="147"/>
    </row>
    <row r="661" hidden="1" outlineLevel="1">
      <c r="A661" s="303" t="s">
        <v>3932</v>
      </c>
      <c r="B661" s="344">
        <v>46225.0</v>
      </c>
      <c r="C661" s="133" t="str">
        <f t="shared" si="78"/>
        <v>Wed</v>
      </c>
      <c r="D661" s="381">
        <f t="shared" si="79"/>
        <v>1</v>
      </c>
      <c r="E661" s="382" t="s">
        <v>129</v>
      </c>
      <c r="F661" s="137" t="s">
        <v>129</v>
      </c>
      <c r="G661" s="137" t="s">
        <v>129</v>
      </c>
      <c r="H661" s="137" t="s">
        <v>129</v>
      </c>
      <c r="I661" s="137" t="s">
        <v>129</v>
      </c>
      <c r="J661" s="137" t="s">
        <v>129</v>
      </c>
      <c r="K661" s="137" t="s">
        <v>129</v>
      </c>
      <c r="L661" s="137" t="s">
        <v>129</v>
      </c>
      <c r="M661" s="141"/>
      <c r="N661" s="143"/>
    </row>
    <row r="662" hidden="1" outlineLevel="1">
      <c r="A662" s="255" t="s">
        <v>3934</v>
      </c>
      <c r="B662" s="344">
        <v>46228.0</v>
      </c>
      <c r="C662" s="133" t="str">
        <f t="shared" si="78"/>
        <v>Sat</v>
      </c>
      <c r="D662" s="383">
        <f t="shared" si="79"/>
        <v>1</v>
      </c>
      <c r="E662" s="147" t="s">
        <v>129</v>
      </c>
      <c r="F662" s="137" t="s">
        <v>129</v>
      </c>
      <c r="G662" s="137" t="s">
        <v>129</v>
      </c>
      <c r="H662" s="137" t="s">
        <v>129</v>
      </c>
      <c r="I662" s="137" t="s">
        <v>129</v>
      </c>
      <c r="J662" s="137" t="s">
        <v>129</v>
      </c>
      <c r="K662" s="137" t="s">
        <v>129</v>
      </c>
      <c r="L662" s="137" t="s">
        <v>129</v>
      </c>
      <c r="M662" s="141"/>
      <c r="N662" s="147"/>
    </row>
    <row r="663" hidden="1" outlineLevel="1">
      <c r="A663" s="255" t="s">
        <v>3937</v>
      </c>
      <c r="B663" s="344">
        <v>46228.0</v>
      </c>
      <c r="C663" s="133" t="str">
        <f t="shared" si="78"/>
        <v>Sat</v>
      </c>
      <c r="D663" s="381">
        <f t="shared" si="79"/>
        <v>1</v>
      </c>
      <c r="E663" s="382" t="s">
        <v>129</v>
      </c>
      <c r="F663" s="137" t="s">
        <v>129</v>
      </c>
      <c r="G663" s="137" t="s">
        <v>129</v>
      </c>
      <c r="H663" s="137" t="s">
        <v>129</v>
      </c>
      <c r="I663" s="137" t="s">
        <v>129</v>
      </c>
      <c r="J663" s="137" t="s">
        <v>129</v>
      </c>
      <c r="K663" s="137" t="s">
        <v>129</v>
      </c>
      <c r="L663" s="137" t="s">
        <v>129</v>
      </c>
      <c r="M663" s="141"/>
      <c r="N663" s="147"/>
    </row>
    <row r="664" hidden="1" outlineLevel="1">
      <c r="A664" s="255" t="s">
        <v>3940</v>
      </c>
      <c r="B664" s="344">
        <v>46228.0</v>
      </c>
      <c r="C664" s="133" t="str">
        <f t="shared" si="78"/>
        <v>Sat</v>
      </c>
      <c r="D664" s="383">
        <f t="shared" si="79"/>
        <v>1</v>
      </c>
      <c r="E664" s="147" t="s">
        <v>129</v>
      </c>
      <c r="F664" s="137" t="s">
        <v>129</v>
      </c>
      <c r="G664" s="137" t="s">
        <v>129</v>
      </c>
      <c r="H664" s="137" t="s">
        <v>129</v>
      </c>
      <c r="I664" s="137" t="s">
        <v>129</v>
      </c>
      <c r="J664" s="137" t="s">
        <v>129</v>
      </c>
      <c r="K664" s="137" t="s">
        <v>129</v>
      </c>
      <c r="L664" s="137" t="s">
        <v>129</v>
      </c>
      <c r="M664" s="141"/>
      <c r="N664" s="147"/>
    </row>
    <row r="665" hidden="1" outlineLevel="1">
      <c r="A665" s="255" t="s">
        <v>3944</v>
      </c>
      <c r="B665" s="344">
        <v>46229.0</v>
      </c>
      <c r="C665" s="133" t="str">
        <f t="shared" si="78"/>
        <v>Sun</v>
      </c>
      <c r="D665" s="381">
        <f t="shared" si="79"/>
        <v>1</v>
      </c>
      <c r="E665" s="382" t="s">
        <v>129</v>
      </c>
      <c r="F665" s="137" t="s">
        <v>129</v>
      </c>
      <c r="G665" s="137" t="s">
        <v>129</v>
      </c>
      <c r="H665" s="137" t="s">
        <v>129</v>
      </c>
      <c r="I665" s="137" t="s">
        <v>129</v>
      </c>
      <c r="J665" s="137" t="s">
        <v>129</v>
      </c>
      <c r="K665" s="137" t="s">
        <v>129</v>
      </c>
      <c r="L665" s="137" t="s">
        <v>129</v>
      </c>
      <c r="M665" s="141"/>
      <c r="N665" s="143"/>
    </row>
    <row r="666" hidden="1" outlineLevel="1">
      <c r="A666" s="255" t="s">
        <v>3947</v>
      </c>
      <c r="B666" s="344">
        <v>46229.0</v>
      </c>
      <c r="C666" s="133" t="str">
        <f t="shared" si="78"/>
        <v>Sun</v>
      </c>
      <c r="D666" s="383">
        <f t="shared" si="79"/>
        <v>1</v>
      </c>
      <c r="E666" s="147" t="s">
        <v>129</v>
      </c>
      <c r="F666" s="137" t="s">
        <v>129</v>
      </c>
      <c r="G666" s="137" t="s">
        <v>129</v>
      </c>
      <c r="H666" s="137" t="s">
        <v>129</v>
      </c>
      <c r="I666" s="137" t="s">
        <v>129</v>
      </c>
      <c r="J666" s="137" t="s">
        <v>129</v>
      </c>
      <c r="K666" s="137" t="s">
        <v>129</v>
      </c>
      <c r="L666" s="137" t="s">
        <v>129</v>
      </c>
      <c r="M666" s="141"/>
      <c r="N666" s="143"/>
    </row>
    <row r="667" ht="15.0" hidden="1" customHeight="1" outlineLevel="1">
      <c r="A667" s="255" t="s">
        <v>3950</v>
      </c>
      <c r="B667" s="344">
        <v>46229.0</v>
      </c>
      <c r="C667" s="133" t="str">
        <f t="shared" si="78"/>
        <v>Sun</v>
      </c>
      <c r="D667" s="381">
        <f t="shared" si="79"/>
        <v>1</v>
      </c>
      <c r="E667" s="382" t="s">
        <v>129</v>
      </c>
      <c r="F667" s="137" t="s">
        <v>129</v>
      </c>
      <c r="G667" s="137" t="s">
        <v>129</v>
      </c>
      <c r="H667" s="137" t="s">
        <v>129</v>
      </c>
      <c r="I667" s="137" t="s">
        <v>129</v>
      </c>
      <c r="J667" s="137" t="s">
        <v>129</v>
      </c>
      <c r="K667" s="137" t="s">
        <v>129</v>
      </c>
      <c r="L667" s="137" t="s">
        <v>129</v>
      </c>
      <c r="M667" s="141"/>
      <c r="N667" s="147"/>
    </row>
    <row r="668" hidden="1" outlineLevel="1">
      <c r="B668" s="189"/>
      <c r="C668" s="191" t="s">
        <v>194</v>
      </c>
      <c r="D668" s="204">
        <f>AVERAGE(D653:D667)</f>
        <v>1</v>
      </c>
      <c r="E668" s="384"/>
      <c r="L668" s="191" t="s">
        <v>194</v>
      </c>
      <c r="M668" s="204">
        <f>SUM(M653:M667)/75*0.1</f>
        <v>0</v>
      </c>
    </row>
    <row r="669" collapsed="1">
      <c r="A669" s="206" t="s">
        <v>1294</v>
      </c>
      <c r="B669" s="207"/>
      <c r="C669" s="207"/>
      <c r="D669" s="385"/>
      <c r="E669" s="109"/>
      <c r="F669" s="109"/>
      <c r="G669" s="110"/>
      <c r="H669" s="110"/>
      <c r="I669" s="110"/>
      <c r="J669" s="110"/>
      <c r="K669" s="110"/>
      <c r="L669" s="110"/>
      <c r="M669" s="111"/>
      <c r="N669" s="113"/>
    </row>
    <row r="670" hidden="1" outlineLevel="1">
      <c r="A670" s="373" t="s">
        <v>98</v>
      </c>
      <c r="B670" s="115" t="s">
        <v>100</v>
      </c>
      <c r="C670" s="115" t="s">
        <v>102</v>
      </c>
      <c r="D670" s="119" t="s">
        <v>103</v>
      </c>
      <c r="E670" s="275" t="s">
        <v>269</v>
      </c>
      <c r="F670" s="275" t="s">
        <v>272</v>
      </c>
      <c r="G670" s="276" t="s">
        <v>328</v>
      </c>
      <c r="H670" s="121" t="s">
        <v>107</v>
      </c>
      <c r="I670" s="121" t="s">
        <v>108</v>
      </c>
      <c r="J670" s="276" t="s">
        <v>329</v>
      </c>
      <c r="K670" s="121" t="s">
        <v>111</v>
      </c>
      <c r="L670" s="276" t="s">
        <v>274</v>
      </c>
      <c r="M670" s="115" t="s">
        <v>114</v>
      </c>
      <c r="N670" s="119" t="s">
        <v>115</v>
      </c>
    </row>
    <row r="671" hidden="1" outlineLevel="1">
      <c r="A671" s="255" t="s">
        <v>3955</v>
      </c>
      <c r="B671" s="420">
        <v>46230.0</v>
      </c>
      <c r="C671" s="133" t="str">
        <f t="shared" ref="C671:C685" si="80">IF(B671="", "", TEXT(B671, "ddd"))</f>
        <v>Mon</v>
      </c>
      <c r="D671" s="381">
        <f t="shared" ref="D671:D685" si="81">IF(E671="Yes",0.05,0)
+IF(F671="Yes",0.1,0)
+IF(G671="Yes",0.15,0)
+IF(H671="Yes",0.15,0)
+IF(I671="Yes",0.05,0)
+IF(J671="Yes",0.05,0)
+IF(K671="Yes",0.15,0)
+IF(L671="Yes",0.3,0)
</f>
        <v>1</v>
      </c>
      <c r="E671" s="382" t="s">
        <v>129</v>
      </c>
      <c r="F671" s="137" t="s">
        <v>129</v>
      </c>
      <c r="G671" s="137" t="s">
        <v>129</v>
      </c>
      <c r="H671" s="137" t="s">
        <v>129</v>
      </c>
      <c r="I671" s="137" t="s">
        <v>129</v>
      </c>
      <c r="J671" s="137" t="s">
        <v>129</v>
      </c>
      <c r="K671" s="137" t="s">
        <v>129</v>
      </c>
      <c r="L671" s="137" t="s">
        <v>129</v>
      </c>
      <c r="M671" s="141"/>
      <c r="N671" s="143"/>
    </row>
    <row r="672" hidden="1" outlineLevel="1">
      <c r="A672" s="255" t="s">
        <v>3963</v>
      </c>
      <c r="B672" s="420">
        <v>46230.0</v>
      </c>
      <c r="C672" s="133" t="str">
        <f t="shared" si="80"/>
        <v>Mon</v>
      </c>
      <c r="D672" s="383">
        <f t="shared" si="81"/>
        <v>1</v>
      </c>
      <c r="E672" s="147" t="s">
        <v>129</v>
      </c>
      <c r="F672" s="137" t="s">
        <v>129</v>
      </c>
      <c r="G672" s="137" t="s">
        <v>129</v>
      </c>
      <c r="H672" s="137" t="s">
        <v>129</v>
      </c>
      <c r="I672" s="137" t="s">
        <v>129</v>
      </c>
      <c r="J672" s="137" t="s">
        <v>129</v>
      </c>
      <c r="K672" s="137" t="s">
        <v>129</v>
      </c>
      <c r="L672" s="137" t="s">
        <v>129</v>
      </c>
      <c r="M672" s="141"/>
      <c r="N672" s="147"/>
    </row>
    <row r="673" hidden="1" outlineLevel="1">
      <c r="A673" s="255" t="s">
        <v>3967</v>
      </c>
      <c r="B673" s="420">
        <v>46230.0</v>
      </c>
      <c r="C673" s="133" t="str">
        <f t="shared" si="80"/>
        <v>Mon</v>
      </c>
      <c r="D673" s="381">
        <f t="shared" si="81"/>
        <v>1</v>
      </c>
      <c r="E673" s="382" t="s">
        <v>129</v>
      </c>
      <c r="F673" s="137" t="s">
        <v>129</v>
      </c>
      <c r="G673" s="137" t="s">
        <v>129</v>
      </c>
      <c r="H673" s="137" t="s">
        <v>129</v>
      </c>
      <c r="I673" s="137" t="s">
        <v>129</v>
      </c>
      <c r="J673" s="137" t="s">
        <v>129</v>
      </c>
      <c r="K673" s="137" t="s">
        <v>129</v>
      </c>
      <c r="L673" s="137" t="s">
        <v>129</v>
      </c>
      <c r="M673" s="141"/>
      <c r="N673" s="147"/>
    </row>
    <row r="674" hidden="1" outlineLevel="1">
      <c r="A674" s="303" t="s">
        <v>3970</v>
      </c>
      <c r="B674" s="420">
        <v>46231.0</v>
      </c>
      <c r="C674" s="133" t="str">
        <f t="shared" si="80"/>
        <v>Tue</v>
      </c>
      <c r="D674" s="383">
        <f t="shared" si="81"/>
        <v>1</v>
      </c>
      <c r="E674" s="147" t="s">
        <v>129</v>
      </c>
      <c r="F674" s="137" t="s">
        <v>129</v>
      </c>
      <c r="G674" s="137" t="s">
        <v>129</v>
      </c>
      <c r="H674" s="137" t="s">
        <v>129</v>
      </c>
      <c r="I674" s="137" t="s">
        <v>129</v>
      </c>
      <c r="J674" s="137" t="s">
        <v>129</v>
      </c>
      <c r="K674" s="137" t="s">
        <v>129</v>
      </c>
      <c r="L674" s="137" t="s">
        <v>129</v>
      </c>
      <c r="M674" s="141"/>
      <c r="N674" s="143"/>
    </row>
    <row r="675" hidden="1" outlineLevel="1">
      <c r="A675" s="303" t="s">
        <v>3971</v>
      </c>
      <c r="B675" s="420">
        <v>46231.0</v>
      </c>
      <c r="C675" s="133" t="str">
        <f t="shared" si="80"/>
        <v>Tue</v>
      </c>
      <c r="D675" s="381">
        <f t="shared" si="81"/>
        <v>1</v>
      </c>
      <c r="E675" s="382" t="s">
        <v>129</v>
      </c>
      <c r="F675" s="137" t="s">
        <v>129</v>
      </c>
      <c r="G675" s="137" t="s">
        <v>129</v>
      </c>
      <c r="H675" s="137" t="s">
        <v>129</v>
      </c>
      <c r="I675" s="137" t="s">
        <v>129</v>
      </c>
      <c r="J675" s="137" t="s">
        <v>129</v>
      </c>
      <c r="K675" s="137" t="s">
        <v>129</v>
      </c>
      <c r="L675" s="137" t="s">
        <v>129</v>
      </c>
      <c r="M675" s="141"/>
      <c r="N675" s="143"/>
    </row>
    <row r="676" hidden="1" outlineLevel="1">
      <c r="A676" s="303" t="s">
        <v>3972</v>
      </c>
      <c r="B676" s="420">
        <v>46231.0</v>
      </c>
      <c r="C676" s="133" t="str">
        <f t="shared" si="80"/>
        <v>Tue</v>
      </c>
      <c r="D676" s="383">
        <f t="shared" si="81"/>
        <v>1</v>
      </c>
      <c r="E676" s="147" t="s">
        <v>129</v>
      </c>
      <c r="F676" s="137" t="s">
        <v>129</v>
      </c>
      <c r="G676" s="137" t="s">
        <v>129</v>
      </c>
      <c r="H676" s="137" t="s">
        <v>129</v>
      </c>
      <c r="I676" s="137" t="s">
        <v>129</v>
      </c>
      <c r="J676" s="137" t="s">
        <v>129</v>
      </c>
      <c r="K676" s="137" t="s">
        <v>129</v>
      </c>
      <c r="L676" s="137" t="s">
        <v>129</v>
      </c>
      <c r="M676" s="141"/>
      <c r="N676" s="143"/>
    </row>
    <row r="677" hidden="1" outlineLevel="1">
      <c r="A677" s="303" t="s">
        <v>3973</v>
      </c>
      <c r="B677" s="420">
        <v>46232.0</v>
      </c>
      <c r="C677" s="133" t="str">
        <f t="shared" si="80"/>
        <v>Wed</v>
      </c>
      <c r="D677" s="381">
        <f t="shared" si="81"/>
        <v>1</v>
      </c>
      <c r="E677" s="382" t="s">
        <v>129</v>
      </c>
      <c r="F677" s="137" t="s">
        <v>129</v>
      </c>
      <c r="G677" s="137" t="s">
        <v>129</v>
      </c>
      <c r="H677" s="137" t="s">
        <v>129</v>
      </c>
      <c r="I677" s="137" t="s">
        <v>129</v>
      </c>
      <c r="J677" s="137" t="s">
        <v>129</v>
      </c>
      <c r="K677" s="137" t="s">
        <v>129</v>
      </c>
      <c r="L677" s="137" t="s">
        <v>129</v>
      </c>
      <c r="M677" s="141"/>
      <c r="N677" s="143"/>
    </row>
    <row r="678" hidden="1" outlineLevel="1">
      <c r="A678" s="303" t="s">
        <v>3975</v>
      </c>
      <c r="B678" s="420">
        <v>46232.0</v>
      </c>
      <c r="C678" s="133" t="str">
        <f t="shared" si="80"/>
        <v>Wed</v>
      </c>
      <c r="D678" s="383">
        <f t="shared" si="81"/>
        <v>1</v>
      </c>
      <c r="E678" s="147" t="s">
        <v>129</v>
      </c>
      <c r="F678" s="137" t="s">
        <v>129</v>
      </c>
      <c r="G678" s="137" t="s">
        <v>129</v>
      </c>
      <c r="H678" s="137" t="s">
        <v>129</v>
      </c>
      <c r="I678" s="137" t="s">
        <v>129</v>
      </c>
      <c r="J678" s="137" t="s">
        <v>129</v>
      </c>
      <c r="K678" s="137" t="s">
        <v>129</v>
      </c>
      <c r="L678" s="137" t="s">
        <v>129</v>
      </c>
      <c r="M678" s="141"/>
      <c r="N678" s="147"/>
    </row>
    <row r="679" hidden="1" outlineLevel="1">
      <c r="A679" s="303" t="s">
        <v>3977</v>
      </c>
      <c r="B679" s="420">
        <v>46232.0</v>
      </c>
      <c r="C679" s="133" t="str">
        <f t="shared" si="80"/>
        <v>Wed</v>
      </c>
      <c r="D679" s="381">
        <f t="shared" si="81"/>
        <v>1</v>
      </c>
      <c r="E679" s="382" t="s">
        <v>129</v>
      </c>
      <c r="F679" s="137" t="s">
        <v>129</v>
      </c>
      <c r="G679" s="137" t="s">
        <v>129</v>
      </c>
      <c r="H679" s="137" t="s">
        <v>129</v>
      </c>
      <c r="I679" s="137" t="s">
        <v>129</v>
      </c>
      <c r="J679" s="137" t="s">
        <v>129</v>
      </c>
      <c r="K679" s="137" t="s">
        <v>129</v>
      </c>
      <c r="L679" s="137" t="s">
        <v>129</v>
      </c>
      <c r="M679" s="141"/>
      <c r="N679" s="143"/>
    </row>
    <row r="680" hidden="1" outlineLevel="1">
      <c r="A680" s="303" t="s">
        <v>3978</v>
      </c>
      <c r="B680" s="420">
        <v>46235.0</v>
      </c>
      <c r="C680" s="133" t="str">
        <f t="shared" si="80"/>
        <v>Sat</v>
      </c>
      <c r="D680" s="383">
        <f t="shared" si="81"/>
        <v>1</v>
      </c>
      <c r="E680" s="147" t="s">
        <v>129</v>
      </c>
      <c r="F680" s="137" t="s">
        <v>129</v>
      </c>
      <c r="G680" s="137" t="s">
        <v>129</v>
      </c>
      <c r="H680" s="137" t="s">
        <v>129</v>
      </c>
      <c r="I680" s="137" t="s">
        <v>129</v>
      </c>
      <c r="J680" s="137" t="s">
        <v>129</v>
      </c>
      <c r="K680" s="137" t="s">
        <v>129</v>
      </c>
      <c r="L680" s="137" t="s">
        <v>129</v>
      </c>
      <c r="M680" s="141"/>
      <c r="N680" s="143"/>
    </row>
    <row r="681" hidden="1" outlineLevel="1">
      <c r="A681" s="303" t="s">
        <v>3982</v>
      </c>
      <c r="B681" s="420">
        <v>46235.0</v>
      </c>
      <c r="C681" s="133" t="str">
        <f t="shared" si="80"/>
        <v>Sat</v>
      </c>
      <c r="D681" s="381">
        <f t="shared" si="81"/>
        <v>1</v>
      </c>
      <c r="E681" s="382" t="s">
        <v>129</v>
      </c>
      <c r="F681" s="137" t="s">
        <v>129</v>
      </c>
      <c r="G681" s="137" t="s">
        <v>129</v>
      </c>
      <c r="H681" s="137" t="s">
        <v>129</v>
      </c>
      <c r="I681" s="137" t="s">
        <v>129</v>
      </c>
      <c r="J681" s="137" t="s">
        <v>129</v>
      </c>
      <c r="K681" s="137" t="s">
        <v>129</v>
      </c>
      <c r="L681" s="137" t="s">
        <v>129</v>
      </c>
      <c r="M681" s="141"/>
      <c r="N681" s="143"/>
    </row>
    <row r="682" hidden="1" outlineLevel="1">
      <c r="A682" s="303" t="s">
        <v>3984</v>
      </c>
      <c r="B682" s="420">
        <v>46235.0</v>
      </c>
      <c r="C682" s="133" t="str">
        <f t="shared" si="80"/>
        <v>Sat</v>
      </c>
      <c r="D682" s="383">
        <f t="shared" si="81"/>
        <v>1</v>
      </c>
      <c r="E682" s="147" t="s">
        <v>129</v>
      </c>
      <c r="F682" s="137" t="s">
        <v>129</v>
      </c>
      <c r="G682" s="137" t="s">
        <v>129</v>
      </c>
      <c r="H682" s="137" t="s">
        <v>129</v>
      </c>
      <c r="I682" s="137" t="s">
        <v>129</v>
      </c>
      <c r="J682" s="137" t="s">
        <v>129</v>
      </c>
      <c r="K682" s="137" t="s">
        <v>129</v>
      </c>
      <c r="L682" s="137" t="s">
        <v>129</v>
      </c>
      <c r="M682" s="141"/>
      <c r="N682" s="143"/>
    </row>
    <row r="683" hidden="1" outlineLevel="1">
      <c r="A683" s="303" t="s">
        <v>3987</v>
      </c>
      <c r="B683" s="418"/>
      <c r="C683" s="133" t="str">
        <f t="shared" si="80"/>
        <v/>
      </c>
      <c r="D683" s="381">
        <f t="shared" si="81"/>
        <v>0</v>
      </c>
      <c r="E683" s="382"/>
      <c r="F683" s="137"/>
      <c r="G683" s="137"/>
      <c r="H683" s="137"/>
      <c r="I683" s="137"/>
      <c r="J683" s="137"/>
      <c r="K683" s="137"/>
      <c r="L683" s="137"/>
      <c r="M683" s="141"/>
      <c r="N683" s="143"/>
    </row>
    <row r="684" hidden="1" outlineLevel="1">
      <c r="A684" s="303" t="s">
        <v>3990</v>
      </c>
      <c r="B684" s="418"/>
      <c r="C684" s="133" t="str">
        <f t="shared" si="80"/>
        <v/>
      </c>
      <c r="D684" s="383">
        <f t="shared" si="81"/>
        <v>0</v>
      </c>
      <c r="E684" s="147"/>
      <c r="F684" s="137"/>
      <c r="G684" s="137"/>
      <c r="H684" s="137"/>
      <c r="I684" s="137"/>
      <c r="J684" s="137"/>
      <c r="K684" s="137"/>
      <c r="L684" s="137"/>
      <c r="M684" s="141"/>
      <c r="N684" s="143"/>
    </row>
    <row r="685" ht="15.0" hidden="1" customHeight="1" outlineLevel="1">
      <c r="A685" s="303" t="s">
        <v>3992</v>
      </c>
      <c r="B685" s="418"/>
      <c r="C685" s="133" t="str">
        <f t="shared" si="80"/>
        <v/>
      </c>
      <c r="D685" s="381">
        <f t="shared" si="81"/>
        <v>0</v>
      </c>
      <c r="E685" s="382"/>
      <c r="F685" s="137"/>
      <c r="G685" s="137"/>
      <c r="H685" s="137"/>
      <c r="I685" s="137"/>
      <c r="J685" s="137"/>
      <c r="K685" s="137"/>
      <c r="L685" s="137"/>
      <c r="M685" s="141"/>
      <c r="N685" s="147"/>
    </row>
    <row r="686" hidden="1" outlineLevel="1">
      <c r="B686" s="189"/>
      <c r="C686" s="191" t="s">
        <v>194</v>
      </c>
      <c r="D686" s="204">
        <f>AVERAGE(D671:D685)</f>
        <v>0.8</v>
      </c>
      <c r="E686" s="384"/>
      <c r="L686" s="191" t="s">
        <v>194</v>
      </c>
      <c r="M686" s="204">
        <f>SUM(M671:M685)/75*0.1</f>
        <v>0</v>
      </c>
    </row>
    <row r="687">
      <c r="A687" s="206" t="s">
        <v>1318</v>
      </c>
      <c r="B687" s="207"/>
      <c r="C687" s="207"/>
      <c r="D687" s="385"/>
      <c r="E687" s="109"/>
      <c r="F687" s="109"/>
      <c r="G687" s="110"/>
      <c r="H687" s="110"/>
      <c r="I687" s="110"/>
      <c r="J687" s="110"/>
      <c r="K687" s="110"/>
      <c r="L687" s="110"/>
      <c r="M687" s="111"/>
      <c r="N687" s="113"/>
    </row>
    <row r="688" outlineLevel="1">
      <c r="A688" s="373" t="s">
        <v>98</v>
      </c>
      <c r="B688" s="115" t="s">
        <v>100</v>
      </c>
      <c r="C688" s="115" t="s">
        <v>102</v>
      </c>
      <c r="D688" s="119" t="s">
        <v>103</v>
      </c>
      <c r="E688" s="275" t="s">
        <v>269</v>
      </c>
      <c r="F688" s="275" t="s">
        <v>272</v>
      </c>
      <c r="G688" s="276" t="s">
        <v>328</v>
      </c>
      <c r="H688" s="121" t="s">
        <v>107</v>
      </c>
      <c r="I688" s="121" t="s">
        <v>108</v>
      </c>
      <c r="J688" s="276" t="s">
        <v>329</v>
      </c>
      <c r="K688" s="121" t="s">
        <v>111</v>
      </c>
      <c r="L688" s="276" t="s">
        <v>274</v>
      </c>
      <c r="M688" s="115" t="s">
        <v>114</v>
      </c>
      <c r="N688" s="119" t="s">
        <v>115</v>
      </c>
    </row>
    <row r="689" outlineLevel="1">
      <c r="A689" s="255" t="s">
        <v>3997</v>
      </c>
      <c r="B689" s="420">
        <v>46237.0</v>
      </c>
      <c r="C689" s="133" t="str">
        <f t="shared" ref="C689:C703" si="82">IF(B689="", "", TEXT(B689, "ddd"))</f>
        <v>Mon</v>
      </c>
      <c r="D689" s="381">
        <f t="shared" ref="D689:D703" si="83">IF(E689="Yes",0.05,0)
+IF(F689="Yes",0.1,0)
+IF(G689="Yes",0.15,0)
+IF(H689="Yes",0.15,0)
+IF(I689="Yes",0.05,0)
+IF(J689="Yes",0.05,0)
+IF(K689="Yes",0.15,0)
+IF(L689="Yes",0.3,0)
</f>
        <v>1</v>
      </c>
      <c r="E689" s="382" t="s">
        <v>129</v>
      </c>
      <c r="F689" s="137" t="s">
        <v>129</v>
      </c>
      <c r="G689" s="137" t="s">
        <v>129</v>
      </c>
      <c r="H689" s="137" t="s">
        <v>129</v>
      </c>
      <c r="I689" s="137" t="s">
        <v>129</v>
      </c>
      <c r="J689" s="137" t="s">
        <v>129</v>
      </c>
      <c r="K689" s="137" t="s">
        <v>129</v>
      </c>
      <c r="L689" s="137" t="s">
        <v>129</v>
      </c>
      <c r="M689" s="141"/>
      <c r="N689" s="143"/>
    </row>
    <row r="690" outlineLevel="1">
      <c r="A690" s="255" t="s">
        <v>4005</v>
      </c>
      <c r="B690" s="420">
        <v>46237.0</v>
      </c>
      <c r="C690" s="133" t="str">
        <f t="shared" si="82"/>
        <v>Mon</v>
      </c>
      <c r="D690" s="383">
        <f t="shared" si="83"/>
        <v>1</v>
      </c>
      <c r="E690" s="147" t="s">
        <v>129</v>
      </c>
      <c r="F690" s="137" t="s">
        <v>129</v>
      </c>
      <c r="G690" s="137" t="s">
        <v>129</v>
      </c>
      <c r="H690" s="137" t="s">
        <v>129</v>
      </c>
      <c r="I690" s="137" t="s">
        <v>129</v>
      </c>
      <c r="J690" s="137" t="s">
        <v>129</v>
      </c>
      <c r="K690" s="137" t="s">
        <v>129</v>
      </c>
      <c r="L690" s="137" t="s">
        <v>129</v>
      </c>
      <c r="M690" s="141"/>
      <c r="N690" s="147"/>
    </row>
    <row r="691" outlineLevel="1">
      <c r="A691" s="255" t="s">
        <v>4008</v>
      </c>
      <c r="B691" s="420">
        <v>46237.0</v>
      </c>
      <c r="C691" s="133" t="str">
        <f t="shared" si="82"/>
        <v>Mon</v>
      </c>
      <c r="D691" s="381">
        <f t="shared" si="83"/>
        <v>1</v>
      </c>
      <c r="E691" s="382" t="s">
        <v>129</v>
      </c>
      <c r="F691" s="137" t="s">
        <v>129</v>
      </c>
      <c r="G691" s="137" t="s">
        <v>129</v>
      </c>
      <c r="H691" s="137" t="s">
        <v>129</v>
      </c>
      <c r="I691" s="137" t="s">
        <v>129</v>
      </c>
      <c r="J691" s="137" t="s">
        <v>129</v>
      </c>
      <c r="K691" s="137" t="s">
        <v>129</v>
      </c>
      <c r="L691" s="137" t="s">
        <v>129</v>
      </c>
      <c r="M691" s="141"/>
      <c r="N691" s="147"/>
    </row>
    <row r="692" outlineLevel="1">
      <c r="A692" s="255" t="s">
        <v>4011</v>
      </c>
      <c r="B692" s="420">
        <v>46238.0</v>
      </c>
      <c r="C692" s="133" t="str">
        <f t="shared" si="82"/>
        <v>Tue</v>
      </c>
      <c r="D692" s="383">
        <f t="shared" si="83"/>
        <v>1</v>
      </c>
      <c r="E692" s="147" t="s">
        <v>129</v>
      </c>
      <c r="F692" s="137" t="s">
        <v>129</v>
      </c>
      <c r="G692" s="137" t="s">
        <v>129</v>
      </c>
      <c r="H692" s="137" t="s">
        <v>129</v>
      </c>
      <c r="I692" s="137" t="s">
        <v>129</v>
      </c>
      <c r="J692" s="137" t="s">
        <v>129</v>
      </c>
      <c r="K692" s="137" t="s">
        <v>129</v>
      </c>
      <c r="L692" s="137" t="s">
        <v>129</v>
      </c>
      <c r="M692" s="141"/>
      <c r="N692" s="147"/>
    </row>
    <row r="693" outlineLevel="1">
      <c r="A693" s="255" t="s">
        <v>4012</v>
      </c>
      <c r="B693" s="420">
        <v>46238.0</v>
      </c>
      <c r="C693" s="133" t="str">
        <f t="shared" si="82"/>
        <v>Tue</v>
      </c>
      <c r="D693" s="381">
        <f t="shared" si="83"/>
        <v>1</v>
      </c>
      <c r="E693" s="382" t="s">
        <v>129</v>
      </c>
      <c r="F693" s="137" t="s">
        <v>129</v>
      </c>
      <c r="G693" s="137" t="s">
        <v>129</v>
      </c>
      <c r="H693" s="137" t="s">
        <v>129</v>
      </c>
      <c r="I693" s="137" t="s">
        <v>129</v>
      </c>
      <c r="J693" s="137" t="s">
        <v>129</v>
      </c>
      <c r="K693" s="137" t="s">
        <v>129</v>
      </c>
      <c r="L693" s="137" t="s">
        <v>129</v>
      </c>
      <c r="M693" s="141"/>
      <c r="N693" s="147"/>
    </row>
    <row r="694" outlineLevel="1">
      <c r="A694" s="255" t="s">
        <v>4014</v>
      </c>
      <c r="B694" s="420">
        <v>46238.0</v>
      </c>
      <c r="C694" s="133" t="str">
        <f t="shared" si="82"/>
        <v>Tue</v>
      </c>
      <c r="D694" s="383">
        <f t="shared" si="83"/>
        <v>1</v>
      </c>
      <c r="E694" s="147" t="s">
        <v>129</v>
      </c>
      <c r="F694" s="137" t="s">
        <v>129</v>
      </c>
      <c r="G694" s="137" t="s">
        <v>129</v>
      </c>
      <c r="H694" s="137" t="s">
        <v>129</v>
      </c>
      <c r="I694" s="137" t="s">
        <v>129</v>
      </c>
      <c r="J694" s="137" t="s">
        <v>129</v>
      </c>
      <c r="K694" s="137" t="s">
        <v>129</v>
      </c>
      <c r="L694" s="137" t="s">
        <v>129</v>
      </c>
      <c r="M694" s="141"/>
      <c r="N694" s="147"/>
    </row>
    <row r="695" outlineLevel="1">
      <c r="A695" s="255" t="s">
        <v>4018</v>
      </c>
      <c r="B695" s="420">
        <v>46239.0</v>
      </c>
      <c r="C695" s="133" t="str">
        <f t="shared" si="82"/>
        <v>Wed</v>
      </c>
      <c r="D695" s="381">
        <f t="shared" si="83"/>
        <v>0</v>
      </c>
      <c r="E695" s="382"/>
      <c r="F695" s="137"/>
      <c r="G695" s="137"/>
      <c r="H695" s="137"/>
      <c r="I695" s="137"/>
      <c r="J695" s="137"/>
      <c r="K695" s="137"/>
      <c r="L695" s="137"/>
      <c r="M695" s="141"/>
      <c r="N695" s="143"/>
    </row>
    <row r="696" outlineLevel="1">
      <c r="A696" s="255" t="s">
        <v>4021</v>
      </c>
      <c r="B696" s="420">
        <v>46239.0</v>
      </c>
      <c r="C696" s="133" t="str">
        <f t="shared" si="82"/>
        <v>Wed</v>
      </c>
      <c r="D696" s="383">
        <f t="shared" si="83"/>
        <v>0</v>
      </c>
      <c r="E696" s="147"/>
      <c r="F696" s="137"/>
      <c r="G696" s="137"/>
      <c r="H696" s="137"/>
      <c r="I696" s="137"/>
      <c r="J696" s="137"/>
      <c r="K696" s="137"/>
      <c r="L696" s="137"/>
      <c r="M696" s="141"/>
      <c r="N696" s="147"/>
    </row>
    <row r="697" outlineLevel="1">
      <c r="A697" s="255" t="s">
        <v>4029</v>
      </c>
      <c r="B697" s="420">
        <v>46239.0</v>
      </c>
      <c r="C697" s="133" t="str">
        <f t="shared" si="82"/>
        <v>Wed</v>
      </c>
      <c r="D697" s="381">
        <f t="shared" si="83"/>
        <v>0</v>
      </c>
      <c r="E697" s="382"/>
      <c r="F697" s="137"/>
      <c r="G697" s="137"/>
      <c r="H697" s="137"/>
      <c r="I697" s="137"/>
      <c r="J697" s="137"/>
      <c r="K697" s="137"/>
      <c r="L697" s="137"/>
      <c r="M697" s="141"/>
      <c r="N697" s="143"/>
    </row>
    <row r="698" outlineLevel="1">
      <c r="A698" s="303" t="s">
        <v>4031</v>
      </c>
      <c r="B698" s="420">
        <v>46242.0</v>
      </c>
      <c r="C698" s="133" t="str">
        <f t="shared" si="82"/>
        <v>Sat</v>
      </c>
      <c r="D698" s="383">
        <f t="shared" si="83"/>
        <v>0</v>
      </c>
      <c r="E698" s="147"/>
      <c r="F698" s="137"/>
      <c r="G698" s="137"/>
      <c r="H698" s="137"/>
      <c r="I698" s="137"/>
      <c r="J698" s="137"/>
      <c r="K698" s="137"/>
      <c r="L698" s="137"/>
      <c r="M698" s="141"/>
      <c r="N698" s="147"/>
    </row>
    <row r="699" outlineLevel="1">
      <c r="A699" s="303" t="s">
        <v>4035</v>
      </c>
      <c r="B699" s="420">
        <v>46242.0</v>
      </c>
      <c r="C699" s="133" t="str">
        <f t="shared" si="82"/>
        <v>Sat</v>
      </c>
      <c r="D699" s="381">
        <f t="shared" si="83"/>
        <v>0</v>
      </c>
      <c r="E699" s="382"/>
      <c r="F699" s="137"/>
      <c r="G699" s="137"/>
      <c r="H699" s="137"/>
      <c r="I699" s="137"/>
      <c r="J699" s="137"/>
      <c r="K699" s="137"/>
      <c r="L699" s="137"/>
      <c r="M699" s="141"/>
      <c r="N699" s="147"/>
    </row>
    <row r="700" outlineLevel="1">
      <c r="A700" s="303" t="s">
        <v>4037</v>
      </c>
      <c r="B700" s="420">
        <v>46242.0</v>
      </c>
      <c r="C700" s="133" t="str">
        <f t="shared" si="82"/>
        <v>Sat</v>
      </c>
      <c r="D700" s="383">
        <f t="shared" si="83"/>
        <v>0</v>
      </c>
      <c r="E700" s="147"/>
      <c r="F700" s="137"/>
      <c r="G700" s="137"/>
      <c r="H700" s="137"/>
      <c r="I700" s="137"/>
      <c r="J700" s="137"/>
      <c r="K700" s="137"/>
      <c r="L700" s="137"/>
      <c r="M700" s="141"/>
      <c r="N700" s="147"/>
    </row>
    <row r="701" outlineLevel="1">
      <c r="A701" s="255"/>
      <c r="B701" s="420"/>
      <c r="C701" s="133" t="str">
        <f t="shared" si="82"/>
        <v/>
      </c>
      <c r="D701" s="381">
        <f t="shared" si="83"/>
        <v>0</v>
      </c>
      <c r="E701" s="382"/>
      <c r="F701" s="137"/>
      <c r="G701" s="137"/>
      <c r="H701" s="137"/>
      <c r="I701" s="137"/>
      <c r="J701" s="137"/>
      <c r="K701" s="137"/>
      <c r="L701" s="137"/>
      <c r="M701" s="141"/>
      <c r="N701" s="143"/>
    </row>
    <row r="702" outlineLevel="1">
      <c r="A702" s="255"/>
      <c r="B702" s="420"/>
      <c r="C702" s="133" t="str">
        <f t="shared" si="82"/>
        <v/>
      </c>
      <c r="D702" s="383">
        <f t="shared" si="83"/>
        <v>0</v>
      </c>
      <c r="E702" s="147"/>
      <c r="F702" s="137"/>
      <c r="G702" s="137"/>
      <c r="H702" s="137"/>
      <c r="I702" s="137"/>
      <c r="J702" s="137"/>
      <c r="K702" s="137"/>
      <c r="L702" s="137"/>
      <c r="M702" s="141"/>
      <c r="N702" s="143"/>
    </row>
    <row r="703" ht="15.0" customHeight="1" outlineLevel="1">
      <c r="A703" s="255"/>
      <c r="B703" s="420"/>
      <c r="C703" s="133" t="str">
        <f t="shared" si="82"/>
        <v/>
      </c>
      <c r="D703" s="381">
        <f t="shared" si="83"/>
        <v>0</v>
      </c>
      <c r="E703" s="382"/>
      <c r="F703" s="137"/>
      <c r="G703" s="137"/>
      <c r="H703" s="137"/>
      <c r="I703" s="137"/>
      <c r="J703" s="137"/>
      <c r="K703" s="137"/>
      <c r="L703" s="137"/>
      <c r="M703" s="141"/>
      <c r="N703" s="147"/>
    </row>
    <row r="704" outlineLevel="1">
      <c r="B704" s="189"/>
      <c r="C704" s="191" t="s">
        <v>194</v>
      </c>
      <c r="D704" s="204">
        <f>AVERAGE(D689:D703)</f>
        <v>0.4</v>
      </c>
      <c r="E704" s="384"/>
      <c r="L704" s="191" t="s">
        <v>194</v>
      </c>
      <c r="M704" s="204">
        <f>SUM(M689:M703)/75*0.1</f>
        <v>0</v>
      </c>
    </row>
    <row r="705">
      <c r="B705" s="189"/>
    </row>
    <row r="706">
      <c r="B706" s="189"/>
    </row>
    <row r="707">
      <c r="B707" s="189"/>
    </row>
    <row r="708">
      <c r="B708" s="189"/>
    </row>
    <row r="709">
      <c r="B709" s="189"/>
    </row>
    <row r="710">
      <c r="B710" s="189"/>
    </row>
    <row r="711">
      <c r="B711" s="189"/>
    </row>
    <row r="712">
      <c r="B712" s="189"/>
    </row>
    <row r="713">
      <c r="B713" s="189"/>
    </row>
    <row r="714">
      <c r="B714" s="189"/>
    </row>
    <row r="715">
      <c r="B715" s="189"/>
    </row>
    <row r="716">
      <c r="B716" s="189"/>
    </row>
    <row r="717">
      <c r="B717" s="189"/>
    </row>
    <row r="718">
      <c r="B718" s="189"/>
    </row>
    <row r="719">
      <c r="B719" s="189"/>
    </row>
    <row r="720">
      <c r="B720" s="189"/>
    </row>
    <row r="721">
      <c r="B721" s="189"/>
    </row>
    <row r="722">
      <c r="B722" s="189"/>
    </row>
    <row r="723">
      <c r="B723" s="189"/>
    </row>
    <row r="724">
      <c r="B724" s="189"/>
    </row>
    <row r="725">
      <c r="B725" s="189"/>
    </row>
    <row r="726">
      <c r="B726" s="189"/>
    </row>
    <row r="727">
      <c r="B727" s="189"/>
    </row>
    <row r="728">
      <c r="B728" s="189"/>
    </row>
    <row r="729">
      <c r="B729" s="189"/>
    </row>
    <row r="730">
      <c r="B730" s="189"/>
    </row>
    <row r="731">
      <c r="B731" s="189"/>
    </row>
    <row r="732">
      <c r="B732" s="189"/>
    </row>
    <row r="733">
      <c r="B733" s="189"/>
    </row>
    <row r="734">
      <c r="B734" s="189"/>
    </row>
    <row r="735">
      <c r="B735" s="189"/>
    </row>
    <row r="736">
      <c r="B736" s="189"/>
    </row>
    <row r="737">
      <c r="B737" s="189"/>
    </row>
    <row r="738">
      <c r="B738" s="189"/>
    </row>
    <row r="739">
      <c r="B739" s="189"/>
    </row>
    <row r="740">
      <c r="B740" s="189"/>
    </row>
    <row r="741">
      <c r="B741" s="189"/>
    </row>
    <row r="742">
      <c r="B742" s="189"/>
    </row>
    <row r="743">
      <c r="B743" s="189"/>
    </row>
    <row r="744">
      <c r="B744" s="189"/>
    </row>
    <row r="745">
      <c r="B745" s="189"/>
    </row>
    <row r="746">
      <c r="B746" s="189"/>
    </row>
    <row r="747">
      <c r="B747" s="189"/>
    </row>
    <row r="748">
      <c r="B748" s="189"/>
    </row>
    <row r="749">
      <c r="B749" s="189"/>
    </row>
    <row r="750">
      <c r="B750" s="189"/>
    </row>
    <row r="751">
      <c r="B751" s="189"/>
    </row>
    <row r="752">
      <c r="B752" s="189"/>
    </row>
    <row r="753">
      <c r="B753" s="189"/>
    </row>
    <row r="754">
      <c r="B754" s="189"/>
    </row>
    <row r="755">
      <c r="B755" s="189"/>
    </row>
    <row r="756">
      <c r="B756" s="189"/>
    </row>
    <row r="757">
      <c r="B757" s="189"/>
    </row>
    <row r="758">
      <c r="B758" s="189"/>
    </row>
    <row r="759">
      <c r="B759" s="189"/>
    </row>
    <row r="760">
      <c r="B760" s="189"/>
    </row>
    <row r="761">
      <c r="B761" s="189"/>
    </row>
    <row r="762">
      <c r="B762" s="189"/>
    </row>
    <row r="763">
      <c r="B763" s="189"/>
    </row>
    <row r="764">
      <c r="B764" s="189"/>
    </row>
    <row r="765">
      <c r="B765" s="189"/>
    </row>
    <row r="766">
      <c r="B766" s="189"/>
    </row>
    <row r="767">
      <c r="B767" s="189"/>
    </row>
    <row r="768">
      <c r="B768" s="189"/>
    </row>
    <row r="769">
      <c r="B769" s="189"/>
    </row>
    <row r="770">
      <c r="B770" s="189"/>
    </row>
    <row r="771">
      <c r="B771" s="189"/>
    </row>
    <row r="772">
      <c r="B772" s="189"/>
    </row>
    <row r="773">
      <c r="B773" s="189"/>
    </row>
    <row r="774">
      <c r="B774" s="189"/>
    </row>
    <row r="775">
      <c r="B775" s="189"/>
    </row>
    <row r="776">
      <c r="B776" s="189"/>
    </row>
    <row r="777">
      <c r="B777" s="189"/>
    </row>
    <row r="778">
      <c r="B778" s="189"/>
    </row>
    <row r="779">
      <c r="B779" s="189"/>
    </row>
    <row r="780">
      <c r="B780" s="189"/>
    </row>
    <row r="781">
      <c r="B781" s="189"/>
    </row>
    <row r="782">
      <c r="B782" s="189"/>
    </row>
    <row r="783">
      <c r="B783" s="189"/>
    </row>
    <row r="784">
      <c r="B784" s="189"/>
    </row>
    <row r="785">
      <c r="B785" s="189"/>
    </row>
    <row r="786">
      <c r="B786" s="189"/>
    </row>
    <row r="787">
      <c r="B787" s="189"/>
    </row>
    <row r="788">
      <c r="B788" s="189"/>
    </row>
    <row r="789">
      <c r="B789" s="189"/>
    </row>
    <row r="790">
      <c r="B790" s="189"/>
    </row>
    <row r="791">
      <c r="B791" s="189"/>
    </row>
    <row r="792">
      <c r="B792" s="189"/>
    </row>
    <row r="793">
      <c r="B793" s="189"/>
    </row>
    <row r="794">
      <c r="B794" s="189"/>
    </row>
    <row r="795">
      <c r="B795" s="189"/>
    </row>
    <row r="796">
      <c r="B796" s="189"/>
    </row>
    <row r="797">
      <c r="B797" s="189"/>
    </row>
    <row r="798">
      <c r="B798" s="189"/>
    </row>
    <row r="799">
      <c r="B799" s="189"/>
    </row>
    <row r="800">
      <c r="B800" s="189"/>
    </row>
    <row r="801">
      <c r="B801" s="189"/>
    </row>
    <row r="802">
      <c r="B802" s="189"/>
    </row>
    <row r="803">
      <c r="B803" s="189"/>
    </row>
    <row r="804">
      <c r="B804" s="189"/>
    </row>
    <row r="805">
      <c r="B805" s="189"/>
    </row>
    <row r="806">
      <c r="B806" s="189"/>
    </row>
    <row r="807">
      <c r="B807" s="189"/>
    </row>
    <row r="808">
      <c r="B808" s="189"/>
    </row>
    <row r="809">
      <c r="B809" s="189"/>
    </row>
    <row r="810">
      <c r="B810" s="189"/>
    </row>
    <row r="811">
      <c r="B811" s="189"/>
    </row>
    <row r="812">
      <c r="B812" s="189"/>
    </row>
    <row r="813">
      <c r="B813" s="189"/>
    </row>
    <row r="814">
      <c r="B814" s="189"/>
    </row>
    <row r="815">
      <c r="B815" s="189"/>
    </row>
    <row r="816">
      <c r="B816" s="189"/>
    </row>
    <row r="817">
      <c r="B817" s="189"/>
    </row>
    <row r="818">
      <c r="B818" s="189"/>
    </row>
    <row r="819">
      <c r="B819" s="189"/>
    </row>
    <row r="820">
      <c r="B820" s="189"/>
    </row>
    <row r="821">
      <c r="B821" s="189"/>
    </row>
    <row r="822">
      <c r="B822" s="189"/>
    </row>
    <row r="823">
      <c r="B823" s="189"/>
    </row>
    <row r="824">
      <c r="B824" s="189"/>
    </row>
    <row r="825">
      <c r="B825" s="189"/>
    </row>
    <row r="826">
      <c r="B826" s="189"/>
    </row>
    <row r="827">
      <c r="B827" s="189"/>
    </row>
    <row r="828">
      <c r="B828" s="189"/>
    </row>
    <row r="829">
      <c r="B829" s="189"/>
    </row>
    <row r="830">
      <c r="B830" s="189"/>
    </row>
    <row r="831">
      <c r="B831" s="189"/>
    </row>
    <row r="832">
      <c r="B832" s="189"/>
    </row>
    <row r="833">
      <c r="B833" s="189"/>
    </row>
    <row r="834">
      <c r="B834" s="189"/>
    </row>
    <row r="835">
      <c r="B835" s="189"/>
    </row>
    <row r="836">
      <c r="B836" s="189"/>
    </row>
    <row r="837">
      <c r="B837" s="189"/>
    </row>
    <row r="838">
      <c r="B838" s="189"/>
    </row>
    <row r="839">
      <c r="B839" s="189"/>
    </row>
    <row r="840">
      <c r="B840" s="189"/>
    </row>
    <row r="841">
      <c r="B841" s="189"/>
    </row>
    <row r="842">
      <c r="B842" s="189"/>
    </row>
    <row r="843">
      <c r="B843" s="189"/>
    </row>
    <row r="844">
      <c r="B844" s="189"/>
    </row>
    <row r="845">
      <c r="B845" s="189"/>
    </row>
    <row r="846">
      <c r="B846" s="189"/>
    </row>
    <row r="847">
      <c r="B847" s="189"/>
    </row>
    <row r="848">
      <c r="B848" s="189"/>
    </row>
    <row r="849">
      <c r="B849" s="189"/>
    </row>
    <row r="850">
      <c r="B850" s="189"/>
    </row>
    <row r="851">
      <c r="B851" s="189"/>
    </row>
    <row r="852">
      <c r="B852" s="189"/>
    </row>
    <row r="853">
      <c r="B853" s="189"/>
    </row>
    <row r="854">
      <c r="B854" s="189"/>
    </row>
    <row r="855">
      <c r="B855" s="189"/>
    </row>
    <row r="856">
      <c r="B856" s="189"/>
    </row>
    <row r="857">
      <c r="B857" s="189"/>
    </row>
    <row r="858">
      <c r="B858" s="189"/>
    </row>
    <row r="859">
      <c r="B859" s="189"/>
    </row>
    <row r="860">
      <c r="B860" s="189"/>
    </row>
    <row r="861">
      <c r="B861" s="189"/>
    </row>
    <row r="862">
      <c r="B862" s="189"/>
    </row>
    <row r="863">
      <c r="B863" s="189"/>
    </row>
    <row r="864">
      <c r="B864" s="189"/>
    </row>
    <row r="865">
      <c r="B865" s="189"/>
    </row>
    <row r="866">
      <c r="B866" s="189"/>
    </row>
    <row r="867">
      <c r="B867" s="189"/>
    </row>
    <row r="868">
      <c r="B868" s="189"/>
    </row>
    <row r="869">
      <c r="B869" s="189"/>
    </row>
    <row r="870">
      <c r="B870" s="189"/>
    </row>
    <row r="871">
      <c r="B871" s="189"/>
    </row>
    <row r="872">
      <c r="B872" s="189"/>
    </row>
    <row r="873">
      <c r="B873" s="189"/>
    </row>
    <row r="874">
      <c r="B874" s="189"/>
    </row>
    <row r="875">
      <c r="B875" s="189"/>
    </row>
    <row r="876">
      <c r="B876" s="189"/>
    </row>
    <row r="877">
      <c r="B877" s="189"/>
    </row>
    <row r="878">
      <c r="B878" s="189"/>
    </row>
    <row r="879">
      <c r="B879" s="189"/>
    </row>
    <row r="880">
      <c r="B880" s="189"/>
    </row>
    <row r="881">
      <c r="B881" s="189"/>
    </row>
    <row r="882">
      <c r="B882" s="189"/>
    </row>
    <row r="883">
      <c r="B883" s="189"/>
    </row>
    <row r="884">
      <c r="B884" s="189"/>
    </row>
    <row r="885">
      <c r="B885" s="189"/>
    </row>
    <row r="886">
      <c r="B886" s="189"/>
    </row>
    <row r="887">
      <c r="B887" s="189"/>
    </row>
    <row r="888">
      <c r="B888" s="189"/>
    </row>
    <row r="889">
      <c r="B889" s="189"/>
    </row>
    <row r="890">
      <c r="B890" s="189"/>
    </row>
    <row r="891">
      <c r="B891" s="189"/>
    </row>
    <row r="892">
      <c r="B892" s="189"/>
    </row>
    <row r="893">
      <c r="B893" s="189"/>
    </row>
    <row r="894">
      <c r="B894" s="189"/>
    </row>
    <row r="895">
      <c r="B895" s="189"/>
    </row>
    <row r="896">
      <c r="B896" s="189"/>
    </row>
    <row r="897">
      <c r="B897" s="189"/>
    </row>
    <row r="898">
      <c r="B898" s="189"/>
    </row>
    <row r="899">
      <c r="B899" s="189"/>
    </row>
    <row r="900">
      <c r="B900" s="189"/>
    </row>
    <row r="901">
      <c r="B901" s="189"/>
    </row>
    <row r="902">
      <c r="B902" s="189"/>
    </row>
    <row r="903">
      <c r="B903" s="189"/>
    </row>
    <row r="904">
      <c r="B904" s="189"/>
    </row>
    <row r="905">
      <c r="B905" s="189"/>
    </row>
    <row r="906">
      <c r="B906" s="189"/>
    </row>
    <row r="907">
      <c r="B907" s="189"/>
    </row>
    <row r="908">
      <c r="B908" s="189"/>
    </row>
    <row r="909">
      <c r="B909" s="189"/>
    </row>
    <row r="910">
      <c r="B910" s="189"/>
    </row>
    <row r="911">
      <c r="B911" s="189"/>
    </row>
    <row r="912">
      <c r="B912" s="189"/>
    </row>
    <row r="913">
      <c r="B913" s="189"/>
    </row>
    <row r="914">
      <c r="B914" s="189"/>
    </row>
    <row r="915">
      <c r="B915" s="189"/>
    </row>
    <row r="916">
      <c r="B916" s="189"/>
    </row>
    <row r="917">
      <c r="B917" s="189"/>
    </row>
    <row r="918">
      <c r="B918" s="189"/>
    </row>
    <row r="919">
      <c r="B919" s="189"/>
    </row>
    <row r="920">
      <c r="B920" s="189"/>
    </row>
    <row r="921">
      <c r="B921" s="189"/>
    </row>
    <row r="922">
      <c r="B922" s="189"/>
    </row>
    <row r="923">
      <c r="B923" s="189"/>
    </row>
    <row r="924">
      <c r="B924" s="189"/>
    </row>
    <row r="925">
      <c r="B925" s="189"/>
    </row>
    <row r="926">
      <c r="B926" s="189"/>
    </row>
    <row r="927">
      <c r="B927" s="189"/>
    </row>
    <row r="928">
      <c r="B928" s="189"/>
    </row>
    <row r="929">
      <c r="B929" s="189"/>
    </row>
    <row r="930">
      <c r="B930" s="189"/>
    </row>
    <row r="931">
      <c r="B931" s="189"/>
    </row>
    <row r="932">
      <c r="B932" s="189"/>
    </row>
    <row r="933">
      <c r="B933" s="189"/>
    </row>
    <row r="934">
      <c r="B934" s="189"/>
    </row>
    <row r="935">
      <c r="B935" s="189"/>
    </row>
    <row r="936">
      <c r="B936" s="189"/>
    </row>
    <row r="937">
      <c r="B937" s="189"/>
    </row>
    <row r="938">
      <c r="B938" s="189"/>
    </row>
    <row r="939">
      <c r="B939" s="189"/>
    </row>
    <row r="940">
      <c r="B940" s="189"/>
    </row>
    <row r="941">
      <c r="B941" s="189"/>
    </row>
    <row r="942">
      <c r="B942" s="189"/>
    </row>
    <row r="943">
      <c r="B943" s="189"/>
    </row>
    <row r="944">
      <c r="B944" s="189"/>
    </row>
    <row r="945">
      <c r="B945" s="189"/>
    </row>
    <row r="946">
      <c r="B946" s="189"/>
    </row>
    <row r="947">
      <c r="B947" s="189"/>
    </row>
    <row r="948">
      <c r="B948" s="189"/>
    </row>
    <row r="949">
      <c r="B949" s="189"/>
    </row>
    <row r="950">
      <c r="B950" s="189"/>
    </row>
    <row r="951">
      <c r="B951" s="189"/>
    </row>
    <row r="952">
      <c r="B952" s="189"/>
    </row>
    <row r="953">
      <c r="B953" s="189"/>
    </row>
    <row r="954">
      <c r="B954" s="189"/>
    </row>
    <row r="955">
      <c r="B955" s="189"/>
    </row>
    <row r="956">
      <c r="B956" s="189"/>
    </row>
    <row r="957">
      <c r="B957" s="189"/>
    </row>
    <row r="958">
      <c r="B958" s="189"/>
    </row>
    <row r="959">
      <c r="B959" s="189"/>
    </row>
    <row r="960">
      <c r="B960" s="189"/>
    </row>
    <row r="961">
      <c r="B961" s="189"/>
    </row>
    <row r="962">
      <c r="B962" s="189"/>
    </row>
    <row r="963">
      <c r="B963" s="189"/>
    </row>
    <row r="964">
      <c r="B964" s="189"/>
    </row>
    <row r="965">
      <c r="B965" s="189"/>
    </row>
    <row r="966">
      <c r="B966" s="189"/>
    </row>
    <row r="967">
      <c r="B967" s="189"/>
    </row>
    <row r="968">
      <c r="B968" s="189"/>
    </row>
    <row r="969">
      <c r="B969" s="189"/>
    </row>
    <row r="970">
      <c r="B970" s="189"/>
    </row>
    <row r="971">
      <c r="B971" s="189"/>
    </row>
    <row r="972">
      <c r="B972" s="189"/>
    </row>
    <row r="973">
      <c r="B973" s="189"/>
    </row>
    <row r="974">
      <c r="B974" s="189"/>
    </row>
    <row r="975">
      <c r="B975" s="189"/>
    </row>
    <row r="976">
      <c r="B976" s="189"/>
    </row>
    <row r="977">
      <c r="B977" s="189"/>
    </row>
    <row r="978">
      <c r="B978" s="189"/>
    </row>
    <row r="979">
      <c r="B979" s="189"/>
    </row>
    <row r="980">
      <c r="B980" s="189"/>
    </row>
    <row r="981">
      <c r="B981" s="189"/>
    </row>
    <row r="982">
      <c r="B982" s="189"/>
    </row>
    <row r="983">
      <c r="B983" s="189"/>
    </row>
    <row r="984">
      <c r="B984" s="189"/>
    </row>
    <row r="985">
      <c r="B985" s="189"/>
    </row>
    <row r="986">
      <c r="B986" s="189"/>
    </row>
    <row r="987">
      <c r="B987" s="189"/>
    </row>
    <row r="988">
      <c r="B988" s="189"/>
    </row>
    <row r="989">
      <c r="B989" s="189"/>
    </row>
    <row r="990">
      <c r="B990" s="189"/>
    </row>
    <row r="991">
      <c r="B991" s="189"/>
    </row>
    <row r="992">
      <c r="B992" s="189"/>
    </row>
    <row r="993">
      <c r="B993" s="189"/>
    </row>
    <row r="994">
      <c r="B994" s="189"/>
    </row>
    <row r="995">
      <c r="B995" s="189"/>
    </row>
    <row r="996">
      <c r="B996" s="189"/>
    </row>
    <row r="997">
      <c r="B997" s="189"/>
    </row>
    <row r="998">
      <c r="B998" s="189"/>
    </row>
    <row r="999">
      <c r="B999" s="189"/>
    </row>
    <row r="1000">
      <c r="B1000" s="189"/>
    </row>
    <row r="1001">
      <c r="B1001" s="189"/>
    </row>
    <row r="1002">
      <c r="B1002" s="189"/>
    </row>
  </sheetData>
  <mergeCells count="39">
    <mergeCell ref="A2:D2"/>
    <mergeCell ref="A20:D20"/>
    <mergeCell ref="A38:D38"/>
    <mergeCell ref="A57:D57"/>
    <mergeCell ref="A75:D75"/>
    <mergeCell ref="A93:D93"/>
    <mergeCell ref="A111:D111"/>
    <mergeCell ref="A129:D129"/>
    <mergeCell ref="A147:D147"/>
    <mergeCell ref="A165:D165"/>
    <mergeCell ref="A183:D183"/>
    <mergeCell ref="A201:D201"/>
    <mergeCell ref="A219:D219"/>
    <mergeCell ref="A237:D237"/>
    <mergeCell ref="A255:D255"/>
    <mergeCell ref="A273:D273"/>
    <mergeCell ref="A291:D291"/>
    <mergeCell ref="A309:D309"/>
    <mergeCell ref="A327:D327"/>
    <mergeCell ref="A345:D345"/>
    <mergeCell ref="A363:D363"/>
    <mergeCell ref="A381:D381"/>
    <mergeCell ref="A399:D399"/>
    <mergeCell ref="A417:D417"/>
    <mergeCell ref="A435:D435"/>
    <mergeCell ref="A453:D453"/>
    <mergeCell ref="A471:D471"/>
    <mergeCell ref="A489:D489"/>
    <mergeCell ref="A633:D633"/>
    <mergeCell ref="A651:D651"/>
    <mergeCell ref="A669:D669"/>
    <mergeCell ref="A687:D687"/>
    <mergeCell ref="A507:D507"/>
    <mergeCell ref="A525:D525"/>
    <mergeCell ref="A543:D543"/>
    <mergeCell ref="A561:D561"/>
    <mergeCell ref="A579:D579"/>
    <mergeCell ref="A597:D597"/>
    <mergeCell ref="A615:D615"/>
  </mergeCells>
  <conditionalFormatting sqref="A111:N704">
    <cfRule type="cellIs" dxfId="6" priority="1" operator="equal">
      <formula>"Absent"</formula>
    </cfRule>
  </conditionalFormatting>
  <conditionalFormatting sqref="A75:N182 A185:A187 B185:B199 C185:D187 E185:L199 A201:N308 A311:A313 B311:B325 C311:D313 E311:L325 C323:C325 A329:A331 B329:B343 C329:D331 E329:L343 C341:C343 A345:N362 A365:A367 B365:B379 C365:D367 E365:L379 C377:C379 A381:N398 A401:A403 B401:B415 C401:D403 E401:L415 C413:C415 A417:N435 A437:A439 B437:B451 C437:D439 E437:L451 A449:A451 C449:D451 A455:A457 B455:B469 C455:D457 E455:L469 A467:A469 C467:D469 A473:A475 B473:B487 C473:D475 E473:L487 A485:A487 C485:D487 A491:A493 B491:B505 C491:D493 E491:L505 A503:A505 C503:D505 A509:A511 B509:B523 C509:D511 E509:L523 A521:A523 C521:D523 A527:A529 B527:B541 C527:D529 E527:L541 A539:A541 C539:D541 A545:A547 B545:B559 C545:D547 E545:L559 A557:A559 C557:D559 M557:N559 A561:N578 A581:B595 C581:D583 E581:L595 C593:D595 A599:B613 C599:D601 E599:L613 C611:D613 A615:N632 A635:B649 C635:D637 E635:L649 C647:D649 A651:N668 A671:B685 C671:D673 E671:L685 C683:D685 A689:B703 C689:D691 E689:L703 C701:D703">
    <cfRule type="cellIs" dxfId="7" priority="2" operator="equal">
      <formula>"LWOP"</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8" priority="3" operator="equal">
      <formula>"OFF"</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9" priority="4" operator="equal">
      <formula>"A"</formula>
    </cfRule>
  </conditionalFormatting>
  <conditionalFormatting sqref="A1:D2 A20:D20 A38:D38 A56:D57 A75:D75 A93:D93 A111:D111 A129:D129 A147:D147 A165:D165 A183:D183 A201:D201 A219:D219 A237:D237 A255:D255 A273:D273 A291:D291 A309:D309 A327:D327 A345:D345 A363:D363 A381:D381 A399:D399 A417:D417 A435:D435 A453:D453 A471:D471 A489:D489 A507:D507 A525:D525 A543:D543 A561:D561 A579:D579 A597:D597 A615:D615 A633:D633 A651:D651 A669:D669 A687:D687">
    <cfRule type="cellIs" dxfId="10" priority="5" operator="equal">
      <formula>"LWOP"</formula>
    </cfRule>
  </conditionalFormatting>
  <dataValidations>
    <dataValidation type="list" allowBlank="1" showErrorMessage="1" sqref="E4:L18 E22:L36 E40:L54 E59:L73 E77:L91 E95:L109 E113:L127 E131:L145 E149:L163 E167:L181 E185:L199 E203:L217 E221:L235 E239:L253 E257:L271 E275:L289 E293:L307 E311:L325 E329:L343 E347:L361 E365:L379 E383:L397 E401:L415 E419:L433 E437:L451 E455:L469 E473:L487 E491:L505 E509:L523 E527:L541 E545:L556 E557:M559 E563:L577 E581:L595 E599:L613 E617:L631 E635:L649 E653:L667 E671:L685 E689:L703">
      <formula1>"Yes,No"</formula1>
    </dataValidation>
  </dataValidations>
  <hyperlinks>
    <hyperlink r:id="rId1" ref="A4"/>
    <hyperlink r:id="rId2" ref="A5"/>
    <hyperlink r:id="rId3" ref="A6"/>
    <hyperlink r:id="rId4" ref="A7"/>
    <hyperlink r:id="rId5" ref="A8"/>
    <hyperlink r:id="rId6" ref="A9"/>
    <hyperlink r:id="rId7" ref="A10"/>
    <hyperlink r:id="rId8" ref="A11"/>
    <hyperlink r:id="rId9" ref="A12"/>
    <hyperlink r:id="rId10" ref="A13"/>
    <hyperlink r:id="rId11" ref="A14"/>
    <hyperlink r:id="rId12" ref="A15"/>
    <hyperlink r:id="rId13" ref="A16"/>
    <hyperlink r:id="rId14" ref="A17"/>
    <hyperlink r:id="rId15" ref="A18"/>
    <hyperlink r:id="rId16" ref="A22"/>
    <hyperlink r:id="rId17" ref="A23"/>
    <hyperlink r:id="rId18" ref="A24"/>
    <hyperlink r:id="rId19" ref="A25"/>
    <hyperlink r:id="rId20" ref="A26"/>
    <hyperlink r:id="rId21" ref="A27"/>
    <hyperlink r:id="rId22" ref="A28"/>
    <hyperlink r:id="rId23" ref="A29"/>
    <hyperlink r:id="rId24" ref="A30"/>
    <hyperlink r:id="rId25" ref="A31"/>
    <hyperlink r:id="rId26" ref="A32"/>
    <hyperlink r:id="rId27" ref="A33"/>
    <hyperlink r:id="rId28" ref="A34"/>
    <hyperlink r:id="rId29" ref="A35"/>
    <hyperlink r:id="rId30" ref="A36"/>
    <hyperlink r:id="rId31" ref="A40"/>
    <hyperlink r:id="rId32" ref="A41"/>
    <hyperlink r:id="rId33" ref="A42"/>
    <hyperlink r:id="rId34" ref="A43"/>
    <hyperlink r:id="rId35" ref="A44"/>
    <hyperlink r:id="rId36" ref="A45"/>
    <hyperlink r:id="rId37" ref="A46"/>
    <hyperlink r:id="rId38" ref="A47"/>
    <hyperlink r:id="rId39" ref="A48"/>
    <hyperlink r:id="rId40" ref="A49"/>
    <hyperlink r:id="rId41" ref="A50"/>
    <hyperlink r:id="rId42" ref="A51"/>
    <hyperlink r:id="rId43" ref="A52"/>
    <hyperlink r:id="rId44" ref="A53"/>
    <hyperlink r:id="rId45" ref="A54"/>
    <hyperlink r:id="rId46" ref="A59"/>
    <hyperlink r:id="rId47" ref="A60"/>
    <hyperlink r:id="rId48" ref="A61"/>
    <hyperlink r:id="rId49" ref="A62"/>
    <hyperlink r:id="rId50" ref="A63"/>
    <hyperlink r:id="rId51" ref="A64"/>
    <hyperlink r:id="rId52" ref="A65"/>
    <hyperlink r:id="rId53" ref="A66"/>
    <hyperlink r:id="rId54" ref="A67"/>
    <hyperlink r:id="rId55" ref="A68"/>
    <hyperlink r:id="rId56" ref="A69"/>
    <hyperlink r:id="rId57" ref="A70"/>
    <hyperlink r:id="rId58" ref="A71"/>
    <hyperlink r:id="rId59" ref="A72"/>
    <hyperlink r:id="rId60" ref="A73"/>
    <hyperlink r:id="rId61" ref="A77"/>
    <hyperlink r:id="rId62" ref="A78"/>
    <hyperlink r:id="rId63" ref="A79"/>
    <hyperlink r:id="rId64" ref="A80"/>
    <hyperlink r:id="rId65" ref="A81"/>
    <hyperlink r:id="rId66" ref="A82"/>
    <hyperlink r:id="rId67" ref="A83"/>
    <hyperlink r:id="rId68" ref="A84"/>
    <hyperlink r:id="rId69" ref="A85"/>
    <hyperlink r:id="rId70" ref="A86"/>
    <hyperlink r:id="rId71" ref="A87"/>
    <hyperlink r:id="rId72" ref="A88"/>
    <hyperlink r:id="rId73" ref="A89"/>
    <hyperlink r:id="rId74" ref="A90"/>
    <hyperlink r:id="rId75" ref="A91"/>
    <hyperlink r:id="rId76" ref="A95"/>
    <hyperlink r:id="rId77" ref="A96"/>
    <hyperlink r:id="rId78" ref="A97"/>
    <hyperlink r:id="rId79" ref="A98"/>
    <hyperlink r:id="rId80" ref="A99"/>
    <hyperlink r:id="rId81" ref="A100"/>
    <hyperlink r:id="rId82" ref="A101"/>
    <hyperlink r:id="rId83" ref="A102"/>
    <hyperlink r:id="rId84" ref="A103"/>
    <hyperlink r:id="rId85" ref="A104"/>
    <hyperlink r:id="rId86" ref="A105"/>
    <hyperlink r:id="rId87" ref="A106"/>
    <hyperlink r:id="rId88" ref="A107"/>
    <hyperlink r:id="rId89" ref="A108"/>
    <hyperlink r:id="rId90" ref="A109"/>
    <hyperlink r:id="rId91" ref="A113"/>
    <hyperlink r:id="rId92" ref="A114"/>
    <hyperlink r:id="rId93" ref="A115"/>
    <hyperlink r:id="rId94" ref="A116"/>
    <hyperlink r:id="rId95" ref="A117"/>
    <hyperlink r:id="rId96" ref="A118"/>
    <hyperlink r:id="rId97" ref="A122"/>
    <hyperlink r:id="rId98" ref="A123"/>
    <hyperlink r:id="rId99" ref="A124"/>
    <hyperlink r:id="rId100" ref="A125"/>
    <hyperlink r:id="rId101" ref="A126"/>
    <hyperlink r:id="rId102" ref="A127"/>
    <hyperlink r:id="rId103" ref="A131"/>
    <hyperlink r:id="rId104" ref="A132"/>
    <hyperlink r:id="rId105" ref="A133"/>
    <hyperlink r:id="rId106" ref="A134"/>
    <hyperlink r:id="rId107" ref="A135"/>
    <hyperlink r:id="rId108" ref="A136"/>
    <hyperlink r:id="rId109" ref="A137"/>
    <hyperlink r:id="rId110" ref="A138"/>
    <hyperlink r:id="rId111" ref="A139"/>
    <hyperlink r:id="rId112" ref="A140"/>
    <hyperlink r:id="rId113" ref="A141"/>
    <hyperlink r:id="rId114" ref="A142"/>
    <hyperlink r:id="rId115" ref="A143"/>
    <hyperlink r:id="rId116" ref="A144"/>
    <hyperlink r:id="rId117" ref="A145"/>
    <hyperlink r:id="rId118" ref="A149"/>
    <hyperlink r:id="rId119" ref="A150"/>
    <hyperlink r:id="rId120" ref="A151"/>
    <hyperlink r:id="rId121" ref="A152"/>
    <hyperlink r:id="rId122" ref="A153"/>
    <hyperlink r:id="rId123" ref="A154"/>
    <hyperlink r:id="rId124" ref="A155"/>
    <hyperlink r:id="rId125" ref="A156"/>
    <hyperlink r:id="rId126" ref="A157"/>
    <hyperlink r:id="rId127" ref="A158"/>
    <hyperlink r:id="rId128" ref="A159"/>
    <hyperlink r:id="rId129" ref="A160"/>
    <hyperlink r:id="rId130" ref="A161"/>
    <hyperlink r:id="rId131" ref="A162"/>
    <hyperlink r:id="rId132" ref="A163"/>
    <hyperlink r:id="rId133" ref="A167"/>
    <hyperlink r:id="rId134" ref="A168"/>
    <hyperlink r:id="rId135" ref="A169"/>
    <hyperlink r:id="rId136" ref="A170"/>
    <hyperlink r:id="rId137" ref="A171"/>
    <hyperlink r:id="rId138" ref="A172"/>
    <hyperlink r:id="rId139" ref="A173"/>
    <hyperlink r:id="rId140" ref="A174"/>
    <hyperlink r:id="rId141" ref="A175"/>
    <hyperlink r:id="rId142" ref="A176"/>
    <hyperlink r:id="rId143" ref="A177"/>
    <hyperlink r:id="rId144" ref="A178"/>
    <hyperlink r:id="rId145" ref="A179"/>
    <hyperlink r:id="rId146" ref="A180"/>
    <hyperlink r:id="rId147" ref="A181"/>
    <hyperlink r:id="rId148" ref="A185"/>
    <hyperlink r:id="rId149" ref="A186"/>
    <hyperlink r:id="rId150" ref="A187"/>
    <hyperlink r:id="rId151" ref="A188"/>
    <hyperlink r:id="rId152" ref="A189"/>
    <hyperlink r:id="rId153" ref="A190"/>
    <hyperlink r:id="rId154" ref="A191"/>
    <hyperlink r:id="rId155" ref="A192"/>
    <hyperlink r:id="rId156" ref="A193"/>
    <hyperlink r:id="rId157" ref="A194"/>
    <hyperlink r:id="rId158" ref="A195"/>
    <hyperlink r:id="rId159" ref="A196"/>
    <hyperlink r:id="rId160" ref="A197"/>
    <hyperlink r:id="rId161" ref="A198"/>
    <hyperlink r:id="rId162" ref="A199"/>
    <hyperlink r:id="rId163" ref="A203"/>
    <hyperlink r:id="rId164" ref="A204"/>
    <hyperlink r:id="rId165" ref="A205"/>
    <hyperlink r:id="rId166" ref="A206"/>
    <hyperlink r:id="rId167" ref="A207"/>
    <hyperlink r:id="rId168" ref="A208"/>
    <hyperlink r:id="rId169" ref="A209"/>
    <hyperlink r:id="rId170" ref="A210"/>
    <hyperlink r:id="rId171" ref="A211"/>
    <hyperlink r:id="rId172" ref="A212"/>
    <hyperlink r:id="rId173" ref="A213"/>
    <hyperlink r:id="rId174" ref="A214"/>
    <hyperlink r:id="rId175" ref="A215"/>
    <hyperlink r:id="rId176" ref="A216"/>
    <hyperlink r:id="rId177" ref="A217"/>
    <hyperlink r:id="rId178" ref="A221"/>
    <hyperlink r:id="rId179" ref="A222"/>
    <hyperlink r:id="rId180" ref="A223"/>
    <hyperlink r:id="rId181" ref="A224"/>
    <hyperlink r:id="rId182" ref="A225"/>
    <hyperlink r:id="rId183" ref="A226"/>
    <hyperlink r:id="rId184" ref="A227"/>
    <hyperlink r:id="rId185" ref="A228"/>
    <hyperlink r:id="rId186" ref="A229"/>
    <hyperlink r:id="rId187" ref="A239"/>
    <hyperlink r:id="rId188" ref="A240"/>
    <hyperlink r:id="rId189" ref="A241"/>
    <hyperlink r:id="rId190" ref="A242"/>
    <hyperlink r:id="rId191" ref="A243"/>
    <hyperlink r:id="rId192" ref="A244"/>
    <hyperlink r:id="rId193" ref="A245"/>
    <hyperlink r:id="rId194" ref="A246"/>
    <hyperlink r:id="rId195" ref="A247"/>
    <hyperlink r:id="rId196" ref="A248"/>
    <hyperlink r:id="rId197" ref="A249"/>
    <hyperlink r:id="rId198" ref="A250"/>
    <hyperlink r:id="rId199" ref="A251"/>
    <hyperlink r:id="rId200" ref="A252"/>
    <hyperlink r:id="rId201" ref="A253"/>
    <hyperlink r:id="rId202" ref="A257"/>
    <hyperlink r:id="rId203" ref="A258"/>
    <hyperlink r:id="rId204" ref="A259"/>
    <hyperlink r:id="rId205" ref="A260"/>
    <hyperlink r:id="rId206" ref="A261"/>
    <hyperlink r:id="rId207" ref="A262"/>
    <hyperlink r:id="rId208" ref="A263"/>
    <hyperlink r:id="rId209" ref="A264"/>
    <hyperlink r:id="rId210" ref="A265"/>
    <hyperlink r:id="rId211" ref="A266"/>
    <hyperlink r:id="rId212" ref="A267"/>
    <hyperlink r:id="rId213" ref="A268"/>
    <hyperlink r:id="rId214" ref="A269"/>
    <hyperlink r:id="rId215" ref="A270"/>
    <hyperlink r:id="rId216" ref="A271"/>
    <hyperlink r:id="rId217" ref="A275"/>
    <hyperlink r:id="rId218" ref="A276"/>
    <hyperlink r:id="rId219" ref="A277"/>
    <hyperlink r:id="rId220" ref="A278"/>
    <hyperlink r:id="rId221" ref="A279"/>
    <hyperlink r:id="rId222" ref="A280"/>
    <hyperlink r:id="rId223" ref="A281"/>
    <hyperlink r:id="rId224" ref="A282"/>
    <hyperlink r:id="rId225" ref="A283"/>
    <hyperlink r:id="rId226" ref="A284"/>
    <hyperlink r:id="rId227" ref="A285"/>
    <hyperlink r:id="rId228" ref="A286"/>
    <hyperlink r:id="rId229" ref="A287"/>
    <hyperlink r:id="rId230" ref="A288"/>
    <hyperlink r:id="rId231" ref="A289"/>
    <hyperlink r:id="rId232" ref="A293"/>
    <hyperlink r:id="rId233" ref="A294"/>
    <hyperlink r:id="rId234" ref="A295"/>
    <hyperlink r:id="rId235" ref="A296"/>
    <hyperlink r:id="rId236" ref="A297"/>
    <hyperlink r:id="rId237" ref="A298"/>
    <hyperlink r:id="rId238" ref="A299"/>
    <hyperlink r:id="rId239" ref="A300"/>
    <hyperlink r:id="rId240" ref="A301"/>
    <hyperlink r:id="rId241" ref="A302"/>
    <hyperlink r:id="rId242" ref="A303"/>
    <hyperlink r:id="rId243" ref="A304"/>
    <hyperlink r:id="rId244" ref="A305"/>
    <hyperlink r:id="rId245" ref="A306"/>
    <hyperlink r:id="rId246" ref="A307"/>
    <hyperlink r:id="rId247" ref="A311"/>
    <hyperlink r:id="rId248" ref="A312"/>
    <hyperlink r:id="rId249" ref="A313"/>
    <hyperlink r:id="rId250" ref="A314"/>
    <hyperlink r:id="rId251" ref="A315"/>
    <hyperlink r:id="rId252" ref="A316"/>
    <hyperlink r:id="rId253" ref="A317"/>
    <hyperlink r:id="rId254" ref="A318"/>
    <hyperlink r:id="rId255" ref="A319"/>
    <hyperlink r:id="rId256" ref="A320"/>
    <hyperlink r:id="rId257" ref="A321"/>
    <hyperlink r:id="rId258" ref="A322"/>
    <hyperlink r:id="rId259" ref="A323"/>
    <hyperlink r:id="rId260" ref="A324"/>
    <hyperlink r:id="rId261" ref="A325"/>
    <hyperlink r:id="rId262" ref="A329"/>
    <hyperlink r:id="rId263" ref="A330"/>
    <hyperlink r:id="rId264" ref="A331"/>
    <hyperlink r:id="rId265" ref="A332"/>
    <hyperlink r:id="rId266" ref="A333"/>
    <hyperlink r:id="rId267" ref="A334"/>
    <hyperlink r:id="rId268" ref="A335"/>
    <hyperlink r:id="rId269" ref="A336"/>
    <hyperlink r:id="rId270" ref="A337"/>
    <hyperlink r:id="rId271" ref="A338"/>
    <hyperlink r:id="rId272" ref="A339"/>
    <hyperlink r:id="rId273" ref="A340"/>
    <hyperlink r:id="rId274" ref="A341"/>
    <hyperlink r:id="rId275" ref="A342"/>
    <hyperlink r:id="rId276" ref="A343"/>
    <hyperlink r:id="rId277" ref="A347"/>
    <hyperlink r:id="rId278" ref="A348"/>
    <hyperlink r:id="rId279" ref="A349"/>
    <hyperlink r:id="rId280" ref="A350"/>
    <hyperlink r:id="rId281" ref="A351"/>
    <hyperlink r:id="rId282" ref="A352"/>
    <hyperlink r:id="rId283" ref="A353"/>
    <hyperlink r:id="rId284" ref="A354"/>
    <hyperlink r:id="rId285" ref="A355"/>
    <hyperlink r:id="rId286" ref="A356"/>
    <hyperlink r:id="rId287" ref="A357"/>
    <hyperlink r:id="rId288" ref="A358"/>
    <hyperlink r:id="rId289" ref="A359"/>
    <hyperlink r:id="rId290" ref="A360"/>
    <hyperlink r:id="rId291" ref="A361"/>
    <hyperlink r:id="rId292" ref="A365"/>
    <hyperlink r:id="rId293" ref="A366"/>
    <hyperlink r:id="rId294" ref="A367"/>
    <hyperlink r:id="rId295" ref="A368"/>
    <hyperlink r:id="rId296" ref="A369"/>
    <hyperlink r:id="rId297" ref="A370"/>
    <hyperlink r:id="rId298" ref="A371"/>
    <hyperlink r:id="rId299" ref="A372"/>
    <hyperlink r:id="rId300" ref="A373"/>
    <hyperlink r:id="rId301" ref="A374"/>
    <hyperlink r:id="rId302" ref="A375"/>
    <hyperlink r:id="rId303" ref="A376"/>
    <hyperlink r:id="rId304" ref="A377"/>
    <hyperlink r:id="rId305" ref="A378"/>
    <hyperlink r:id="rId306" ref="A379"/>
    <hyperlink r:id="rId307" ref="A383"/>
    <hyperlink r:id="rId308" ref="A384"/>
    <hyperlink r:id="rId309" ref="A385"/>
    <hyperlink r:id="rId310" ref="A386"/>
    <hyperlink r:id="rId311" ref="A387"/>
    <hyperlink r:id="rId312" ref="A388"/>
    <hyperlink r:id="rId313" ref="A389"/>
    <hyperlink r:id="rId314" ref="A390"/>
    <hyperlink r:id="rId315" ref="A391"/>
    <hyperlink r:id="rId316" ref="A392"/>
    <hyperlink r:id="rId317" ref="A393"/>
    <hyperlink r:id="rId318" ref="A394"/>
    <hyperlink r:id="rId319" ref="A395"/>
    <hyperlink r:id="rId320" ref="A396"/>
    <hyperlink r:id="rId321" ref="A397"/>
    <hyperlink r:id="rId322" ref="A401"/>
    <hyperlink r:id="rId323" ref="A402"/>
    <hyperlink r:id="rId324" ref="A403"/>
    <hyperlink r:id="rId325" ref="A404"/>
    <hyperlink r:id="rId326" ref="A405"/>
    <hyperlink r:id="rId327" ref="A406"/>
    <hyperlink r:id="rId328" ref="A407"/>
    <hyperlink r:id="rId329" ref="A408"/>
    <hyperlink r:id="rId330" ref="A409"/>
    <hyperlink r:id="rId331" ref="A410"/>
    <hyperlink r:id="rId332" ref="A411"/>
    <hyperlink r:id="rId333" ref="A412"/>
    <hyperlink r:id="rId334" ref="A413"/>
    <hyperlink r:id="rId335" ref="A414"/>
    <hyperlink r:id="rId336" ref="A415"/>
    <hyperlink r:id="rId337" ref="A419"/>
    <hyperlink r:id="rId338" ref="A420"/>
    <hyperlink r:id="rId339" ref="A421"/>
    <hyperlink r:id="rId340" ref="A422"/>
    <hyperlink r:id="rId341" ref="A423"/>
    <hyperlink r:id="rId342" ref="A424"/>
    <hyperlink r:id="rId343" ref="A425"/>
    <hyperlink r:id="rId344" ref="A426"/>
    <hyperlink r:id="rId345" ref="A427"/>
    <hyperlink r:id="rId346" ref="A428"/>
    <hyperlink r:id="rId347" ref="A429"/>
    <hyperlink r:id="rId348" ref="A430"/>
    <hyperlink r:id="rId349" ref="A431"/>
    <hyperlink r:id="rId350" ref="A432"/>
    <hyperlink r:id="rId351" ref="A433"/>
    <hyperlink r:id="rId352" ref="A437"/>
    <hyperlink r:id="rId353" ref="A438"/>
    <hyperlink r:id="rId354" ref="A439"/>
    <hyperlink r:id="rId355" ref="A440"/>
    <hyperlink r:id="rId356" ref="A441"/>
    <hyperlink r:id="rId357" ref="A442"/>
    <hyperlink r:id="rId358" ref="A443"/>
    <hyperlink r:id="rId359" ref="A444"/>
    <hyperlink r:id="rId360" ref="A445"/>
    <hyperlink r:id="rId361" ref="A446"/>
    <hyperlink r:id="rId362" ref="A447"/>
    <hyperlink r:id="rId363" ref="A448"/>
    <hyperlink r:id="rId364" ref="A449"/>
    <hyperlink r:id="rId365" ref="A450"/>
    <hyperlink r:id="rId366" ref="A451"/>
    <hyperlink r:id="rId367" ref="A455"/>
    <hyperlink r:id="rId368" ref="A456"/>
    <hyperlink r:id="rId369" ref="A457"/>
    <hyperlink r:id="rId370" ref="A458"/>
    <hyperlink r:id="rId371" ref="A459"/>
    <hyperlink r:id="rId372" ref="A460"/>
    <hyperlink r:id="rId373" ref="A461"/>
    <hyperlink r:id="rId374" ref="A462"/>
    <hyperlink r:id="rId375" ref="A463"/>
    <hyperlink r:id="rId376" ref="A473"/>
    <hyperlink r:id="rId377" ref="A474"/>
    <hyperlink r:id="rId378" ref="A475"/>
    <hyperlink r:id="rId379" ref="A476"/>
    <hyperlink r:id="rId380" ref="A477"/>
    <hyperlink r:id="rId381" ref="A478"/>
    <hyperlink r:id="rId382" ref="A479"/>
    <hyperlink r:id="rId383" ref="A480"/>
    <hyperlink r:id="rId384" ref="A481"/>
    <hyperlink r:id="rId385" ref="A482"/>
    <hyperlink r:id="rId386" ref="A483"/>
    <hyperlink r:id="rId387" ref="A484"/>
    <hyperlink r:id="rId388" ref="A485"/>
    <hyperlink r:id="rId389" ref="A486"/>
    <hyperlink r:id="rId390" ref="A487"/>
    <hyperlink r:id="rId391" ref="A491"/>
    <hyperlink r:id="rId392" ref="A492"/>
    <hyperlink r:id="rId393" ref="A493"/>
    <hyperlink r:id="rId394" ref="A494"/>
    <hyperlink r:id="rId395" ref="A495"/>
    <hyperlink r:id="rId396" ref="A496"/>
    <hyperlink r:id="rId397" ref="A497"/>
    <hyperlink r:id="rId398" ref="A498"/>
    <hyperlink r:id="rId399" ref="A499"/>
    <hyperlink r:id="rId400" ref="A500"/>
    <hyperlink r:id="rId401" ref="A501"/>
    <hyperlink r:id="rId402" ref="A502"/>
    <hyperlink r:id="rId403" ref="A509"/>
    <hyperlink r:id="rId404" ref="A510"/>
    <hyperlink r:id="rId405" ref="A511"/>
    <hyperlink r:id="rId406" ref="A512"/>
    <hyperlink r:id="rId407" ref="A513"/>
    <hyperlink r:id="rId408" ref="A514"/>
    <hyperlink r:id="rId409" ref="A515"/>
    <hyperlink r:id="rId410" ref="A516"/>
    <hyperlink r:id="rId411" ref="A517"/>
    <hyperlink r:id="rId412" ref="A518"/>
    <hyperlink r:id="rId413" ref="A519"/>
    <hyperlink r:id="rId414" ref="A520"/>
    <hyperlink r:id="rId415" ref="A521"/>
    <hyperlink r:id="rId416" ref="A522"/>
    <hyperlink r:id="rId417" ref="A523"/>
    <hyperlink r:id="rId418" ref="A527"/>
    <hyperlink r:id="rId419" ref="A528"/>
    <hyperlink r:id="rId420" ref="A529"/>
    <hyperlink r:id="rId421" ref="A530"/>
    <hyperlink r:id="rId422" ref="A531"/>
    <hyperlink r:id="rId423" ref="A532"/>
    <hyperlink r:id="rId424" ref="A533"/>
    <hyperlink r:id="rId425" ref="A534"/>
    <hyperlink r:id="rId426" ref="A535"/>
    <hyperlink r:id="rId427" ref="A536"/>
    <hyperlink r:id="rId428" ref="A537"/>
    <hyperlink r:id="rId429" ref="A538"/>
    <hyperlink r:id="rId430" ref="A539"/>
    <hyperlink r:id="rId431" ref="A540"/>
    <hyperlink r:id="rId432" ref="A541"/>
    <hyperlink r:id="rId433" ref="A545"/>
    <hyperlink r:id="rId434" ref="A546"/>
    <hyperlink r:id="rId435" ref="A547"/>
    <hyperlink r:id="rId436" ref="A548"/>
    <hyperlink r:id="rId437" ref="A549"/>
    <hyperlink r:id="rId438" ref="A550"/>
    <hyperlink r:id="rId439" ref="A551"/>
    <hyperlink r:id="rId440" ref="A552"/>
    <hyperlink r:id="rId441" ref="A553"/>
    <hyperlink r:id="rId442" ref="A558"/>
    <hyperlink r:id="rId443" ref="A559"/>
    <hyperlink r:id="rId444" ref="A581"/>
    <hyperlink r:id="rId445" ref="A582"/>
    <hyperlink r:id="rId446" ref="A583"/>
    <hyperlink r:id="rId447" ref="A584"/>
    <hyperlink r:id="rId448" ref="A585"/>
    <hyperlink r:id="rId449" ref="A586"/>
    <hyperlink r:id="rId450" ref="A587"/>
    <hyperlink r:id="rId451" ref="A588"/>
    <hyperlink r:id="rId452" ref="A589"/>
    <hyperlink r:id="rId453" ref="A590"/>
    <hyperlink r:id="rId454" ref="A591"/>
    <hyperlink r:id="rId455" ref="A592"/>
    <hyperlink r:id="rId456" ref="A593"/>
    <hyperlink r:id="rId457" ref="A594"/>
    <hyperlink r:id="rId458" ref="A595"/>
    <hyperlink r:id="rId459" ref="A599"/>
    <hyperlink r:id="rId460" ref="A600"/>
    <hyperlink r:id="rId461" ref="A601"/>
    <hyperlink r:id="rId462" ref="A602"/>
    <hyperlink r:id="rId463" ref="A603"/>
    <hyperlink r:id="rId464" ref="A604"/>
    <hyperlink r:id="rId465" ref="A605"/>
    <hyperlink r:id="rId466" ref="A606"/>
    <hyperlink r:id="rId467" ref="A607"/>
    <hyperlink r:id="rId468" ref="A608"/>
    <hyperlink r:id="rId469" ref="A609"/>
    <hyperlink r:id="rId470" ref="A610"/>
    <hyperlink r:id="rId471" ref="A611"/>
    <hyperlink r:id="rId472" ref="A612"/>
    <hyperlink r:id="rId473" ref="A613"/>
    <hyperlink r:id="rId474" ref="A617"/>
    <hyperlink r:id="rId475" ref="A618"/>
    <hyperlink r:id="rId476" ref="A619"/>
    <hyperlink r:id="rId477" ref="A620"/>
    <hyperlink r:id="rId478" ref="A621"/>
    <hyperlink r:id="rId479" ref="A622"/>
    <hyperlink r:id="rId480" ref="A623"/>
    <hyperlink r:id="rId481" ref="A624"/>
    <hyperlink r:id="rId482" ref="A625"/>
    <hyperlink r:id="rId483" ref="A626"/>
    <hyperlink r:id="rId484" ref="A627"/>
    <hyperlink r:id="rId485" ref="A628"/>
    <hyperlink r:id="rId486" ref="A629"/>
    <hyperlink r:id="rId487" ref="A630"/>
    <hyperlink r:id="rId488" ref="A631"/>
    <hyperlink r:id="rId489" ref="A635"/>
    <hyperlink r:id="rId490" ref="A636"/>
    <hyperlink r:id="rId491" ref="A637"/>
    <hyperlink r:id="rId492" ref="A638"/>
    <hyperlink r:id="rId493" ref="A639"/>
    <hyperlink r:id="rId494" ref="A640"/>
    <hyperlink r:id="rId495" ref="A641"/>
    <hyperlink r:id="rId496" ref="A642"/>
    <hyperlink r:id="rId497" ref="A643"/>
    <hyperlink r:id="rId498" ref="A644"/>
    <hyperlink r:id="rId499" ref="A645"/>
    <hyperlink r:id="rId500" ref="A646"/>
    <hyperlink r:id="rId501" ref="A653"/>
    <hyperlink r:id="rId502" ref="A654"/>
    <hyperlink r:id="rId503" ref="A655"/>
    <hyperlink r:id="rId504" ref="A656"/>
    <hyperlink r:id="rId505" ref="A657"/>
    <hyperlink r:id="rId506" ref="A658"/>
    <hyperlink r:id="rId507" ref="A659"/>
    <hyperlink r:id="rId508" ref="A660"/>
    <hyperlink r:id="rId509" ref="A661"/>
    <hyperlink r:id="rId510" ref="A662"/>
    <hyperlink r:id="rId511" ref="A663"/>
    <hyperlink r:id="rId512" ref="A664"/>
    <hyperlink r:id="rId513" ref="A665"/>
    <hyperlink r:id="rId514" ref="A666"/>
    <hyperlink r:id="rId515" ref="A667"/>
    <hyperlink r:id="rId516" ref="A671"/>
    <hyperlink r:id="rId517" ref="A672"/>
    <hyperlink r:id="rId518" ref="A673"/>
    <hyperlink r:id="rId519" ref="A674"/>
    <hyperlink r:id="rId520" ref="A675"/>
    <hyperlink r:id="rId521" ref="A676"/>
    <hyperlink r:id="rId522" ref="A677"/>
    <hyperlink r:id="rId523" ref="A678"/>
    <hyperlink r:id="rId524" ref="A679"/>
    <hyperlink r:id="rId525" ref="A680"/>
    <hyperlink r:id="rId526" ref="A681"/>
    <hyperlink r:id="rId527" ref="A682"/>
    <hyperlink r:id="rId528" ref="A683"/>
    <hyperlink r:id="rId529" ref="A684"/>
    <hyperlink r:id="rId530" ref="A685"/>
    <hyperlink r:id="rId531" ref="A689"/>
    <hyperlink r:id="rId532" ref="A690"/>
    <hyperlink r:id="rId533" ref="A691"/>
    <hyperlink r:id="rId534" ref="A692"/>
    <hyperlink r:id="rId535" ref="A693"/>
    <hyperlink r:id="rId536" ref="A694"/>
    <hyperlink r:id="rId537" ref="A695"/>
    <hyperlink r:id="rId538" ref="A696"/>
    <hyperlink r:id="rId539" ref="A697"/>
    <hyperlink r:id="rId540" ref="A698"/>
    <hyperlink r:id="rId541" ref="A699"/>
    <hyperlink r:id="rId542" ref="A700"/>
  </hyperlinks>
  <drawing r:id="rId543"/>
  <tableParts count="22">
    <tablePart r:id="rId566"/>
    <tablePart r:id="rId567"/>
    <tablePart r:id="rId568"/>
    <tablePart r:id="rId569"/>
    <tablePart r:id="rId570"/>
    <tablePart r:id="rId571"/>
    <tablePart r:id="rId572"/>
    <tablePart r:id="rId573"/>
    <tablePart r:id="rId574"/>
    <tablePart r:id="rId575"/>
    <tablePart r:id="rId576"/>
    <tablePart r:id="rId577"/>
    <tablePart r:id="rId578"/>
    <tablePart r:id="rId579"/>
    <tablePart r:id="rId580"/>
    <tablePart r:id="rId581"/>
    <tablePart r:id="rId582"/>
    <tablePart r:id="rId583"/>
    <tablePart r:id="rId584"/>
    <tablePart r:id="rId585"/>
    <tablePart r:id="rId586"/>
    <tablePart r:id="rId58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226.5"/>
  </cols>
  <sheetData>
    <row r="1" hidden="1" collapsed="1">
      <c r="A1" s="206" t="s">
        <v>549</v>
      </c>
      <c r="B1" s="207"/>
      <c r="C1" s="207"/>
      <c r="D1" s="208"/>
      <c r="E1" s="109"/>
      <c r="F1" s="109"/>
      <c r="G1" s="110"/>
      <c r="H1" s="110"/>
      <c r="I1" s="110"/>
      <c r="J1" s="110"/>
      <c r="K1" s="110"/>
      <c r="L1" s="110"/>
      <c r="M1" s="111"/>
      <c r="N1" s="113"/>
    </row>
    <row r="2" hidden="1" outlineLevel="1">
      <c r="A2" s="115" t="s">
        <v>98</v>
      </c>
      <c r="B2" s="115" t="s">
        <v>100</v>
      </c>
      <c r="C2" s="115" t="s">
        <v>102</v>
      </c>
      <c r="D2" s="119" t="s">
        <v>103</v>
      </c>
      <c r="E2" s="275" t="s">
        <v>269</v>
      </c>
      <c r="F2" s="275" t="s">
        <v>272</v>
      </c>
      <c r="G2" s="276" t="s">
        <v>328</v>
      </c>
      <c r="H2" s="121" t="s">
        <v>107</v>
      </c>
      <c r="I2" s="121" t="s">
        <v>108</v>
      </c>
      <c r="J2" s="276" t="s">
        <v>329</v>
      </c>
      <c r="K2" s="121" t="s">
        <v>111</v>
      </c>
      <c r="L2" s="276" t="s">
        <v>274</v>
      </c>
      <c r="M2" s="115" t="s">
        <v>114</v>
      </c>
      <c r="N2" s="119" t="s">
        <v>115</v>
      </c>
    </row>
    <row r="3" hidden="1" outlineLevel="1">
      <c r="A3" s="255" t="s">
        <v>2330</v>
      </c>
      <c r="B3" s="344">
        <v>46041.0</v>
      </c>
      <c r="C3" s="133" t="str">
        <f t="shared" ref="C3:C17" si="1">IF(B3="", "", TEXT(B3, "ddd"))</f>
        <v>Mon</v>
      </c>
      <c r="D3" s="381">
        <f t="shared" ref="D3:D17" si="2">IF(E3="Yes",0.05,0)
+IF(F3="Yes",0.1,0)
+IF(G3="Yes",0.15,0)
+IF(H3="Yes",0.15,0)
+IF(I3="Yes",0.05,0)
+IF(J3="Yes",0.05,0)
+IF(K3="Yes",0.15,0)
+IF(L3="Yes",0.3,0)
</f>
        <v>1</v>
      </c>
      <c r="E3" s="474" t="s">
        <v>129</v>
      </c>
      <c r="F3" s="375" t="s">
        <v>129</v>
      </c>
      <c r="G3" s="375" t="s">
        <v>129</v>
      </c>
      <c r="H3" s="375" t="s">
        <v>129</v>
      </c>
      <c r="I3" s="375" t="s">
        <v>129</v>
      </c>
      <c r="J3" s="375" t="s">
        <v>129</v>
      </c>
      <c r="K3" s="375" t="s">
        <v>129</v>
      </c>
      <c r="L3" s="375" t="s">
        <v>129</v>
      </c>
      <c r="M3" s="141"/>
      <c r="N3" s="143"/>
    </row>
    <row r="4" hidden="1" outlineLevel="1">
      <c r="A4" s="255" t="s">
        <v>2334</v>
      </c>
      <c r="B4" s="344">
        <v>46041.0</v>
      </c>
      <c r="C4" s="133" t="str">
        <f t="shared" si="1"/>
        <v>Mon</v>
      </c>
      <c r="D4" s="383">
        <f t="shared" si="2"/>
        <v>1</v>
      </c>
      <c r="E4" s="475" t="s">
        <v>129</v>
      </c>
      <c r="F4" s="375" t="s">
        <v>129</v>
      </c>
      <c r="G4" s="375" t="s">
        <v>129</v>
      </c>
      <c r="H4" s="375" t="s">
        <v>129</v>
      </c>
      <c r="I4" s="375" t="s">
        <v>129</v>
      </c>
      <c r="J4" s="375" t="s">
        <v>129</v>
      </c>
      <c r="K4" s="375" t="s">
        <v>129</v>
      </c>
      <c r="L4" s="375" t="s">
        <v>129</v>
      </c>
      <c r="M4" s="141"/>
      <c r="N4" s="147"/>
    </row>
    <row r="5" hidden="1" outlineLevel="1">
      <c r="A5" s="255" t="s">
        <v>2337</v>
      </c>
      <c r="B5" s="344">
        <v>46041.0</v>
      </c>
      <c r="C5" s="133" t="str">
        <f t="shared" si="1"/>
        <v>Mon</v>
      </c>
      <c r="D5" s="381">
        <f t="shared" si="2"/>
        <v>1</v>
      </c>
      <c r="E5" s="474" t="s">
        <v>129</v>
      </c>
      <c r="F5" s="375" t="s">
        <v>129</v>
      </c>
      <c r="G5" s="375" t="s">
        <v>129</v>
      </c>
      <c r="H5" s="375" t="s">
        <v>129</v>
      </c>
      <c r="I5" s="375" t="s">
        <v>129</v>
      </c>
      <c r="J5" s="375" t="s">
        <v>129</v>
      </c>
      <c r="K5" s="375" t="s">
        <v>129</v>
      </c>
      <c r="L5" s="375" t="s">
        <v>129</v>
      </c>
      <c r="M5" s="141"/>
      <c r="N5" s="147"/>
    </row>
    <row r="6" hidden="1" outlineLevel="1">
      <c r="A6" s="303" t="s">
        <v>2338</v>
      </c>
      <c r="B6" s="344">
        <v>46044.0</v>
      </c>
      <c r="C6" s="133" t="str">
        <f t="shared" si="1"/>
        <v>Thu</v>
      </c>
      <c r="D6" s="383">
        <f t="shared" si="2"/>
        <v>1</v>
      </c>
      <c r="E6" s="475" t="s">
        <v>129</v>
      </c>
      <c r="F6" s="375" t="s">
        <v>129</v>
      </c>
      <c r="G6" s="375" t="s">
        <v>129</v>
      </c>
      <c r="H6" s="375" t="s">
        <v>129</v>
      </c>
      <c r="I6" s="375" t="s">
        <v>129</v>
      </c>
      <c r="J6" s="375" t="s">
        <v>129</v>
      </c>
      <c r="K6" s="375" t="s">
        <v>129</v>
      </c>
      <c r="L6" s="375" t="s">
        <v>129</v>
      </c>
      <c r="M6" s="141"/>
      <c r="N6" s="143"/>
    </row>
    <row r="7" hidden="1" outlineLevel="1">
      <c r="A7" s="303" t="s">
        <v>2341</v>
      </c>
      <c r="B7" s="344">
        <v>46044.0</v>
      </c>
      <c r="C7" s="133" t="str">
        <f t="shared" si="1"/>
        <v>Thu</v>
      </c>
      <c r="D7" s="381">
        <f t="shared" si="2"/>
        <v>0.85</v>
      </c>
      <c r="E7" s="382" t="s">
        <v>129</v>
      </c>
      <c r="F7" s="137" t="s">
        <v>129</v>
      </c>
      <c r="G7" s="137" t="s">
        <v>129</v>
      </c>
      <c r="H7" s="137" t="s">
        <v>174</v>
      </c>
      <c r="I7" s="137" t="s">
        <v>129</v>
      </c>
      <c r="J7" s="137" t="s">
        <v>129</v>
      </c>
      <c r="K7" s="137" t="s">
        <v>129</v>
      </c>
      <c r="L7" s="137" t="s">
        <v>129</v>
      </c>
      <c r="M7" s="141"/>
      <c r="N7" s="147" t="s">
        <v>2343</v>
      </c>
    </row>
    <row r="8" hidden="1" outlineLevel="1">
      <c r="A8" s="219" t="s">
        <v>2345</v>
      </c>
      <c r="B8" s="344">
        <v>46044.0</v>
      </c>
      <c r="C8" s="133" t="str">
        <f t="shared" si="1"/>
        <v>Thu</v>
      </c>
      <c r="D8" s="383">
        <f t="shared" si="2"/>
        <v>0.8</v>
      </c>
      <c r="E8" s="475" t="s">
        <v>129</v>
      </c>
      <c r="F8" s="375" t="s">
        <v>129</v>
      </c>
      <c r="G8" s="375" t="s">
        <v>129</v>
      </c>
      <c r="H8" s="375" t="s">
        <v>174</v>
      </c>
      <c r="I8" s="375" t="s">
        <v>129</v>
      </c>
      <c r="J8" s="375" t="s">
        <v>174</v>
      </c>
      <c r="K8" s="15" t="s">
        <v>129</v>
      </c>
      <c r="L8" s="375" t="s">
        <v>129</v>
      </c>
      <c r="M8" s="476"/>
      <c r="N8" s="143" t="s">
        <v>2347</v>
      </c>
    </row>
    <row r="9" hidden="1" outlineLevel="1">
      <c r="A9" s="219" t="s">
        <v>2348</v>
      </c>
      <c r="B9" s="344">
        <v>46045.0</v>
      </c>
      <c r="C9" s="133" t="str">
        <f t="shared" si="1"/>
        <v>Fri</v>
      </c>
      <c r="D9" s="381">
        <f t="shared" si="2"/>
        <v>1</v>
      </c>
      <c r="E9" s="474" t="s">
        <v>129</v>
      </c>
      <c r="F9" s="375" t="s">
        <v>129</v>
      </c>
      <c r="G9" s="375" t="s">
        <v>129</v>
      </c>
      <c r="H9" s="375" t="s">
        <v>129</v>
      </c>
      <c r="I9" s="375" t="s">
        <v>129</v>
      </c>
      <c r="J9" s="375" t="s">
        <v>129</v>
      </c>
      <c r="K9" s="375" t="s">
        <v>129</v>
      </c>
      <c r="L9" s="375" t="s">
        <v>129</v>
      </c>
      <c r="M9" s="141"/>
      <c r="N9" s="147"/>
    </row>
    <row r="10" hidden="1" outlineLevel="1">
      <c r="A10" s="219" t="s">
        <v>2350</v>
      </c>
      <c r="B10" s="344">
        <v>46045.0</v>
      </c>
      <c r="C10" s="133" t="str">
        <f t="shared" si="1"/>
        <v>Fri</v>
      </c>
      <c r="D10" s="383">
        <f t="shared" si="2"/>
        <v>1</v>
      </c>
      <c r="E10" s="147" t="s">
        <v>129</v>
      </c>
      <c r="F10" s="137" t="s">
        <v>129</v>
      </c>
      <c r="G10" s="137" t="s">
        <v>129</v>
      </c>
      <c r="H10" s="137" t="s">
        <v>129</v>
      </c>
      <c r="I10" s="137" t="s">
        <v>129</v>
      </c>
      <c r="J10" s="137" t="s">
        <v>129</v>
      </c>
      <c r="K10" s="137" t="s">
        <v>129</v>
      </c>
      <c r="L10" s="137" t="s">
        <v>129</v>
      </c>
      <c r="M10" s="141"/>
      <c r="N10" s="147"/>
    </row>
    <row r="11" hidden="1" outlineLevel="1">
      <c r="A11" s="219" t="s">
        <v>2351</v>
      </c>
      <c r="B11" s="344">
        <v>46045.0</v>
      </c>
      <c r="C11" s="133" t="str">
        <f t="shared" si="1"/>
        <v>Fri</v>
      </c>
      <c r="D11" s="381">
        <f t="shared" si="2"/>
        <v>1</v>
      </c>
      <c r="E11" s="382" t="s">
        <v>129</v>
      </c>
      <c r="F11" s="137" t="s">
        <v>129</v>
      </c>
      <c r="G11" s="137" t="s">
        <v>129</v>
      </c>
      <c r="H11" s="137" t="s">
        <v>129</v>
      </c>
      <c r="I11" s="137" t="s">
        <v>129</v>
      </c>
      <c r="J11" s="137" t="s">
        <v>129</v>
      </c>
      <c r="K11" s="137" t="s">
        <v>129</v>
      </c>
      <c r="L11" s="137" t="s">
        <v>129</v>
      </c>
      <c r="M11" s="141"/>
      <c r="N11" s="143"/>
    </row>
    <row r="12" hidden="1" outlineLevel="1">
      <c r="A12" s="219" t="s">
        <v>2354</v>
      </c>
      <c r="B12" s="344">
        <v>46046.0</v>
      </c>
      <c r="C12" s="133" t="str">
        <f t="shared" si="1"/>
        <v>Sat</v>
      </c>
      <c r="D12" s="383">
        <f t="shared" si="2"/>
        <v>1</v>
      </c>
      <c r="E12" s="147" t="s">
        <v>129</v>
      </c>
      <c r="F12" s="137" t="s">
        <v>129</v>
      </c>
      <c r="G12" s="137" t="s">
        <v>129</v>
      </c>
      <c r="H12" s="137" t="s">
        <v>129</v>
      </c>
      <c r="I12" s="137" t="s">
        <v>129</v>
      </c>
      <c r="J12" s="137" t="s">
        <v>129</v>
      </c>
      <c r="K12" s="137" t="s">
        <v>129</v>
      </c>
      <c r="L12" s="137" t="s">
        <v>129</v>
      </c>
      <c r="M12" s="141"/>
      <c r="N12" s="143"/>
    </row>
    <row r="13" hidden="1" outlineLevel="1">
      <c r="A13" s="219" t="s">
        <v>2356</v>
      </c>
      <c r="B13" s="344">
        <v>46046.0</v>
      </c>
      <c r="C13" s="133" t="str">
        <f t="shared" si="1"/>
        <v>Sat</v>
      </c>
      <c r="D13" s="381">
        <f t="shared" si="2"/>
        <v>1</v>
      </c>
      <c r="E13" s="382" t="s">
        <v>129</v>
      </c>
      <c r="F13" s="137" t="s">
        <v>129</v>
      </c>
      <c r="G13" s="137" t="s">
        <v>129</v>
      </c>
      <c r="H13" s="137" t="s">
        <v>129</v>
      </c>
      <c r="I13" s="137" t="s">
        <v>129</v>
      </c>
      <c r="J13" s="137" t="s">
        <v>129</v>
      </c>
      <c r="K13" s="137" t="s">
        <v>129</v>
      </c>
      <c r="L13" s="137" t="s">
        <v>129</v>
      </c>
      <c r="M13" s="141"/>
      <c r="N13" s="147"/>
    </row>
    <row r="14" hidden="1" outlineLevel="1">
      <c r="A14" s="219" t="s">
        <v>2357</v>
      </c>
      <c r="B14" s="344">
        <v>46046.0</v>
      </c>
      <c r="C14" s="133" t="str">
        <f t="shared" si="1"/>
        <v>Sat</v>
      </c>
      <c r="D14" s="383">
        <f t="shared" si="2"/>
        <v>1</v>
      </c>
      <c r="E14" s="147" t="s">
        <v>129</v>
      </c>
      <c r="F14" s="137" t="s">
        <v>129</v>
      </c>
      <c r="G14" s="137" t="s">
        <v>129</v>
      </c>
      <c r="H14" s="137" t="s">
        <v>129</v>
      </c>
      <c r="I14" s="137" t="s">
        <v>129</v>
      </c>
      <c r="J14" s="137" t="s">
        <v>129</v>
      </c>
      <c r="K14" s="137" t="s">
        <v>129</v>
      </c>
      <c r="L14" s="137" t="s">
        <v>129</v>
      </c>
      <c r="M14" s="141"/>
      <c r="N14" s="143"/>
    </row>
    <row r="15" hidden="1" outlineLevel="1">
      <c r="A15" s="219" t="s">
        <v>2359</v>
      </c>
      <c r="B15" s="344">
        <v>46047.0</v>
      </c>
      <c r="C15" s="186" t="str">
        <f t="shared" si="1"/>
        <v>Sun</v>
      </c>
      <c r="D15" s="381">
        <f t="shared" si="2"/>
        <v>1</v>
      </c>
      <c r="E15" s="382" t="s">
        <v>129</v>
      </c>
      <c r="F15" s="137" t="s">
        <v>129</v>
      </c>
      <c r="G15" s="137" t="s">
        <v>129</v>
      </c>
      <c r="H15" s="137" t="s">
        <v>129</v>
      </c>
      <c r="I15" s="137" t="s">
        <v>129</v>
      </c>
      <c r="J15" s="137" t="s">
        <v>129</v>
      </c>
      <c r="K15" s="137" t="s">
        <v>129</v>
      </c>
      <c r="L15" s="137" t="s">
        <v>129</v>
      </c>
      <c r="M15" s="141"/>
      <c r="N15" s="143"/>
    </row>
    <row r="16" hidden="1" outlineLevel="1">
      <c r="A16" s="219" t="s">
        <v>2361</v>
      </c>
      <c r="B16" s="344">
        <v>46047.0</v>
      </c>
      <c r="C16" s="186" t="str">
        <f t="shared" si="1"/>
        <v>Sun</v>
      </c>
      <c r="D16" s="383">
        <f t="shared" si="2"/>
        <v>1</v>
      </c>
      <c r="E16" s="147" t="s">
        <v>129</v>
      </c>
      <c r="F16" s="137" t="s">
        <v>129</v>
      </c>
      <c r="G16" s="137" t="s">
        <v>129</v>
      </c>
      <c r="H16" s="137" t="s">
        <v>129</v>
      </c>
      <c r="I16" s="137" t="s">
        <v>129</v>
      </c>
      <c r="J16" s="137" t="s">
        <v>129</v>
      </c>
      <c r="K16" s="137" t="s">
        <v>129</v>
      </c>
      <c r="L16" s="137" t="s">
        <v>129</v>
      </c>
      <c r="M16" s="141"/>
      <c r="N16" s="143"/>
    </row>
    <row r="17" ht="15.0" hidden="1" customHeight="1" outlineLevel="1">
      <c r="A17" s="219" t="s">
        <v>2363</v>
      </c>
      <c r="B17" s="344">
        <v>46047.0</v>
      </c>
      <c r="C17" s="186" t="str">
        <f t="shared" si="1"/>
        <v>Sun</v>
      </c>
      <c r="D17" s="381">
        <f t="shared" si="2"/>
        <v>1</v>
      </c>
      <c r="E17" s="382" t="s">
        <v>129</v>
      </c>
      <c r="F17" s="137" t="s">
        <v>129</v>
      </c>
      <c r="G17" s="137" t="s">
        <v>129</v>
      </c>
      <c r="H17" s="137" t="s">
        <v>129</v>
      </c>
      <c r="I17" s="137" t="s">
        <v>129</v>
      </c>
      <c r="J17" s="137" t="s">
        <v>129</v>
      </c>
      <c r="K17" s="137" t="s">
        <v>129</v>
      </c>
      <c r="L17" s="137" t="s">
        <v>129</v>
      </c>
      <c r="M17" s="141"/>
      <c r="N17" s="147"/>
    </row>
    <row r="18" hidden="1" outlineLevel="1">
      <c r="B18" s="189"/>
      <c r="C18" s="191" t="s">
        <v>194</v>
      </c>
      <c r="D18" s="204">
        <f>AVERAGE(D3:D17)</f>
        <v>0.9766666667</v>
      </c>
      <c r="E18" s="384"/>
      <c r="L18" s="191" t="s">
        <v>194</v>
      </c>
      <c r="M18" s="204">
        <f>SUM(M3:M17)/75*0.1</f>
        <v>0</v>
      </c>
    </row>
    <row r="19" hidden="1" collapsed="1">
      <c r="A19" s="206" t="s">
        <v>578</v>
      </c>
      <c r="B19" s="207"/>
      <c r="C19" s="207"/>
      <c r="D19" s="385"/>
      <c r="E19" s="109"/>
      <c r="F19" s="109"/>
      <c r="G19" s="110"/>
      <c r="H19" s="110"/>
      <c r="I19" s="110"/>
      <c r="J19" s="110"/>
      <c r="K19" s="110"/>
      <c r="L19" s="110"/>
      <c r="M19" s="111"/>
      <c r="N19" s="113"/>
    </row>
    <row r="20" hidden="1" outlineLevel="1">
      <c r="A20" s="115" t="s">
        <v>98</v>
      </c>
      <c r="B20" s="115" t="s">
        <v>100</v>
      </c>
      <c r="C20" s="115" t="s">
        <v>102</v>
      </c>
      <c r="D20" s="119" t="s">
        <v>103</v>
      </c>
      <c r="E20" s="275" t="s">
        <v>269</v>
      </c>
      <c r="F20" s="275" t="s">
        <v>272</v>
      </c>
      <c r="G20" s="276" t="s">
        <v>328</v>
      </c>
      <c r="H20" s="121" t="s">
        <v>107</v>
      </c>
      <c r="I20" s="121" t="s">
        <v>108</v>
      </c>
      <c r="J20" s="276" t="s">
        <v>329</v>
      </c>
      <c r="K20" s="121" t="s">
        <v>111</v>
      </c>
      <c r="L20" s="276" t="s">
        <v>274</v>
      </c>
      <c r="M20" s="115" t="s">
        <v>114</v>
      </c>
      <c r="N20" s="119" t="s">
        <v>115</v>
      </c>
    </row>
    <row r="21" hidden="1" outlineLevel="1">
      <c r="A21" s="303" t="s">
        <v>2367</v>
      </c>
      <c r="B21" s="344">
        <v>46048.0</v>
      </c>
      <c r="C21" s="133" t="str">
        <f t="shared" ref="C21:C35" si="3">IF(B21="", "", TEXT(B21, "ddd"))</f>
        <v>Mon</v>
      </c>
      <c r="D21" s="381">
        <f t="shared" ref="D21:D35" si="4">IF(E21="Yes",0.05,0)
+IF(F21="Yes",0.1,0)
+IF(G21="Yes",0.15,0)
+IF(H21="Yes",0.15,0)
+IF(I21="Yes",0.05,0)
+IF(J21="Yes",0.05,0)
+IF(K21="Yes",0.15,0)
+IF(L21="Yes",0.3,0)
</f>
        <v>1</v>
      </c>
      <c r="E21" s="382" t="s">
        <v>129</v>
      </c>
      <c r="F21" s="137" t="s">
        <v>129</v>
      </c>
      <c r="G21" s="137" t="s">
        <v>129</v>
      </c>
      <c r="H21" s="137" t="s">
        <v>129</v>
      </c>
      <c r="I21" s="137" t="s">
        <v>129</v>
      </c>
      <c r="J21" s="137" t="s">
        <v>129</v>
      </c>
      <c r="K21" s="137" t="s">
        <v>129</v>
      </c>
      <c r="L21" s="137" t="s">
        <v>129</v>
      </c>
      <c r="M21" s="141"/>
      <c r="N21" s="143"/>
    </row>
    <row r="22" hidden="1" outlineLevel="1">
      <c r="A22" s="303" t="s">
        <v>2371</v>
      </c>
      <c r="B22" s="344">
        <v>46048.0</v>
      </c>
      <c r="C22" s="133" t="str">
        <f t="shared" si="3"/>
        <v>Mon</v>
      </c>
      <c r="D22" s="383">
        <f t="shared" si="4"/>
        <v>1</v>
      </c>
      <c r="E22" s="147" t="s">
        <v>129</v>
      </c>
      <c r="F22" s="137" t="s">
        <v>129</v>
      </c>
      <c r="G22" s="137" t="s">
        <v>129</v>
      </c>
      <c r="H22" s="137" t="s">
        <v>129</v>
      </c>
      <c r="I22" s="137" t="s">
        <v>129</v>
      </c>
      <c r="J22" s="137" t="s">
        <v>129</v>
      </c>
      <c r="K22" s="137" t="s">
        <v>129</v>
      </c>
      <c r="L22" s="137" t="s">
        <v>129</v>
      </c>
      <c r="M22" s="141"/>
      <c r="N22" s="147"/>
    </row>
    <row r="23" hidden="1" outlineLevel="1">
      <c r="A23" s="303" t="s">
        <v>2374</v>
      </c>
      <c r="B23" s="344">
        <v>46048.0</v>
      </c>
      <c r="C23" s="133" t="str">
        <f t="shared" si="3"/>
        <v>Mon</v>
      </c>
      <c r="D23" s="381">
        <f t="shared" si="4"/>
        <v>1</v>
      </c>
      <c r="E23" s="382" t="s">
        <v>129</v>
      </c>
      <c r="F23" s="137" t="s">
        <v>129</v>
      </c>
      <c r="G23" s="137" t="s">
        <v>129</v>
      </c>
      <c r="H23" s="137" t="s">
        <v>129</v>
      </c>
      <c r="I23" s="137" t="s">
        <v>129</v>
      </c>
      <c r="J23" s="137" t="s">
        <v>129</v>
      </c>
      <c r="K23" s="137" t="s">
        <v>129</v>
      </c>
      <c r="L23" s="137" t="s">
        <v>129</v>
      </c>
      <c r="M23" s="141"/>
      <c r="N23" s="147"/>
    </row>
    <row r="24" hidden="1" outlineLevel="1">
      <c r="A24" s="219" t="s">
        <v>2378</v>
      </c>
      <c r="B24" s="344">
        <v>46049.0</v>
      </c>
      <c r="C24" s="133" t="str">
        <f t="shared" si="3"/>
        <v>Tue</v>
      </c>
      <c r="D24" s="383">
        <f t="shared" si="4"/>
        <v>1</v>
      </c>
      <c r="E24" s="147" t="s">
        <v>129</v>
      </c>
      <c r="F24" s="137" t="s">
        <v>129</v>
      </c>
      <c r="G24" s="137" t="s">
        <v>129</v>
      </c>
      <c r="H24" s="137" t="s">
        <v>129</v>
      </c>
      <c r="I24" s="137" t="s">
        <v>129</v>
      </c>
      <c r="J24" s="137" t="s">
        <v>129</v>
      </c>
      <c r="K24" s="137" t="s">
        <v>129</v>
      </c>
      <c r="L24" s="137" t="s">
        <v>129</v>
      </c>
      <c r="M24" s="141"/>
      <c r="N24" s="143"/>
    </row>
    <row r="25" hidden="1" outlineLevel="1">
      <c r="A25" s="219" t="s">
        <v>2381</v>
      </c>
      <c r="B25" s="344">
        <v>46049.0</v>
      </c>
      <c r="C25" s="133" t="str">
        <f t="shared" si="3"/>
        <v>Tue</v>
      </c>
      <c r="D25" s="381">
        <f t="shared" si="4"/>
        <v>1</v>
      </c>
      <c r="E25" s="382" t="s">
        <v>129</v>
      </c>
      <c r="F25" s="137" t="s">
        <v>129</v>
      </c>
      <c r="G25" s="137" t="s">
        <v>129</v>
      </c>
      <c r="H25" s="137" t="s">
        <v>129</v>
      </c>
      <c r="I25" s="137" t="s">
        <v>129</v>
      </c>
      <c r="J25" s="137" t="s">
        <v>129</v>
      </c>
      <c r="K25" s="137" t="s">
        <v>129</v>
      </c>
      <c r="L25" s="137" t="s">
        <v>129</v>
      </c>
      <c r="M25" s="141"/>
      <c r="N25" s="143"/>
    </row>
    <row r="26" hidden="1" outlineLevel="1">
      <c r="A26" s="219" t="s">
        <v>2383</v>
      </c>
      <c r="B26" s="344">
        <v>46049.0</v>
      </c>
      <c r="C26" s="133" t="str">
        <f t="shared" si="3"/>
        <v>Tue</v>
      </c>
      <c r="D26" s="383">
        <f t="shared" si="4"/>
        <v>1</v>
      </c>
      <c r="E26" s="147" t="s">
        <v>129</v>
      </c>
      <c r="F26" s="137" t="s">
        <v>129</v>
      </c>
      <c r="G26" s="137" t="s">
        <v>129</v>
      </c>
      <c r="H26" s="137" t="s">
        <v>129</v>
      </c>
      <c r="I26" s="137" t="s">
        <v>129</v>
      </c>
      <c r="J26" s="137" t="s">
        <v>129</v>
      </c>
      <c r="K26" s="137" t="s">
        <v>129</v>
      </c>
      <c r="L26" s="137" t="s">
        <v>129</v>
      </c>
      <c r="M26" s="141"/>
      <c r="N26" s="143"/>
    </row>
    <row r="27" hidden="1" outlineLevel="1">
      <c r="A27" s="303" t="s">
        <v>2385</v>
      </c>
      <c r="B27" s="344">
        <v>46051.0</v>
      </c>
      <c r="C27" s="133" t="str">
        <f t="shared" si="3"/>
        <v>Thu</v>
      </c>
      <c r="D27" s="381">
        <f t="shared" si="4"/>
        <v>1</v>
      </c>
      <c r="E27" s="382" t="s">
        <v>129</v>
      </c>
      <c r="F27" s="137" t="s">
        <v>129</v>
      </c>
      <c r="G27" s="137" t="s">
        <v>129</v>
      </c>
      <c r="H27" s="137" t="s">
        <v>129</v>
      </c>
      <c r="I27" s="137" t="s">
        <v>129</v>
      </c>
      <c r="J27" s="137" t="s">
        <v>129</v>
      </c>
      <c r="K27" s="137" t="s">
        <v>129</v>
      </c>
      <c r="L27" s="137" t="s">
        <v>129</v>
      </c>
      <c r="M27" s="141"/>
      <c r="N27" s="143"/>
    </row>
    <row r="28" hidden="1" outlineLevel="1">
      <c r="A28" s="303" t="s">
        <v>2387</v>
      </c>
      <c r="B28" s="344">
        <v>46051.0</v>
      </c>
      <c r="C28" s="133" t="str">
        <f t="shared" si="3"/>
        <v>Thu</v>
      </c>
      <c r="D28" s="383">
        <f t="shared" si="4"/>
        <v>1</v>
      </c>
      <c r="E28" s="147" t="s">
        <v>129</v>
      </c>
      <c r="F28" s="137" t="s">
        <v>129</v>
      </c>
      <c r="G28" s="137" t="s">
        <v>129</v>
      </c>
      <c r="H28" s="137" t="s">
        <v>129</v>
      </c>
      <c r="I28" s="137" t="s">
        <v>129</v>
      </c>
      <c r="J28" s="137" t="s">
        <v>129</v>
      </c>
      <c r="K28" s="137" t="s">
        <v>129</v>
      </c>
      <c r="L28" s="137" t="s">
        <v>129</v>
      </c>
      <c r="M28" s="141"/>
      <c r="N28" s="147"/>
    </row>
    <row r="29" hidden="1" outlineLevel="1">
      <c r="A29" s="303" t="s">
        <v>2389</v>
      </c>
      <c r="B29" s="344">
        <v>46051.0</v>
      </c>
      <c r="C29" s="133" t="str">
        <f t="shared" si="3"/>
        <v>Thu</v>
      </c>
      <c r="D29" s="381">
        <f t="shared" si="4"/>
        <v>1</v>
      </c>
      <c r="E29" s="382" t="s">
        <v>129</v>
      </c>
      <c r="F29" s="137" t="s">
        <v>129</v>
      </c>
      <c r="G29" s="137" t="s">
        <v>129</v>
      </c>
      <c r="H29" s="137" t="s">
        <v>129</v>
      </c>
      <c r="I29" s="137" t="s">
        <v>129</v>
      </c>
      <c r="J29" s="137" t="s">
        <v>129</v>
      </c>
      <c r="K29" s="137" t="s">
        <v>129</v>
      </c>
      <c r="L29" s="137" t="s">
        <v>129</v>
      </c>
      <c r="M29" s="141"/>
      <c r="N29" s="143"/>
    </row>
    <row r="30" hidden="1" outlineLevel="1">
      <c r="A30" s="303" t="s">
        <v>2390</v>
      </c>
      <c r="B30" s="344">
        <v>46052.0</v>
      </c>
      <c r="C30" s="133" t="str">
        <f t="shared" si="3"/>
        <v>Fri</v>
      </c>
      <c r="D30" s="383">
        <f t="shared" si="4"/>
        <v>1</v>
      </c>
      <c r="E30" s="147" t="s">
        <v>129</v>
      </c>
      <c r="F30" s="137" t="s">
        <v>129</v>
      </c>
      <c r="G30" s="137" t="s">
        <v>129</v>
      </c>
      <c r="H30" s="137" t="s">
        <v>129</v>
      </c>
      <c r="I30" s="137" t="s">
        <v>129</v>
      </c>
      <c r="J30" s="137" t="s">
        <v>129</v>
      </c>
      <c r="K30" s="137" t="s">
        <v>129</v>
      </c>
      <c r="L30" s="137" t="s">
        <v>129</v>
      </c>
      <c r="M30" s="141"/>
      <c r="N30" s="147"/>
    </row>
    <row r="31" hidden="1" outlineLevel="1">
      <c r="A31" s="303" t="s">
        <v>2393</v>
      </c>
      <c r="B31" s="344">
        <v>46052.0</v>
      </c>
      <c r="C31" s="133" t="str">
        <f t="shared" si="3"/>
        <v>Fri</v>
      </c>
      <c r="D31" s="381">
        <f t="shared" si="4"/>
        <v>1</v>
      </c>
      <c r="E31" s="382" t="s">
        <v>129</v>
      </c>
      <c r="F31" s="137" t="s">
        <v>129</v>
      </c>
      <c r="G31" s="137" t="s">
        <v>129</v>
      </c>
      <c r="H31" s="137" t="s">
        <v>129</v>
      </c>
      <c r="I31" s="137" t="s">
        <v>129</v>
      </c>
      <c r="J31" s="137" t="s">
        <v>129</v>
      </c>
      <c r="K31" s="137" t="s">
        <v>129</v>
      </c>
      <c r="L31" s="137" t="s">
        <v>129</v>
      </c>
      <c r="M31" s="141"/>
      <c r="N31" s="147"/>
    </row>
    <row r="32" hidden="1" outlineLevel="1">
      <c r="A32" s="303" t="s">
        <v>2395</v>
      </c>
      <c r="B32" s="344">
        <v>46052.0</v>
      </c>
      <c r="C32" s="133" t="str">
        <f t="shared" si="3"/>
        <v>Fri</v>
      </c>
      <c r="D32" s="383">
        <f t="shared" si="4"/>
        <v>1</v>
      </c>
      <c r="E32" s="147" t="s">
        <v>129</v>
      </c>
      <c r="F32" s="137" t="s">
        <v>129</v>
      </c>
      <c r="G32" s="137" t="s">
        <v>129</v>
      </c>
      <c r="H32" s="137" t="s">
        <v>129</v>
      </c>
      <c r="I32" s="137" t="s">
        <v>129</v>
      </c>
      <c r="J32" s="137" t="s">
        <v>129</v>
      </c>
      <c r="K32" s="137" t="s">
        <v>129</v>
      </c>
      <c r="L32" s="137" t="s">
        <v>129</v>
      </c>
      <c r="M32" s="141"/>
      <c r="N32" s="147"/>
    </row>
    <row r="33" hidden="1" outlineLevel="1">
      <c r="A33" s="303" t="s">
        <v>2398</v>
      </c>
      <c r="B33" s="344">
        <v>46053.0</v>
      </c>
      <c r="C33" s="186" t="str">
        <f t="shared" si="3"/>
        <v>Sat</v>
      </c>
      <c r="D33" s="381">
        <f t="shared" si="4"/>
        <v>1</v>
      </c>
      <c r="E33" s="382" t="s">
        <v>129</v>
      </c>
      <c r="F33" s="137" t="s">
        <v>129</v>
      </c>
      <c r="G33" s="137" t="s">
        <v>129</v>
      </c>
      <c r="H33" s="137" t="s">
        <v>129</v>
      </c>
      <c r="I33" s="137" t="s">
        <v>129</v>
      </c>
      <c r="J33" s="137" t="s">
        <v>129</v>
      </c>
      <c r="K33" s="137" t="s">
        <v>129</v>
      </c>
      <c r="L33" s="137" t="s">
        <v>129</v>
      </c>
      <c r="M33" s="141"/>
      <c r="N33" s="143"/>
    </row>
    <row r="34" hidden="1" outlineLevel="1">
      <c r="A34" s="303" t="s">
        <v>2401</v>
      </c>
      <c r="B34" s="344">
        <v>46053.0</v>
      </c>
      <c r="C34" s="186" t="str">
        <f t="shared" si="3"/>
        <v>Sat</v>
      </c>
      <c r="D34" s="383">
        <f t="shared" si="4"/>
        <v>1</v>
      </c>
      <c r="E34" s="147" t="s">
        <v>129</v>
      </c>
      <c r="F34" s="137" t="s">
        <v>129</v>
      </c>
      <c r="G34" s="137" t="s">
        <v>129</v>
      </c>
      <c r="H34" s="137" t="s">
        <v>129</v>
      </c>
      <c r="I34" s="137" t="s">
        <v>129</v>
      </c>
      <c r="J34" s="137" t="s">
        <v>129</v>
      </c>
      <c r="K34" s="137" t="s">
        <v>129</v>
      </c>
      <c r="L34" s="137" t="s">
        <v>129</v>
      </c>
      <c r="M34" s="141"/>
      <c r="N34" s="143"/>
    </row>
    <row r="35" ht="15.0" hidden="1" customHeight="1" outlineLevel="1">
      <c r="A35" s="303" t="s">
        <v>2402</v>
      </c>
      <c r="B35" s="344">
        <v>46053.0</v>
      </c>
      <c r="C35" s="186" t="str">
        <f t="shared" si="3"/>
        <v>Sat</v>
      </c>
      <c r="D35" s="381">
        <f t="shared" si="4"/>
        <v>1</v>
      </c>
      <c r="E35" s="382" t="s">
        <v>129</v>
      </c>
      <c r="F35" s="137" t="s">
        <v>129</v>
      </c>
      <c r="G35" s="137" t="s">
        <v>129</v>
      </c>
      <c r="H35" s="137" t="s">
        <v>129</v>
      </c>
      <c r="I35" s="137" t="s">
        <v>129</v>
      </c>
      <c r="J35" s="137" t="s">
        <v>129</v>
      </c>
      <c r="K35" s="137" t="s">
        <v>129</v>
      </c>
      <c r="L35" s="137" t="s">
        <v>129</v>
      </c>
      <c r="M35" s="141"/>
      <c r="N35" s="147"/>
    </row>
    <row r="36" hidden="1" outlineLevel="1">
      <c r="B36" s="189"/>
      <c r="C36" s="191" t="s">
        <v>194</v>
      </c>
      <c r="D36" s="204">
        <f>AVERAGE(D21:D35)</f>
        <v>1</v>
      </c>
      <c r="E36" s="384"/>
      <c r="L36" s="191" t="s">
        <v>194</v>
      </c>
      <c r="M36" s="204">
        <f>SUM(M21:M35)/75*0.1</f>
        <v>0</v>
      </c>
    </row>
    <row r="37" hidden="1" collapsed="1">
      <c r="A37" s="206" t="s">
        <v>613</v>
      </c>
      <c r="B37" s="207"/>
      <c r="C37" s="207"/>
      <c r="D37" s="385"/>
      <c r="E37" s="109"/>
      <c r="F37" s="109"/>
      <c r="G37" s="110"/>
      <c r="H37" s="110"/>
      <c r="I37" s="110"/>
      <c r="J37" s="110"/>
      <c r="K37" s="110"/>
      <c r="L37" s="110"/>
      <c r="M37" s="111"/>
      <c r="N37" s="113"/>
    </row>
    <row r="38" hidden="1" outlineLevel="1">
      <c r="A38" s="115" t="s">
        <v>98</v>
      </c>
      <c r="B38" s="115" t="s">
        <v>100</v>
      </c>
      <c r="C38" s="115" t="s">
        <v>102</v>
      </c>
      <c r="D38" s="119" t="s">
        <v>103</v>
      </c>
      <c r="E38" s="275" t="s">
        <v>269</v>
      </c>
      <c r="F38" s="275" t="s">
        <v>272</v>
      </c>
      <c r="G38" s="276" t="s">
        <v>328</v>
      </c>
      <c r="H38" s="121" t="s">
        <v>107</v>
      </c>
      <c r="I38" s="121" t="s">
        <v>108</v>
      </c>
      <c r="J38" s="276" t="s">
        <v>329</v>
      </c>
      <c r="K38" s="121" t="s">
        <v>111</v>
      </c>
      <c r="L38" s="276" t="s">
        <v>274</v>
      </c>
      <c r="M38" s="115" t="s">
        <v>114</v>
      </c>
      <c r="N38" s="119" t="s">
        <v>115</v>
      </c>
    </row>
    <row r="39" hidden="1" outlineLevel="1">
      <c r="A39" s="303" t="s">
        <v>2406</v>
      </c>
      <c r="B39" s="344">
        <v>46055.0</v>
      </c>
      <c r="C39" s="133" t="str">
        <f t="shared" ref="C39:C53" si="5">IF(B39="", "", TEXT(B39, "ddd"))</f>
        <v>Mon</v>
      </c>
      <c r="D39" s="381">
        <f t="shared" ref="D39:D53" si="6">IF(E39="Yes",0.05,0)
+IF(F39="Yes",0.1,0)
+IF(G39="Yes",0.15,0)
+IF(H39="Yes",0.15,0)
+IF(I39="Yes",0.05,0)
+IF(J39="Yes",0.05,0)
+IF(K39="Yes",0.15,0)
+IF(L39="Yes",0.3,0)
</f>
        <v>1</v>
      </c>
      <c r="E39" s="382" t="s">
        <v>129</v>
      </c>
      <c r="F39" s="137" t="s">
        <v>129</v>
      </c>
      <c r="G39" s="137" t="s">
        <v>129</v>
      </c>
      <c r="H39" s="137" t="s">
        <v>129</v>
      </c>
      <c r="I39" s="137" t="s">
        <v>129</v>
      </c>
      <c r="J39" s="137" t="s">
        <v>129</v>
      </c>
      <c r="K39" s="137" t="s">
        <v>129</v>
      </c>
      <c r="L39" s="137" t="s">
        <v>129</v>
      </c>
      <c r="M39" s="141"/>
      <c r="N39" s="143"/>
    </row>
    <row r="40" hidden="1" outlineLevel="1">
      <c r="A40" s="303" t="s">
        <v>2409</v>
      </c>
      <c r="B40" s="344">
        <v>46055.0</v>
      </c>
      <c r="C40" s="133" t="str">
        <f t="shared" si="5"/>
        <v>Mon</v>
      </c>
      <c r="D40" s="383">
        <f t="shared" si="6"/>
        <v>1</v>
      </c>
      <c r="E40" s="147" t="s">
        <v>129</v>
      </c>
      <c r="F40" s="137" t="s">
        <v>129</v>
      </c>
      <c r="G40" s="137" t="s">
        <v>129</v>
      </c>
      <c r="H40" s="137" t="s">
        <v>129</v>
      </c>
      <c r="I40" s="137" t="s">
        <v>129</v>
      </c>
      <c r="J40" s="137" t="s">
        <v>129</v>
      </c>
      <c r="K40" s="137" t="s">
        <v>129</v>
      </c>
      <c r="L40" s="137" t="s">
        <v>129</v>
      </c>
      <c r="M40" s="141"/>
      <c r="N40" s="147"/>
    </row>
    <row r="41" hidden="1" outlineLevel="1">
      <c r="A41" s="303" t="s">
        <v>2410</v>
      </c>
      <c r="B41" s="344">
        <v>46055.0</v>
      </c>
      <c r="C41" s="133" t="str">
        <f t="shared" si="5"/>
        <v>Mon</v>
      </c>
      <c r="D41" s="381">
        <f t="shared" si="6"/>
        <v>1</v>
      </c>
      <c r="E41" s="382" t="s">
        <v>129</v>
      </c>
      <c r="F41" s="137" t="s">
        <v>129</v>
      </c>
      <c r="G41" s="137" t="s">
        <v>129</v>
      </c>
      <c r="H41" s="137" t="s">
        <v>129</v>
      </c>
      <c r="I41" s="137" t="s">
        <v>129</v>
      </c>
      <c r="J41" s="137" t="s">
        <v>129</v>
      </c>
      <c r="K41" s="137" t="s">
        <v>129</v>
      </c>
      <c r="L41" s="137" t="s">
        <v>129</v>
      </c>
      <c r="M41" s="141"/>
      <c r="N41" s="147"/>
    </row>
    <row r="42" hidden="1" outlineLevel="1">
      <c r="A42" s="219" t="s">
        <v>2412</v>
      </c>
      <c r="B42" s="344">
        <v>46056.0</v>
      </c>
      <c r="C42" s="133" t="str">
        <f t="shared" si="5"/>
        <v>Tue</v>
      </c>
      <c r="D42" s="383">
        <f t="shared" si="6"/>
        <v>1</v>
      </c>
      <c r="E42" s="147" t="s">
        <v>129</v>
      </c>
      <c r="F42" s="137" t="s">
        <v>129</v>
      </c>
      <c r="G42" s="137" t="s">
        <v>129</v>
      </c>
      <c r="H42" s="137" t="s">
        <v>129</v>
      </c>
      <c r="I42" s="137" t="s">
        <v>129</v>
      </c>
      <c r="J42" s="137" t="s">
        <v>129</v>
      </c>
      <c r="K42" s="137" t="s">
        <v>129</v>
      </c>
      <c r="L42" s="137" t="s">
        <v>129</v>
      </c>
      <c r="M42" s="141"/>
      <c r="N42" s="143"/>
    </row>
    <row r="43" hidden="1" outlineLevel="1">
      <c r="A43" s="219" t="s">
        <v>2414</v>
      </c>
      <c r="B43" s="344">
        <v>46056.0</v>
      </c>
      <c r="C43" s="133" t="str">
        <f t="shared" si="5"/>
        <v>Tue</v>
      </c>
      <c r="D43" s="381">
        <f t="shared" si="6"/>
        <v>1</v>
      </c>
      <c r="E43" s="382" t="s">
        <v>129</v>
      </c>
      <c r="F43" s="137" t="s">
        <v>129</v>
      </c>
      <c r="G43" s="137" t="s">
        <v>129</v>
      </c>
      <c r="H43" s="137" t="s">
        <v>129</v>
      </c>
      <c r="I43" s="137" t="s">
        <v>129</v>
      </c>
      <c r="J43" s="137" t="s">
        <v>129</v>
      </c>
      <c r="K43" s="137" t="s">
        <v>129</v>
      </c>
      <c r="L43" s="137" t="s">
        <v>129</v>
      </c>
      <c r="M43" s="141"/>
      <c r="N43" s="143"/>
    </row>
    <row r="44" hidden="1" outlineLevel="1">
      <c r="A44" s="219" t="s">
        <v>2417</v>
      </c>
      <c r="B44" s="344">
        <v>46056.0</v>
      </c>
      <c r="C44" s="133" t="str">
        <f t="shared" si="5"/>
        <v>Tue</v>
      </c>
      <c r="D44" s="383">
        <f t="shared" si="6"/>
        <v>1</v>
      </c>
      <c r="E44" s="147" t="s">
        <v>129</v>
      </c>
      <c r="F44" s="137" t="s">
        <v>129</v>
      </c>
      <c r="G44" s="137" t="s">
        <v>129</v>
      </c>
      <c r="H44" s="137" t="s">
        <v>129</v>
      </c>
      <c r="I44" s="137" t="s">
        <v>129</v>
      </c>
      <c r="J44" s="137" t="s">
        <v>129</v>
      </c>
      <c r="K44" s="137" t="s">
        <v>129</v>
      </c>
      <c r="L44" s="137" t="s">
        <v>129</v>
      </c>
      <c r="M44" s="141"/>
      <c r="N44" s="143"/>
    </row>
    <row r="45" hidden="1" outlineLevel="1">
      <c r="A45" s="303" t="s">
        <v>2418</v>
      </c>
      <c r="B45" s="344">
        <v>46057.0</v>
      </c>
      <c r="C45" s="133" t="str">
        <f t="shared" si="5"/>
        <v>Wed</v>
      </c>
      <c r="D45" s="381">
        <f t="shared" si="6"/>
        <v>1</v>
      </c>
      <c r="E45" s="382" t="s">
        <v>129</v>
      </c>
      <c r="F45" s="137" t="s">
        <v>129</v>
      </c>
      <c r="G45" s="137" t="s">
        <v>129</v>
      </c>
      <c r="H45" s="137" t="s">
        <v>129</v>
      </c>
      <c r="I45" s="137" t="s">
        <v>129</v>
      </c>
      <c r="J45" s="137" t="s">
        <v>129</v>
      </c>
      <c r="K45" s="137" t="s">
        <v>129</v>
      </c>
      <c r="L45" s="137" t="s">
        <v>129</v>
      </c>
      <c r="M45" s="141"/>
      <c r="N45" s="143"/>
    </row>
    <row r="46" hidden="1" outlineLevel="1">
      <c r="A46" s="303" t="s">
        <v>2421</v>
      </c>
      <c r="B46" s="344">
        <v>46057.0</v>
      </c>
      <c r="C46" s="133" t="str">
        <f t="shared" si="5"/>
        <v>Wed</v>
      </c>
      <c r="D46" s="383">
        <f t="shared" si="6"/>
        <v>1</v>
      </c>
      <c r="E46" s="147" t="s">
        <v>129</v>
      </c>
      <c r="F46" s="137" t="s">
        <v>129</v>
      </c>
      <c r="G46" s="137" t="s">
        <v>129</v>
      </c>
      <c r="H46" s="137" t="s">
        <v>129</v>
      </c>
      <c r="I46" s="137" t="s">
        <v>129</v>
      </c>
      <c r="J46" s="137" t="s">
        <v>129</v>
      </c>
      <c r="K46" s="137" t="s">
        <v>129</v>
      </c>
      <c r="L46" s="137" t="s">
        <v>129</v>
      </c>
      <c r="M46" s="141"/>
      <c r="N46" s="147"/>
    </row>
    <row r="47" hidden="1" outlineLevel="1">
      <c r="A47" s="303" t="s">
        <v>2422</v>
      </c>
      <c r="B47" s="344">
        <v>46057.0</v>
      </c>
      <c r="C47" s="133" t="str">
        <f t="shared" si="5"/>
        <v>Wed</v>
      </c>
      <c r="D47" s="381">
        <f t="shared" si="6"/>
        <v>1</v>
      </c>
      <c r="E47" s="382" t="s">
        <v>129</v>
      </c>
      <c r="F47" s="137" t="s">
        <v>129</v>
      </c>
      <c r="G47" s="137" t="s">
        <v>129</v>
      </c>
      <c r="H47" s="137" t="s">
        <v>129</v>
      </c>
      <c r="I47" s="137" t="s">
        <v>129</v>
      </c>
      <c r="J47" s="137" t="s">
        <v>129</v>
      </c>
      <c r="K47" s="137" t="s">
        <v>129</v>
      </c>
      <c r="L47" s="137" t="s">
        <v>129</v>
      </c>
      <c r="M47" s="141"/>
      <c r="N47" s="143"/>
    </row>
    <row r="48" hidden="1" outlineLevel="1">
      <c r="A48" s="303" t="s">
        <v>2425</v>
      </c>
      <c r="B48" s="344">
        <v>46058.0</v>
      </c>
      <c r="C48" s="133" t="str">
        <f t="shared" si="5"/>
        <v>Thu</v>
      </c>
      <c r="D48" s="383">
        <f t="shared" si="6"/>
        <v>1</v>
      </c>
      <c r="E48" s="147" t="s">
        <v>129</v>
      </c>
      <c r="F48" s="137" t="s">
        <v>129</v>
      </c>
      <c r="G48" s="137" t="s">
        <v>129</v>
      </c>
      <c r="H48" s="137" t="s">
        <v>129</v>
      </c>
      <c r="I48" s="137" t="s">
        <v>129</v>
      </c>
      <c r="J48" s="137" t="s">
        <v>129</v>
      </c>
      <c r="K48" s="137" t="s">
        <v>129</v>
      </c>
      <c r="L48" s="137" t="s">
        <v>129</v>
      </c>
      <c r="M48" s="141"/>
      <c r="N48" s="147"/>
    </row>
    <row r="49" hidden="1" outlineLevel="1">
      <c r="A49" s="303" t="s">
        <v>2427</v>
      </c>
      <c r="B49" s="344">
        <v>46058.0</v>
      </c>
      <c r="C49" s="133" t="str">
        <f t="shared" si="5"/>
        <v>Thu</v>
      </c>
      <c r="D49" s="381">
        <f t="shared" si="6"/>
        <v>1</v>
      </c>
      <c r="E49" s="382" t="s">
        <v>129</v>
      </c>
      <c r="F49" s="137" t="s">
        <v>129</v>
      </c>
      <c r="G49" s="137" t="s">
        <v>129</v>
      </c>
      <c r="H49" s="137" t="s">
        <v>129</v>
      </c>
      <c r="I49" s="137" t="s">
        <v>129</v>
      </c>
      <c r="J49" s="137" t="s">
        <v>129</v>
      </c>
      <c r="K49" s="137" t="s">
        <v>129</v>
      </c>
      <c r="L49" s="137" t="s">
        <v>129</v>
      </c>
      <c r="M49" s="141"/>
      <c r="N49" s="147"/>
    </row>
    <row r="50" hidden="1" outlineLevel="1">
      <c r="A50" s="303" t="s">
        <v>2430</v>
      </c>
      <c r="B50" s="344">
        <v>46058.0</v>
      </c>
      <c r="C50" s="133" t="str">
        <f t="shared" si="5"/>
        <v>Thu</v>
      </c>
      <c r="D50" s="383">
        <f t="shared" si="6"/>
        <v>1</v>
      </c>
      <c r="E50" s="147" t="s">
        <v>129</v>
      </c>
      <c r="F50" s="137" t="s">
        <v>129</v>
      </c>
      <c r="G50" s="137" t="s">
        <v>129</v>
      </c>
      <c r="H50" s="137" t="s">
        <v>129</v>
      </c>
      <c r="I50" s="137" t="s">
        <v>129</v>
      </c>
      <c r="J50" s="137" t="s">
        <v>129</v>
      </c>
      <c r="K50" s="137" t="s">
        <v>129</v>
      </c>
      <c r="L50" s="137" t="s">
        <v>129</v>
      </c>
      <c r="M50" s="141"/>
      <c r="N50" s="147"/>
    </row>
    <row r="51" hidden="1" outlineLevel="1">
      <c r="A51" s="219" t="s">
        <v>2431</v>
      </c>
      <c r="B51" s="344">
        <v>46061.0</v>
      </c>
      <c r="C51" s="133" t="str">
        <f t="shared" si="5"/>
        <v>Sun</v>
      </c>
      <c r="D51" s="381">
        <f t="shared" si="6"/>
        <v>1</v>
      </c>
      <c r="E51" s="382" t="s">
        <v>129</v>
      </c>
      <c r="F51" s="137" t="s">
        <v>129</v>
      </c>
      <c r="G51" s="137" t="s">
        <v>129</v>
      </c>
      <c r="H51" s="137" t="s">
        <v>129</v>
      </c>
      <c r="I51" s="137" t="s">
        <v>129</v>
      </c>
      <c r="J51" s="137" t="s">
        <v>129</v>
      </c>
      <c r="K51" s="137" t="s">
        <v>129</v>
      </c>
      <c r="L51" s="137" t="s">
        <v>129</v>
      </c>
      <c r="M51" s="141"/>
      <c r="N51" s="143"/>
    </row>
    <row r="52" hidden="1" outlineLevel="1">
      <c r="A52" s="219" t="s">
        <v>2434</v>
      </c>
      <c r="B52" s="344">
        <v>46061.0</v>
      </c>
      <c r="C52" s="133" t="str">
        <f t="shared" si="5"/>
        <v>Sun</v>
      </c>
      <c r="D52" s="383">
        <f t="shared" si="6"/>
        <v>1</v>
      </c>
      <c r="E52" s="147" t="s">
        <v>129</v>
      </c>
      <c r="F52" s="137" t="s">
        <v>129</v>
      </c>
      <c r="G52" s="137" t="s">
        <v>129</v>
      </c>
      <c r="H52" s="137" t="s">
        <v>129</v>
      </c>
      <c r="I52" s="137" t="s">
        <v>129</v>
      </c>
      <c r="J52" s="137" t="s">
        <v>129</v>
      </c>
      <c r="K52" s="137" t="s">
        <v>129</v>
      </c>
      <c r="L52" s="137" t="s">
        <v>129</v>
      </c>
      <c r="M52" s="141"/>
      <c r="N52" s="143"/>
    </row>
    <row r="53" ht="15.0" hidden="1" customHeight="1" outlineLevel="1">
      <c r="A53" s="219" t="s">
        <v>2436</v>
      </c>
      <c r="B53" s="344">
        <v>46061.0</v>
      </c>
      <c r="C53" s="133" t="str">
        <f t="shared" si="5"/>
        <v>Sun</v>
      </c>
      <c r="D53" s="381">
        <f t="shared" si="6"/>
        <v>1</v>
      </c>
      <c r="E53" s="382" t="s">
        <v>129</v>
      </c>
      <c r="F53" s="137" t="s">
        <v>129</v>
      </c>
      <c r="G53" s="137" t="s">
        <v>129</v>
      </c>
      <c r="H53" s="137" t="s">
        <v>129</v>
      </c>
      <c r="I53" s="137" t="s">
        <v>129</v>
      </c>
      <c r="J53" s="137" t="s">
        <v>129</v>
      </c>
      <c r="K53" s="137" t="s">
        <v>129</v>
      </c>
      <c r="L53" s="137" t="s">
        <v>129</v>
      </c>
      <c r="M53" s="141"/>
      <c r="N53" s="147"/>
    </row>
    <row r="54" hidden="1" outlineLevel="1">
      <c r="B54" s="189"/>
      <c r="C54" s="191" t="s">
        <v>194</v>
      </c>
      <c r="D54" s="204">
        <f>AVERAGE(D39:D53)</f>
        <v>1</v>
      </c>
      <c r="E54" s="384"/>
      <c r="L54" s="191" t="s">
        <v>194</v>
      </c>
      <c r="M54" s="204">
        <f>SUM(M39:M53)/75*0.1</f>
        <v>0</v>
      </c>
    </row>
    <row r="55" hidden="1" collapsed="1">
      <c r="A55" s="206" t="s">
        <v>638</v>
      </c>
      <c r="B55" s="207"/>
      <c r="C55" s="207"/>
      <c r="D55" s="385"/>
      <c r="E55" s="109"/>
      <c r="F55" s="109"/>
      <c r="G55" s="110"/>
      <c r="H55" s="110"/>
      <c r="I55" s="110"/>
      <c r="J55" s="110"/>
      <c r="K55" s="110"/>
      <c r="L55" s="110"/>
      <c r="M55" s="111"/>
      <c r="N55" s="113"/>
    </row>
    <row r="56" hidden="1" outlineLevel="1">
      <c r="A56" s="373" t="s">
        <v>98</v>
      </c>
      <c r="B56" s="115" t="s">
        <v>100</v>
      </c>
      <c r="C56" s="115" t="s">
        <v>102</v>
      </c>
      <c r="D56" s="119" t="s">
        <v>103</v>
      </c>
      <c r="E56" s="275" t="s">
        <v>269</v>
      </c>
      <c r="F56" s="275" t="s">
        <v>272</v>
      </c>
      <c r="G56" s="276" t="s">
        <v>328</v>
      </c>
      <c r="H56" s="121" t="s">
        <v>107</v>
      </c>
      <c r="I56" s="121" t="s">
        <v>108</v>
      </c>
      <c r="J56" s="276" t="s">
        <v>329</v>
      </c>
      <c r="K56" s="121" t="s">
        <v>111</v>
      </c>
      <c r="L56" s="276" t="s">
        <v>274</v>
      </c>
      <c r="M56" s="115" t="s">
        <v>114</v>
      </c>
      <c r="N56" s="119" t="s">
        <v>115</v>
      </c>
    </row>
    <row r="57" hidden="1" outlineLevel="1">
      <c r="A57" s="255" t="s">
        <v>2441</v>
      </c>
      <c r="B57" s="344">
        <v>46062.0</v>
      </c>
      <c r="C57" s="133" t="str">
        <f t="shared" ref="C57:C71" si="7">IF(B57="", "", TEXT(B57, "ddd"))</f>
        <v>Mon</v>
      </c>
      <c r="D57" s="381">
        <f t="shared" ref="D57:D71" si="8">IF(E57="Yes",0.05,0)
+IF(F57="Yes",0.1,0)
+IF(G57="Yes",0.15,0)
+IF(H57="Yes",0.15,0)
+IF(I57="Yes",0.05,0)
+IF(J57="Yes",0.05,0)
+IF(K57="Yes",0.15,0)
+IF(L57="Yes",0.3,0)
</f>
        <v>1</v>
      </c>
      <c r="E57" s="382" t="s">
        <v>129</v>
      </c>
      <c r="F57" s="137" t="s">
        <v>129</v>
      </c>
      <c r="G57" s="137" t="s">
        <v>129</v>
      </c>
      <c r="H57" s="137" t="s">
        <v>129</v>
      </c>
      <c r="I57" s="137" t="s">
        <v>129</v>
      </c>
      <c r="J57" s="137" t="s">
        <v>129</v>
      </c>
      <c r="K57" s="137" t="s">
        <v>129</v>
      </c>
      <c r="L57" s="137" t="s">
        <v>129</v>
      </c>
      <c r="M57" s="141"/>
      <c r="N57" s="143"/>
    </row>
    <row r="58" hidden="1" outlineLevel="1">
      <c r="A58" s="255" t="s">
        <v>2445</v>
      </c>
      <c r="B58" s="344">
        <v>46062.0</v>
      </c>
      <c r="C58" s="133" t="str">
        <f t="shared" si="7"/>
        <v>Mon</v>
      </c>
      <c r="D58" s="383">
        <f t="shared" si="8"/>
        <v>1</v>
      </c>
      <c r="E58" s="147" t="s">
        <v>129</v>
      </c>
      <c r="F58" s="137" t="s">
        <v>129</v>
      </c>
      <c r="G58" s="137" t="s">
        <v>129</v>
      </c>
      <c r="H58" s="137" t="s">
        <v>129</v>
      </c>
      <c r="I58" s="137" t="s">
        <v>129</v>
      </c>
      <c r="J58" s="137" t="s">
        <v>129</v>
      </c>
      <c r="K58" s="137" t="s">
        <v>129</v>
      </c>
      <c r="L58" s="137" t="s">
        <v>129</v>
      </c>
      <c r="M58" s="141"/>
      <c r="N58" s="147"/>
    </row>
    <row r="59" hidden="1" outlineLevel="1">
      <c r="A59" s="255" t="s">
        <v>2447</v>
      </c>
      <c r="B59" s="344">
        <v>46062.0</v>
      </c>
      <c r="C59" s="133" t="str">
        <f t="shared" si="7"/>
        <v>Mon</v>
      </c>
      <c r="D59" s="381">
        <f t="shared" si="8"/>
        <v>1</v>
      </c>
      <c r="E59" s="382" t="s">
        <v>129</v>
      </c>
      <c r="F59" s="137" t="s">
        <v>129</v>
      </c>
      <c r="G59" s="137" t="s">
        <v>129</v>
      </c>
      <c r="H59" s="137" t="s">
        <v>129</v>
      </c>
      <c r="I59" s="137" t="s">
        <v>129</v>
      </c>
      <c r="J59" s="137" t="s">
        <v>129</v>
      </c>
      <c r="K59" s="137" t="s">
        <v>129</v>
      </c>
      <c r="L59" s="137" t="s">
        <v>129</v>
      </c>
      <c r="M59" s="141"/>
      <c r="N59" s="147"/>
    </row>
    <row r="60" hidden="1" outlineLevel="1">
      <c r="A60" s="255" t="s">
        <v>2448</v>
      </c>
      <c r="B60" s="344">
        <v>46063.0</v>
      </c>
      <c r="C60" s="133" t="str">
        <f t="shared" si="7"/>
        <v>Tue</v>
      </c>
      <c r="D60" s="383">
        <f t="shared" si="8"/>
        <v>1</v>
      </c>
      <c r="E60" s="147" t="s">
        <v>129</v>
      </c>
      <c r="F60" s="137" t="s">
        <v>129</v>
      </c>
      <c r="G60" s="137" t="s">
        <v>129</v>
      </c>
      <c r="H60" s="137" t="s">
        <v>129</v>
      </c>
      <c r="I60" s="137" t="s">
        <v>129</v>
      </c>
      <c r="J60" s="137" t="s">
        <v>129</v>
      </c>
      <c r="K60" s="137" t="s">
        <v>129</v>
      </c>
      <c r="L60" s="137" t="s">
        <v>129</v>
      </c>
      <c r="M60" s="141"/>
      <c r="N60" s="143"/>
    </row>
    <row r="61" hidden="1" outlineLevel="1">
      <c r="A61" s="255" t="s">
        <v>2449</v>
      </c>
      <c r="B61" s="344">
        <v>46063.0</v>
      </c>
      <c r="C61" s="133" t="str">
        <f t="shared" si="7"/>
        <v>Tue</v>
      </c>
      <c r="D61" s="381">
        <f t="shared" si="8"/>
        <v>1</v>
      </c>
      <c r="E61" s="382" t="s">
        <v>129</v>
      </c>
      <c r="F61" s="137" t="s">
        <v>129</v>
      </c>
      <c r="G61" s="137" t="s">
        <v>129</v>
      </c>
      <c r="H61" s="137" t="s">
        <v>129</v>
      </c>
      <c r="I61" s="137" t="s">
        <v>129</v>
      </c>
      <c r="J61" s="137" t="s">
        <v>129</v>
      </c>
      <c r="K61" s="137" t="s">
        <v>129</v>
      </c>
      <c r="L61" s="137" t="s">
        <v>129</v>
      </c>
      <c r="M61" s="141"/>
      <c r="N61" s="143"/>
    </row>
    <row r="62" hidden="1" outlineLevel="1">
      <c r="A62" s="255" t="s">
        <v>2451</v>
      </c>
      <c r="B62" s="344">
        <v>46063.0</v>
      </c>
      <c r="C62" s="133" t="str">
        <f t="shared" si="7"/>
        <v>Tue</v>
      </c>
      <c r="D62" s="383">
        <f t="shared" si="8"/>
        <v>1</v>
      </c>
      <c r="E62" s="147" t="s">
        <v>129</v>
      </c>
      <c r="F62" s="137" t="s">
        <v>129</v>
      </c>
      <c r="G62" s="137" t="s">
        <v>129</v>
      </c>
      <c r="H62" s="137" t="s">
        <v>129</v>
      </c>
      <c r="I62" s="137" t="s">
        <v>129</v>
      </c>
      <c r="J62" s="137" t="s">
        <v>129</v>
      </c>
      <c r="K62" s="137" t="s">
        <v>129</v>
      </c>
      <c r="L62" s="137" t="s">
        <v>129</v>
      </c>
      <c r="M62" s="141"/>
      <c r="N62" s="143"/>
    </row>
    <row r="63" hidden="1" outlineLevel="1">
      <c r="A63" s="255" t="s">
        <v>2452</v>
      </c>
      <c r="B63" s="344">
        <v>46064.0</v>
      </c>
      <c r="C63" s="133" t="str">
        <f t="shared" si="7"/>
        <v>Wed</v>
      </c>
      <c r="D63" s="381">
        <f t="shared" si="8"/>
        <v>1</v>
      </c>
      <c r="E63" s="382" t="s">
        <v>129</v>
      </c>
      <c r="F63" s="137" t="s">
        <v>129</v>
      </c>
      <c r="G63" s="137" t="s">
        <v>129</v>
      </c>
      <c r="H63" s="137" t="s">
        <v>129</v>
      </c>
      <c r="I63" s="137" t="s">
        <v>129</v>
      </c>
      <c r="J63" s="137" t="s">
        <v>129</v>
      </c>
      <c r="K63" s="137" t="s">
        <v>129</v>
      </c>
      <c r="L63" s="137" t="s">
        <v>129</v>
      </c>
      <c r="M63" s="141"/>
      <c r="N63" s="143"/>
    </row>
    <row r="64" hidden="1" outlineLevel="1">
      <c r="A64" s="255" t="s">
        <v>2453</v>
      </c>
      <c r="B64" s="344">
        <v>46064.0</v>
      </c>
      <c r="C64" s="133" t="str">
        <f t="shared" si="7"/>
        <v>Wed</v>
      </c>
      <c r="D64" s="383">
        <f t="shared" si="8"/>
        <v>1</v>
      </c>
      <c r="E64" s="147" t="s">
        <v>129</v>
      </c>
      <c r="F64" s="137" t="s">
        <v>129</v>
      </c>
      <c r="G64" s="137" t="s">
        <v>129</v>
      </c>
      <c r="H64" s="137" t="s">
        <v>129</v>
      </c>
      <c r="I64" s="137" t="s">
        <v>129</v>
      </c>
      <c r="J64" s="137" t="s">
        <v>129</v>
      </c>
      <c r="K64" s="137" t="s">
        <v>129</v>
      </c>
      <c r="L64" s="137" t="s">
        <v>129</v>
      </c>
      <c r="M64" s="141"/>
      <c r="N64" s="147" t="s">
        <v>2455</v>
      </c>
    </row>
    <row r="65" hidden="1" outlineLevel="1">
      <c r="A65" s="255" t="s">
        <v>2456</v>
      </c>
      <c r="B65" s="344">
        <v>46064.0</v>
      </c>
      <c r="C65" s="133" t="str">
        <f t="shared" si="7"/>
        <v>Wed</v>
      </c>
      <c r="D65" s="381">
        <f t="shared" si="8"/>
        <v>1</v>
      </c>
      <c r="E65" s="382" t="s">
        <v>129</v>
      </c>
      <c r="F65" s="137" t="s">
        <v>129</v>
      </c>
      <c r="G65" s="137" t="s">
        <v>129</v>
      </c>
      <c r="H65" s="137" t="s">
        <v>129</v>
      </c>
      <c r="I65" s="137" t="s">
        <v>129</v>
      </c>
      <c r="J65" s="137" t="s">
        <v>129</v>
      </c>
      <c r="K65" s="137" t="s">
        <v>129</v>
      </c>
      <c r="L65" s="137" t="s">
        <v>129</v>
      </c>
      <c r="M65" s="141"/>
      <c r="N65" s="143"/>
    </row>
    <row r="66" hidden="1" outlineLevel="1">
      <c r="A66" s="255" t="s">
        <v>2458</v>
      </c>
      <c r="B66" s="344">
        <v>46065.0</v>
      </c>
      <c r="C66" s="133" t="str">
        <f t="shared" si="7"/>
        <v>Thu</v>
      </c>
      <c r="D66" s="383">
        <f t="shared" si="8"/>
        <v>1</v>
      </c>
      <c r="E66" s="147" t="s">
        <v>129</v>
      </c>
      <c r="F66" s="137" t="s">
        <v>129</v>
      </c>
      <c r="G66" s="137" t="s">
        <v>129</v>
      </c>
      <c r="H66" s="137" t="s">
        <v>129</v>
      </c>
      <c r="I66" s="137" t="s">
        <v>129</v>
      </c>
      <c r="J66" s="137" t="s">
        <v>129</v>
      </c>
      <c r="K66" s="137" t="s">
        <v>129</v>
      </c>
      <c r="L66" s="137" t="s">
        <v>129</v>
      </c>
      <c r="M66" s="141"/>
      <c r="N66" s="147"/>
    </row>
    <row r="67" hidden="1" outlineLevel="1">
      <c r="A67" s="255" t="s">
        <v>2461</v>
      </c>
      <c r="B67" s="344">
        <v>46065.0</v>
      </c>
      <c r="C67" s="133" t="str">
        <f t="shared" si="7"/>
        <v>Thu</v>
      </c>
      <c r="D67" s="381">
        <f t="shared" si="8"/>
        <v>1</v>
      </c>
      <c r="E67" s="382" t="s">
        <v>129</v>
      </c>
      <c r="F67" s="137" t="s">
        <v>129</v>
      </c>
      <c r="G67" s="137" t="s">
        <v>129</v>
      </c>
      <c r="H67" s="137" t="s">
        <v>129</v>
      </c>
      <c r="I67" s="137" t="s">
        <v>129</v>
      </c>
      <c r="J67" s="137" t="s">
        <v>129</v>
      </c>
      <c r="K67" s="137" t="s">
        <v>129</v>
      </c>
      <c r="L67" s="137" t="s">
        <v>129</v>
      </c>
      <c r="M67" s="141"/>
      <c r="N67" s="147"/>
    </row>
    <row r="68" hidden="1" outlineLevel="1">
      <c r="A68" s="255" t="s">
        <v>2463</v>
      </c>
      <c r="B68" s="344">
        <v>46065.0</v>
      </c>
      <c r="C68" s="133" t="str">
        <f t="shared" si="7"/>
        <v>Thu</v>
      </c>
      <c r="D68" s="383">
        <f t="shared" si="8"/>
        <v>1</v>
      </c>
      <c r="E68" s="147" t="s">
        <v>129</v>
      </c>
      <c r="F68" s="137" t="s">
        <v>129</v>
      </c>
      <c r="G68" s="137" t="s">
        <v>129</v>
      </c>
      <c r="H68" s="137" t="s">
        <v>129</v>
      </c>
      <c r="I68" s="137" t="s">
        <v>129</v>
      </c>
      <c r="J68" s="137" t="s">
        <v>129</v>
      </c>
      <c r="K68" s="137" t="s">
        <v>129</v>
      </c>
      <c r="L68" s="137" t="s">
        <v>129</v>
      </c>
      <c r="M68" s="141"/>
      <c r="N68" s="147"/>
    </row>
    <row r="69" hidden="1" outlineLevel="1">
      <c r="A69" s="255" t="s">
        <v>2466</v>
      </c>
      <c r="B69" s="344">
        <v>46067.0</v>
      </c>
      <c r="C69" s="133" t="str">
        <f t="shared" si="7"/>
        <v>Sat</v>
      </c>
      <c r="D69" s="381">
        <f t="shared" si="8"/>
        <v>0.75</v>
      </c>
      <c r="E69" s="382" t="s">
        <v>129</v>
      </c>
      <c r="F69" s="137" t="s">
        <v>129</v>
      </c>
      <c r="G69" s="137" t="s">
        <v>129</v>
      </c>
      <c r="H69" s="137" t="s">
        <v>174</v>
      </c>
      <c r="I69" s="137" t="s">
        <v>174</v>
      </c>
      <c r="J69" s="137" t="s">
        <v>174</v>
      </c>
      <c r="K69" s="137" t="s">
        <v>129</v>
      </c>
      <c r="L69" s="137" t="s">
        <v>129</v>
      </c>
      <c r="M69" s="141"/>
      <c r="N69" s="147" t="s">
        <v>2468</v>
      </c>
    </row>
    <row r="70" hidden="1" outlineLevel="1">
      <c r="A70" s="255" t="s">
        <v>2469</v>
      </c>
      <c r="B70" s="344">
        <v>46067.0</v>
      </c>
      <c r="C70" s="133" t="str">
        <f t="shared" si="7"/>
        <v>Sat</v>
      </c>
      <c r="D70" s="383">
        <f t="shared" si="8"/>
        <v>1</v>
      </c>
      <c r="E70" s="147" t="s">
        <v>129</v>
      </c>
      <c r="F70" s="137" t="s">
        <v>129</v>
      </c>
      <c r="G70" s="137" t="s">
        <v>129</v>
      </c>
      <c r="H70" s="137" t="s">
        <v>129</v>
      </c>
      <c r="I70" s="137" t="s">
        <v>129</v>
      </c>
      <c r="J70" s="137" t="s">
        <v>129</v>
      </c>
      <c r="K70" s="137" t="s">
        <v>129</v>
      </c>
      <c r="L70" s="137" t="s">
        <v>129</v>
      </c>
      <c r="M70" s="141"/>
      <c r="N70" s="143"/>
    </row>
    <row r="71" ht="15.0" hidden="1" customHeight="1" outlineLevel="1">
      <c r="A71" s="255" t="s">
        <v>2472</v>
      </c>
      <c r="B71" s="344">
        <v>46067.0</v>
      </c>
      <c r="C71" s="133" t="str">
        <f t="shared" si="7"/>
        <v>Sat</v>
      </c>
      <c r="D71" s="381">
        <f t="shared" si="8"/>
        <v>1</v>
      </c>
      <c r="E71" s="382" t="s">
        <v>129</v>
      </c>
      <c r="F71" s="137" t="s">
        <v>129</v>
      </c>
      <c r="G71" s="137" t="s">
        <v>129</v>
      </c>
      <c r="H71" s="137" t="s">
        <v>129</v>
      </c>
      <c r="I71" s="137" t="s">
        <v>129</v>
      </c>
      <c r="J71" s="137" t="s">
        <v>129</v>
      </c>
      <c r="K71" s="137" t="s">
        <v>129</v>
      </c>
      <c r="L71" s="137" t="s">
        <v>129</v>
      </c>
      <c r="M71" s="141"/>
      <c r="N71" s="147"/>
    </row>
    <row r="72" hidden="1" outlineLevel="1">
      <c r="B72" s="189"/>
      <c r="C72" s="191" t="s">
        <v>194</v>
      </c>
      <c r="D72" s="204">
        <f>AVERAGE(D57:D71)</f>
        <v>0.9833333333</v>
      </c>
      <c r="E72" s="384"/>
      <c r="L72" s="191" t="s">
        <v>194</v>
      </c>
      <c r="M72" s="204">
        <f>SUM(M57:M71)/75*0.1</f>
        <v>0</v>
      </c>
    </row>
    <row r="73" hidden="1" collapsed="1">
      <c r="A73" s="206" t="s">
        <v>670</v>
      </c>
      <c r="B73" s="207"/>
      <c r="C73" s="207"/>
      <c r="D73" s="385"/>
      <c r="E73" s="109"/>
      <c r="F73" s="109"/>
      <c r="G73" s="110"/>
      <c r="H73" s="110"/>
      <c r="I73" s="110"/>
      <c r="J73" s="110"/>
      <c r="K73" s="110"/>
      <c r="L73" s="110"/>
      <c r="M73" s="111"/>
      <c r="N73" s="113"/>
    </row>
    <row r="74" hidden="1" outlineLevel="1">
      <c r="A74" s="373" t="s">
        <v>98</v>
      </c>
      <c r="B74" s="115" t="s">
        <v>100</v>
      </c>
      <c r="C74" s="115" t="s">
        <v>102</v>
      </c>
      <c r="D74" s="119" t="s">
        <v>103</v>
      </c>
      <c r="E74" s="275" t="s">
        <v>269</v>
      </c>
      <c r="F74" s="275" t="s">
        <v>272</v>
      </c>
      <c r="G74" s="276" t="s">
        <v>328</v>
      </c>
      <c r="H74" s="121" t="s">
        <v>107</v>
      </c>
      <c r="I74" s="121" t="s">
        <v>108</v>
      </c>
      <c r="J74" s="276" t="s">
        <v>329</v>
      </c>
      <c r="K74" s="121" t="s">
        <v>111</v>
      </c>
      <c r="L74" s="276" t="s">
        <v>274</v>
      </c>
      <c r="M74" s="115" t="s">
        <v>114</v>
      </c>
      <c r="N74" s="119" t="s">
        <v>115</v>
      </c>
    </row>
    <row r="75" hidden="1" outlineLevel="1">
      <c r="A75" s="219" t="s">
        <v>2475</v>
      </c>
      <c r="B75" s="344">
        <v>46069.0</v>
      </c>
      <c r="C75" s="133" t="str">
        <f t="shared" ref="C75:C89" si="9">IF(B75="", "", TEXT(B75, "ddd"))</f>
        <v>Mon</v>
      </c>
      <c r="D75" s="381">
        <f t="shared" ref="D75:D89" si="10">IF(E75="Yes",0.05,0)
+IF(F75="Yes",0.1,0)
+IF(G75="Yes",0.15,0)
+IF(H75="Yes",0.15,0)
+IF(I75="Yes",0.05,0)
+IF(J75="Yes",0.05,0)
+IF(K75="Yes",0.15,0)
+IF(L75="Yes",0.3,0)
</f>
        <v>1</v>
      </c>
      <c r="E75" s="382" t="s">
        <v>129</v>
      </c>
      <c r="F75" s="137" t="s">
        <v>129</v>
      </c>
      <c r="G75" s="137" t="s">
        <v>129</v>
      </c>
      <c r="H75" s="137" t="s">
        <v>129</v>
      </c>
      <c r="I75" s="137" t="s">
        <v>129</v>
      </c>
      <c r="J75" s="137" t="s">
        <v>129</v>
      </c>
      <c r="K75" s="137" t="s">
        <v>129</v>
      </c>
      <c r="L75" s="137" t="s">
        <v>129</v>
      </c>
      <c r="M75" s="141"/>
      <c r="N75" s="143"/>
    </row>
    <row r="76" hidden="1" outlineLevel="1">
      <c r="A76" s="255" t="s">
        <v>2479</v>
      </c>
      <c r="B76" s="344">
        <v>46069.0</v>
      </c>
      <c r="C76" s="133" t="str">
        <f t="shared" si="9"/>
        <v>Mon</v>
      </c>
      <c r="D76" s="383">
        <f t="shared" si="10"/>
        <v>1</v>
      </c>
      <c r="E76" s="147" t="s">
        <v>129</v>
      </c>
      <c r="F76" s="137" t="s">
        <v>129</v>
      </c>
      <c r="G76" s="137" t="s">
        <v>129</v>
      </c>
      <c r="H76" s="137" t="s">
        <v>129</v>
      </c>
      <c r="I76" s="137" t="s">
        <v>129</v>
      </c>
      <c r="J76" s="137" t="s">
        <v>129</v>
      </c>
      <c r="K76" s="137" t="s">
        <v>129</v>
      </c>
      <c r="L76" s="137" t="s">
        <v>129</v>
      </c>
      <c r="M76" s="141"/>
      <c r="N76" s="147"/>
    </row>
    <row r="77" hidden="1" outlineLevel="1">
      <c r="A77" s="255" t="s">
        <v>2482</v>
      </c>
      <c r="B77" s="344">
        <v>46069.0</v>
      </c>
      <c r="C77" s="133" t="str">
        <f t="shared" si="9"/>
        <v>Mon</v>
      </c>
      <c r="D77" s="381">
        <f t="shared" si="10"/>
        <v>1</v>
      </c>
      <c r="E77" s="382" t="s">
        <v>129</v>
      </c>
      <c r="F77" s="137" t="s">
        <v>129</v>
      </c>
      <c r="G77" s="137" t="s">
        <v>129</v>
      </c>
      <c r="H77" s="137" t="s">
        <v>129</v>
      </c>
      <c r="I77" s="137" t="s">
        <v>129</v>
      </c>
      <c r="J77" s="137" t="s">
        <v>129</v>
      </c>
      <c r="K77" s="137" t="s">
        <v>129</v>
      </c>
      <c r="L77" s="137" t="s">
        <v>129</v>
      </c>
      <c r="M77" s="141"/>
      <c r="N77" s="147"/>
    </row>
    <row r="78" hidden="1" outlineLevel="1">
      <c r="A78" s="219" t="s">
        <v>2484</v>
      </c>
      <c r="B78" s="344">
        <v>46070.0</v>
      </c>
      <c r="C78" s="133" t="str">
        <f t="shared" si="9"/>
        <v>Tue</v>
      </c>
      <c r="D78" s="383">
        <f t="shared" si="10"/>
        <v>1</v>
      </c>
      <c r="E78" s="147" t="s">
        <v>129</v>
      </c>
      <c r="F78" s="137" t="s">
        <v>129</v>
      </c>
      <c r="G78" s="137" t="s">
        <v>129</v>
      </c>
      <c r="H78" s="137" t="s">
        <v>129</v>
      </c>
      <c r="I78" s="137" t="s">
        <v>129</v>
      </c>
      <c r="J78" s="137" t="s">
        <v>129</v>
      </c>
      <c r="K78" s="137" t="s">
        <v>129</v>
      </c>
      <c r="L78" s="137" t="s">
        <v>129</v>
      </c>
      <c r="M78" s="141"/>
      <c r="N78" s="143"/>
    </row>
    <row r="79" hidden="1" outlineLevel="1">
      <c r="A79" s="219" t="s">
        <v>2487</v>
      </c>
      <c r="B79" s="344">
        <v>46070.0</v>
      </c>
      <c r="C79" s="133" t="str">
        <f t="shared" si="9"/>
        <v>Tue</v>
      </c>
      <c r="D79" s="381">
        <f t="shared" si="10"/>
        <v>1</v>
      </c>
      <c r="E79" s="382" t="s">
        <v>129</v>
      </c>
      <c r="F79" s="137" t="s">
        <v>129</v>
      </c>
      <c r="G79" s="137" t="s">
        <v>129</v>
      </c>
      <c r="H79" s="137" t="s">
        <v>129</v>
      </c>
      <c r="I79" s="137" t="s">
        <v>129</v>
      </c>
      <c r="J79" s="137" t="s">
        <v>129</v>
      </c>
      <c r="K79" s="137" t="s">
        <v>129</v>
      </c>
      <c r="L79" s="137" t="s">
        <v>129</v>
      </c>
      <c r="M79" s="141"/>
      <c r="N79" s="143"/>
    </row>
    <row r="80" hidden="1" outlineLevel="1">
      <c r="A80" s="219" t="s">
        <v>2489</v>
      </c>
      <c r="B80" s="344">
        <v>46070.0</v>
      </c>
      <c r="C80" s="133" t="str">
        <f t="shared" si="9"/>
        <v>Tue</v>
      </c>
      <c r="D80" s="383">
        <f t="shared" si="10"/>
        <v>1</v>
      </c>
      <c r="E80" s="147" t="s">
        <v>129</v>
      </c>
      <c r="F80" s="137" t="s">
        <v>129</v>
      </c>
      <c r="G80" s="137" t="s">
        <v>129</v>
      </c>
      <c r="H80" s="137" t="s">
        <v>129</v>
      </c>
      <c r="I80" s="137" t="s">
        <v>129</v>
      </c>
      <c r="J80" s="137" t="s">
        <v>129</v>
      </c>
      <c r="K80" s="137" t="s">
        <v>129</v>
      </c>
      <c r="L80" s="137" t="s">
        <v>129</v>
      </c>
      <c r="M80" s="141"/>
      <c r="N80" s="143"/>
    </row>
    <row r="81" hidden="1" outlineLevel="1">
      <c r="A81" s="255" t="s">
        <v>2490</v>
      </c>
      <c r="B81" s="344">
        <v>46071.0</v>
      </c>
      <c r="C81" s="133" t="str">
        <f t="shared" si="9"/>
        <v>Wed</v>
      </c>
      <c r="D81" s="381">
        <f t="shared" si="10"/>
        <v>1</v>
      </c>
      <c r="E81" s="382" t="s">
        <v>129</v>
      </c>
      <c r="F81" s="137" t="s">
        <v>129</v>
      </c>
      <c r="G81" s="137" t="s">
        <v>129</v>
      </c>
      <c r="H81" s="137" t="s">
        <v>129</v>
      </c>
      <c r="I81" s="137" t="s">
        <v>129</v>
      </c>
      <c r="J81" s="137" t="s">
        <v>129</v>
      </c>
      <c r="K81" s="137" t="s">
        <v>129</v>
      </c>
      <c r="L81" s="137" t="s">
        <v>129</v>
      </c>
      <c r="M81" s="141"/>
      <c r="N81" s="143"/>
    </row>
    <row r="82" hidden="1" outlineLevel="1">
      <c r="A82" s="255" t="s">
        <v>2492</v>
      </c>
      <c r="B82" s="344">
        <v>46071.0</v>
      </c>
      <c r="C82" s="133" t="str">
        <f t="shared" si="9"/>
        <v>Wed</v>
      </c>
      <c r="D82" s="383">
        <f t="shared" si="10"/>
        <v>0.8</v>
      </c>
      <c r="E82" s="147" t="s">
        <v>129</v>
      </c>
      <c r="F82" s="137" t="s">
        <v>129</v>
      </c>
      <c r="G82" s="137" t="s">
        <v>129</v>
      </c>
      <c r="H82" s="137" t="s">
        <v>174</v>
      </c>
      <c r="I82" s="137" t="s">
        <v>129</v>
      </c>
      <c r="J82" s="137" t="s">
        <v>174</v>
      </c>
      <c r="K82" s="137" t="s">
        <v>129</v>
      </c>
      <c r="L82" s="137" t="s">
        <v>129</v>
      </c>
      <c r="M82" s="141"/>
      <c r="N82" s="147" t="s">
        <v>2494</v>
      </c>
    </row>
    <row r="83" hidden="1" outlineLevel="1">
      <c r="A83" s="255" t="s">
        <v>2495</v>
      </c>
      <c r="B83" s="344">
        <v>46071.0</v>
      </c>
      <c r="C83" s="133" t="str">
        <f t="shared" si="9"/>
        <v>Wed</v>
      </c>
      <c r="D83" s="381">
        <f t="shared" si="10"/>
        <v>1</v>
      </c>
      <c r="E83" s="382" t="s">
        <v>129</v>
      </c>
      <c r="F83" s="137" t="s">
        <v>129</v>
      </c>
      <c r="G83" s="137" t="s">
        <v>129</v>
      </c>
      <c r="H83" s="137" t="s">
        <v>129</v>
      </c>
      <c r="I83" s="137" t="s">
        <v>129</v>
      </c>
      <c r="J83" s="137" t="s">
        <v>129</v>
      </c>
      <c r="K83" s="137" t="s">
        <v>129</v>
      </c>
      <c r="L83" s="137" t="s">
        <v>129</v>
      </c>
      <c r="M83" s="141"/>
      <c r="N83" s="143"/>
    </row>
    <row r="84" hidden="1" outlineLevel="1">
      <c r="A84" s="255" t="s">
        <v>2497</v>
      </c>
      <c r="B84" s="344">
        <v>46074.0</v>
      </c>
      <c r="C84" s="133" t="str">
        <f t="shared" si="9"/>
        <v>Sat</v>
      </c>
      <c r="D84" s="383">
        <f t="shared" si="10"/>
        <v>1</v>
      </c>
      <c r="E84" s="147" t="s">
        <v>129</v>
      </c>
      <c r="F84" s="137" t="s">
        <v>129</v>
      </c>
      <c r="G84" s="137" t="s">
        <v>129</v>
      </c>
      <c r="H84" s="137" t="s">
        <v>129</v>
      </c>
      <c r="I84" s="137" t="s">
        <v>129</v>
      </c>
      <c r="J84" s="137" t="s">
        <v>129</v>
      </c>
      <c r="K84" s="137" t="s">
        <v>129</v>
      </c>
      <c r="L84" s="137" t="s">
        <v>129</v>
      </c>
      <c r="M84" s="141"/>
      <c r="N84" s="147"/>
    </row>
    <row r="85" hidden="1" outlineLevel="1">
      <c r="A85" s="255" t="s">
        <v>2499</v>
      </c>
      <c r="B85" s="344">
        <v>46074.0</v>
      </c>
      <c r="C85" s="133" t="str">
        <f t="shared" si="9"/>
        <v>Sat</v>
      </c>
      <c r="D85" s="381">
        <f t="shared" si="10"/>
        <v>1</v>
      </c>
      <c r="E85" s="382" t="s">
        <v>129</v>
      </c>
      <c r="F85" s="137" t="s">
        <v>129</v>
      </c>
      <c r="G85" s="137" t="s">
        <v>129</v>
      </c>
      <c r="H85" s="137" t="s">
        <v>129</v>
      </c>
      <c r="I85" s="137" t="s">
        <v>129</v>
      </c>
      <c r="J85" s="137" t="s">
        <v>129</v>
      </c>
      <c r="K85" s="137" t="s">
        <v>129</v>
      </c>
      <c r="L85" s="137" t="s">
        <v>129</v>
      </c>
      <c r="M85" s="141"/>
      <c r="N85" s="147"/>
    </row>
    <row r="86" hidden="1" outlineLevel="1">
      <c r="A86" s="255" t="s">
        <v>2501</v>
      </c>
      <c r="B86" s="344">
        <v>46074.0</v>
      </c>
      <c r="C86" s="133" t="str">
        <f t="shared" si="9"/>
        <v>Sat</v>
      </c>
      <c r="D86" s="383">
        <f t="shared" si="10"/>
        <v>1</v>
      </c>
      <c r="E86" s="147" t="s">
        <v>129</v>
      </c>
      <c r="F86" s="137" t="s">
        <v>129</v>
      </c>
      <c r="G86" s="137" t="s">
        <v>129</v>
      </c>
      <c r="H86" s="137" t="s">
        <v>129</v>
      </c>
      <c r="I86" s="137" t="s">
        <v>129</v>
      </c>
      <c r="J86" s="137" t="s">
        <v>129</v>
      </c>
      <c r="K86" s="137" t="s">
        <v>129</v>
      </c>
      <c r="L86" s="137" t="s">
        <v>129</v>
      </c>
      <c r="M86" s="141"/>
      <c r="N86" s="147"/>
    </row>
    <row r="87" hidden="1" outlineLevel="1">
      <c r="A87" s="255" t="s">
        <v>2502</v>
      </c>
      <c r="B87" s="344">
        <v>46075.0</v>
      </c>
      <c r="C87" s="133" t="str">
        <f t="shared" si="9"/>
        <v>Sun</v>
      </c>
      <c r="D87" s="381">
        <f t="shared" si="10"/>
        <v>0.8</v>
      </c>
      <c r="E87" s="382" t="s">
        <v>129</v>
      </c>
      <c r="F87" s="137" t="s">
        <v>129</v>
      </c>
      <c r="G87" s="137" t="s">
        <v>129</v>
      </c>
      <c r="H87" s="137" t="s">
        <v>174</v>
      </c>
      <c r="I87" s="137" t="s">
        <v>129</v>
      </c>
      <c r="J87" s="137" t="s">
        <v>174</v>
      </c>
      <c r="K87" s="137" t="s">
        <v>129</v>
      </c>
      <c r="L87" s="137" t="s">
        <v>129</v>
      </c>
      <c r="M87" s="141"/>
      <c r="N87" s="147" t="s">
        <v>2504</v>
      </c>
    </row>
    <row r="88" hidden="1" outlineLevel="1">
      <c r="A88" s="255" t="s">
        <v>2505</v>
      </c>
      <c r="B88" s="344">
        <v>46075.0</v>
      </c>
      <c r="C88" s="133" t="str">
        <f t="shared" si="9"/>
        <v>Sun</v>
      </c>
      <c r="D88" s="383">
        <f t="shared" si="10"/>
        <v>0.55</v>
      </c>
      <c r="E88" s="147" t="s">
        <v>129</v>
      </c>
      <c r="F88" s="137" t="s">
        <v>129</v>
      </c>
      <c r="G88" s="137" t="s">
        <v>129</v>
      </c>
      <c r="H88" s="137" t="s">
        <v>174</v>
      </c>
      <c r="I88" s="137" t="s">
        <v>129</v>
      </c>
      <c r="J88" s="137" t="s">
        <v>129</v>
      </c>
      <c r="K88" s="137" t="s">
        <v>129</v>
      </c>
      <c r="L88" s="137" t="s">
        <v>174</v>
      </c>
      <c r="M88" s="141"/>
      <c r="N88" s="147" t="s">
        <v>2507</v>
      </c>
    </row>
    <row r="89" ht="15.0" hidden="1" customHeight="1" outlineLevel="1">
      <c r="A89" s="255" t="s">
        <v>2508</v>
      </c>
      <c r="B89" s="344">
        <v>46075.0</v>
      </c>
      <c r="C89" s="133" t="str">
        <f t="shared" si="9"/>
        <v>Sun</v>
      </c>
      <c r="D89" s="381">
        <f t="shared" si="10"/>
        <v>0.8</v>
      </c>
      <c r="E89" s="382" t="s">
        <v>129</v>
      </c>
      <c r="F89" s="137" t="s">
        <v>129</v>
      </c>
      <c r="G89" s="137" t="s">
        <v>129</v>
      </c>
      <c r="H89" s="137" t="s">
        <v>174</v>
      </c>
      <c r="I89" s="137" t="s">
        <v>129</v>
      </c>
      <c r="J89" s="137" t="s">
        <v>174</v>
      </c>
      <c r="K89" s="137" t="s">
        <v>129</v>
      </c>
      <c r="L89" s="137" t="s">
        <v>129</v>
      </c>
      <c r="M89" s="141"/>
      <c r="N89" s="137"/>
      <c r="O89" s="137" t="s">
        <v>129</v>
      </c>
      <c r="P89" s="137" t="s">
        <v>129</v>
      </c>
      <c r="Q89" s="137" t="s">
        <v>129</v>
      </c>
      <c r="R89" s="137" t="s">
        <v>129</v>
      </c>
      <c r="S89" s="137" t="s">
        <v>129</v>
      </c>
      <c r="T89" s="137" t="s">
        <v>129</v>
      </c>
      <c r="U89" s="137" t="s">
        <v>129</v>
      </c>
    </row>
    <row r="90" hidden="1" outlineLevel="1">
      <c r="B90" s="189"/>
      <c r="C90" s="191" t="s">
        <v>194</v>
      </c>
      <c r="D90" s="204">
        <f>AVERAGE(D75:D89)</f>
        <v>0.93</v>
      </c>
      <c r="E90" s="384"/>
      <c r="L90" s="191" t="s">
        <v>194</v>
      </c>
      <c r="M90" s="204">
        <f>SUM(M75:M89)/75*0.1</f>
        <v>0</v>
      </c>
    </row>
    <row r="91" hidden="1" collapsed="1">
      <c r="A91" s="206" t="s">
        <v>705</v>
      </c>
      <c r="B91" s="207"/>
      <c r="C91" s="207"/>
      <c r="D91" s="385"/>
      <c r="E91" s="109"/>
      <c r="F91" s="109"/>
      <c r="G91" s="110"/>
      <c r="H91" s="110"/>
      <c r="I91" s="110"/>
      <c r="J91" s="110"/>
      <c r="K91" s="110"/>
      <c r="L91" s="110"/>
      <c r="M91" s="111"/>
      <c r="N91" s="113"/>
    </row>
    <row r="92" hidden="1" outlineLevel="1">
      <c r="A92" s="373" t="s">
        <v>98</v>
      </c>
      <c r="B92" s="115" t="s">
        <v>100</v>
      </c>
      <c r="C92" s="115" t="s">
        <v>102</v>
      </c>
      <c r="D92" s="119" t="s">
        <v>103</v>
      </c>
      <c r="E92" s="275" t="s">
        <v>269</v>
      </c>
      <c r="F92" s="275" t="s">
        <v>272</v>
      </c>
      <c r="G92" s="276" t="s">
        <v>328</v>
      </c>
      <c r="H92" s="121" t="s">
        <v>107</v>
      </c>
      <c r="I92" s="121" t="s">
        <v>108</v>
      </c>
      <c r="J92" s="276" t="s">
        <v>329</v>
      </c>
      <c r="K92" s="121" t="s">
        <v>111</v>
      </c>
      <c r="L92" s="276" t="s">
        <v>274</v>
      </c>
      <c r="M92" s="115" t="s">
        <v>114</v>
      </c>
      <c r="N92" s="119" t="s">
        <v>115</v>
      </c>
    </row>
    <row r="93" hidden="1" outlineLevel="1">
      <c r="A93" s="255" t="s">
        <v>2512</v>
      </c>
      <c r="B93" s="344">
        <v>46076.0</v>
      </c>
      <c r="C93" s="133" t="str">
        <f t="shared" ref="C93:C107" si="11">IF(B93="", "", TEXT(B93, "ddd"))</f>
        <v>Mon</v>
      </c>
      <c r="D93" s="381">
        <f t="shared" ref="D93:D107" si="12">IF(E93="Yes",0.05,0)
+IF(F93="Yes",0.1,0)
+IF(G93="Yes",0.15,0)
+IF(H93="Yes",0.15,0)
+IF(I93="Yes",0.05,0)
+IF(J93="Yes",0.05,0)
+IF(K93="Yes",0.15,0)
+IF(L93="Yes",0.3,0)
</f>
        <v>1</v>
      </c>
      <c r="E93" s="382" t="s">
        <v>129</v>
      </c>
      <c r="F93" s="137" t="s">
        <v>129</v>
      </c>
      <c r="G93" s="137" t="s">
        <v>129</v>
      </c>
      <c r="H93" s="137" t="s">
        <v>129</v>
      </c>
      <c r="I93" s="137" t="s">
        <v>129</v>
      </c>
      <c r="J93" s="137" t="s">
        <v>129</v>
      </c>
      <c r="K93" s="137" t="s">
        <v>129</v>
      </c>
      <c r="L93" s="137" t="s">
        <v>129</v>
      </c>
      <c r="M93" s="141"/>
      <c r="N93" s="143"/>
    </row>
    <row r="94" hidden="1" outlineLevel="1">
      <c r="A94" s="255" t="s">
        <v>2516</v>
      </c>
      <c r="B94" s="344">
        <v>46076.0</v>
      </c>
      <c r="C94" s="133" t="str">
        <f t="shared" si="11"/>
        <v>Mon</v>
      </c>
      <c r="D94" s="383">
        <f t="shared" si="12"/>
        <v>1</v>
      </c>
      <c r="E94" s="147" t="s">
        <v>129</v>
      </c>
      <c r="F94" s="137" t="s">
        <v>129</v>
      </c>
      <c r="G94" s="137" t="s">
        <v>129</v>
      </c>
      <c r="H94" s="137" t="s">
        <v>129</v>
      </c>
      <c r="I94" s="137" t="s">
        <v>129</v>
      </c>
      <c r="J94" s="137" t="s">
        <v>129</v>
      </c>
      <c r="K94" s="137" t="s">
        <v>129</v>
      </c>
      <c r="L94" s="137" t="s">
        <v>129</v>
      </c>
      <c r="M94" s="141"/>
      <c r="N94" s="147"/>
    </row>
    <row r="95" hidden="1" outlineLevel="1">
      <c r="A95" s="255" t="s">
        <v>2518</v>
      </c>
      <c r="B95" s="344">
        <v>46076.0</v>
      </c>
      <c r="C95" s="133" t="str">
        <f t="shared" si="11"/>
        <v>Mon</v>
      </c>
      <c r="D95" s="381">
        <f t="shared" si="12"/>
        <v>1</v>
      </c>
      <c r="E95" s="382" t="s">
        <v>129</v>
      </c>
      <c r="F95" s="137" t="s">
        <v>129</v>
      </c>
      <c r="G95" s="137" t="s">
        <v>129</v>
      </c>
      <c r="H95" s="137" t="s">
        <v>129</v>
      </c>
      <c r="I95" s="137" t="s">
        <v>129</v>
      </c>
      <c r="J95" s="137" t="s">
        <v>129</v>
      </c>
      <c r="K95" s="137" t="s">
        <v>129</v>
      </c>
      <c r="L95" s="137" t="s">
        <v>129</v>
      </c>
      <c r="M95" s="141"/>
      <c r="N95" s="147"/>
    </row>
    <row r="96" hidden="1" outlineLevel="1">
      <c r="A96" s="380" t="s">
        <v>2520</v>
      </c>
      <c r="B96" s="344">
        <v>46077.0</v>
      </c>
      <c r="C96" s="133" t="str">
        <f t="shared" si="11"/>
        <v>Tue</v>
      </c>
      <c r="D96" s="383">
        <f t="shared" si="12"/>
        <v>1</v>
      </c>
      <c r="E96" s="147" t="s">
        <v>129</v>
      </c>
      <c r="F96" s="137" t="s">
        <v>129</v>
      </c>
      <c r="G96" s="137" t="s">
        <v>129</v>
      </c>
      <c r="H96" s="137" t="s">
        <v>129</v>
      </c>
      <c r="I96" s="137" t="s">
        <v>129</v>
      </c>
      <c r="J96" s="137" t="s">
        <v>129</v>
      </c>
      <c r="K96" s="137" t="s">
        <v>129</v>
      </c>
      <c r="L96" s="137" t="s">
        <v>129</v>
      </c>
      <c r="M96" s="141"/>
      <c r="N96" s="143"/>
    </row>
    <row r="97" hidden="1" outlineLevel="1">
      <c r="A97" s="255" t="s">
        <v>2522</v>
      </c>
      <c r="B97" s="344">
        <v>46077.0</v>
      </c>
      <c r="C97" s="133" t="str">
        <f t="shared" si="11"/>
        <v>Tue</v>
      </c>
      <c r="D97" s="381">
        <f t="shared" si="12"/>
        <v>1</v>
      </c>
      <c r="E97" s="382" t="s">
        <v>129</v>
      </c>
      <c r="F97" s="137" t="s">
        <v>129</v>
      </c>
      <c r="G97" s="137" t="s">
        <v>129</v>
      </c>
      <c r="H97" s="137" t="s">
        <v>129</v>
      </c>
      <c r="I97" s="137" t="s">
        <v>129</v>
      </c>
      <c r="J97" s="137" t="s">
        <v>129</v>
      </c>
      <c r="K97" s="137" t="s">
        <v>129</v>
      </c>
      <c r="L97" s="137" t="s">
        <v>129</v>
      </c>
      <c r="M97" s="141"/>
      <c r="N97" s="143"/>
    </row>
    <row r="98" hidden="1" outlineLevel="1">
      <c r="A98" s="255" t="s">
        <v>2525</v>
      </c>
      <c r="B98" s="344">
        <v>46077.0</v>
      </c>
      <c r="C98" s="133" t="str">
        <f t="shared" si="11"/>
        <v>Tue</v>
      </c>
      <c r="D98" s="383">
        <f t="shared" si="12"/>
        <v>1</v>
      </c>
      <c r="E98" s="147" t="s">
        <v>129</v>
      </c>
      <c r="F98" s="137" t="s">
        <v>129</v>
      </c>
      <c r="G98" s="137" t="s">
        <v>129</v>
      </c>
      <c r="H98" s="137" t="s">
        <v>129</v>
      </c>
      <c r="I98" s="137" t="s">
        <v>129</v>
      </c>
      <c r="J98" s="137" t="s">
        <v>129</v>
      </c>
      <c r="K98" s="137" t="s">
        <v>129</v>
      </c>
      <c r="L98" s="137" t="s">
        <v>129</v>
      </c>
      <c r="M98" s="141"/>
      <c r="N98" s="143"/>
    </row>
    <row r="99" hidden="1" outlineLevel="1">
      <c r="A99" s="255" t="s">
        <v>2527</v>
      </c>
      <c r="B99" s="344">
        <v>46078.0</v>
      </c>
      <c r="C99" s="133" t="str">
        <f t="shared" si="11"/>
        <v>Wed</v>
      </c>
      <c r="D99" s="381">
        <f t="shared" si="12"/>
        <v>1</v>
      </c>
      <c r="E99" s="382" t="s">
        <v>129</v>
      </c>
      <c r="F99" s="137" t="s">
        <v>129</v>
      </c>
      <c r="G99" s="137" t="s">
        <v>129</v>
      </c>
      <c r="H99" s="137" t="s">
        <v>129</v>
      </c>
      <c r="I99" s="137" t="s">
        <v>129</v>
      </c>
      <c r="J99" s="137" t="s">
        <v>129</v>
      </c>
      <c r="K99" s="137" t="s">
        <v>129</v>
      </c>
      <c r="L99" s="137" t="s">
        <v>129</v>
      </c>
      <c r="M99" s="141"/>
      <c r="N99" s="143"/>
    </row>
    <row r="100" hidden="1" outlineLevel="1">
      <c r="A100" s="255" t="s">
        <v>2530</v>
      </c>
      <c r="B100" s="344">
        <v>46078.0</v>
      </c>
      <c r="C100" s="133" t="str">
        <f t="shared" si="11"/>
        <v>Wed</v>
      </c>
      <c r="D100" s="383">
        <f t="shared" si="12"/>
        <v>1</v>
      </c>
      <c r="E100" s="147" t="s">
        <v>129</v>
      </c>
      <c r="F100" s="137" t="s">
        <v>129</v>
      </c>
      <c r="G100" s="137" t="s">
        <v>129</v>
      </c>
      <c r="H100" s="137" t="s">
        <v>129</v>
      </c>
      <c r="I100" s="137" t="s">
        <v>129</v>
      </c>
      <c r="J100" s="137" t="s">
        <v>129</v>
      </c>
      <c r="K100" s="137" t="s">
        <v>129</v>
      </c>
      <c r="L100" s="137" t="s">
        <v>129</v>
      </c>
      <c r="M100" s="141"/>
      <c r="N100" s="147"/>
    </row>
    <row r="101" hidden="1" outlineLevel="1">
      <c r="A101" s="255" t="s">
        <v>2532</v>
      </c>
      <c r="B101" s="344">
        <v>46078.0</v>
      </c>
      <c r="C101" s="133" t="str">
        <f t="shared" si="11"/>
        <v>Wed</v>
      </c>
      <c r="D101" s="381">
        <f t="shared" si="12"/>
        <v>0.3</v>
      </c>
      <c r="E101" s="382" t="s">
        <v>129</v>
      </c>
      <c r="F101" s="137" t="s">
        <v>129</v>
      </c>
      <c r="G101" s="137" t="s">
        <v>129</v>
      </c>
      <c r="H101" s="137" t="s">
        <v>174</v>
      </c>
      <c r="I101" s="137" t="s">
        <v>174</v>
      </c>
      <c r="J101" s="137" t="s">
        <v>174</v>
      </c>
      <c r="K101" s="137" t="s">
        <v>174</v>
      </c>
      <c r="L101" s="137" t="s">
        <v>174</v>
      </c>
      <c r="M101" s="141"/>
      <c r="N101" s="147" t="s">
        <v>2535</v>
      </c>
    </row>
    <row r="102" hidden="1" outlineLevel="1">
      <c r="A102" s="255" t="s">
        <v>2536</v>
      </c>
      <c r="B102" s="344">
        <v>46079.0</v>
      </c>
      <c r="C102" s="133" t="str">
        <f t="shared" si="11"/>
        <v>Thu</v>
      </c>
      <c r="D102" s="383">
        <f t="shared" si="12"/>
        <v>1</v>
      </c>
      <c r="E102" s="147" t="s">
        <v>129</v>
      </c>
      <c r="F102" s="137" t="s">
        <v>129</v>
      </c>
      <c r="G102" s="137" t="s">
        <v>129</v>
      </c>
      <c r="H102" s="137" t="s">
        <v>129</v>
      </c>
      <c r="I102" s="137" t="s">
        <v>129</v>
      </c>
      <c r="J102" s="137" t="s">
        <v>129</v>
      </c>
      <c r="K102" s="137" t="s">
        <v>129</v>
      </c>
      <c r="L102" s="137" t="s">
        <v>129</v>
      </c>
      <c r="M102" s="141"/>
      <c r="N102" s="147"/>
    </row>
    <row r="103" hidden="1" outlineLevel="1">
      <c r="A103" s="255" t="s">
        <v>2537</v>
      </c>
      <c r="B103" s="344">
        <v>46079.0</v>
      </c>
      <c r="C103" s="133" t="str">
        <f t="shared" si="11"/>
        <v>Thu</v>
      </c>
      <c r="D103" s="381">
        <f t="shared" si="12"/>
        <v>1</v>
      </c>
      <c r="E103" s="382" t="s">
        <v>129</v>
      </c>
      <c r="F103" s="137" t="s">
        <v>129</v>
      </c>
      <c r="G103" s="137" t="s">
        <v>129</v>
      </c>
      <c r="H103" s="137" t="s">
        <v>129</v>
      </c>
      <c r="I103" s="137" t="s">
        <v>129</v>
      </c>
      <c r="J103" s="137" t="s">
        <v>129</v>
      </c>
      <c r="K103" s="137" t="s">
        <v>129</v>
      </c>
      <c r="L103" s="137" t="s">
        <v>129</v>
      </c>
      <c r="M103" s="141"/>
      <c r="N103" s="147"/>
    </row>
    <row r="104" hidden="1" outlineLevel="1">
      <c r="A104" s="255" t="s">
        <v>2541</v>
      </c>
      <c r="B104" s="344">
        <v>46079.0</v>
      </c>
      <c r="C104" s="133" t="str">
        <f t="shared" si="11"/>
        <v>Thu</v>
      </c>
      <c r="D104" s="383">
        <f t="shared" si="12"/>
        <v>1</v>
      </c>
      <c r="E104" s="147" t="s">
        <v>129</v>
      </c>
      <c r="F104" s="137" t="s">
        <v>129</v>
      </c>
      <c r="G104" s="137" t="s">
        <v>129</v>
      </c>
      <c r="H104" s="137" t="s">
        <v>129</v>
      </c>
      <c r="I104" s="137" t="s">
        <v>129</v>
      </c>
      <c r="J104" s="137" t="s">
        <v>129</v>
      </c>
      <c r="K104" s="137" t="s">
        <v>129</v>
      </c>
      <c r="L104" s="137" t="s">
        <v>129</v>
      </c>
      <c r="M104" s="141"/>
      <c r="N104" s="147"/>
    </row>
    <row r="105" hidden="1" outlineLevel="1">
      <c r="A105" s="255" t="s">
        <v>2542</v>
      </c>
      <c r="B105" s="344">
        <v>46081.0</v>
      </c>
      <c r="C105" s="133" t="str">
        <f t="shared" si="11"/>
        <v>Sat</v>
      </c>
      <c r="D105" s="381">
        <f t="shared" si="12"/>
        <v>1</v>
      </c>
      <c r="E105" s="382" t="s">
        <v>129</v>
      </c>
      <c r="F105" s="137" t="s">
        <v>129</v>
      </c>
      <c r="G105" s="137" t="s">
        <v>129</v>
      </c>
      <c r="H105" s="137" t="s">
        <v>129</v>
      </c>
      <c r="I105" s="137" t="s">
        <v>129</v>
      </c>
      <c r="J105" s="137" t="s">
        <v>129</v>
      </c>
      <c r="K105" s="137" t="s">
        <v>129</v>
      </c>
      <c r="L105" s="137" t="s">
        <v>129</v>
      </c>
      <c r="M105" s="141"/>
      <c r="N105" s="143"/>
    </row>
    <row r="106" hidden="1" outlineLevel="1">
      <c r="A106" s="255" t="s">
        <v>2545</v>
      </c>
      <c r="B106" s="344">
        <v>46081.0</v>
      </c>
      <c r="C106" s="133" t="str">
        <f t="shared" si="11"/>
        <v>Sat</v>
      </c>
      <c r="D106" s="383">
        <f t="shared" si="12"/>
        <v>1</v>
      </c>
      <c r="E106" s="147" t="s">
        <v>129</v>
      </c>
      <c r="F106" s="137" t="s">
        <v>129</v>
      </c>
      <c r="G106" s="137" t="s">
        <v>129</v>
      </c>
      <c r="H106" s="137" t="s">
        <v>129</v>
      </c>
      <c r="I106" s="137" t="s">
        <v>129</v>
      </c>
      <c r="J106" s="137" t="s">
        <v>129</v>
      </c>
      <c r="K106" s="137" t="s">
        <v>129</v>
      </c>
      <c r="L106" s="137" t="s">
        <v>129</v>
      </c>
      <c r="M106" s="141"/>
      <c r="N106" s="143"/>
    </row>
    <row r="107" ht="15.0" hidden="1" customHeight="1" outlineLevel="1">
      <c r="A107" s="255" t="s">
        <v>2546</v>
      </c>
      <c r="B107" s="344">
        <v>46081.0</v>
      </c>
      <c r="C107" s="133" t="str">
        <f t="shared" si="11"/>
        <v>Sat</v>
      </c>
      <c r="D107" s="381">
        <f t="shared" si="12"/>
        <v>1</v>
      </c>
      <c r="E107" s="382" t="s">
        <v>129</v>
      </c>
      <c r="F107" s="137" t="s">
        <v>129</v>
      </c>
      <c r="G107" s="137" t="s">
        <v>129</v>
      </c>
      <c r="H107" s="137" t="s">
        <v>129</v>
      </c>
      <c r="I107" s="137" t="s">
        <v>129</v>
      </c>
      <c r="J107" s="137" t="s">
        <v>129</v>
      </c>
      <c r="K107" s="137" t="s">
        <v>129</v>
      </c>
      <c r="L107" s="137" t="s">
        <v>129</v>
      </c>
      <c r="M107" s="141"/>
      <c r="N107" s="147"/>
    </row>
    <row r="108" hidden="1" outlineLevel="1">
      <c r="B108" s="189"/>
      <c r="C108" s="191" t="s">
        <v>194</v>
      </c>
      <c r="D108" s="204">
        <f>AVERAGE(D93:D107)</f>
        <v>0.9533333333</v>
      </c>
      <c r="E108" s="384"/>
      <c r="L108" s="191" t="s">
        <v>194</v>
      </c>
      <c r="M108" s="204">
        <f>SUM(M93:M107)/75*0.1</f>
        <v>0</v>
      </c>
    </row>
    <row r="109" hidden="1" collapsed="1">
      <c r="A109" s="206" t="s">
        <v>731</v>
      </c>
      <c r="B109" s="207"/>
      <c r="C109" s="207"/>
      <c r="D109" s="208"/>
      <c r="E109" s="109"/>
      <c r="F109" s="109"/>
      <c r="G109" s="110"/>
      <c r="H109" s="110"/>
      <c r="I109" s="110"/>
      <c r="J109" s="110"/>
      <c r="K109" s="110"/>
      <c r="L109" s="110"/>
      <c r="M109" s="111"/>
      <c r="N109" s="113"/>
    </row>
    <row r="110" hidden="1" outlineLevel="1">
      <c r="A110" s="373" t="s">
        <v>98</v>
      </c>
      <c r="B110" s="115" t="s">
        <v>100</v>
      </c>
      <c r="C110" s="115" t="s">
        <v>102</v>
      </c>
      <c r="D110" s="119" t="s">
        <v>103</v>
      </c>
      <c r="E110" s="275" t="s">
        <v>269</v>
      </c>
      <c r="F110" s="275" t="s">
        <v>272</v>
      </c>
      <c r="G110" s="276" t="s">
        <v>328</v>
      </c>
      <c r="H110" s="121" t="s">
        <v>107</v>
      </c>
      <c r="I110" s="121" t="s">
        <v>108</v>
      </c>
      <c r="J110" s="276" t="s">
        <v>329</v>
      </c>
      <c r="K110" s="121" t="s">
        <v>111</v>
      </c>
      <c r="L110" s="276" t="s">
        <v>274</v>
      </c>
      <c r="M110" s="115" t="s">
        <v>114</v>
      </c>
      <c r="N110" s="119" t="s">
        <v>115</v>
      </c>
    </row>
    <row r="111" hidden="1" outlineLevel="1">
      <c r="A111" s="303" t="s">
        <v>2552</v>
      </c>
      <c r="B111" s="344">
        <v>46083.0</v>
      </c>
      <c r="C111" s="133" t="str">
        <f t="shared" ref="C111:C125" si="13">IF(B111="", "", TEXT(B111, "ddd"))</f>
        <v>Mon</v>
      </c>
      <c r="D111" s="381">
        <f t="shared" ref="D111:D125" si="14">IF(E111="Yes",0.05,0)
+IF(F111="Yes",0.1,0)
+IF(G111="Yes",0.15,0)
+IF(H111="Yes",0.15,0)
+IF(I111="Yes",0.05,0)
+IF(J111="Yes",0.05,0)
+IF(K111="Yes",0.15,0)
+IF(L111="Yes",0.3,0)
</f>
        <v>1</v>
      </c>
      <c r="E111" s="382" t="s">
        <v>129</v>
      </c>
      <c r="F111" s="137" t="s">
        <v>129</v>
      </c>
      <c r="G111" s="137" t="s">
        <v>129</v>
      </c>
      <c r="H111" s="137" t="s">
        <v>129</v>
      </c>
      <c r="I111" s="137" t="s">
        <v>129</v>
      </c>
      <c r="J111" s="137" t="s">
        <v>129</v>
      </c>
      <c r="K111" s="137" t="s">
        <v>129</v>
      </c>
      <c r="L111" s="137" t="s">
        <v>129</v>
      </c>
      <c r="M111" s="141"/>
      <c r="N111" s="143"/>
    </row>
    <row r="112" hidden="1" outlineLevel="1">
      <c r="A112" s="303" t="s">
        <v>2553</v>
      </c>
      <c r="B112" s="344">
        <v>46083.0</v>
      </c>
      <c r="C112" s="133" t="str">
        <f t="shared" si="13"/>
        <v>Mon</v>
      </c>
      <c r="D112" s="383">
        <f t="shared" si="14"/>
        <v>1</v>
      </c>
      <c r="E112" s="147" t="s">
        <v>129</v>
      </c>
      <c r="F112" s="137" t="s">
        <v>129</v>
      </c>
      <c r="G112" s="137" t="s">
        <v>129</v>
      </c>
      <c r="H112" s="137" t="s">
        <v>129</v>
      </c>
      <c r="I112" s="137" t="s">
        <v>129</v>
      </c>
      <c r="J112" s="137" t="s">
        <v>129</v>
      </c>
      <c r="K112" s="137" t="s">
        <v>129</v>
      </c>
      <c r="L112" s="137" t="s">
        <v>129</v>
      </c>
      <c r="M112" s="141"/>
      <c r="N112" s="147"/>
    </row>
    <row r="113" hidden="1" outlineLevel="1">
      <c r="A113" s="303" t="s">
        <v>2554</v>
      </c>
      <c r="B113" s="344">
        <v>46083.0</v>
      </c>
      <c r="C113" s="133" t="str">
        <f t="shared" si="13"/>
        <v>Mon</v>
      </c>
      <c r="D113" s="381">
        <f t="shared" si="14"/>
        <v>1</v>
      </c>
      <c r="E113" s="382" t="s">
        <v>129</v>
      </c>
      <c r="F113" s="137" t="s">
        <v>129</v>
      </c>
      <c r="G113" s="137" t="s">
        <v>129</v>
      </c>
      <c r="H113" s="137" t="s">
        <v>129</v>
      </c>
      <c r="I113" s="137" t="s">
        <v>129</v>
      </c>
      <c r="J113" s="137" t="s">
        <v>129</v>
      </c>
      <c r="K113" s="137" t="s">
        <v>129</v>
      </c>
      <c r="L113" s="137" t="s">
        <v>129</v>
      </c>
      <c r="M113" s="141"/>
      <c r="N113" s="147"/>
    </row>
    <row r="114" hidden="1" outlineLevel="1">
      <c r="A114" s="303" t="s">
        <v>2555</v>
      </c>
      <c r="B114" s="344">
        <v>46084.0</v>
      </c>
      <c r="C114" s="133" t="str">
        <f t="shared" si="13"/>
        <v>Tue</v>
      </c>
      <c r="D114" s="383">
        <f t="shared" si="14"/>
        <v>1</v>
      </c>
      <c r="E114" s="147" t="s">
        <v>129</v>
      </c>
      <c r="F114" s="137" t="s">
        <v>129</v>
      </c>
      <c r="G114" s="137" t="s">
        <v>129</v>
      </c>
      <c r="H114" s="137" t="s">
        <v>129</v>
      </c>
      <c r="I114" s="137" t="s">
        <v>129</v>
      </c>
      <c r="J114" s="137" t="s">
        <v>129</v>
      </c>
      <c r="K114" s="137" t="s">
        <v>129</v>
      </c>
      <c r="L114" s="137" t="s">
        <v>129</v>
      </c>
      <c r="M114" s="141"/>
      <c r="N114" s="143"/>
    </row>
    <row r="115" hidden="1" outlineLevel="1">
      <c r="A115" s="303" t="s">
        <v>2556</v>
      </c>
      <c r="B115" s="344">
        <v>46084.0</v>
      </c>
      <c r="C115" s="133" t="str">
        <f t="shared" si="13"/>
        <v>Tue</v>
      </c>
      <c r="D115" s="381">
        <f t="shared" si="14"/>
        <v>1</v>
      </c>
      <c r="E115" s="382" t="s">
        <v>129</v>
      </c>
      <c r="F115" s="137" t="s">
        <v>129</v>
      </c>
      <c r="G115" s="137" t="s">
        <v>129</v>
      </c>
      <c r="H115" s="137" t="s">
        <v>129</v>
      </c>
      <c r="I115" s="137" t="s">
        <v>129</v>
      </c>
      <c r="J115" s="137" t="s">
        <v>129</v>
      </c>
      <c r="K115" s="137" t="s">
        <v>129</v>
      </c>
      <c r="L115" s="137" t="s">
        <v>129</v>
      </c>
      <c r="M115" s="141"/>
      <c r="N115" s="143"/>
    </row>
    <row r="116" hidden="1" outlineLevel="1">
      <c r="A116" s="303" t="s">
        <v>2559</v>
      </c>
      <c r="B116" s="344">
        <v>46084.0</v>
      </c>
      <c r="C116" s="133" t="str">
        <f t="shared" si="13"/>
        <v>Tue</v>
      </c>
      <c r="D116" s="383">
        <f t="shared" si="14"/>
        <v>0.7</v>
      </c>
      <c r="E116" s="147" t="s">
        <v>129</v>
      </c>
      <c r="F116" s="137" t="s">
        <v>129</v>
      </c>
      <c r="G116" s="137" t="s">
        <v>129</v>
      </c>
      <c r="H116" s="137" t="s">
        <v>129</v>
      </c>
      <c r="I116" s="137" t="s">
        <v>129</v>
      </c>
      <c r="J116" s="137" t="s">
        <v>129</v>
      </c>
      <c r="K116" s="137" t="s">
        <v>129</v>
      </c>
      <c r="L116" s="137" t="s">
        <v>174</v>
      </c>
      <c r="M116" s="141"/>
      <c r="N116" s="147" t="s">
        <v>2561</v>
      </c>
    </row>
    <row r="117" hidden="1" outlineLevel="1">
      <c r="A117" s="219" t="s">
        <v>2562</v>
      </c>
      <c r="B117" s="344">
        <v>46085.0</v>
      </c>
      <c r="C117" s="133" t="str">
        <f t="shared" si="13"/>
        <v>Wed</v>
      </c>
      <c r="D117" s="381">
        <f t="shared" si="14"/>
        <v>1</v>
      </c>
      <c r="E117" s="382" t="s">
        <v>129</v>
      </c>
      <c r="F117" s="137" t="s">
        <v>129</v>
      </c>
      <c r="G117" s="137" t="s">
        <v>129</v>
      </c>
      <c r="H117" s="137" t="s">
        <v>129</v>
      </c>
      <c r="I117" s="137" t="s">
        <v>129</v>
      </c>
      <c r="J117" s="137" t="s">
        <v>129</v>
      </c>
      <c r="K117" s="137" t="s">
        <v>129</v>
      </c>
      <c r="L117" s="137" t="s">
        <v>129</v>
      </c>
      <c r="M117" s="141"/>
      <c r="N117" s="143"/>
    </row>
    <row r="118" hidden="1" outlineLevel="1">
      <c r="A118" s="219" t="s">
        <v>2564</v>
      </c>
      <c r="B118" s="344">
        <v>46085.0</v>
      </c>
      <c r="C118" s="133" t="str">
        <f t="shared" si="13"/>
        <v>Wed</v>
      </c>
      <c r="D118" s="383">
        <f t="shared" si="14"/>
        <v>1</v>
      </c>
      <c r="E118" s="147" t="s">
        <v>129</v>
      </c>
      <c r="F118" s="137" t="s">
        <v>129</v>
      </c>
      <c r="G118" s="137" t="s">
        <v>129</v>
      </c>
      <c r="H118" s="137" t="s">
        <v>129</v>
      </c>
      <c r="I118" s="137" t="s">
        <v>129</v>
      </c>
      <c r="J118" s="137" t="s">
        <v>129</v>
      </c>
      <c r="K118" s="137" t="s">
        <v>129</v>
      </c>
      <c r="L118" s="137" t="s">
        <v>129</v>
      </c>
      <c r="M118" s="141"/>
      <c r="N118" s="147"/>
    </row>
    <row r="119" hidden="1" outlineLevel="1">
      <c r="A119" s="219" t="s">
        <v>2565</v>
      </c>
      <c r="B119" s="344">
        <v>46085.0</v>
      </c>
      <c r="C119" s="133" t="str">
        <f t="shared" si="13"/>
        <v>Wed</v>
      </c>
      <c r="D119" s="381">
        <f t="shared" si="14"/>
        <v>1</v>
      </c>
      <c r="E119" s="382" t="s">
        <v>129</v>
      </c>
      <c r="F119" s="137" t="s">
        <v>129</v>
      </c>
      <c r="G119" s="137" t="s">
        <v>129</v>
      </c>
      <c r="H119" s="137" t="s">
        <v>129</v>
      </c>
      <c r="I119" s="137" t="s">
        <v>129</v>
      </c>
      <c r="J119" s="137" t="s">
        <v>129</v>
      </c>
      <c r="K119" s="137" t="s">
        <v>129</v>
      </c>
      <c r="L119" s="137" t="s">
        <v>129</v>
      </c>
      <c r="M119" s="141"/>
      <c r="N119" s="143"/>
    </row>
    <row r="120" hidden="1" outlineLevel="1">
      <c r="A120" s="255" t="s">
        <v>2567</v>
      </c>
      <c r="B120" s="344">
        <v>46086.0</v>
      </c>
      <c r="C120" s="133" t="str">
        <f t="shared" si="13"/>
        <v>Thu</v>
      </c>
      <c r="D120" s="383">
        <f t="shared" si="14"/>
        <v>1</v>
      </c>
      <c r="E120" s="147" t="s">
        <v>129</v>
      </c>
      <c r="F120" s="137" t="s">
        <v>129</v>
      </c>
      <c r="G120" s="137" t="s">
        <v>129</v>
      </c>
      <c r="H120" s="137" t="s">
        <v>129</v>
      </c>
      <c r="I120" s="137" t="s">
        <v>129</v>
      </c>
      <c r="J120" s="137" t="s">
        <v>129</v>
      </c>
      <c r="K120" s="137" t="s">
        <v>129</v>
      </c>
      <c r="L120" s="137" t="s">
        <v>129</v>
      </c>
      <c r="M120" s="141"/>
      <c r="N120" s="147"/>
    </row>
    <row r="121" hidden="1" outlineLevel="1">
      <c r="A121" s="255" t="s">
        <v>2569</v>
      </c>
      <c r="B121" s="344">
        <v>46086.0</v>
      </c>
      <c r="C121" s="133" t="str">
        <f t="shared" si="13"/>
        <v>Thu</v>
      </c>
      <c r="D121" s="381">
        <f t="shared" si="14"/>
        <v>0.65</v>
      </c>
      <c r="E121" s="382" t="s">
        <v>129</v>
      </c>
      <c r="F121" s="137" t="s">
        <v>129</v>
      </c>
      <c r="G121" s="137" t="s">
        <v>129</v>
      </c>
      <c r="H121" s="137" t="s">
        <v>129</v>
      </c>
      <c r="I121" s="137" t="s">
        <v>174</v>
      </c>
      <c r="J121" s="137" t="s">
        <v>129</v>
      </c>
      <c r="K121" s="137" t="s">
        <v>129</v>
      </c>
      <c r="L121" s="137" t="s">
        <v>174</v>
      </c>
      <c r="M121" s="141"/>
      <c r="N121" s="147" t="s">
        <v>2571</v>
      </c>
    </row>
    <row r="122" hidden="1" outlineLevel="1">
      <c r="A122" s="255" t="s">
        <v>2572</v>
      </c>
      <c r="B122" s="344">
        <v>46086.0</v>
      </c>
      <c r="C122" s="133" t="str">
        <f t="shared" si="13"/>
        <v>Thu</v>
      </c>
      <c r="D122" s="383">
        <f t="shared" si="14"/>
        <v>1</v>
      </c>
      <c r="E122" s="147" t="s">
        <v>129</v>
      </c>
      <c r="F122" s="137" t="s">
        <v>129</v>
      </c>
      <c r="G122" s="137" t="s">
        <v>129</v>
      </c>
      <c r="H122" s="137" t="s">
        <v>129</v>
      </c>
      <c r="I122" s="137" t="s">
        <v>129</v>
      </c>
      <c r="J122" s="137" t="s">
        <v>129</v>
      </c>
      <c r="K122" s="137" t="s">
        <v>129</v>
      </c>
      <c r="L122" s="137" t="s">
        <v>129</v>
      </c>
      <c r="M122" s="141"/>
      <c r="N122" s="147"/>
    </row>
    <row r="123" hidden="1" outlineLevel="1">
      <c r="A123" s="255" t="s">
        <v>2575</v>
      </c>
      <c r="B123" s="344">
        <v>46088.0</v>
      </c>
      <c r="C123" s="133" t="str">
        <f t="shared" si="13"/>
        <v>Sat</v>
      </c>
      <c r="D123" s="381">
        <f t="shared" si="14"/>
        <v>1</v>
      </c>
      <c r="E123" s="382" t="s">
        <v>129</v>
      </c>
      <c r="F123" s="137" t="s">
        <v>129</v>
      </c>
      <c r="G123" s="137" t="s">
        <v>129</v>
      </c>
      <c r="H123" s="137" t="s">
        <v>129</v>
      </c>
      <c r="I123" s="137" t="s">
        <v>129</v>
      </c>
      <c r="J123" s="137" t="s">
        <v>129</v>
      </c>
      <c r="K123" s="137" t="s">
        <v>129</v>
      </c>
      <c r="L123" s="137" t="s">
        <v>129</v>
      </c>
      <c r="M123" s="141"/>
      <c r="N123" s="143"/>
    </row>
    <row r="124" hidden="1" outlineLevel="1">
      <c r="A124" s="255" t="s">
        <v>2578</v>
      </c>
      <c r="B124" s="344">
        <v>46088.0</v>
      </c>
      <c r="C124" s="133" t="str">
        <f t="shared" si="13"/>
        <v>Sat</v>
      </c>
      <c r="D124" s="383">
        <f t="shared" si="14"/>
        <v>1</v>
      </c>
      <c r="E124" s="147" t="s">
        <v>129</v>
      </c>
      <c r="F124" s="137" t="s">
        <v>129</v>
      </c>
      <c r="G124" s="137" t="s">
        <v>129</v>
      </c>
      <c r="H124" s="137" t="s">
        <v>129</v>
      </c>
      <c r="I124" s="137" t="s">
        <v>129</v>
      </c>
      <c r="J124" s="137" t="s">
        <v>129</v>
      </c>
      <c r="K124" s="137" t="s">
        <v>129</v>
      </c>
      <c r="L124" s="137" t="s">
        <v>129</v>
      </c>
      <c r="M124" s="141"/>
      <c r="N124" s="143"/>
    </row>
    <row r="125" ht="15.0" hidden="1" customHeight="1" outlineLevel="1">
      <c r="A125" s="255" t="s">
        <v>2579</v>
      </c>
      <c r="B125" s="344">
        <v>46088.0</v>
      </c>
      <c r="C125" s="133" t="str">
        <f t="shared" si="13"/>
        <v>Sat</v>
      </c>
      <c r="D125" s="381">
        <f t="shared" si="14"/>
        <v>1</v>
      </c>
      <c r="E125" s="382" t="s">
        <v>129</v>
      </c>
      <c r="F125" s="137" t="s">
        <v>129</v>
      </c>
      <c r="G125" s="137" t="s">
        <v>129</v>
      </c>
      <c r="H125" s="137" t="s">
        <v>129</v>
      </c>
      <c r="I125" s="137" t="s">
        <v>129</v>
      </c>
      <c r="J125" s="137" t="s">
        <v>129</v>
      </c>
      <c r="K125" s="137" t="s">
        <v>129</v>
      </c>
      <c r="L125" s="137" t="s">
        <v>129</v>
      </c>
      <c r="M125" s="141"/>
      <c r="N125" s="147"/>
    </row>
    <row r="126" hidden="1" outlineLevel="1">
      <c r="B126" s="189"/>
      <c r="C126" s="191" t="s">
        <v>194</v>
      </c>
      <c r="D126" s="204">
        <f>AVERAGE(D111:D125)</f>
        <v>0.9566666667</v>
      </c>
      <c r="E126" s="384"/>
      <c r="L126" s="191" t="s">
        <v>194</v>
      </c>
      <c r="M126" s="204">
        <f>SUM(M111:M125)/75*0.1</f>
        <v>0</v>
      </c>
    </row>
    <row r="127" hidden="1" collapsed="1">
      <c r="A127" s="206" t="s">
        <v>766</v>
      </c>
      <c r="B127" s="207"/>
      <c r="C127" s="207"/>
      <c r="D127" s="385"/>
      <c r="E127" s="109"/>
      <c r="F127" s="109"/>
      <c r="G127" s="110"/>
      <c r="H127" s="110"/>
      <c r="I127" s="110"/>
      <c r="J127" s="110"/>
      <c r="K127" s="110"/>
      <c r="L127" s="110"/>
      <c r="M127" s="111"/>
      <c r="N127" s="113"/>
    </row>
    <row r="128" hidden="1" outlineLevel="1">
      <c r="A128" s="373" t="s">
        <v>98</v>
      </c>
      <c r="B128" s="115" t="s">
        <v>100</v>
      </c>
      <c r="C128" s="115" t="s">
        <v>102</v>
      </c>
      <c r="D128" s="119" t="s">
        <v>103</v>
      </c>
      <c r="E128" s="275" t="s">
        <v>269</v>
      </c>
      <c r="F128" s="275" t="s">
        <v>272</v>
      </c>
      <c r="G128" s="276" t="s">
        <v>328</v>
      </c>
      <c r="H128" s="121" t="s">
        <v>107</v>
      </c>
      <c r="I128" s="121" t="s">
        <v>108</v>
      </c>
      <c r="J128" s="276" t="s">
        <v>329</v>
      </c>
      <c r="K128" s="121" t="s">
        <v>111</v>
      </c>
      <c r="L128" s="276" t="s">
        <v>274</v>
      </c>
      <c r="M128" s="115" t="s">
        <v>114</v>
      </c>
      <c r="N128" s="119" t="s">
        <v>115</v>
      </c>
    </row>
    <row r="129" hidden="1" outlineLevel="1">
      <c r="A129" s="255" t="s">
        <v>2583</v>
      </c>
      <c r="B129" s="344">
        <v>46090.0</v>
      </c>
      <c r="C129" s="133" t="str">
        <f t="shared" ref="C129:C143" si="15">IF(B129="", "", TEXT(B129, "ddd"))</f>
        <v>Mon</v>
      </c>
      <c r="D129" s="381">
        <f t="shared" ref="D129:D143" si="16">IF(E129="Yes",0.05,0)
+IF(F129="Yes",0.1,0)
+IF(G129="Yes",0.15,0)
+IF(H129="Yes",0.15,0)
+IF(I129="Yes",0.05,0)
+IF(J129="Yes",0.05,0)
+IF(K129="Yes",0.15,0)
+IF(L129="Yes",0.3,0)
</f>
        <v>1</v>
      </c>
      <c r="E129" s="382" t="s">
        <v>129</v>
      </c>
      <c r="F129" s="137" t="s">
        <v>129</v>
      </c>
      <c r="G129" s="137" t="s">
        <v>129</v>
      </c>
      <c r="H129" s="137" t="s">
        <v>129</v>
      </c>
      <c r="I129" s="137" t="s">
        <v>129</v>
      </c>
      <c r="J129" s="137" t="s">
        <v>129</v>
      </c>
      <c r="K129" s="137" t="s">
        <v>129</v>
      </c>
      <c r="L129" s="137" t="s">
        <v>129</v>
      </c>
      <c r="M129" s="141"/>
      <c r="N129" s="143"/>
    </row>
    <row r="130" hidden="1" outlineLevel="1">
      <c r="A130" s="269" t="s">
        <v>2586</v>
      </c>
      <c r="B130" s="344">
        <v>46090.0</v>
      </c>
      <c r="C130" s="133" t="str">
        <f t="shared" si="15"/>
        <v>Mon</v>
      </c>
      <c r="D130" s="383">
        <f t="shared" si="16"/>
        <v>1</v>
      </c>
      <c r="E130" s="147" t="s">
        <v>129</v>
      </c>
      <c r="F130" s="137" t="s">
        <v>129</v>
      </c>
      <c r="G130" s="137" t="s">
        <v>129</v>
      </c>
      <c r="H130" s="137" t="s">
        <v>129</v>
      </c>
      <c r="I130" s="137" t="s">
        <v>129</v>
      </c>
      <c r="J130" s="137" t="s">
        <v>129</v>
      </c>
      <c r="K130" s="137" t="s">
        <v>129</v>
      </c>
      <c r="L130" s="137" t="s">
        <v>129</v>
      </c>
      <c r="M130" s="141"/>
      <c r="N130" s="147"/>
    </row>
    <row r="131" hidden="1" outlineLevel="1">
      <c r="A131" s="255" t="s">
        <v>2587</v>
      </c>
      <c r="B131" s="344">
        <v>46090.0</v>
      </c>
      <c r="C131" s="133" t="str">
        <f t="shared" si="15"/>
        <v>Mon</v>
      </c>
      <c r="D131" s="381">
        <f t="shared" si="16"/>
        <v>1</v>
      </c>
      <c r="E131" s="382" t="s">
        <v>129</v>
      </c>
      <c r="F131" s="137" t="s">
        <v>129</v>
      </c>
      <c r="G131" s="137" t="s">
        <v>129</v>
      </c>
      <c r="H131" s="137" t="s">
        <v>129</v>
      </c>
      <c r="I131" s="137" t="s">
        <v>129</v>
      </c>
      <c r="J131" s="137" t="s">
        <v>129</v>
      </c>
      <c r="K131" s="137" t="s">
        <v>129</v>
      </c>
      <c r="L131" s="137" t="s">
        <v>129</v>
      </c>
      <c r="M131" s="141"/>
      <c r="N131" s="147"/>
    </row>
    <row r="132" hidden="1" outlineLevel="1">
      <c r="A132" s="255" t="s">
        <v>2589</v>
      </c>
      <c r="B132" s="344">
        <v>46091.0</v>
      </c>
      <c r="C132" s="133" t="str">
        <f t="shared" si="15"/>
        <v>Tue</v>
      </c>
      <c r="D132" s="383">
        <f t="shared" si="16"/>
        <v>1</v>
      </c>
      <c r="E132" s="147" t="s">
        <v>129</v>
      </c>
      <c r="F132" s="137" t="s">
        <v>129</v>
      </c>
      <c r="G132" s="137" t="s">
        <v>129</v>
      </c>
      <c r="H132" s="137" t="s">
        <v>129</v>
      </c>
      <c r="I132" s="137" t="s">
        <v>129</v>
      </c>
      <c r="J132" s="137" t="s">
        <v>129</v>
      </c>
      <c r="K132" s="137" t="s">
        <v>129</v>
      </c>
      <c r="L132" s="137" t="s">
        <v>129</v>
      </c>
      <c r="M132" s="141"/>
      <c r="N132" s="143"/>
    </row>
    <row r="133" hidden="1" outlineLevel="1">
      <c r="A133" s="255" t="s">
        <v>2592</v>
      </c>
      <c r="B133" s="344">
        <v>46091.0</v>
      </c>
      <c r="C133" s="133" t="str">
        <f t="shared" si="15"/>
        <v>Tue</v>
      </c>
      <c r="D133" s="381">
        <f t="shared" si="16"/>
        <v>0.65</v>
      </c>
      <c r="E133" s="382" t="s">
        <v>174</v>
      </c>
      <c r="F133" s="137" t="s">
        <v>129</v>
      </c>
      <c r="G133" s="137" t="s">
        <v>129</v>
      </c>
      <c r="H133" s="137" t="s">
        <v>129</v>
      </c>
      <c r="I133" s="137" t="s">
        <v>129</v>
      </c>
      <c r="J133" s="137" t="s">
        <v>129</v>
      </c>
      <c r="K133" s="137" t="s">
        <v>129</v>
      </c>
      <c r="L133" s="137" t="s">
        <v>174</v>
      </c>
      <c r="M133" s="141"/>
      <c r="N133" s="147" t="s">
        <v>2594</v>
      </c>
    </row>
    <row r="134" hidden="1" outlineLevel="1">
      <c r="A134" s="255" t="s">
        <v>2595</v>
      </c>
      <c r="B134" s="344">
        <v>46091.0</v>
      </c>
      <c r="C134" s="133" t="str">
        <f t="shared" si="15"/>
        <v>Tue</v>
      </c>
      <c r="D134" s="383">
        <f t="shared" si="16"/>
        <v>1</v>
      </c>
      <c r="E134" s="147" t="s">
        <v>129</v>
      </c>
      <c r="F134" s="137" t="s">
        <v>129</v>
      </c>
      <c r="G134" s="137" t="s">
        <v>129</v>
      </c>
      <c r="H134" s="137" t="s">
        <v>129</v>
      </c>
      <c r="I134" s="137" t="s">
        <v>129</v>
      </c>
      <c r="J134" s="137" t="s">
        <v>129</v>
      </c>
      <c r="K134" s="137" t="s">
        <v>129</v>
      </c>
      <c r="L134" s="137" t="s">
        <v>129</v>
      </c>
      <c r="M134" s="141"/>
      <c r="N134" s="143"/>
    </row>
    <row r="135" hidden="1" outlineLevel="1">
      <c r="A135" s="303" t="s">
        <v>2597</v>
      </c>
      <c r="B135" s="344">
        <v>46092.0</v>
      </c>
      <c r="C135" s="133" t="str">
        <f t="shared" si="15"/>
        <v>Wed</v>
      </c>
      <c r="D135" s="381">
        <f t="shared" si="16"/>
        <v>1</v>
      </c>
      <c r="E135" s="382" t="s">
        <v>129</v>
      </c>
      <c r="F135" s="137" t="s">
        <v>129</v>
      </c>
      <c r="G135" s="137" t="s">
        <v>129</v>
      </c>
      <c r="H135" s="137" t="s">
        <v>129</v>
      </c>
      <c r="I135" s="137" t="s">
        <v>129</v>
      </c>
      <c r="J135" s="137" t="s">
        <v>129</v>
      </c>
      <c r="K135" s="137" t="s">
        <v>129</v>
      </c>
      <c r="L135" s="137" t="s">
        <v>129</v>
      </c>
      <c r="M135" s="141"/>
      <c r="N135" s="143"/>
    </row>
    <row r="136" hidden="1" outlineLevel="1">
      <c r="A136" s="303" t="s">
        <v>2600</v>
      </c>
      <c r="B136" s="344">
        <v>46092.0</v>
      </c>
      <c r="C136" s="133" t="str">
        <f t="shared" si="15"/>
        <v>Wed</v>
      </c>
      <c r="D136" s="383">
        <f t="shared" si="16"/>
        <v>1</v>
      </c>
      <c r="E136" s="147" t="s">
        <v>129</v>
      </c>
      <c r="F136" s="137" t="s">
        <v>129</v>
      </c>
      <c r="G136" s="137" t="s">
        <v>129</v>
      </c>
      <c r="H136" s="137" t="s">
        <v>129</v>
      </c>
      <c r="I136" s="137" t="s">
        <v>129</v>
      </c>
      <c r="J136" s="137" t="s">
        <v>129</v>
      </c>
      <c r="K136" s="137" t="s">
        <v>129</v>
      </c>
      <c r="L136" s="137" t="s">
        <v>129</v>
      </c>
      <c r="M136" s="141"/>
      <c r="N136" s="147"/>
    </row>
    <row r="137" hidden="1" outlineLevel="1">
      <c r="A137" s="303" t="s">
        <v>2601</v>
      </c>
      <c r="B137" s="344">
        <v>46092.0</v>
      </c>
      <c r="C137" s="133" t="str">
        <f t="shared" si="15"/>
        <v>Wed</v>
      </c>
      <c r="D137" s="381">
        <f t="shared" si="16"/>
        <v>1</v>
      </c>
      <c r="E137" s="382" t="s">
        <v>129</v>
      </c>
      <c r="F137" s="137" t="s">
        <v>129</v>
      </c>
      <c r="G137" s="137" t="s">
        <v>129</v>
      </c>
      <c r="H137" s="137" t="s">
        <v>129</v>
      </c>
      <c r="I137" s="137" t="s">
        <v>129</v>
      </c>
      <c r="J137" s="137" t="s">
        <v>129</v>
      </c>
      <c r="K137" s="137" t="s">
        <v>129</v>
      </c>
      <c r="L137" s="137" t="s">
        <v>129</v>
      </c>
      <c r="M137" s="141"/>
      <c r="N137" s="143"/>
    </row>
    <row r="138" hidden="1" outlineLevel="1">
      <c r="A138" s="219" t="s">
        <v>2603</v>
      </c>
      <c r="B138" s="344">
        <v>46093.0</v>
      </c>
      <c r="C138" s="133" t="str">
        <f t="shared" si="15"/>
        <v>Thu</v>
      </c>
      <c r="D138" s="383">
        <f t="shared" si="16"/>
        <v>1</v>
      </c>
      <c r="E138" s="475" t="s">
        <v>129</v>
      </c>
      <c r="F138" s="375" t="s">
        <v>129</v>
      </c>
      <c r="G138" s="375" t="s">
        <v>129</v>
      </c>
      <c r="H138" s="375" t="s">
        <v>129</v>
      </c>
      <c r="I138" s="375" t="s">
        <v>129</v>
      </c>
      <c r="J138" s="375" t="s">
        <v>129</v>
      </c>
      <c r="K138" s="375" t="s">
        <v>129</v>
      </c>
      <c r="L138" s="375" t="s">
        <v>129</v>
      </c>
      <c r="M138" s="141"/>
      <c r="N138" s="147"/>
    </row>
    <row r="139" hidden="1" outlineLevel="1">
      <c r="A139" s="219" t="s">
        <v>2605</v>
      </c>
      <c r="B139" s="344">
        <v>46093.0</v>
      </c>
      <c r="C139" s="133" t="str">
        <f t="shared" si="15"/>
        <v>Thu</v>
      </c>
      <c r="D139" s="381">
        <f t="shared" si="16"/>
        <v>1</v>
      </c>
      <c r="E139" s="382" t="s">
        <v>129</v>
      </c>
      <c r="F139" s="137" t="s">
        <v>129</v>
      </c>
      <c r="G139" s="137" t="s">
        <v>129</v>
      </c>
      <c r="H139" s="137" t="s">
        <v>129</v>
      </c>
      <c r="I139" s="137" t="s">
        <v>129</v>
      </c>
      <c r="J139" s="137" t="s">
        <v>129</v>
      </c>
      <c r="K139" s="137" t="s">
        <v>129</v>
      </c>
      <c r="L139" s="137" t="s">
        <v>129</v>
      </c>
      <c r="M139" s="141"/>
      <c r="N139" s="147"/>
    </row>
    <row r="140" hidden="1" outlineLevel="1">
      <c r="A140" s="219" t="s">
        <v>2607</v>
      </c>
      <c r="B140" s="344">
        <v>46093.0</v>
      </c>
      <c r="C140" s="133" t="str">
        <f t="shared" si="15"/>
        <v>Thu</v>
      </c>
      <c r="D140" s="383">
        <f t="shared" si="16"/>
        <v>1</v>
      </c>
      <c r="E140" s="147" t="s">
        <v>129</v>
      </c>
      <c r="F140" s="137" t="s">
        <v>129</v>
      </c>
      <c r="G140" s="137" t="s">
        <v>129</v>
      </c>
      <c r="H140" s="137" t="s">
        <v>129</v>
      </c>
      <c r="I140" s="137" t="s">
        <v>129</v>
      </c>
      <c r="J140" s="137" t="s">
        <v>129</v>
      </c>
      <c r="K140" s="137" t="s">
        <v>129</v>
      </c>
      <c r="L140" s="137" t="s">
        <v>129</v>
      </c>
      <c r="M140" s="141"/>
      <c r="N140" s="147"/>
    </row>
    <row r="141" hidden="1" outlineLevel="1">
      <c r="A141" s="255" t="s">
        <v>2610</v>
      </c>
      <c r="B141" s="344">
        <v>46095.0</v>
      </c>
      <c r="C141" s="133" t="str">
        <f t="shared" si="15"/>
        <v>Sat</v>
      </c>
      <c r="D141" s="381">
        <f t="shared" si="16"/>
        <v>1</v>
      </c>
      <c r="E141" s="382" t="s">
        <v>129</v>
      </c>
      <c r="F141" s="137" t="s">
        <v>129</v>
      </c>
      <c r="G141" s="137" t="s">
        <v>129</v>
      </c>
      <c r="H141" s="137" t="s">
        <v>129</v>
      </c>
      <c r="I141" s="137" t="s">
        <v>129</v>
      </c>
      <c r="J141" s="137" t="s">
        <v>129</v>
      </c>
      <c r="K141" s="137" t="s">
        <v>129</v>
      </c>
      <c r="L141" s="137" t="s">
        <v>129</v>
      </c>
      <c r="M141" s="141"/>
      <c r="N141" s="143"/>
    </row>
    <row r="142" hidden="1" outlineLevel="1">
      <c r="A142" s="255" t="s">
        <v>2611</v>
      </c>
      <c r="B142" s="344">
        <v>46095.0</v>
      </c>
      <c r="C142" s="133" t="str">
        <f t="shared" si="15"/>
        <v>Sat</v>
      </c>
      <c r="D142" s="383">
        <f t="shared" si="16"/>
        <v>1</v>
      </c>
      <c r="E142" s="147" t="s">
        <v>129</v>
      </c>
      <c r="F142" s="137" t="s">
        <v>129</v>
      </c>
      <c r="G142" s="137" t="s">
        <v>129</v>
      </c>
      <c r="H142" s="137" t="s">
        <v>129</v>
      </c>
      <c r="I142" s="137" t="s">
        <v>129</v>
      </c>
      <c r="J142" s="137" t="s">
        <v>129</v>
      </c>
      <c r="K142" s="137" t="s">
        <v>129</v>
      </c>
      <c r="L142" s="137" t="s">
        <v>129</v>
      </c>
      <c r="M142" s="141"/>
      <c r="N142" s="143"/>
    </row>
    <row r="143" ht="15.0" hidden="1" customHeight="1" outlineLevel="1">
      <c r="A143" s="255" t="s">
        <v>2614</v>
      </c>
      <c r="B143" s="344">
        <v>46095.0</v>
      </c>
      <c r="C143" s="133" t="str">
        <f t="shared" si="15"/>
        <v>Sat</v>
      </c>
      <c r="D143" s="381">
        <f t="shared" si="16"/>
        <v>1</v>
      </c>
      <c r="E143" s="382" t="s">
        <v>129</v>
      </c>
      <c r="F143" s="137" t="s">
        <v>129</v>
      </c>
      <c r="G143" s="137" t="s">
        <v>129</v>
      </c>
      <c r="H143" s="137" t="s">
        <v>129</v>
      </c>
      <c r="I143" s="137" t="s">
        <v>129</v>
      </c>
      <c r="J143" s="137" t="s">
        <v>129</v>
      </c>
      <c r="K143" s="137" t="s">
        <v>129</v>
      </c>
      <c r="L143" s="137" t="s">
        <v>129</v>
      </c>
      <c r="M143" s="141"/>
      <c r="N143" s="147"/>
    </row>
    <row r="144" hidden="1" outlineLevel="1">
      <c r="B144" s="189"/>
      <c r="C144" s="191" t="s">
        <v>194</v>
      </c>
      <c r="D144" s="204">
        <f>AVERAGE(D129:D143)</f>
        <v>0.9766666667</v>
      </c>
      <c r="E144" s="384"/>
      <c r="L144" s="191" t="s">
        <v>194</v>
      </c>
      <c r="M144" s="204">
        <f>SUM(M129:M143)/75*0.1</f>
        <v>0</v>
      </c>
    </row>
    <row r="145" hidden="1" collapsed="1">
      <c r="A145" s="206" t="s">
        <v>792</v>
      </c>
      <c r="B145" s="207"/>
      <c r="C145" s="207"/>
      <c r="D145" s="385"/>
      <c r="E145" s="109"/>
      <c r="F145" s="109"/>
      <c r="G145" s="110"/>
      <c r="H145" s="110"/>
      <c r="I145" s="110"/>
      <c r="J145" s="110"/>
      <c r="K145" s="110"/>
      <c r="L145" s="110"/>
      <c r="M145" s="111"/>
      <c r="N145" s="113"/>
    </row>
    <row r="146" hidden="1" outlineLevel="1">
      <c r="A146" s="373" t="s">
        <v>98</v>
      </c>
      <c r="B146" s="115" t="s">
        <v>100</v>
      </c>
      <c r="C146" s="115" t="s">
        <v>102</v>
      </c>
      <c r="D146" s="119" t="s">
        <v>103</v>
      </c>
      <c r="E146" s="275" t="s">
        <v>269</v>
      </c>
      <c r="F146" s="275" t="s">
        <v>272</v>
      </c>
      <c r="G146" s="276" t="s">
        <v>328</v>
      </c>
      <c r="H146" s="121" t="s">
        <v>107</v>
      </c>
      <c r="I146" s="121" t="s">
        <v>108</v>
      </c>
      <c r="J146" s="276" t="s">
        <v>329</v>
      </c>
      <c r="K146" s="121" t="s">
        <v>111</v>
      </c>
      <c r="L146" s="276" t="s">
        <v>274</v>
      </c>
      <c r="M146" s="115" t="s">
        <v>114</v>
      </c>
      <c r="N146" s="119" t="s">
        <v>115</v>
      </c>
    </row>
    <row r="147" hidden="1" outlineLevel="1">
      <c r="A147" s="269" t="s">
        <v>2617</v>
      </c>
      <c r="B147" s="344">
        <v>46097.0</v>
      </c>
      <c r="C147" s="133" t="str">
        <f t="shared" ref="C147:C161" si="17">IF(B147="", "", TEXT(B147, "ddd"))</f>
        <v>Mon</v>
      </c>
      <c r="D147" s="381">
        <f t="shared" ref="D147:D161" si="18">IF(E147="Yes",0.05,0)
+IF(F147="Yes",0.1,0)
+IF(G147="Yes",0.15,0)
+IF(H147="Yes",0.15,0)
+IF(I147="Yes",0.05,0)
+IF(J147="Yes",0.05,0)
+IF(K147="Yes",0.15,0)
+IF(L147="Yes",0.3,0)
</f>
        <v>1</v>
      </c>
      <c r="E147" s="382" t="s">
        <v>129</v>
      </c>
      <c r="F147" s="137" t="s">
        <v>129</v>
      </c>
      <c r="G147" s="137" t="s">
        <v>129</v>
      </c>
      <c r="H147" s="137" t="s">
        <v>129</v>
      </c>
      <c r="I147" s="137" t="s">
        <v>129</v>
      </c>
      <c r="J147" s="137" t="s">
        <v>129</v>
      </c>
      <c r="K147" s="137" t="s">
        <v>129</v>
      </c>
      <c r="L147" s="137" t="s">
        <v>129</v>
      </c>
      <c r="M147" s="141"/>
      <c r="N147" s="143"/>
    </row>
    <row r="148" hidden="1" outlineLevel="1">
      <c r="A148" s="303" t="s">
        <v>2618</v>
      </c>
      <c r="B148" s="344">
        <v>46097.0</v>
      </c>
      <c r="C148" s="133" t="str">
        <f t="shared" si="17"/>
        <v>Mon</v>
      </c>
      <c r="D148" s="383">
        <f t="shared" si="18"/>
        <v>1</v>
      </c>
      <c r="E148" s="147" t="s">
        <v>129</v>
      </c>
      <c r="F148" s="137" t="s">
        <v>129</v>
      </c>
      <c r="G148" s="137" t="s">
        <v>129</v>
      </c>
      <c r="H148" s="137" t="s">
        <v>129</v>
      </c>
      <c r="I148" s="137" t="s">
        <v>129</v>
      </c>
      <c r="J148" s="137" t="s">
        <v>129</v>
      </c>
      <c r="K148" s="137" t="s">
        <v>129</v>
      </c>
      <c r="L148" s="137" t="s">
        <v>129</v>
      </c>
      <c r="M148" s="141"/>
      <c r="N148" s="147"/>
    </row>
    <row r="149" hidden="1" outlineLevel="1">
      <c r="A149" s="303" t="s">
        <v>2620</v>
      </c>
      <c r="B149" s="344">
        <v>46097.0</v>
      </c>
      <c r="C149" s="133" t="str">
        <f t="shared" si="17"/>
        <v>Mon</v>
      </c>
      <c r="D149" s="381">
        <f t="shared" si="18"/>
        <v>1</v>
      </c>
      <c r="E149" s="382" t="s">
        <v>129</v>
      </c>
      <c r="F149" s="137" t="s">
        <v>129</v>
      </c>
      <c r="G149" s="137" t="s">
        <v>129</v>
      </c>
      <c r="H149" s="137" t="s">
        <v>129</v>
      </c>
      <c r="I149" s="137" t="s">
        <v>129</v>
      </c>
      <c r="J149" s="137" t="s">
        <v>129</v>
      </c>
      <c r="K149" s="137" t="s">
        <v>129</v>
      </c>
      <c r="L149" s="137" t="s">
        <v>129</v>
      </c>
      <c r="M149" s="141"/>
      <c r="N149" s="147"/>
    </row>
    <row r="150" hidden="1" outlineLevel="1">
      <c r="A150" s="219" t="s">
        <v>2623</v>
      </c>
      <c r="B150" s="344">
        <v>46098.0</v>
      </c>
      <c r="C150" s="133" t="str">
        <f t="shared" si="17"/>
        <v>Tue</v>
      </c>
      <c r="D150" s="383">
        <f t="shared" si="18"/>
        <v>1</v>
      </c>
      <c r="E150" s="147" t="s">
        <v>129</v>
      </c>
      <c r="F150" s="137" t="s">
        <v>129</v>
      </c>
      <c r="G150" s="137" t="s">
        <v>129</v>
      </c>
      <c r="H150" s="137" t="s">
        <v>129</v>
      </c>
      <c r="I150" s="137" t="s">
        <v>129</v>
      </c>
      <c r="J150" s="137" t="s">
        <v>129</v>
      </c>
      <c r="K150" s="137" t="s">
        <v>129</v>
      </c>
      <c r="L150" s="137" t="s">
        <v>129</v>
      </c>
      <c r="M150" s="141"/>
      <c r="N150" s="143"/>
    </row>
    <row r="151" hidden="1" outlineLevel="1">
      <c r="A151" s="219" t="s">
        <v>2625</v>
      </c>
      <c r="B151" s="344">
        <v>46098.0</v>
      </c>
      <c r="C151" s="133" t="str">
        <f t="shared" si="17"/>
        <v>Tue</v>
      </c>
      <c r="D151" s="381">
        <f t="shared" si="18"/>
        <v>1</v>
      </c>
      <c r="E151" s="382" t="s">
        <v>129</v>
      </c>
      <c r="F151" s="137" t="s">
        <v>129</v>
      </c>
      <c r="G151" s="137" t="s">
        <v>129</v>
      </c>
      <c r="H151" s="137" t="s">
        <v>129</v>
      </c>
      <c r="I151" s="137" t="s">
        <v>129</v>
      </c>
      <c r="J151" s="137" t="s">
        <v>129</v>
      </c>
      <c r="K151" s="137" t="s">
        <v>129</v>
      </c>
      <c r="L151" s="137" t="s">
        <v>129</v>
      </c>
      <c r="M151" s="141"/>
      <c r="N151" s="143"/>
    </row>
    <row r="152" hidden="1" outlineLevel="1">
      <c r="A152" s="269" t="s">
        <v>2627</v>
      </c>
      <c r="B152" s="344">
        <v>46098.0</v>
      </c>
      <c r="C152" s="133" t="str">
        <f t="shared" si="17"/>
        <v>Tue</v>
      </c>
      <c r="D152" s="383">
        <f t="shared" si="18"/>
        <v>1</v>
      </c>
      <c r="E152" s="147" t="s">
        <v>129</v>
      </c>
      <c r="F152" s="137" t="s">
        <v>129</v>
      </c>
      <c r="G152" s="137" t="s">
        <v>129</v>
      </c>
      <c r="H152" s="137" t="s">
        <v>129</v>
      </c>
      <c r="I152" s="137" t="s">
        <v>129</v>
      </c>
      <c r="J152" s="137" t="s">
        <v>129</v>
      </c>
      <c r="K152" s="137" t="s">
        <v>129</v>
      </c>
      <c r="L152" s="137" t="s">
        <v>129</v>
      </c>
      <c r="M152" s="141"/>
      <c r="N152" s="143"/>
    </row>
    <row r="153" hidden="1" outlineLevel="1">
      <c r="A153" s="255" t="s">
        <v>2629</v>
      </c>
      <c r="B153" s="344">
        <v>46099.0</v>
      </c>
      <c r="C153" s="133" t="str">
        <f t="shared" si="17"/>
        <v>Wed</v>
      </c>
      <c r="D153" s="381">
        <f t="shared" si="18"/>
        <v>1</v>
      </c>
      <c r="E153" s="382" t="s">
        <v>129</v>
      </c>
      <c r="F153" s="137" t="s">
        <v>129</v>
      </c>
      <c r="G153" s="137" t="s">
        <v>129</v>
      </c>
      <c r="H153" s="137" t="s">
        <v>129</v>
      </c>
      <c r="I153" s="137" t="s">
        <v>129</v>
      </c>
      <c r="J153" s="137" t="s">
        <v>129</v>
      </c>
      <c r="K153" s="137" t="s">
        <v>129</v>
      </c>
      <c r="L153" s="137" t="s">
        <v>129</v>
      </c>
      <c r="M153" s="141"/>
      <c r="N153" s="143"/>
    </row>
    <row r="154" hidden="1" outlineLevel="1">
      <c r="A154" s="255" t="s">
        <v>2632</v>
      </c>
      <c r="B154" s="344">
        <v>46099.0</v>
      </c>
      <c r="C154" s="133" t="str">
        <f t="shared" si="17"/>
        <v>Wed</v>
      </c>
      <c r="D154" s="383">
        <f t="shared" si="18"/>
        <v>1</v>
      </c>
      <c r="E154" s="147" t="s">
        <v>129</v>
      </c>
      <c r="F154" s="137" t="s">
        <v>129</v>
      </c>
      <c r="G154" s="137" t="s">
        <v>129</v>
      </c>
      <c r="H154" s="137" t="s">
        <v>129</v>
      </c>
      <c r="I154" s="137" t="s">
        <v>129</v>
      </c>
      <c r="J154" s="137" t="s">
        <v>129</v>
      </c>
      <c r="K154" s="137" t="s">
        <v>129</v>
      </c>
      <c r="L154" s="137" t="s">
        <v>129</v>
      </c>
      <c r="M154" s="141"/>
      <c r="N154" s="147"/>
    </row>
    <row r="155" hidden="1" outlineLevel="1">
      <c r="A155" s="255" t="s">
        <v>2634</v>
      </c>
      <c r="B155" s="344">
        <v>46099.0</v>
      </c>
      <c r="C155" s="133" t="str">
        <f t="shared" si="17"/>
        <v>Wed</v>
      </c>
      <c r="D155" s="381">
        <f t="shared" si="18"/>
        <v>1</v>
      </c>
      <c r="E155" s="382" t="s">
        <v>129</v>
      </c>
      <c r="F155" s="137" t="s">
        <v>129</v>
      </c>
      <c r="G155" s="137" t="s">
        <v>129</v>
      </c>
      <c r="H155" s="137" t="s">
        <v>129</v>
      </c>
      <c r="I155" s="137" t="s">
        <v>129</v>
      </c>
      <c r="J155" s="137" t="s">
        <v>129</v>
      </c>
      <c r="K155" s="137" t="s">
        <v>129</v>
      </c>
      <c r="L155" s="137" t="s">
        <v>129</v>
      </c>
      <c r="M155" s="141"/>
      <c r="N155" s="143"/>
    </row>
    <row r="156" hidden="1" outlineLevel="1">
      <c r="A156" s="255" t="s">
        <v>2635</v>
      </c>
      <c r="B156" s="344">
        <v>46100.0</v>
      </c>
      <c r="C156" s="133" t="str">
        <f t="shared" si="17"/>
        <v>Thu</v>
      </c>
      <c r="D156" s="383">
        <f t="shared" si="18"/>
        <v>1</v>
      </c>
      <c r="E156" s="147" t="s">
        <v>129</v>
      </c>
      <c r="F156" s="137" t="s">
        <v>129</v>
      </c>
      <c r="G156" s="137" t="s">
        <v>129</v>
      </c>
      <c r="H156" s="137" t="s">
        <v>129</v>
      </c>
      <c r="I156" s="137" t="s">
        <v>129</v>
      </c>
      <c r="J156" s="137" t="s">
        <v>129</v>
      </c>
      <c r="K156" s="137" t="s">
        <v>129</v>
      </c>
      <c r="L156" s="137" t="s">
        <v>129</v>
      </c>
      <c r="M156" s="141"/>
      <c r="N156" s="147"/>
    </row>
    <row r="157" hidden="1" outlineLevel="1">
      <c r="A157" s="255" t="s">
        <v>2637</v>
      </c>
      <c r="B157" s="344">
        <v>46100.0</v>
      </c>
      <c r="C157" s="133" t="str">
        <f t="shared" si="17"/>
        <v>Thu</v>
      </c>
      <c r="D157" s="381">
        <f t="shared" si="18"/>
        <v>1</v>
      </c>
      <c r="E157" s="382" t="s">
        <v>129</v>
      </c>
      <c r="F157" s="137" t="s">
        <v>129</v>
      </c>
      <c r="G157" s="137" t="s">
        <v>129</v>
      </c>
      <c r="H157" s="137" t="s">
        <v>129</v>
      </c>
      <c r="I157" s="137" t="s">
        <v>129</v>
      </c>
      <c r="J157" s="137" t="s">
        <v>129</v>
      </c>
      <c r="K157" s="137" t="s">
        <v>129</v>
      </c>
      <c r="L157" s="137" t="s">
        <v>129</v>
      </c>
      <c r="M157" s="141"/>
      <c r="N157" s="147"/>
    </row>
    <row r="158" hidden="1" outlineLevel="1">
      <c r="A158" s="255" t="s">
        <v>2639</v>
      </c>
      <c r="B158" s="344">
        <v>46100.0</v>
      </c>
      <c r="C158" s="133" t="str">
        <f t="shared" si="17"/>
        <v>Thu</v>
      </c>
      <c r="D158" s="383">
        <f t="shared" si="18"/>
        <v>1</v>
      </c>
      <c r="E158" s="147" t="s">
        <v>129</v>
      </c>
      <c r="F158" s="137" t="s">
        <v>129</v>
      </c>
      <c r="G158" s="137" t="s">
        <v>129</v>
      </c>
      <c r="H158" s="137" t="s">
        <v>129</v>
      </c>
      <c r="I158" s="137" t="s">
        <v>129</v>
      </c>
      <c r="J158" s="137" t="s">
        <v>129</v>
      </c>
      <c r="K158" s="137" t="s">
        <v>129</v>
      </c>
      <c r="L158" s="137" t="s">
        <v>129</v>
      </c>
      <c r="M158" s="141"/>
      <c r="N158" s="147"/>
    </row>
    <row r="159" hidden="1" outlineLevel="1">
      <c r="A159" s="219" t="s">
        <v>2641</v>
      </c>
      <c r="B159" s="344">
        <v>46102.0</v>
      </c>
      <c r="C159" s="133" t="str">
        <f t="shared" si="17"/>
        <v>Sat</v>
      </c>
      <c r="D159" s="381">
        <f t="shared" si="18"/>
        <v>1</v>
      </c>
      <c r="E159" s="382" t="s">
        <v>129</v>
      </c>
      <c r="F159" s="137" t="s">
        <v>129</v>
      </c>
      <c r="G159" s="137" t="s">
        <v>129</v>
      </c>
      <c r="H159" s="137" t="s">
        <v>129</v>
      </c>
      <c r="I159" s="137" t="s">
        <v>129</v>
      </c>
      <c r="J159" s="137" t="s">
        <v>129</v>
      </c>
      <c r="K159" s="137" t="s">
        <v>129</v>
      </c>
      <c r="L159" s="137" t="s">
        <v>129</v>
      </c>
      <c r="M159" s="141"/>
      <c r="N159" s="143"/>
    </row>
    <row r="160" hidden="1" outlineLevel="1">
      <c r="A160" s="219" t="s">
        <v>2642</v>
      </c>
      <c r="B160" s="344">
        <v>46102.0</v>
      </c>
      <c r="C160" s="133" t="str">
        <f t="shared" si="17"/>
        <v>Sat</v>
      </c>
      <c r="D160" s="383">
        <f t="shared" si="18"/>
        <v>1</v>
      </c>
      <c r="E160" s="147" t="s">
        <v>129</v>
      </c>
      <c r="F160" s="137" t="s">
        <v>129</v>
      </c>
      <c r="G160" s="137" t="s">
        <v>129</v>
      </c>
      <c r="H160" s="137" t="s">
        <v>129</v>
      </c>
      <c r="I160" s="137" t="s">
        <v>129</v>
      </c>
      <c r="J160" s="137" t="s">
        <v>129</v>
      </c>
      <c r="K160" s="137" t="s">
        <v>129</v>
      </c>
      <c r="L160" s="137" t="s">
        <v>129</v>
      </c>
      <c r="M160" s="141"/>
      <c r="N160" s="143"/>
    </row>
    <row r="161" ht="15.0" hidden="1" customHeight="1" outlineLevel="1">
      <c r="A161" s="219" t="s">
        <v>2643</v>
      </c>
      <c r="B161" s="344">
        <v>46102.0</v>
      </c>
      <c r="C161" s="133" t="str">
        <f t="shared" si="17"/>
        <v>Sat</v>
      </c>
      <c r="D161" s="381">
        <f t="shared" si="18"/>
        <v>1</v>
      </c>
      <c r="E161" s="382" t="s">
        <v>129</v>
      </c>
      <c r="F161" s="137" t="s">
        <v>129</v>
      </c>
      <c r="G161" s="137" t="s">
        <v>129</v>
      </c>
      <c r="H161" s="137" t="s">
        <v>129</v>
      </c>
      <c r="I161" s="137" t="s">
        <v>129</v>
      </c>
      <c r="J161" s="137" t="s">
        <v>129</v>
      </c>
      <c r="K161" s="137" t="s">
        <v>129</v>
      </c>
      <c r="L161" s="137" t="s">
        <v>129</v>
      </c>
      <c r="M161" s="141"/>
      <c r="N161" s="147"/>
    </row>
    <row r="162" hidden="1" outlineLevel="1">
      <c r="B162" s="189"/>
      <c r="C162" s="191" t="s">
        <v>194</v>
      </c>
      <c r="D162" s="204">
        <f>AVERAGE(D147:D161)</f>
        <v>1</v>
      </c>
      <c r="E162" s="384"/>
      <c r="L162" s="191" t="s">
        <v>194</v>
      </c>
      <c r="M162" s="204">
        <f>SUM(M147:M161)/75*0.1</f>
        <v>0</v>
      </c>
    </row>
    <row r="163" hidden="1" collapsed="1">
      <c r="A163" s="206" t="s">
        <v>831</v>
      </c>
      <c r="B163" s="207"/>
      <c r="C163" s="207"/>
      <c r="D163" s="385"/>
      <c r="E163" s="109"/>
      <c r="F163" s="109"/>
      <c r="G163" s="110"/>
      <c r="H163" s="110"/>
      <c r="I163" s="110"/>
      <c r="J163" s="110"/>
      <c r="K163" s="110"/>
      <c r="L163" s="110"/>
      <c r="M163" s="111"/>
      <c r="N163" s="113"/>
    </row>
    <row r="164" hidden="1" outlineLevel="1">
      <c r="A164" s="373" t="s">
        <v>98</v>
      </c>
      <c r="B164" s="115" t="s">
        <v>100</v>
      </c>
      <c r="C164" s="115" t="s">
        <v>102</v>
      </c>
      <c r="D164" s="119" t="s">
        <v>103</v>
      </c>
      <c r="E164" s="275" t="s">
        <v>269</v>
      </c>
      <c r="F164" s="275" t="s">
        <v>272</v>
      </c>
      <c r="G164" s="276" t="s">
        <v>328</v>
      </c>
      <c r="H164" s="121" t="s">
        <v>107</v>
      </c>
      <c r="I164" s="121" t="s">
        <v>108</v>
      </c>
      <c r="J164" s="276" t="s">
        <v>329</v>
      </c>
      <c r="K164" s="121" t="s">
        <v>111</v>
      </c>
      <c r="L164" s="276" t="s">
        <v>274</v>
      </c>
      <c r="M164" s="115" t="s">
        <v>114</v>
      </c>
      <c r="N164" s="119" t="s">
        <v>115</v>
      </c>
    </row>
    <row r="165" hidden="1" outlineLevel="1">
      <c r="A165" s="219" t="s">
        <v>2646</v>
      </c>
      <c r="B165" s="344">
        <v>46104.0</v>
      </c>
      <c r="C165" s="133" t="str">
        <f t="shared" ref="C165:C179" si="19">IF(B165="", "", TEXT(B165, "ddd"))</f>
        <v>Mon</v>
      </c>
      <c r="D165" s="381">
        <f t="shared" ref="D165:D179" si="20">IF(E165="Yes",0.05,0)
+IF(F165="Yes",0.1,0)
+IF(G165="Yes",0.15,0)
+IF(H165="Yes",0.15,0)
+IF(I165="Yes",0.05,0)
+IF(J165="Yes",0.05,0)
+IF(K165="Yes",0.15,0)
+IF(L165="Yes",0.3,0)
</f>
        <v>1</v>
      </c>
      <c r="E165" s="382" t="s">
        <v>129</v>
      </c>
      <c r="F165" s="137" t="s">
        <v>129</v>
      </c>
      <c r="G165" s="137" t="s">
        <v>129</v>
      </c>
      <c r="H165" s="137" t="s">
        <v>129</v>
      </c>
      <c r="I165" s="137" t="s">
        <v>129</v>
      </c>
      <c r="J165" s="137" t="s">
        <v>129</v>
      </c>
      <c r="K165" s="137" t="s">
        <v>129</v>
      </c>
      <c r="L165" s="137" t="s">
        <v>129</v>
      </c>
      <c r="M165" s="141"/>
      <c r="N165" s="143"/>
    </row>
    <row r="166" hidden="1" outlineLevel="1">
      <c r="A166" s="255" t="s">
        <v>2649</v>
      </c>
      <c r="B166" s="344">
        <v>46104.0</v>
      </c>
      <c r="C166" s="133" t="str">
        <f t="shared" si="19"/>
        <v>Mon</v>
      </c>
      <c r="D166" s="383">
        <f t="shared" si="20"/>
        <v>1</v>
      </c>
      <c r="E166" s="147" t="s">
        <v>129</v>
      </c>
      <c r="F166" s="137" t="s">
        <v>129</v>
      </c>
      <c r="G166" s="137" t="s">
        <v>129</v>
      </c>
      <c r="H166" s="137" t="s">
        <v>129</v>
      </c>
      <c r="I166" s="137" t="s">
        <v>129</v>
      </c>
      <c r="J166" s="137" t="s">
        <v>129</v>
      </c>
      <c r="K166" s="137" t="s">
        <v>129</v>
      </c>
      <c r="L166" s="137" t="s">
        <v>129</v>
      </c>
      <c r="M166" s="141"/>
      <c r="N166" s="147"/>
    </row>
    <row r="167" hidden="1" outlineLevel="1">
      <c r="A167" s="255" t="s">
        <v>2651</v>
      </c>
      <c r="B167" s="344">
        <v>46104.0</v>
      </c>
      <c r="C167" s="133" t="str">
        <f t="shared" si="19"/>
        <v>Mon</v>
      </c>
      <c r="D167" s="381">
        <f t="shared" si="20"/>
        <v>1</v>
      </c>
      <c r="E167" s="382" t="s">
        <v>129</v>
      </c>
      <c r="F167" s="137" t="s">
        <v>129</v>
      </c>
      <c r="G167" s="137" t="s">
        <v>129</v>
      </c>
      <c r="H167" s="137" t="s">
        <v>129</v>
      </c>
      <c r="I167" s="137" t="s">
        <v>129</v>
      </c>
      <c r="J167" s="137" t="s">
        <v>129</v>
      </c>
      <c r="K167" s="137" t="s">
        <v>129</v>
      </c>
      <c r="L167" s="137" t="s">
        <v>129</v>
      </c>
      <c r="M167" s="141"/>
      <c r="N167" s="147"/>
    </row>
    <row r="168" hidden="1" outlineLevel="1">
      <c r="A168" s="387" t="s">
        <v>2653</v>
      </c>
      <c r="B168" s="344">
        <v>46105.0</v>
      </c>
      <c r="C168" s="133" t="str">
        <f t="shared" si="19"/>
        <v>Tue</v>
      </c>
      <c r="D168" s="383">
        <f t="shared" si="20"/>
        <v>1</v>
      </c>
      <c r="E168" s="147" t="s">
        <v>129</v>
      </c>
      <c r="F168" s="137" t="s">
        <v>129</v>
      </c>
      <c r="G168" s="137" t="s">
        <v>129</v>
      </c>
      <c r="H168" s="137" t="s">
        <v>129</v>
      </c>
      <c r="I168" s="137" t="s">
        <v>129</v>
      </c>
      <c r="J168" s="137" t="s">
        <v>129</v>
      </c>
      <c r="K168" s="137" t="s">
        <v>129</v>
      </c>
      <c r="L168" s="137" t="s">
        <v>129</v>
      </c>
      <c r="M168" s="141"/>
      <c r="N168" s="143"/>
    </row>
    <row r="169" hidden="1" outlineLevel="1">
      <c r="A169" s="219" t="s">
        <v>2655</v>
      </c>
      <c r="B169" s="344">
        <v>46105.0</v>
      </c>
      <c r="C169" s="133" t="str">
        <f t="shared" si="19"/>
        <v>Tue</v>
      </c>
      <c r="D169" s="381">
        <f t="shared" si="20"/>
        <v>1</v>
      </c>
      <c r="E169" s="382" t="s">
        <v>129</v>
      </c>
      <c r="F169" s="137" t="s">
        <v>129</v>
      </c>
      <c r="G169" s="137" t="s">
        <v>129</v>
      </c>
      <c r="H169" s="137" t="s">
        <v>129</v>
      </c>
      <c r="I169" s="137" t="s">
        <v>129</v>
      </c>
      <c r="J169" s="137" t="s">
        <v>129</v>
      </c>
      <c r="K169" s="137" t="s">
        <v>129</v>
      </c>
      <c r="L169" s="137" t="s">
        <v>129</v>
      </c>
      <c r="M169" s="141"/>
      <c r="N169" s="143"/>
    </row>
    <row r="170" hidden="1" outlineLevel="1">
      <c r="A170" s="255" t="s">
        <v>2657</v>
      </c>
      <c r="B170" s="344">
        <v>46105.0</v>
      </c>
      <c r="C170" s="133" t="str">
        <f t="shared" si="19"/>
        <v>Tue</v>
      </c>
      <c r="D170" s="383">
        <f t="shared" si="20"/>
        <v>1</v>
      </c>
      <c r="E170" s="147" t="s">
        <v>129</v>
      </c>
      <c r="F170" s="137" t="s">
        <v>129</v>
      </c>
      <c r="G170" s="137" t="s">
        <v>129</v>
      </c>
      <c r="H170" s="137" t="s">
        <v>129</v>
      </c>
      <c r="I170" s="137" t="s">
        <v>129</v>
      </c>
      <c r="J170" s="137" t="s">
        <v>129</v>
      </c>
      <c r="K170" s="137" t="s">
        <v>129</v>
      </c>
      <c r="L170" s="137" t="s">
        <v>129</v>
      </c>
      <c r="M170" s="141"/>
      <c r="N170" s="143"/>
    </row>
    <row r="171" hidden="1" outlineLevel="1">
      <c r="A171" s="255" t="s">
        <v>2659</v>
      </c>
      <c r="B171" s="344">
        <v>46108.0</v>
      </c>
      <c r="C171" s="133" t="str">
        <f t="shared" si="19"/>
        <v>Fri</v>
      </c>
      <c r="D171" s="381">
        <f t="shared" si="20"/>
        <v>1</v>
      </c>
      <c r="E171" s="382" t="s">
        <v>129</v>
      </c>
      <c r="F171" s="137" t="s">
        <v>129</v>
      </c>
      <c r="G171" s="137" t="s">
        <v>129</v>
      </c>
      <c r="H171" s="137" t="s">
        <v>129</v>
      </c>
      <c r="I171" s="137" t="s">
        <v>129</v>
      </c>
      <c r="J171" s="137" t="s">
        <v>129</v>
      </c>
      <c r="K171" s="137" t="s">
        <v>129</v>
      </c>
      <c r="L171" s="137" t="s">
        <v>129</v>
      </c>
      <c r="M171" s="141"/>
      <c r="N171" s="143"/>
    </row>
    <row r="172" hidden="1" outlineLevel="1">
      <c r="A172" s="255" t="s">
        <v>2662</v>
      </c>
      <c r="B172" s="344">
        <v>46108.0</v>
      </c>
      <c r="C172" s="133" t="str">
        <f t="shared" si="19"/>
        <v>Fri</v>
      </c>
      <c r="D172" s="383">
        <f t="shared" si="20"/>
        <v>1</v>
      </c>
      <c r="E172" s="147" t="s">
        <v>129</v>
      </c>
      <c r="F172" s="137" t="s">
        <v>129</v>
      </c>
      <c r="G172" s="137" t="s">
        <v>129</v>
      </c>
      <c r="H172" s="137" t="s">
        <v>129</v>
      </c>
      <c r="I172" s="137" t="s">
        <v>129</v>
      </c>
      <c r="J172" s="137" t="s">
        <v>129</v>
      </c>
      <c r="K172" s="137" t="s">
        <v>129</v>
      </c>
      <c r="L172" s="137" t="s">
        <v>129</v>
      </c>
      <c r="M172" s="141"/>
      <c r="N172" s="147"/>
    </row>
    <row r="173" hidden="1" outlineLevel="1">
      <c r="A173" s="255" t="s">
        <v>2663</v>
      </c>
      <c r="B173" s="344">
        <v>46108.0</v>
      </c>
      <c r="C173" s="133" t="str">
        <f t="shared" si="19"/>
        <v>Fri</v>
      </c>
      <c r="D173" s="381">
        <f t="shared" si="20"/>
        <v>1</v>
      </c>
      <c r="E173" s="382" t="s">
        <v>129</v>
      </c>
      <c r="F173" s="137" t="s">
        <v>129</v>
      </c>
      <c r="G173" s="137" t="s">
        <v>129</v>
      </c>
      <c r="H173" s="137" t="s">
        <v>129</v>
      </c>
      <c r="I173" s="137" t="s">
        <v>129</v>
      </c>
      <c r="J173" s="137" t="s">
        <v>129</v>
      </c>
      <c r="K173" s="137" t="s">
        <v>129</v>
      </c>
      <c r="L173" s="137" t="s">
        <v>129</v>
      </c>
      <c r="M173" s="141"/>
      <c r="N173" s="143"/>
    </row>
    <row r="174" hidden="1" outlineLevel="1">
      <c r="A174" s="255" t="s">
        <v>2665</v>
      </c>
      <c r="B174" s="344">
        <v>46109.0</v>
      </c>
      <c r="C174" s="133" t="str">
        <f t="shared" si="19"/>
        <v>Sat</v>
      </c>
      <c r="D174" s="383">
        <f t="shared" si="20"/>
        <v>1</v>
      </c>
      <c r="E174" s="147" t="s">
        <v>129</v>
      </c>
      <c r="F174" s="137" t="s">
        <v>129</v>
      </c>
      <c r="G174" s="137" t="s">
        <v>129</v>
      </c>
      <c r="H174" s="137" t="s">
        <v>129</v>
      </c>
      <c r="I174" s="137" t="s">
        <v>129</v>
      </c>
      <c r="J174" s="137" t="s">
        <v>129</v>
      </c>
      <c r="K174" s="137" t="s">
        <v>129</v>
      </c>
      <c r="L174" s="137" t="s">
        <v>129</v>
      </c>
      <c r="M174" s="141"/>
      <c r="N174" s="147"/>
    </row>
    <row r="175" hidden="1" outlineLevel="1">
      <c r="A175" s="255" t="s">
        <v>2667</v>
      </c>
      <c r="B175" s="344">
        <v>46109.0</v>
      </c>
      <c r="C175" s="133" t="str">
        <f t="shared" si="19"/>
        <v>Sat</v>
      </c>
      <c r="D175" s="381">
        <f t="shared" si="20"/>
        <v>1</v>
      </c>
      <c r="E175" s="382" t="s">
        <v>129</v>
      </c>
      <c r="F175" s="137" t="s">
        <v>129</v>
      </c>
      <c r="G175" s="137" t="s">
        <v>129</v>
      </c>
      <c r="H175" s="137" t="s">
        <v>129</v>
      </c>
      <c r="I175" s="137" t="s">
        <v>129</v>
      </c>
      <c r="J175" s="137" t="s">
        <v>129</v>
      </c>
      <c r="K175" s="137" t="s">
        <v>129</v>
      </c>
      <c r="L175" s="137" t="s">
        <v>129</v>
      </c>
      <c r="M175" s="141"/>
      <c r="N175" s="147"/>
    </row>
    <row r="176" hidden="1" outlineLevel="1">
      <c r="A176" s="255" t="s">
        <v>2670</v>
      </c>
      <c r="B176" s="344">
        <v>46109.0</v>
      </c>
      <c r="C176" s="133" t="str">
        <f t="shared" si="19"/>
        <v>Sat</v>
      </c>
      <c r="D176" s="383">
        <f t="shared" si="20"/>
        <v>1</v>
      </c>
      <c r="E176" s="147" t="s">
        <v>129</v>
      </c>
      <c r="F176" s="137" t="s">
        <v>129</v>
      </c>
      <c r="G176" s="137" t="s">
        <v>129</v>
      </c>
      <c r="H176" s="137" t="s">
        <v>129</v>
      </c>
      <c r="I176" s="137" t="s">
        <v>129</v>
      </c>
      <c r="J176" s="137" t="s">
        <v>129</v>
      </c>
      <c r="K176" s="137" t="s">
        <v>129</v>
      </c>
      <c r="L176" s="137" t="s">
        <v>129</v>
      </c>
      <c r="M176" s="141"/>
      <c r="N176" s="147"/>
    </row>
    <row r="177" hidden="1" outlineLevel="1">
      <c r="A177" s="255" t="s">
        <v>2671</v>
      </c>
      <c r="B177" s="344">
        <v>46110.0</v>
      </c>
      <c r="C177" s="133" t="str">
        <f t="shared" si="19"/>
        <v>Sun</v>
      </c>
      <c r="D177" s="381">
        <f t="shared" si="20"/>
        <v>1</v>
      </c>
      <c r="E177" s="382" t="s">
        <v>129</v>
      </c>
      <c r="F177" s="137" t="s">
        <v>129</v>
      </c>
      <c r="G177" s="137" t="s">
        <v>129</v>
      </c>
      <c r="H177" s="137" t="s">
        <v>129</v>
      </c>
      <c r="I177" s="137" t="s">
        <v>129</v>
      </c>
      <c r="J177" s="137" t="s">
        <v>129</v>
      </c>
      <c r="K177" s="137" t="s">
        <v>129</v>
      </c>
      <c r="L177" s="137" t="s">
        <v>129</v>
      </c>
      <c r="M177" s="141"/>
      <c r="N177" s="143"/>
    </row>
    <row r="178" hidden="1" outlineLevel="1">
      <c r="A178" s="255" t="s">
        <v>2674</v>
      </c>
      <c r="B178" s="344">
        <v>46110.0</v>
      </c>
      <c r="C178" s="133" t="str">
        <f t="shared" si="19"/>
        <v>Sun</v>
      </c>
      <c r="D178" s="383">
        <f t="shared" si="20"/>
        <v>1</v>
      </c>
      <c r="E178" s="147" t="s">
        <v>129</v>
      </c>
      <c r="F178" s="137" t="s">
        <v>129</v>
      </c>
      <c r="G178" s="137" t="s">
        <v>129</v>
      </c>
      <c r="H178" s="137" t="s">
        <v>129</v>
      </c>
      <c r="I178" s="137" t="s">
        <v>129</v>
      </c>
      <c r="J178" s="137" t="s">
        <v>129</v>
      </c>
      <c r="K178" s="137" t="s">
        <v>129</v>
      </c>
      <c r="L178" s="137" t="s">
        <v>129</v>
      </c>
      <c r="M178" s="141"/>
      <c r="N178" s="143"/>
    </row>
    <row r="179" ht="15.0" hidden="1" customHeight="1" outlineLevel="1">
      <c r="A179" s="255" t="s">
        <v>2675</v>
      </c>
      <c r="B179" s="344">
        <v>46110.0</v>
      </c>
      <c r="C179" s="133" t="str">
        <f t="shared" si="19"/>
        <v>Sun</v>
      </c>
      <c r="D179" s="381">
        <f t="shared" si="20"/>
        <v>1</v>
      </c>
      <c r="E179" s="382" t="s">
        <v>129</v>
      </c>
      <c r="F179" s="137" t="s">
        <v>129</v>
      </c>
      <c r="G179" s="137" t="s">
        <v>129</v>
      </c>
      <c r="H179" s="137" t="s">
        <v>129</v>
      </c>
      <c r="I179" s="137" t="s">
        <v>129</v>
      </c>
      <c r="J179" s="137" t="s">
        <v>129</v>
      </c>
      <c r="K179" s="137" t="s">
        <v>129</v>
      </c>
      <c r="L179" s="137" t="s">
        <v>129</v>
      </c>
      <c r="M179" s="141"/>
      <c r="N179" s="147"/>
    </row>
    <row r="180" hidden="1" outlineLevel="1">
      <c r="B180" s="189"/>
      <c r="C180" s="191" t="s">
        <v>194</v>
      </c>
      <c r="D180" s="204">
        <f>AVERAGE(D165:D179)</f>
        <v>1</v>
      </c>
      <c r="E180" s="384"/>
      <c r="L180" s="191" t="s">
        <v>194</v>
      </c>
      <c r="M180" s="204">
        <f>SUM(M165:M179)/75*0.1</f>
        <v>0</v>
      </c>
    </row>
    <row r="181" hidden="1" collapsed="1">
      <c r="A181" s="206" t="s">
        <v>858</v>
      </c>
      <c r="B181" s="207"/>
      <c r="C181" s="207"/>
      <c r="D181" s="385"/>
      <c r="E181" s="109"/>
      <c r="F181" s="109"/>
      <c r="G181" s="110"/>
      <c r="H181" s="110"/>
      <c r="I181" s="110"/>
      <c r="J181" s="110"/>
      <c r="K181" s="110"/>
      <c r="L181" s="110"/>
      <c r="M181" s="111"/>
      <c r="N181" s="113"/>
    </row>
    <row r="182" hidden="1" outlineLevel="1">
      <c r="A182" s="373" t="s">
        <v>98</v>
      </c>
      <c r="B182" s="115" t="s">
        <v>100</v>
      </c>
      <c r="C182" s="115" t="s">
        <v>102</v>
      </c>
      <c r="D182" s="119" t="s">
        <v>103</v>
      </c>
      <c r="E182" s="275" t="s">
        <v>269</v>
      </c>
      <c r="F182" s="275" t="s">
        <v>272</v>
      </c>
      <c r="G182" s="276" t="s">
        <v>328</v>
      </c>
      <c r="H182" s="121" t="s">
        <v>107</v>
      </c>
      <c r="I182" s="121" t="s">
        <v>108</v>
      </c>
      <c r="J182" s="276" t="s">
        <v>329</v>
      </c>
      <c r="K182" s="121" t="s">
        <v>111</v>
      </c>
      <c r="L182" s="276" t="s">
        <v>274</v>
      </c>
      <c r="M182" s="115" t="s">
        <v>114</v>
      </c>
      <c r="N182" s="119" t="s">
        <v>115</v>
      </c>
    </row>
    <row r="183" hidden="1" outlineLevel="1">
      <c r="A183" s="255" t="s">
        <v>2678</v>
      </c>
      <c r="B183" s="344">
        <v>46111.0</v>
      </c>
      <c r="C183" s="133" t="str">
        <f t="shared" ref="C183:C197" si="21">IF(B183="", "", TEXT(B183, "ddd"))</f>
        <v>Mon</v>
      </c>
      <c r="D183" s="381">
        <f t="shared" ref="D183:D197" si="22">IF(E183="Yes",0.05,0)
+IF(F183="Yes",0.1,0)
+IF(G183="Yes",0.15,0)
+IF(H183="Yes",0.15,0)
+IF(I183="Yes",0.05,0)
+IF(J183="Yes",0.05,0)
+IF(K183="Yes",0.15,0)
+IF(L183="Yes",0.3,0)
</f>
        <v>1</v>
      </c>
      <c r="E183" s="382" t="s">
        <v>129</v>
      </c>
      <c r="F183" s="137" t="s">
        <v>129</v>
      </c>
      <c r="G183" s="137" t="s">
        <v>129</v>
      </c>
      <c r="H183" s="137" t="s">
        <v>129</v>
      </c>
      <c r="I183" s="137" t="s">
        <v>129</v>
      </c>
      <c r="J183" s="137" t="s">
        <v>129</v>
      </c>
      <c r="K183" s="137" t="s">
        <v>129</v>
      </c>
      <c r="L183" s="137" t="s">
        <v>129</v>
      </c>
      <c r="M183" s="141"/>
      <c r="N183" s="143"/>
    </row>
    <row r="184" hidden="1" outlineLevel="1">
      <c r="A184" s="255" t="s">
        <v>2681</v>
      </c>
      <c r="B184" s="344">
        <v>46111.0</v>
      </c>
      <c r="C184" s="133" t="str">
        <f t="shared" si="21"/>
        <v>Mon</v>
      </c>
      <c r="D184" s="383">
        <f t="shared" si="22"/>
        <v>1</v>
      </c>
      <c r="E184" s="147" t="s">
        <v>129</v>
      </c>
      <c r="F184" s="137" t="s">
        <v>129</v>
      </c>
      <c r="G184" s="137" t="s">
        <v>129</v>
      </c>
      <c r="H184" s="137" t="s">
        <v>129</v>
      </c>
      <c r="I184" s="137" t="s">
        <v>129</v>
      </c>
      <c r="J184" s="137" t="s">
        <v>129</v>
      </c>
      <c r="K184" s="137" t="s">
        <v>129</v>
      </c>
      <c r="L184" s="137" t="s">
        <v>129</v>
      </c>
      <c r="M184" s="141"/>
      <c r="N184" s="147"/>
    </row>
    <row r="185" hidden="1" outlineLevel="1">
      <c r="A185" s="255" t="s">
        <v>2684</v>
      </c>
      <c r="B185" s="344">
        <v>46111.0</v>
      </c>
      <c r="C185" s="133" t="str">
        <f t="shared" si="21"/>
        <v>Mon</v>
      </c>
      <c r="D185" s="381">
        <f t="shared" si="22"/>
        <v>1</v>
      </c>
      <c r="E185" s="382" t="s">
        <v>129</v>
      </c>
      <c r="F185" s="137" t="s">
        <v>129</v>
      </c>
      <c r="G185" s="137" t="s">
        <v>129</v>
      </c>
      <c r="H185" s="137" t="s">
        <v>129</v>
      </c>
      <c r="I185" s="137" t="s">
        <v>129</v>
      </c>
      <c r="J185" s="137" t="s">
        <v>129</v>
      </c>
      <c r="K185" s="137" t="s">
        <v>129</v>
      </c>
      <c r="L185" s="137" t="s">
        <v>129</v>
      </c>
      <c r="M185" s="141"/>
      <c r="N185" s="147"/>
    </row>
    <row r="186" hidden="1" outlineLevel="1">
      <c r="A186" s="255" t="s">
        <v>2686</v>
      </c>
      <c r="B186" s="344">
        <v>46112.0</v>
      </c>
      <c r="C186" s="133" t="str">
        <f t="shared" si="21"/>
        <v>Tue</v>
      </c>
      <c r="D186" s="383">
        <f t="shared" si="22"/>
        <v>1</v>
      </c>
      <c r="E186" s="147" t="s">
        <v>129</v>
      </c>
      <c r="F186" s="137" t="s">
        <v>129</v>
      </c>
      <c r="G186" s="137" t="s">
        <v>129</v>
      </c>
      <c r="H186" s="137" t="s">
        <v>129</v>
      </c>
      <c r="I186" s="137" t="s">
        <v>129</v>
      </c>
      <c r="J186" s="137" t="s">
        <v>129</v>
      </c>
      <c r="K186" s="137" t="s">
        <v>129</v>
      </c>
      <c r="L186" s="137" t="s">
        <v>129</v>
      </c>
      <c r="M186" s="141"/>
      <c r="N186" s="143"/>
    </row>
    <row r="187" hidden="1" outlineLevel="1">
      <c r="A187" s="255" t="s">
        <v>2688</v>
      </c>
      <c r="B187" s="344">
        <v>46112.0</v>
      </c>
      <c r="C187" s="133" t="str">
        <f t="shared" si="21"/>
        <v>Tue</v>
      </c>
      <c r="D187" s="381">
        <f t="shared" si="22"/>
        <v>1</v>
      </c>
      <c r="E187" s="382" t="s">
        <v>129</v>
      </c>
      <c r="F187" s="137" t="s">
        <v>129</v>
      </c>
      <c r="G187" s="137" t="s">
        <v>129</v>
      </c>
      <c r="H187" s="137" t="s">
        <v>129</v>
      </c>
      <c r="I187" s="137" t="s">
        <v>129</v>
      </c>
      <c r="J187" s="137" t="s">
        <v>129</v>
      </c>
      <c r="K187" s="137" t="s">
        <v>129</v>
      </c>
      <c r="L187" s="137" t="s">
        <v>129</v>
      </c>
      <c r="M187" s="141"/>
      <c r="N187" s="147" t="s">
        <v>2690</v>
      </c>
    </row>
    <row r="188" hidden="1" outlineLevel="1">
      <c r="A188" s="255" t="s">
        <v>2691</v>
      </c>
      <c r="B188" s="344">
        <v>46112.0</v>
      </c>
      <c r="C188" s="133" t="str">
        <f t="shared" si="21"/>
        <v>Tue</v>
      </c>
      <c r="D188" s="383">
        <f t="shared" si="22"/>
        <v>1</v>
      </c>
      <c r="E188" s="147" t="s">
        <v>129</v>
      </c>
      <c r="F188" s="137" t="s">
        <v>129</v>
      </c>
      <c r="G188" s="137" t="s">
        <v>129</v>
      </c>
      <c r="H188" s="137" t="s">
        <v>129</v>
      </c>
      <c r="I188" s="137" t="s">
        <v>129</v>
      </c>
      <c r="J188" s="137" t="s">
        <v>129</v>
      </c>
      <c r="K188" s="137" t="s">
        <v>129</v>
      </c>
      <c r="L188" s="137" t="s">
        <v>129</v>
      </c>
      <c r="M188" s="141"/>
      <c r="N188" s="143"/>
    </row>
    <row r="189" hidden="1" outlineLevel="1">
      <c r="A189" s="255" t="s">
        <v>2693</v>
      </c>
      <c r="B189" s="344">
        <v>46113.0</v>
      </c>
      <c r="C189" s="133" t="str">
        <f t="shared" si="21"/>
        <v>Wed</v>
      </c>
      <c r="D189" s="381">
        <f t="shared" si="22"/>
        <v>1</v>
      </c>
      <c r="E189" s="382" t="s">
        <v>129</v>
      </c>
      <c r="F189" s="137" t="s">
        <v>129</v>
      </c>
      <c r="G189" s="137" t="s">
        <v>129</v>
      </c>
      <c r="H189" s="137" t="s">
        <v>129</v>
      </c>
      <c r="I189" s="137" t="s">
        <v>129</v>
      </c>
      <c r="J189" s="137" t="s">
        <v>129</v>
      </c>
      <c r="K189" s="137" t="s">
        <v>129</v>
      </c>
      <c r="L189" s="137" t="s">
        <v>129</v>
      </c>
      <c r="M189" s="141"/>
      <c r="N189" s="143"/>
    </row>
    <row r="190" hidden="1" outlineLevel="1">
      <c r="A190" s="255" t="s">
        <v>2694</v>
      </c>
      <c r="B190" s="344">
        <v>46113.0</v>
      </c>
      <c r="C190" s="133" t="str">
        <f t="shared" si="21"/>
        <v>Wed</v>
      </c>
      <c r="D190" s="383">
        <f t="shared" si="22"/>
        <v>1</v>
      </c>
      <c r="E190" s="147" t="s">
        <v>129</v>
      </c>
      <c r="F190" s="137" t="s">
        <v>129</v>
      </c>
      <c r="G190" s="137" t="s">
        <v>129</v>
      </c>
      <c r="H190" s="137" t="s">
        <v>129</v>
      </c>
      <c r="I190" s="137" t="s">
        <v>129</v>
      </c>
      <c r="J190" s="137" t="s">
        <v>129</v>
      </c>
      <c r="K190" s="137" t="s">
        <v>129</v>
      </c>
      <c r="L190" s="137" t="s">
        <v>129</v>
      </c>
      <c r="M190" s="141"/>
      <c r="N190" s="147"/>
    </row>
    <row r="191" hidden="1" outlineLevel="1">
      <c r="A191" s="255" t="s">
        <v>2696</v>
      </c>
      <c r="B191" s="344">
        <v>46113.0</v>
      </c>
      <c r="C191" s="133" t="str">
        <f t="shared" si="21"/>
        <v>Wed</v>
      </c>
      <c r="D191" s="381">
        <f t="shared" si="22"/>
        <v>1</v>
      </c>
      <c r="E191" s="382" t="s">
        <v>129</v>
      </c>
      <c r="F191" s="137" t="s">
        <v>129</v>
      </c>
      <c r="G191" s="137" t="s">
        <v>129</v>
      </c>
      <c r="H191" s="137" t="s">
        <v>129</v>
      </c>
      <c r="I191" s="137" t="s">
        <v>129</v>
      </c>
      <c r="J191" s="137" t="s">
        <v>129</v>
      </c>
      <c r="K191" s="137" t="s">
        <v>129</v>
      </c>
      <c r="L191" s="137" t="s">
        <v>129</v>
      </c>
      <c r="M191" s="141"/>
      <c r="N191" s="143"/>
    </row>
    <row r="192" hidden="1" outlineLevel="1">
      <c r="A192" s="255" t="s">
        <v>2697</v>
      </c>
      <c r="B192" s="344">
        <v>46116.0</v>
      </c>
      <c r="C192" s="133" t="str">
        <f t="shared" si="21"/>
        <v>Sat</v>
      </c>
      <c r="D192" s="383">
        <f t="shared" si="22"/>
        <v>1</v>
      </c>
      <c r="E192" s="147" t="s">
        <v>129</v>
      </c>
      <c r="F192" s="137" t="s">
        <v>129</v>
      </c>
      <c r="G192" s="137" t="s">
        <v>129</v>
      </c>
      <c r="H192" s="137" t="s">
        <v>129</v>
      </c>
      <c r="I192" s="137" t="s">
        <v>129</v>
      </c>
      <c r="J192" s="137" t="s">
        <v>129</v>
      </c>
      <c r="K192" s="137" t="s">
        <v>129</v>
      </c>
      <c r="L192" s="137" t="s">
        <v>129</v>
      </c>
      <c r="M192" s="141"/>
      <c r="N192" s="147"/>
    </row>
    <row r="193" hidden="1" outlineLevel="1">
      <c r="A193" s="255" t="s">
        <v>2698</v>
      </c>
      <c r="B193" s="344">
        <v>46116.0</v>
      </c>
      <c r="C193" s="133" t="str">
        <f t="shared" si="21"/>
        <v>Sat</v>
      </c>
      <c r="D193" s="381">
        <f t="shared" si="22"/>
        <v>1</v>
      </c>
      <c r="E193" s="382" t="s">
        <v>129</v>
      </c>
      <c r="F193" s="137" t="s">
        <v>129</v>
      </c>
      <c r="G193" s="137" t="s">
        <v>129</v>
      </c>
      <c r="H193" s="137" t="s">
        <v>129</v>
      </c>
      <c r="I193" s="137" t="s">
        <v>129</v>
      </c>
      <c r="J193" s="137" t="s">
        <v>129</v>
      </c>
      <c r="K193" s="137" t="s">
        <v>129</v>
      </c>
      <c r="L193" s="137" t="s">
        <v>129</v>
      </c>
      <c r="M193" s="141"/>
      <c r="N193" s="147"/>
    </row>
    <row r="194" hidden="1" outlineLevel="1">
      <c r="A194" s="255" t="s">
        <v>2699</v>
      </c>
      <c r="B194" s="344">
        <v>46116.0</v>
      </c>
      <c r="C194" s="133" t="str">
        <f t="shared" si="21"/>
        <v>Sat</v>
      </c>
      <c r="D194" s="383">
        <f t="shared" si="22"/>
        <v>1</v>
      </c>
      <c r="E194" s="147" t="s">
        <v>129</v>
      </c>
      <c r="F194" s="137" t="s">
        <v>129</v>
      </c>
      <c r="G194" s="137" t="s">
        <v>129</v>
      </c>
      <c r="H194" s="137" t="s">
        <v>129</v>
      </c>
      <c r="I194" s="137" t="s">
        <v>129</v>
      </c>
      <c r="J194" s="137" t="s">
        <v>129</v>
      </c>
      <c r="K194" s="137" t="s">
        <v>129</v>
      </c>
      <c r="L194" s="137" t="s">
        <v>129</v>
      </c>
      <c r="M194" s="141"/>
      <c r="N194" s="147"/>
    </row>
    <row r="195" hidden="1" outlineLevel="1">
      <c r="A195" s="255" t="s">
        <v>2701</v>
      </c>
      <c r="B195" s="344">
        <v>46117.0</v>
      </c>
      <c r="C195" s="133" t="str">
        <f t="shared" si="21"/>
        <v>Sun</v>
      </c>
      <c r="D195" s="381">
        <f t="shared" si="22"/>
        <v>1</v>
      </c>
      <c r="E195" s="382" t="s">
        <v>129</v>
      </c>
      <c r="F195" s="137" t="s">
        <v>129</v>
      </c>
      <c r="G195" s="137" t="s">
        <v>129</v>
      </c>
      <c r="H195" s="137" t="s">
        <v>129</v>
      </c>
      <c r="I195" s="137" t="s">
        <v>129</v>
      </c>
      <c r="J195" s="137" t="s">
        <v>129</v>
      </c>
      <c r="K195" s="137" t="s">
        <v>129</v>
      </c>
      <c r="L195" s="137" t="s">
        <v>129</v>
      </c>
      <c r="M195" s="141"/>
      <c r="N195" s="143"/>
    </row>
    <row r="196" hidden="1" outlineLevel="1">
      <c r="A196" s="255" t="s">
        <v>2703</v>
      </c>
      <c r="B196" s="344">
        <v>46117.0</v>
      </c>
      <c r="C196" s="133" t="str">
        <f t="shared" si="21"/>
        <v>Sun</v>
      </c>
      <c r="D196" s="383">
        <f t="shared" si="22"/>
        <v>1</v>
      </c>
      <c r="E196" s="147" t="s">
        <v>129</v>
      </c>
      <c r="F196" s="137" t="s">
        <v>129</v>
      </c>
      <c r="G196" s="137" t="s">
        <v>129</v>
      </c>
      <c r="H196" s="137" t="s">
        <v>129</v>
      </c>
      <c r="I196" s="137" t="s">
        <v>129</v>
      </c>
      <c r="J196" s="137" t="s">
        <v>129</v>
      </c>
      <c r="K196" s="137" t="s">
        <v>129</v>
      </c>
      <c r="L196" s="137" t="s">
        <v>129</v>
      </c>
      <c r="M196" s="141"/>
      <c r="N196" s="143"/>
    </row>
    <row r="197" ht="15.0" hidden="1" customHeight="1" outlineLevel="1">
      <c r="A197" s="255" t="s">
        <v>2705</v>
      </c>
      <c r="B197" s="344">
        <v>46117.0</v>
      </c>
      <c r="C197" s="133" t="str">
        <f t="shared" si="21"/>
        <v>Sun</v>
      </c>
      <c r="D197" s="381">
        <f t="shared" si="22"/>
        <v>1</v>
      </c>
      <c r="E197" s="382" t="s">
        <v>129</v>
      </c>
      <c r="F197" s="137" t="s">
        <v>129</v>
      </c>
      <c r="G197" s="137" t="s">
        <v>129</v>
      </c>
      <c r="H197" s="137" t="s">
        <v>129</v>
      </c>
      <c r="I197" s="137" t="s">
        <v>129</v>
      </c>
      <c r="J197" s="137" t="s">
        <v>129</v>
      </c>
      <c r="K197" s="137" t="s">
        <v>129</v>
      </c>
      <c r="L197" s="137" t="s">
        <v>129</v>
      </c>
      <c r="M197" s="141"/>
      <c r="N197" s="147"/>
    </row>
    <row r="198" hidden="1" outlineLevel="1">
      <c r="B198" s="189"/>
      <c r="C198" s="191" t="s">
        <v>194</v>
      </c>
      <c r="D198" s="204">
        <f>AVERAGE(D183:D197)</f>
        <v>1</v>
      </c>
      <c r="E198" s="384"/>
      <c r="L198" s="191" t="s">
        <v>194</v>
      </c>
      <c r="M198" s="204">
        <f>SUM(M183:M197)/75*0.1</f>
        <v>0</v>
      </c>
    </row>
    <row r="199" hidden="1" collapsed="1">
      <c r="A199" s="206" t="s">
        <v>886</v>
      </c>
      <c r="B199" s="207"/>
      <c r="C199" s="207"/>
      <c r="D199" s="385"/>
      <c r="E199" s="109"/>
      <c r="F199" s="109"/>
      <c r="G199" s="110"/>
      <c r="H199" s="110"/>
      <c r="I199" s="110"/>
      <c r="J199" s="110"/>
      <c r="K199" s="110"/>
      <c r="L199" s="110"/>
      <c r="M199" s="111"/>
      <c r="N199" s="113"/>
    </row>
    <row r="200" hidden="1" outlineLevel="1">
      <c r="A200" s="373" t="s">
        <v>98</v>
      </c>
      <c r="B200" s="115" t="s">
        <v>100</v>
      </c>
      <c r="C200" s="115" t="s">
        <v>102</v>
      </c>
      <c r="D200" s="119" t="s">
        <v>103</v>
      </c>
      <c r="E200" s="275" t="s">
        <v>269</v>
      </c>
      <c r="F200" s="275" t="s">
        <v>272</v>
      </c>
      <c r="G200" s="276" t="s">
        <v>328</v>
      </c>
      <c r="H200" s="121" t="s">
        <v>107</v>
      </c>
      <c r="I200" s="121" t="s">
        <v>108</v>
      </c>
      <c r="J200" s="276" t="s">
        <v>329</v>
      </c>
      <c r="K200" s="121" t="s">
        <v>111</v>
      </c>
      <c r="L200" s="276" t="s">
        <v>274</v>
      </c>
      <c r="M200" s="115" t="s">
        <v>114</v>
      </c>
      <c r="N200" s="119" t="s">
        <v>115</v>
      </c>
    </row>
    <row r="201" hidden="1" outlineLevel="1">
      <c r="A201" s="303" t="s">
        <v>2707</v>
      </c>
      <c r="B201" s="344">
        <v>46118.0</v>
      </c>
      <c r="C201" s="133" t="str">
        <f t="shared" ref="C201:C215" si="23">IF(B201="", "", TEXT(B201, "ddd"))</f>
        <v>Mon</v>
      </c>
      <c r="D201" s="381">
        <f t="shared" ref="D201:D215" si="24">IF(E201="Yes",0.05,0)
+IF(F201="Yes",0.1,0)
+IF(G201="Yes",0.15,0)
+IF(H201="Yes",0.15,0)
+IF(I201="Yes",0.05,0)
+IF(J201="Yes",0.05,0)
+IF(K201="Yes",0.15,0)
+IF(L201="Yes",0.3,0)
</f>
        <v>1</v>
      </c>
      <c r="E201" s="382" t="s">
        <v>129</v>
      </c>
      <c r="F201" s="137" t="s">
        <v>129</v>
      </c>
      <c r="G201" s="137" t="s">
        <v>129</v>
      </c>
      <c r="H201" s="137" t="s">
        <v>129</v>
      </c>
      <c r="I201" s="137" t="s">
        <v>129</v>
      </c>
      <c r="J201" s="137" t="s">
        <v>129</v>
      </c>
      <c r="K201" s="137" t="s">
        <v>129</v>
      </c>
      <c r="L201" s="137" t="s">
        <v>129</v>
      </c>
      <c r="M201" s="141"/>
      <c r="N201" s="143"/>
    </row>
    <row r="202" hidden="1" outlineLevel="1">
      <c r="A202" s="303" t="s">
        <v>2711</v>
      </c>
      <c r="B202" s="344">
        <v>46118.0</v>
      </c>
      <c r="C202" s="133" t="str">
        <f t="shared" si="23"/>
        <v>Mon</v>
      </c>
      <c r="D202" s="383">
        <f t="shared" si="24"/>
        <v>1</v>
      </c>
      <c r="E202" s="147" t="s">
        <v>129</v>
      </c>
      <c r="F202" s="137" t="s">
        <v>129</v>
      </c>
      <c r="G202" s="137" t="s">
        <v>129</v>
      </c>
      <c r="H202" s="137" t="s">
        <v>129</v>
      </c>
      <c r="I202" s="137" t="s">
        <v>129</v>
      </c>
      <c r="J202" s="137" t="s">
        <v>129</v>
      </c>
      <c r="K202" s="137" t="s">
        <v>129</v>
      </c>
      <c r="L202" s="137" t="s">
        <v>129</v>
      </c>
      <c r="M202" s="141"/>
      <c r="N202" s="147"/>
    </row>
    <row r="203" hidden="1" outlineLevel="1">
      <c r="A203" s="303" t="s">
        <v>2714</v>
      </c>
      <c r="B203" s="344">
        <v>46118.0</v>
      </c>
      <c r="C203" s="133" t="str">
        <f t="shared" si="23"/>
        <v>Mon</v>
      </c>
      <c r="D203" s="381">
        <f t="shared" si="24"/>
        <v>1</v>
      </c>
      <c r="E203" s="382" t="s">
        <v>129</v>
      </c>
      <c r="F203" s="137" t="s">
        <v>129</v>
      </c>
      <c r="G203" s="137" t="s">
        <v>129</v>
      </c>
      <c r="H203" s="137" t="s">
        <v>129</v>
      </c>
      <c r="I203" s="137" t="s">
        <v>129</v>
      </c>
      <c r="J203" s="137" t="s">
        <v>129</v>
      </c>
      <c r="K203" s="137" t="s">
        <v>129</v>
      </c>
      <c r="L203" s="137" t="s">
        <v>129</v>
      </c>
      <c r="M203" s="141"/>
      <c r="N203" s="147"/>
    </row>
    <row r="204" hidden="1" outlineLevel="1">
      <c r="A204" s="303" t="s">
        <v>2717</v>
      </c>
      <c r="B204" s="344">
        <v>46119.0</v>
      </c>
      <c r="C204" s="133" t="str">
        <f t="shared" si="23"/>
        <v>Tue</v>
      </c>
      <c r="D204" s="383">
        <f t="shared" si="24"/>
        <v>1</v>
      </c>
      <c r="E204" s="147" t="s">
        <v>129</v>
      </c>
      <c r="F204" s="137" t="s">
        <v>129</v>
      </c>
      <c r="G204" s="137" t="s">
        <v>129</v>
      </c>
      <c r="H204" s="137" t="s">
        <v>129</v>
      </c>
      <c r="I204" s="137" t="s">
        <v>129</v>
      </c>
      <c r="J204" s="137" t="s">
        <v>129</v>
      </c>
      <c r="K204" s="137" t="s">
        <v>129</v>
      </c>
      <c r="L204" s="137" t="s">
        <v>129</v>
      </c>
      <c r="M204" s="141"/>
      <c r="N204" s="143"/>
    </row>
    <row r="205" hidden="1" outlineLevel="1">
      <c r="A205" s="303" t="s">
        <v>2719</v>
      </c>
      <c r="B205" s="344">
        <v>46119.0</v>
      </c>
      <c r="C205" s="133" t="str">
        <f t="shared" si="23"/>
        <v>Tue</v>
      </c>
      <c r="D205" s="381">
        <f t="shared" si="24"/>
        <v>1</v>
      </c>
      <c r="E205" s="382" t="s">
        <v>129</v>
      </c>
      <c r="F205" s="137" t="s">
        <v>129</v>
      </c>
      <c r="G205" s="137" t="s">
        <v>129</v>
      </c>
      <c r="H205" s="137" t="s">
        <v>129</v>
      </c>
      <c r="I205" s="137" t="s">
        <v>129</v>
      </c>
      <c r="J205" s="137" t="s">
        <v>129</v>
      </c>
      <c r="K205" s="137" t="s">
        <v>129</v>
      </c>
      <c r="L205" s="137" t="s">
        <v>129</v>
      </c>
      <c r="M205" s="141"/>
      <c r="N205" s="143"/>
    </row>
    <row r="206" hidden="1" outlineLevel="1">
      <c r="A206" s="303" t="s">
        <v>2721</v>
      </c>
      <c r="B206" s="344">
        <v>46119.0</v>
      </c>
      <c r="C206" s="133" t="str">
        <f t="shared" si="23"/>
        <v>Tue</v>
      </c>
      <c r="D206" s="383">
        <f t="shared" si="24"/>
        <v>1</v>
      </c>
      <c r="E206" s="147" t="s">
        <v>129</v>
      </c>
      <c r="F206" s="137" t="s">
        <v>129</v>
      </c>
      <c r="G206" s="137" t="s">
        <v>129</v>
      </c>
      <c r="H206" s="137" t="s">
        <v>129</v>
      </c>
      <c r="I206" s="137" t="s">
        <v>129</v>
      </c>
      <c r="J206" s="137" t="s">
        <v>129</v>
      </c>
      <c r="K206" s="137" t="s">
        <v>129</v>
      </c>
      <c r="L206" s="137" t="s">
        <v>129</v>
      </c>
      <c r="M206" s="141"/>
      <c r="N206" s="143"/>
    </row>
    <row r="207" hidden="1" outlineLevel="1">
      <c r="A207" s="303" t="s">
        <v>2722</v>
      </c>
      <c r="B207" s="344">
        <v>46120.0</v>
      </c>
      <c r="C207" s="133" t="str">
        <f t="shared" si="23"/>
        <v>Wed</v>
      </c>
      <c r="D207" s="381">
        <f t="shared" si="24"/>
        <v>1</v>
      </c>
      <c r="E207" s="382" t="s">
        <v>129</v>
      </c>
      <c r="F207" s="137" t="s">
        <v>129</v>
      </c>
      <c r="G207" s="137" t="s">
        <v>129</v>
      </c>
      <c r="H207" s="137" t="s">
        <v>129</v>
      </c>
      <c r="I207" s="137" t="s">
        <v>129</v>
      </c>
      <c r="J207" s="137" t="s">
        <v>129</v>
      </c>
      <c r="K207" s="137" t="s">
        <v>129</v>
      </c>
      <c r="L207" s="137" t="s">
        <v>129</v>
      </c>
      <c r="M207" s="141"/>
      <c r="N207" s="143"/>
    </row>
    <row r="208" hidden="1" outlineLevel="1">
      <c r="A208" s="303" t="s">
        <v>2725</v>
      </c>
      <c r="B208" s="344">
        <v>46120.0</v>
      </c>
      <c r="C208" s="133" t="str">
        <f t="shared" si="23"/>
        <v>Wed</v>
      </c>
      <c r="D208" s="383">
        <f t="shared" si="24"/>
        <v>1</v>
      </c>
      <c r="E208" s="147" t="s">
        <v>129</v>
      </c>
      <c r="F208" s="137" t="s">
        <v>129</v>
      </c>
      <c r="G208" s="137" t="s">
        <v>129</v>
      </c>
      <c r="H208" s="137" t="s">
        <v>129</v>
      </c>
      <c r="I208" s="137" t="s">
        <v>129</v>
      </c>
      <c r="J208" s="137" t="s">
        <v>129</v>
      </c>
      <c r="K208" s="137" t="s">
        <v>129</v>
      </c>
      <c r="L208" s="137" t="s">
        <v>129</v>
      </c>
      <c r="M208" s="141"/>
      <c r="N208" s="147"/>
    </row>
    <row r="209" hidden="1" outlineLevel="1">
      <c r="A209" s="303" t="s">
        <v>2726</v>
      </c>
      <c r="B209" s="344">
        <v>46120.0</v>
      </c>
      <c r="C209" s="133" t="str">
        <f t="shared" si="23"/>
        <v>Wed</v>
      </c>
      <c r="D209" s="381">
        <f t="shared" si="24"/>
        <v>1</v>
      </c>
      <c r="E209" s="382" t="s">
        <v>129</v>
      </c>
      <c r="F209" s="137" t="s">
        <v>129</v>
      </c>
      <c r="G209" s="137" t="s">
        <v>129</v>
      </c>
      <c r="H209" s="137" t="s">
        <v>129</v>
      </c>
      <c r="I209" s="137" t="s">
        <v>129</v>
      </c>
      <c r="J209" s="137" t="s">
        <v>129</v>
      </c>
      <c r="K209" s="137" t="s">
        <v>129</v>
      </c>
      <c r="L209" s="137" t="s">
        <v>129</v>
      </c>
      <c r="M209" s="141"/>
      <c r="N209" s="143"/>
    </row>
    <row r="210" hidden="1" outlineLevel="1">
      <c r="A210" s="303" t="s">
        <v>2729</v>
      </c>
      <c r="B210" s="344">
        <v>46123.0</v>
      </c>
      <c r="C210" s="133" t="str">
        <f t="shared" si="23"/>
        <v>Sat</v>
      </c>
      <c r="D210" s="383">
        <f t="shared" si="24"/>
        <v>1</v>
      </c>
      <c r="E210" s="147" t="s">
        <v>129</v>
      </c>
      <c r="F210" s="137" t="s">
        <v>129</v>
      </c>
      <c r="G210" s="137" t="s">
        <v>129</v>
      </c>
      <c r="H210" s="137" t="s">
        <v>129</v>
      </c>
      <c r="I210" s="137" t="s">
        <v>129</v>
      </c>
      <c r="J210" s="137" t="s">
        <v>129</v>
      </c>
      <c r="K210" s="137" t="s">
        <v>129</v>
      </c>
      <c r="L210" s="137" t="s">
        <v>129</v>
      </c>
      <c r="M210" s="141"/>
      <c r="N210" s="147"/>
    </row>
    <row r="211" hidden="1" outlineLevel="1">
      <c r="A211" s="303" t="s">
        <v>2730</v>
      </c>
      <c r="B211" s="344">
        <v>46123.0</v>
      </c>
      <c r="C211" s="133" t="str">
        <f t="shared" si="23"/>
        <v>Sat</v>
      </c>
      <c r="D211" s="381">
        <f t="shared" si="24"/>
        <v>1</v>
      </c>
      <c r="E211" s="382" t="s">
        <v>129</v>
      </c>
      <c r="F211" s="137" t="s">
        <v>129</v>
      </c>
      <c r="G211" s="137" t="s">
        <v>129</v>
      </c>
      <c r="H211" s="137" t="s">
        <v>129</v>
      </c>
      <c r="I211" s="137" t="s">
        <v>129</v>
      </c>
      <c r="J211" s="137" t="s">
        <v>129</v>
      </c>
      <c r="K211" s="137" t="s">
        <v>129</v>
      </c>
      <c r="L211" s="137" t="s">
        <v>129</v>
      </c>
      <c r="M211" s="141"/>
      <c r="N211" s="147"/>
    </row>
    <row r="212" hidden="1" outlineLevel="1">
      <c r="A212" s="303" t="s">
        <v>2731</v>
      </c>
      <c r="B212" s="344">
        <v>46123.0</v>
      </c>
      <c r="C212" s="133" t="str">
        <f t="shared" si="23"/>
        <v>Sat</v>
      </c>
      <c r="D212" s="383">
        <f t="shared" si="24"/>
        <v>1</v>
      </c>
      <c r="E212" s="147" t="s">
        <v>129</v>
      </c>
      <c r="F212" s="137" t="s">
        <v>129</v>
      </c>
      <c r="G212" s="137" t="s">
        <v>129</v>
      </c>
      <c r="H212" s="137" t="s">
        <v>129</v>
      </c>
      <c r="I212" s="137" t="s">
        <v>129</v>
      </c>
      <c r="J212" s="137" t="s">
        <v>129</v>
      </c>
      <c r="K212" s="137" t="s">
        <v>129</v>
      </c>
      <c r="L212" s="137" t="s">
        <v>129</v>
      </c>
      <c r="M212" s="141"/>
      <c r="N212" s="147"/>
    </row>
    <row r="213" hidden="1" outlineLevel="1">
      <c r="A213" s="255" t="s">
        <v>2732</v>
      </c>
      <c r="B213" s="344">
        <v>46124.0</v>
      </c>
      <c r="C213" s="133" t="str">
        <f t="shared" si="23"/>
        <v>Sun</v>
      </c>
      <c r="D213" s="381">
        <f t="shared" si="24"/>
        <v>1</v>
      </c>
      <c r="E213" s="382" t="s">
        <v>129</v>
      </c>
      <c r="F213" s="137" t="s">
        <v>129</v>
      </c>
      <c r="G213" s="137" t="s">
        <v>129</v>
      </c>
      <c r="H213" s="137" t="s">
        <v>129</v>
      </c>
      <c r="I213" s="137" t="s">
        <v>129</v>
      </c>
      <c r="J213" s="137" t="s">
        <v>129</v>
      </c>
      <c r="K213" s="137" t="s">
        <v>129</v>
      </c>
      <c r="L213" s="137" t="s">
        <v>129</v>
      </c>
      <c r="M213" s="141"/>
      <c r="N213" s="143"/>
    </row>
    <row r="214" hidden="1" outlineLevel="1">
      <c r="A214" s="255" t="s">
        <v>2735</v>
      </c>
      <c r="B214" s="344">
        <v>46124.0</v>
      </c>
      <c r="C214" s="133" t="str">
        <f t="shared" si="23"/>
        <v>Sun</v>
      </c>
      <c r="D214" s="383">
        <f t="shared" si="24"/>
        <v>1</v>
      </c>
      <c r="E214" s="147" t="s">
        <v>129</v>
      </c>
      <c r="F214" s="137" t="s">
        <v>129</v>
      </c>
      <c r="G214" s="137" t="s">
        <v>129</v>
      </c>
      <c r="H214" s="137" t="s">
        <v>129</v>
      </c>
      <c r="I214" s="137" t="s">
        <v>129</v>
      </c>
      <c r="J214" s="137" t="s">
        <v>129</v>
      </c>
      <c r="K214" s="137" t="s">
        <v>129</v>
      </c>
      <c r="L214" s="137" t="s">
        <v>129</v>
      </c>
      <c r="M214" s="141"/>
      <c r="N214" s="143"/>
    </row>
    <row r="215" ht="17.25" hidden="1" customHeight="1" outlineLevel="1">
      <c r="A215" s="255" t="s">
        <v>2736</v>
      </c>
      <c r="B215" s="344">
        <v>46124.0</v>
      </c>
      <c r="C215" s="133" t="str">
        <f t="shared" si="23"/>
        <v>Sun</v>
      </c>
      <c r="D215" s="381">
        <f t="shared" si="24"/>
        <v>1</v>
      </c>
      <c r="E215" s="382" t="s">
        <v>129</v>
      </c>
      <c r="F215" s="137" t="s">
        <v>129</v>
      </c>
      <c r="G215" s="137" t="s">
        <v>129</v>
      </c>
      <c r="H215" s="137" t="s">
        <v>129</v>
      </c>
      <c r="I215" s="137" t="s">
        <v>129</v>
      </c>
      <c r="J215" s="137" t="s">
        <v>129</v>
      </c>
      <c r="K215" s="137" t="s">
        <v>129</v>
      </c>
      <c r="L215" s="137" t="s">
        <v>129</v>
      </c>
      <c r="M215" s="141"/>
      <c r="N215" s="147"/>
    </row>
    <row r="216" hidden="1" outlineLevel="1">
      <c r="B216" s="189"/>
      <c r="C216" s="191" t="s">
        <v>194</v>
      </c>
      <c r="D216" s="204">
        <f>AVERAGE(D201:D215)</f>
        <v>1</v>
      </c>
      <c r="E216" s="384"/>
      <c r="L216" s="191" t="s">
        <v>194</v>
      </c>
      <c r="M216" s="204">
        <f>SUM(M201:M215)/75*0.1</f>
        <v>0</v>
      </c>
    </row>
    <row r="217" hidden="1" collapsed="1">
      <c r="A217" s="206" t="s">
        <v>917</v>
      </c>
      <c r="B217" s="207"/>
      <c r="C217" s="207"/>
      <c r="D217" s="385"/>
      <c r="E217" s="109"/>
      <c r="F217" s="109"/>
      <c r="G217" s="110"/>
      <c r="H217" s="110"/>
      <c r="I217" s="110"/>
      <c r="J217" s="110"/>
      <c r="K217" s="110"/>
      <c r="L217" s="110"/>
      <c r="M217" s="111"/>
      <c r="N217" s="113"/>
    </row>
    <row r="218" hidden="1" outlineLevel="1">
      <c r="A218" s="373" t="s">
        <v>98</v>
      </c>
      <c r="B218" s="115" t="s">
        <v>100</v>
      </c>
      <c r="C218" s="115" t="s">
        <v>102</v>
      </c>
      <c r="D218" s="119" t="s">
        <v>103</v>
      </c>
      <c r="E218" s="275" t="s">
        <v>269</v>
      </c>
      <c r="F218" s="275" t="s">
        <v>272</v>
      </c>
      <c r="G218" s="276" t="s">
        <v>328</v>
      </c>
      <c r="H218" s="121" t="s">
        <v>107</v>
      </c>
      <c r="I218" s="121" t="s">
        <v>108</v>
      </c>
      <c r="J218" s="276" t="s">
        <v>329</v>
      </c>
      <c r="K218" s="121" t="s">
        <v>111</v>
      </c>
      <c r="L218" s="276" t="s">
        <v>274</v>
      </c>
      <c r="M218" s="115" t="s">
        <v>114</v>
      </c>
      <c r="N218" s="119" t="s">
        <v>115</v>
      </c>
    </row>
    <row r="219" hidden="1" outlineLevel="1">
      <c r="A219" s="482" t="s">
        <v>145</v>
      </c>
      <c r="B219" s="344">
        <v>46125.0</v>
      </c>
      <c r="C219" s="133" t="str">
        <f t="shared" ref="C219:C233" si="25">IF(B219="", "", TEXT(B219, "ddd"))</f>
        <v>Mon</v>
      </c>
      <c r="D219" s="381">
        <f t="shared" ref="D219:D233" si="26">IF(E219="Yes",0.05,0)
+IF(F219="Yes",0.1,0)
+IF(G219="Yes",0.15,0)
+IF(H219="Yes",0.15,0)
+IF(I219="Yes",0.05,0)
+IF(J219="Yes",0.05,0)
+IF(K219="Yes",0.15,0)
+IF(L219="Yes",0.3,0)
</f>
        <v>1</v>
      </c>
      <c r="E219" s="382" t="s">
        <v>129</v>
      </c>
      <c r="F219" s="137" t="s">
        <v>129</v>
      </c>
      <c r="G219" s="137" t="s">
        <v>129</v>
      </c>
      <c r="H219" s="137" t="s">
        <v>129</v>
      </c>
      <c r="I219" s="137" t="s">
        <v>129</v>
      </c>
      <c r="J219" s="137" t="s">
        <v>129</v>
      </c>
      <c r="K219" s="137" t="s">
        <v>129</v>
      </c>
      <c r="L219" s="137" t="s">
        <v>129</v>
      </c>
      <c r="M219" s="141"/>
      <c r="N219" s="143"/>
    </row>
    <row r="220" hidden="1" outlineLevel="1">
      <c r="A220" s="482" t="s">
        <v>145</v>
      </c>
      <c r="B220" s="344">
        <v>46125.0</v>
      </c>
      <c r="C220" s="133" t="str">
        <f t="shared" si="25"/>
        <v>Mon</v>
      </c>
      <c r="D220" s="383">
        <f t="shared" si="26"/>
        <v>1</v>
      </c>
      <c r="E220" s="147" t="s">
        <v>129</v>
      </c>
      <c r="F220" s="137" t="s">
        <v>129</v>
      </c>
      <c r="G220" s="137" t="s">
        <v>129</v>
      </c>
      <c r="H220" s="137" t="s">
        <v>129</v>
      </c>
      <c r="I220" s="137" t="s">
        <v>129</v>
      </c>
      <c r="J220" s="137" t="s">
        <v>129</v>
      </c>
      <c r="K220" s="137" t="s">
        <v>129</v>
      </c>
      <c r="L220" s="137" t="s">
        <v>129</v>
      </c>
      <c r="M220" s="141"/>
      <c r="N220" s="147"/>
    </row>
    <row r="221" hidden="1" outlineLevel="1">
      <c r="A221" s="482" t="s">
        <v>145</v>
      </c>
      <c r="B221" s="344">
        <v>46125.0</v>
      </c>
      <c r="C221" s="133" t="str">
        <f t="shared" si="25"/>
        <v>Mon</v>
      </c>
      <c r="D221" s="381">
        <f t="shared" si="26"/>
        <v>1</v>
      </c>
      <c r="E221" s="382" t="s">
        <v>129</v>
      </c>
      <c r="F221" s="137" t="s">
        <v>129</v>
      </c>
      <c r="G221" s="137" t="s">
        <v>129</v>
      </c>
      <c r="H221" s="137" t="s">
        <v>129</v>
      </c>
      <c r="I221" s="137" t="s">
        <v>129</v>
      </c>
      <c r="J221" s="137" t="s">
        <v>129</v>
      </c>
      <c r="K221" s="137" t="s">
        <v>129</v>
      </c>
      <c r="L221" s="137" t="s">
        <v>129</v>
      </c>
      <c r="M221" s="141"/>
      <c r="N221" s="147"/>
    </row>
    <row r="222" hidden="1" outlineLevel="1">
      <c r="A222" s="303" t="s">
        <v>2741</v>
      </c>
      <c r="B222" s="344">
        <v>46126.0</v>
      </c>
      <c r="C222" s="133" t="str">
        <f t="shared" si="25"/>
        <v>Tue</v>
      </c>
      <c r="D222" s="383">
        <f t="shared" si="26"/>
        <v>1</v>
      </c>
      <c r="E222" s="147" t="s">
        <v>129</v>
      </c>
      <c r="F222" s="137" t="s">
        <v>129</v>
      </c>
      <c r="G222" s="137" t="s">
        <v>129</v>
      </c>
      <c r="H222" s="137" t="s">
        <v>129</v>
      </c>
      <c r="I222" s="137" t="s">
        <v>129</v>
      </c>
      <c r="J222" s="137" t="s">
        <v>129</v>
      </c>
      <c r="K222" s="137" t="s">
        <v>129</v>
      </c>
      <c r="L222" s="137" t="s">
        <v>129</v>
      </c>
      <c r="M222" s="141"/>
      <c r="N222" s="143"/>
    </row>
    <row r="223" hidden="1" outlineLevel="1">
      <c r="A223" s="303" t="s">
        <v>2742</v>
      </c>
      <c r="B223" s="344">
        <v>46126.0</v>
      </c>
      <c r="C223" s="133" t="str">
        <f t="shared" si="25"/>
        <v>Tue</v>
      </c>
      <c r="D223" s="381">
        <f t="shared" si="26"/>
        <v>1</v>
      </c>
      <c r="E223" s="382" t="s">
        <v>129</v>
      </c>
      <c r="F223" s="137" t="s">
        <v>129</v>
      </c>
      <c r="G223" s="137" t="s">
        <v>129</v>
      </c>
      <c r="H223" s="137" t="s">
        <v>129</v>
      </c>
      <c r="I223" s="137" t="s">
        <v>129</v>
      </c>
      <c r="J223" s="137" t="s">
        <v>129</v>
      </c>
      <c r="K223" s="137" t="s">
        <v>129</v>
      </c>
      <c r="L223" s="137" t="s">
        <v>129</v>
      </c>
      <c r="M223" s="141"/>
      <c r="N223" s="143"/>
    </row>
    <row r="224" hidden="1" outlineLevel="1">
      <c r="A224" s="303" t="s">
        <v>2744</v>
      </c>
      <c r="B224" s="344">
        <v>46126.0</v>
      </c>
      <c r="C224" s="133" t="str">
        <f t="shared" si="25"/>
        <v>Tue</v>
      </c>
      <c r="D224" s="383">
        <f t="shared" si="26"/>
        <v>1</v>
      </c>
      <c r="E224" s="147" t="s">
        <v>129</v>
      </c>
      <c r="F224" s="137" t="s">
        <v>129</v>
      </c>
      <c r="G224" s="137" t="s">
        <v>129</v>
      </c>
      <c r="H224" s="137" t="s">
        <v>129</v>
      </c>
      <c r="I224" s="137" t="s">
        <v>129</v>
      </c>
      <c r="J224" s="137" t="s">
        <v>129</v>
      </c>
      <c r="K224" s="137" t="s">
        <v>129</v>
      </c>
      <c r="L224" s="137" t="s">
        <v>129</v>
      </c>
      <c r="M224" s="141"/>
      <c r="N224" s="143"/>
    </row>
    <row r="225" hidden="1" outlineLevel="1">
      <c r="A225" s="303" t="s">
        <v>2746</v>
      </c>
      <c r="B225" s="344">
        <v>46127.0</v>
      </c>
      <c r="C225" s="133" t="str">
        <f t="shared" si="25"/>
        <v>Wed</v>
      </c>
      <c r="D225" s="381">
        <f t="shared" si="26"/>
        <v>1</v>
      </c>
      <c r="E225" s="382" t="s">
        <v>129</v>
      </c>
      <c r="F225" s="137" t="s">
        <v>129</v>
      </c>
      <c r="G225" s="137" t="s">
        <v>129</v>
      </c>
      <c r="H225" s="137" t="s">
        <v>129</v>
      </c>
      <c r="I225" s="137" t="s">
        <v>129</v>
      </c>
      <c r="J225" s="137" t="s">
        <v>129</v>
      </c>
      <c r="K225" s="137" t="s">
        <v>129</v>
      </c>
      <c r="L225" s="137" t="s">
        <v>129</v>
      </c>
      <c r="M225" s="141"/>
      <c r="N225" s="143"/>
    </row>
    <row r="226" hidden="1" outlineLevel="1">
      <c r="A226" s="303" t="s">
        <v>2748</v>
      </c>
      <c r="B226" s="344">
        <v>46127.0</v>
      </c>
      <c r="C226" s="133" t="str">
        <f t="shared" si="25"/>
        <v>Wed</v>
      </c>
      <c r="D226" s="383">
        <f t="shared" si="26"/>
        <v>1</v>
      </c>
      <c r="E226" s="147" t="s">
        <v>129</v>
      </c>
      <c r="F226" s="137" t="s">
        <v>129</v>
      </c>
      <c r="G226" s="137" t="s">
        <v>129</v>
      </c>
      <c r="H226" s="137" t="s">
        <v>129</v>
      </c>
      <c r="I226" s="137" t="s">
        <v>129</v>
      </c>
      <c r="J226" s="137" t="s">
        <v>129</v>
      </c>
      <c r="K226" s="137" t="s">
        <v>129</v>
      </c>
      <c r="L226" s="137" t="s">
        <v>129</v>
      </c>
      <c r="M226" s="141"/>
      <c r="N226" s="147"/>
    </row>
    <row r="227" hidden="1" outlineLevel="1">
      <c r="A227" s="303" t="s">
        <v>2749</v>
      </c>
      <c r="B227" s="344">
        <v>46127.0</v>
      </c>
      <c r="C227" s="133" t="str">
        <f t="shared" si="25"/>
        <v>Wed</v>
      </c>
      <c r="D227" s="381">
        <f t="shared" si="26"/>
        <v>1</v>
      </c>
      <c r="E227" s="382" t="s">
        <v>129</v>
      </c>
      <c r="F227" s="137" t="s">
        <v>129</v>
      </c>
      <c r="G227" s="137" t="s">
        <v>129</v>
      </c>
      <c r="H227" s="137" t="s">
        <v>129</v>
      </c>
      <c r="I227" s="137" t="s">
        <v>129</v>
      </c>
      <c r="J227" s="137" t="s">
        <v>129</v>
      </c>
      <c r="K227" s="137" t="s">
        <v>129</v>
      </c>
      <c r="L227" s="137" t="s">
        <v>129</v>
      </c>
      <c r="M227" s="141"/>
      <c r="N227" s="143"/>
    </row>
    <row r="228" hidden="1" outlineLevel="1">
      <c r="A228" s="303" t="s">
        <v>2750</v>
      </c>
      <c r="B228" s="344">
        <v>46130.0</v>
      </c>
      <c r="C228" s="133" t="str">
        <f t="shared" si="25"/>
        <v>Sat</v>
      </c>
      <c r="D228" s="383">
        <f t="shared" si="26"/>
        <v>1</v>
      </c>
      <c r="E228" s="147" t="s">
        <v>129</v>
      </c>
      <c r="F228" s="137" t="s">
        <v>129</v>
      </c>
      <c r="G228" s="137" t="s">
        <v>129</v>
      </c>
      <c r="H228" s="137" t="s">
        <v>129</v>
      </c>
      <c r="I228" s="137" t="s">
        <v>129</v>
      </c>
      <c r="J228" s="137" t="s">
        <v>129</v>
      </c>
      <c r="K228" s="137" t="s">
        <v>129</v>
      </c>
      <c r="L228" s="137" t="s">
        <v>129</v>
      </c>
      <c r="M228" s="141"/>
      <c r="N228" s="147"/>
    </row>
    <row r="229" hidden="1" outlineLevel="1">
      <c r="A229" s="303" t="s">
        <v>2751</v>
      </c>
      <c r="B229" s="344">
        <v>46130.0</v>
      </c>
      <c r="C229" s="133" t="str">
        <f t="shared" si="25"/>
        <v>Sat</v>
      </c>
      <c r="D229" s="381">
        <f t="shared" si="26"/>
        <v>1</v>
      </c>
      <c r="E229" s="382" t="s">
        <v>129</v>
      </c>
      <c r="F229" s="137" t="s">
        <v>129</v>
      </c>
      <c r="G229" s="137" t="s">
        <v>129</v>
      </c>
      <c r="H229" s="137" t="s">
        <v>129</v>
      </c>
      <c r="I229" s="137" t="s">
        <v>129</v>
      </c>
      <c r="J229" s="137" t="s">
        <v>129</v>
      </c>
      <c r="K229" s="137" t="s">
        <v>129</v>
      </c>
      <c r="L229" s="137" t="s">
        <v>129</v>
      </c>
      <c r="M229" s="141"/>
      <c r="N229" s="147"/>
    </row>
    <row r="230" hidden="1" outlineLevel="1">
      <c r="A230" s="303" t="s">
        <v>2754</v>
      </c>
      <c r="B230" s="344">
        <v>46130.0</v>
      </c>
      <c r="C230" s="133" t="str">
        <f t="shared" si="25"/>
        <v>Sat</v>
      </c>
      <c r="D230" s="383">
        <f t="shared" si="26"/>
        <v>1</v>
      </c>
      <c r="E230" s="147" t="s">
        <v>129</v>
      </c>
      <c r="F230" s="137" t="s">
        <v>129</v>
      </c>
      <c r="G230" s="137" t="s">
        <v>129</v>
      </c>
      <c r="H230" s="137" t="s">
        <v>129</v>
      </c>
      <c r="I230" s="137" t="s">
        <v>129</v>
      </c>
      <c r="J230" s="137" t="s">
        <v>129</v>
      </c>
      <c r="K230" s="137" t="s">
        <v>129</v>
      </c>
      <c r="L230" s="137" t="s">
        <v>129</v>
      </c>
      <c r="M230" s="141"/>
      <c r="N230" s="147"/>
    </row>
    <row r="231" hidden="1" outlineLevel="1">
      <c r="A231" s="303" t="s">
        <v>2755</v>
      </c>
      <c r="B231" s="344">
        <v>46131.0</v>
      </c>
      <c r="C231" s="133" t="str">
        <f t="shared" si="25"/>
        <v>Sun</v>
      </c>
      <c r="D231" s="381">
        <f t="shared" si="26"/>
        <v>1</v>
      </c>
      <c r="E231" s="382" t="s">
        <v>129</v>
      </c>
      <c r="F231" s="137" t="s">
        <v>129</v>
      </c>
      <c r="G231" s="137" t="s">
        <v>129</v>
      </c>
      <c r="H231" s="137" t="s">
        <v>129</v>
      </c>
      <c r="I231" s="137" t="s">
        <v>129</v>
      </c>
      <c r="J231" s="137" t="s">
        <v>129</v>
      </c>
      <c r="K231" s="137" t="s">
        <v>129</v>
      </c>
      <c r="L231" s="137" t="s">
        <v>129</v>
      </c>
      <c r="M231" s="141"/>
      <c r="N231" s="143"/>
    </row>
    <row r="232" hidden="1" outlineLevel="1">
      <c r="A232" s="303" t="s">
        <v>2757</v>
      </c>
      <c r="B232" s="344">
        <v>46131.0</v>
      </c>
      <c r="C232" s="133" t="str">
        <f t="shared" si="25"/>
        <v>Sun</v>
      </c>
      <c r="D232" s="383">
        <f t="shared" si="26"/>
        <v>1</v>
      </c>
      <c r="E232" s="147" t="s">
        <v>129</v>
      </c>
      <c r="F232" s="137" t="s">
        <v>129</v>
      </c>
      <c r="G232" s="137" t="s">
        <v>129</v>
      </c>
      <c r="H232" s="137" t="s">
        <v>129</v>
      </c>
      <c r="I232" s="137" t="s">
        <v>129</v>
      </c>
      <c r="J232" s="137" t="s">
        <v>129</v>
      </c>
      <c r="K232" s="137" t="s">
        <v>129</v>
      </c>
      <c r="L232" s="137" t="s">
        <v>129</v>
      </c>
      <c r="M232" s="141"/>
      <c r="N232" s="143"/>
    </row>
    <row r="233" ht="15.0" hidden="1" customHeight="1" outlineLevel="1">
      <c r="A233" s="303" t="s">
        <v>2758</v>
      </c>
      <c r="B233" s="344">
        <v>46131.0</v>
      </c>
      <c r="C233" s="133" t="str">
        <f t="shared" si="25"/>
        <v>Sun</v>
      </c>
      <c r="D233" s="381">
        <f t="shared" si="26"/>
        <v>1</v>
      </c>
      <c r="E233" s="382" t="s">
        <v>129</v>
      </c>
      <c r="F233" s="137" t="s">
        <v>129</v>
      </c>
      <c r="G233" s="137" t="s">
        <v>129</v>
      </c>
      <c r="H233" s="137" t="s">
        <v>129</v>
      </c>
      <c r="I233" s="137" t="s">
        <v>129</v>
      </c>
      <c r="J233" s="137" t="s">
        <v>129</v>
      </c>
      <c r="K233" s="137" t="s">
        <v>129</v>
      </c>
      <c r="L233" s="137" t="s">
        <v>129</v>
      </c>
      <c r="M233" s="141"/>
      <c r="N233" s="147"/>
    </row>
    <row r="234" hidden="1" outlineLevel="1">
      <c r="B234" s="189"/>
      <c r="C234" s="191" t="s">
        <v>194</v>
      </c>
      <c r="D234" s="204">
        <f>AVERAGE(D219:D233)</f>
        <v>1</v>
      </c>
      <c r="E234" s="384"/>
      <c r="L234" s="191" t="s">
        <v>194</v>
      </c>
      <c r="M234" s="204">
        <f>SUM(M219:M233)/75*0.1</f>
        <v>0</v>
      </c>
    </row>
    <row r="235" hidden="1" collapsed="1">
      <c r="A235" s="206" t="s">
        <v>946</v>
      </c>
      <c r="B235" s="207"/>
      <c r="C235" s="207"/>
      <c r="D235" s="385"/>
      <c r="E235" s="109"/>
      <c r="F235" s="109"/>
      <c r="G235" s="110"/>
      <c r="H235" s="110"/>
      <c r="I235" s="110"/>
      <c r="J235" s="110"/>
      <c r="K235" s="110"/>
      <c r="L235" s="110"/>
      <c r="M235" s="111"/>
      <c r="N235" s="113"/>
    </row>
    <row r="236" hidden="1" outlineLevel="1">
      <c r="A236" s="373" t="s">
        <v>98</v>
      </c>
      <c r="B236" s="115" t="s">
        <v>100</v>
      </c>
      <c r="C236" s="115" t="s">
        <v>102</v>
      </c>
      <c r="D236" s="119" t="s">
        <v>103</v>
      </c>
      <c r="E236" s="275" t="s">
        <v>269</v>
      </c>
      <c r="F236" s="275" t="s">
        <v>272</v>
      </c>
      <c r="G236" s="276" t="s">
        <v>328</v>
      </c>
      <c r="H236" s="121" t="s">
        <v>107</v>
      </c>
      <c r="I236" s="121" t="s">
        <v>108</v>
      </c>
      <c r="J236" s="276" t="s">
        <v>329</v>
      </c>
      <c r="K236" s="121" t="s">
        <v>111</v>
      </c>
      <c r="L236" s="276" t="s">
        <v>274</v>
      </c>
      <c r="M236" s="115" t="s">
        <v>114</v>
      </c>
      <c r="N236" s="119" t="s">
        <v>115</v>
      </c>
    </row>
    <row r="237" hidden="1" outlineLevel="1">
      <c r="A237" s="483" t="s">
        <v>2760</v>
      </c>
      <c r="B237" s="344">
        <v>46132.0</v>
      </c>
      <c r="C237" s="133" t="str">
        <f t="shared" ref="C237:C251" si="27">IF(B237="", "", TEXT(B237, "ddd"))</f>
        <v>Mon</v>
      </c>
      <c r="D237" s="381">
        <f t="shared" ref="D237:D251" si="28">IF(E237="Yes",0.05,0)
+IF(F237="Yes",0.1,0)
+IF(G237="Yes",0.15,0)
+IF(H237="Yes",0.15,0)
+IF(I237="Yes",0.05,0)
+IF(J237="Yes",0.05,0)
+IF(K237="Yes",0.15,0)
+IF(L237="Yes",0.3,0)
</f>
        <v>1</v>
      </c>
      <c r="E237" s="382" t="s">
        <v>129</v>
      </c>
      <c r="F237" s="137" t="s">
        <v>129</v>
      </c>
      <c r="G237" s="137" t="s">
        <v>129</v>
      </c>
      <c r="H237" s="137" t="s">
        <v>129</v>
      </c>
      <c r="I237" s="137" t="s">
        <v>129</v>
      </c>
      <c r="J237" s="137" t="s">
        <v>129</v>
      </c>
      <c r="K237" s="137" t="s">
        <v>129</v>
      </c>
      <c r="L237" s="137" t="s">
        <v>129</v>
      </c>
      <c r="M237" s="141"/>
      <c r="N237" s="143"/>
    </row>
    <row r="238" hidden="1" outlineLevel="1">
      <c r="A238" s="483" t="s">
        <v>2763</v>
      </c>
      <c r="B238" s="344">
        <v>46132.0</v>
      </c>
      <c r="C238" s="133" t="str">
        <f t="shared" si="27"/>
        <v>Mon</v>
      </c>
      <c r="D238" s="383">
        <f t="shared" si="28"/>
        <v>1</v>
      </c>
      <c r="E238" s="147" t="s">
        <v>129</v>
      </c>
      <c r="F238" s="137" t="s">
        <v>129</v>
      </c>
      <c r="G238" s="137" t="s">
        <v>129</v>
      </c>
      <c r="H238" s="137" t="s">
        <v>129</v>
      </c>
      <c r="I238" s="137" t="s">
        <v>129</v>
      </c>
      <c r="J238" s="137" t="s">
        <v>129</v>
      </c>
      <c r="K238" s="137" t="s">
        <v>129</v>
      </c>
      <c r="L238" s="137" t="s">
        <v>129</v>
      </c>
      <c r="M238" s="141"/>
      <c r="N238" s="147"/>
    </row>
    <row r="239" hidden="1" outlineLevel="1">
      <c r="A239" s="484" t="s">
        <v>2764</v>
      </c>
      <c r="B239" s="344">
        <v>46132.0</v>
      </c>
      <c r="C239" s="133" t="str">
        <f t="shared" si="27"/>
        <v>Mon</v>
      </c>
      <c r="D239" s="381">
        <f t="shared" si="28"/>
        <v>1</v>
      </c>
      <c r="E239" s="382" t="s">
        <v>129</v>
      </c>
      <c r="F239" s="137" t="s">
        <v>129</v>
      </c>
      <c r="G239" s="137" t="s">
        <v>129</v>
      </c>
      <c r="H239" s="137" t="s">
        <v>129</v>
      </c>
      <c r="I239" s="137" t="s">
        <v>129</v>
      </c>
      <c r="J239" s="137" t="s">
        <v>129</v>
      </c>
      <c r="K239" s="137" t="s">
        <v>129</v>
      </c>
      <c r="L239" s="137" t="s">
        <v>129</v>
      </c>
      <c r="M239" s="141"/>
      <c r="N239" s="147"/>
    </row>
    <row r="240" hidden="1" outlineLevel="1">
      <c r="A240" s="461" t="s">
        <v>2768</v>
      </c>
      <c r="B240" s="344">
        <v>46133.0</v>
      </c>
      <c r="C240" s="133" t="str">
        <f t="shared" si="27"/>
        <v>Tue</v>
      </c>
      <c r="D240" s="383">
        <f t="shared" si="28"/>
        <v>1</v>
      </c>
      <c r="E240" s="147" t="s">
        <v>129</v>
      </c>
      <c r="F240" s="137" t="s">
        <v>129</v>
      </c>
      <c r="G240" s="137" t="s">
        <v>129</v>
      </c>
      <c r="H240" s="137" t="s">
        <v>129</v>
      </c>
      <c r="I240" s="137" t="s">
        <v>129</v>
      </c>
      <c r="J240" s="137" t="s">
        <v>129</v>
      </c>
      <c r="K240" s="137" t="s">
        <v>129</v>
      </c>
      <c r="L240" s="137" t="s">
        <v>129</v>
      </c>
      <c r="M240" s="141"/>
      <c r="N240" s="143"/>
    </row>
    <row r="241" hidden="1" outlineLevel="1">
      <c r="A241" s="485" t="s">
        <v>2770</v>
      </c>
      <c r="B241" s="344">
        <v>46133.0</v>
      </c>
      <c r="C241" s="133" t="str">
        <f t="shared" si="27"/>
        <v>Tue</v>
      </c>
      <c r="D241" s="381">
        <f t="shared" si="28"/>
        <v>1</v>
      </c>
      <c r="E241" s="382" t="s">
        <v>129</v>
      </c>
      <c r="F241" s="137" t="s">
        <v>129</v>
      </c>
      <c r="G241" s="137" t="s">
        <v>129</v>
      </c>
      <c r="H241" s="137" t="s">
        <v>129</v>
      </c>
      <c r="I241" s="137" t="s">
        <v>129</v>
      </c>
      <c r="J241" s="137" t="s">
        <v>129</v>
      </c>
      <c r="K241" s="137" t="s">
        <v>129</v>
      </c>
      <c r="L241" s="137" t="s">
        <v>129</v>
      </c>
      <c r="M241" s="141"/>
      <c r="N241" s="143"/>
    </row>
    <row r="242" hidden="1" outlineLevel="1">
      <c r="A242" s="485" t="s">
        <v>2771</v>
      </c>
      <c r="B242" s="344">
        <v>46133.0</v>
      </c>
      <c r="C242" s="133" t="str">
        <f t="shared" si="27"/>
        <v>Tue</v>
      </c>
      <c r="D242" s="383">
        <f t="shared" si="28"/>
        <v>1</v>
      </c>
      <c r="E242" s="147" t="s">
        <v>129</v>
      </c>
      <c r="F242" s="137" t="s">
        <v>129</v>
      </c>
      <c r="G242" s="137" t="s">
        <v>129</v>
      </c>
      <c r="H242" s="137" t="s">
        <v>129</v>
      </c>
      <c r="I242" s="137" t="s">
        <v>129</v>
      </c>
      <c r="J242" s="137" t="s">
        <v>129</v>
      </c>
      <c r="K242" s="137" t="s">
        <v>129</v>
      </c>
      <c r="L242" s="137" t="s">
        <v>129</v>
      </c>
      <c r="M242" s="141"/>
      <c r="N242" s="143"/>
    </row>
    <row r="243" hidden="1" outlineLevel="1">
      <c r="A243" s="390" t="s">
        <v>2773</v>
      </c>
      <c r="B243" s="344">
        <v>46134.0</v>
      </c>
      <c r="C243" s="133" t="str">
        <f t="shared" si="27"/>
        <v>Wed</v>
      </c>
      <c r="D243" s="381">
        <f t="shared" si="28"/>
        <v>1</v>
      </c>
      <c r="E243" s="382" t="s">
        <v>129</v>
      </c>
      <c r="F243" s="137" t="s">
        <v>129</v>
      </c>
      <c r="G243" s="137" t="s">
        <v>129</v>
      </c>
      <c r="H243" s="137" t="s">
        <v>129</v>
      </c>
      <c r="I243" s="137" t="s">
        <v>129</v>
      </c>
      <c r="J243" s="137" t="s">
        <v>129</v>
      </c>
      <c r="K243" s="137" t="s">
        <v>129</v>
      </c>
      <c r="L243" s="137" t="s">
        <v>129</v>
      </c>
      <c r="M243" s="141"/>
      <c r="N243" s="143"/>
    </row>
    <row r="244" hidden="1" outlineLevel="1">
      <c r="A244" s="390" t="s">
        <v>2774</v>
      </c>
      <c r="B244" s="344">
        <v>46134.0</v>
      </c>
      <c r="C244" s="133" t="str">
        <f t="shared" si="27"/>
        <v>Wed</v>
      </c>
      <c r="D244" s="383">
        <f t="shared" si="28"/>
        <v>1</v>
      </c>
      <c r="E244" s="147" t="s">
        <v>129</v>
      </c>
      <c r="F244" s="137" t="s">
        <v>129</v>
      </c>
      <c r="G244" s="137" t="s">
        <v>129</v>
      </c>
      <c r="H244" s="137" t="s">
        <v>129</v>
      </c>
      <c r="I244" s="137" t="s">
        <v>129</v>
      </c>
      <c r="J244" s="137" t="s">
        <v>129</v>
      </c>
      <c r="K244" s="137" t="s">
        <v>129</v>
      </c>
      <c r="L244" s="137" t="s">
        <v>129</v>
      </c>
      <c r="M244" s="141"/>
      <c r="N244" s="147"/>
    </row>
    <row r="245" hidden="1" outlineLevel="1">
      <c r="A245" s="391" t="s">
        <v>2777</v>
      </c>
      <c r="B245" s="344">
        <v>46134.0</v>
      </c>
      <c r="C245" s="133" t="str">
        <f t="shared" si="27"/>
        <v>Wed</v>
      </c>
      <c r="D245" s="381">
        <f t="shared" si="28"/>
        <v>1</v>
      </c>
      <c r="E245" s="382" t="s">
        <v>129</v>
      </c>
      <c r="F245" s="137" t="s">
        <v>129</v>
      </c>
      <c r="G245" s="137" t="s">
        <v>129</v>
      </c>
      <c r="H245" s="137" t="s">
        <v>129</v>
      </c>
      <c r="I245" s="137" t="s">
        <v>129</v>
      </c>
      <c r="J245" s="137" t="s">
        <v>129</v>
      </c>
      <c r="K245" s="137" t="s">
        <v>129</v>
      </c>
      <c r="L245" s="137" t="s">
        <v>129</v>
      </c>
      <c r="M245" s="141"/>
      <c r="N245" s="143"/>
    </row>
    <row r="246" hidden="1" outlineLevel="1">
      <c r="A246" s="303" t="s">
        <v>2780</v>
      </c>
      <c r="B246" s="344">
        <v>46137.0</v>
      </c>
      <c r="C246" s="133" t="str">
        <f t="shared" si="27"/>
        <v>Sat</v>
      </c>
      <c r="D246" s="383">
        <f t="shared" si="28"/>
        <v>1</v>
      </c>
      <c r="E246" s="147" t="s">
        <v>129</v>
      </c>
      <c r="F246" s="137" t="s">
        <v>129</v>
      </c>
      <c r="G246" s="137" t="s">
        <v>129</v>
      </c>
      <c r="H246" s="137" t="s">
        <v>129</v>
      </c>
      <c r="I246" s="137" t="s">
        <v>129</v>
      </c>
      <c r="J246" s="137" t="s">
        <v>129</v>
      </c>
      <c r="K246" s="137" t="s">
        <v>129</v>
      </c>
      <c r="L246" s="137" t="s">
        <v>129</v>
      </c>
      <c r="M246" s="141"/>
      <c r="N246" s="147"/>
    </row>
    <row r="247" hidden="1" outlineLevel="1">
      <c r="A247" s="303" t="s">
        <v>2781</v>
      </c>
      <c r="B247" s="344">
        <v>46137.0</v>
      </c>
      <c r="C247" s="133" t="str">
        <f t="shared" si="27"/>
        <v>Sat</v>
      </c>
      <c r="D247" s="381">
        <f t="shared" si="28"/>
        <v>1</v>
      </c>
      <c r="E247" s="382" t="s">
        <v>129</v>
      </c>
      <c r="F247" s="137" t="s">
        <v>129</v>
      </c>
      <c r="G247" s="137" t="s">
        <v>129</v>
      </c>
      <c r="H247" s="137" t="s">
        <v>129</v>
      </c>
      <c r="I247" s="137" t="s">
        <v>129</v>
      </c>
      <c r="J247" s="137" t="s">
        <v>129</v>
      </c>
      <c r="K247" s="137" t="s">
        <v>129</v>
      </c>
      <c r="L247" s="137" t="s">
        <v>129</v>
      </c>
      <c r="M247" s="141"/>
      <c r="N247" s="147"/>
    </row>
    <row r="248" hidden="1" outlineLevel="1">
      <c r="A248" s="303" t="s">
        <v>2784</v>
      </c>
      <c r="B248" s="344">
        <v>46137.0</v>
      </c>
      <c r="C248" s="133" t="str">
        <f t="shared" si="27"/>
        <v>Sat</v>
      </c>
      <c r="D248" s="383">
        <f t="shared" si="28"/>
        <v>1</v>
      </c>
      <c r="E248" s="147" t="s">
        <v>129</v>
      </c>
      <c r="F248" s="137" t="s">
        <v>129</v>
      </c>
      <c r="G248" s="137" t="s">
        <v>129</v>
      </c>
      <c r="H248" s="137" t="s">
        <v>129</v>
      </c>
      <c r="I248" s="137" t="s">
        <v>129</v>
      </c>
      <c r="J248" s="137" t="s">
        <v>129</v>
      </c>
      <c r="K248" s="137" t="s">
        <v>129</v>
      </c>
      <c r="L248" s="137" t="s">
        <v>129</v>
      </c>
      <c r="M248" s="141"/>
      <c r="N248" s="147"/>
    </row>
    <row r="249" hidden="1" outlineLevel="1">
      <c r="A249" s="403" t="s">
        <v>2786</v>
      </c>
      <c r="B249" s="344">
        <v>46137.0</v>
      </c>
      <c r="C249" s="133" t="str">
        <f t="shared" si="27"/>
        <v>Sat</v>
      </c>
      <c r="D249" s="381">
        <f t="shared" si="28"/>
        <v>1</v>
      </c>
      <c r="E249" s="382" t="s">
        <v>129</v>
      </c>
      <c r="F249" s="137" t="s">
        <v>129</v>
      </c>
      <c r="G249" s="137" t="s">
        <v>129</v>
      </c>
      <c r="H249" s="137" t="s">
        <v>129</v>
      </c>
      <c r="I249" s="137" t="s">
        <v>129</v>
      </c>
      <c r="J249" s="137" t="s">
        <v>129</v>
      </c>
      <c r="K249" s="137" t="s">
        <v>129</v>
      </c>
      <c r="L249" s="137" t="s">
        <v>129</v>
      </c>
      <c r="M249" s="141"/>
      <c r="N249" s="143"/>
    </row>
    <row r="250" hidden="1" outlineLevel="1">
      <c r="A250" s="303" t="s">
        <v>2788</v>
      </c>
      <c r="B250" s="344">
        <v>46137.0</v>
      </c>
      <c r="C250" s="133" t="str">
        <f t="shared" si="27"/>
        <v>Sat</v>
      </c>
      <c r="D250" s="383">
        <f t="shared" si="28"/>
        <v>1</v>
      </c>
      <c r="E250" s="147" t="s">
        <v>129</v>
      </c>
      <c r="F250" s="137" t="s">
        <v>129</v>
      </c>
      <c r="G250" s="137" t="s">
        <v>129</v>
      </c>
      <c r="H250" s="137" t="s">
        <v>129</v>
      </c>
      <c r="I250" s="137" t="s">
        <v>129</v>
      </c>
      <c r="J250" s="137" t="s">
        <v>129</v>
      </c>
      <c r="K250" s="137" t="s">
        <v>129</v>
      </c>
      <c r="L250" s="137" t="s">
        <v>129</v>
      </c>
      <c r="M250" s="141"/>
      <c r="N250" s="143"/>
    </row>
    <row r="251" ht="15.0" hidden="1" customHeight="1" outlineLevel="1">
      <c r="A251" s="303" t="s">
        <v>2789</v>
      </c>
      <c r="B251" s="344">
        <v>46137.0</v>
      </c>
      <c r="C251" s="133" t="str">
        <f t="shared" si="27"/>
        <v>Sat</v>
      </c>
      <c r="D251" s="381">
        <f t="shared" si="28"/>
        <v>1</v>
      </c>
      <c r="E251" s="382" t="s">
        <v>129</v>
      </c>
      <c r="F251" s="137" t="s">
        <v>129</v>
      </c>
      <c r="G251" s="137" t="s">
        <v>129</v>
      </c>
      <c r="H251" s="137" t="s">
        <v>129</v>
      </c>
      <c r="I251" s="137" t="s">
        <v>129</v>
      </c>
      <c r="J251" s="137" t="s">
        <v>129</v>
      </c>
      <c r="K251" s="137" t="s">
        <v>129</v>
      </c>
      <c r="L251" s="137" t="s">
        <v>129</v>
      </c>
      <c r="M251" s="141"/>
      <c r="N251" s="147"/>
    </row>
    <row r="252" hidden="1" outlineLevel="1">
      <c r="B252" s="189"/>
      <c r="C252" s="191" t="s">
        <v>194</v>
      </c>
      <c r="D252" s="204">
        <f>AVERAGE(D237:D251)</f>
        <v>1</v>
      </c>
      <c r="E252" s="384"/>
      <c r="L252" s="191" t="s">
        <v>194</v>
      </c>
      <c r="M252" s="204">
        <f>SUM(M237:M251)/75*0.1</f>
        <v>0</v>
      </c>
    </row>
    <row r="253" hidden="1" collapsed="1">
      <c r="A253" s="206" t="s">
        <v>978</v>
      </c>
      <c r="B253" s="207"/>
      <c r="C253" s="207"/>
      <c r="D253" s="385"/>
      <c r="E253" s="109"/>
      <c r="F253" s="109"/>
      <c r="G253" s="110"/>
      <c r="H253" s="110"/>
      <c r="I253" s="110"/>
      <c r="J253" s="110"/>
      <c r="K253" s="110"/>
      <c r="L253" s="110"/>
      <c r="M253" s="111"/>
      <c r="N253" s="113"/>
    </row>
    <row r="254" hidden="1" outlineLevel="1">
      <c r="A254" s="373" t="s">
        <v>98</v>
      </c>
      <c r="B254" s="115" t="s">
        <v>100</v>
      </c>
      <c r="C254" s="115" t="s">
        <v>102</v>
      </c>
      <c r="D254" s="119" t="s">
        <v>103</v>
      </c>
      <c r="E254" s="275" t="s">
        <v>269</v>
      </c>
      <c r="F254" s="275" t="s">
        <v>272</v>
      </c>
      <c r="G254" s="276" t="s">
        <v>328</v>
      </c>
      <c r="H254" s="121" t="s">
        <v>107</v>
      </c>
      <c r="I254" s="121" t="s">
        <v>108</v>
      </c>
      <c r="J254" s="276" t="s">
        <v>329</v>
      </c>
      <c r="K254" s="121" t="s">
        <v>111</v>
      </c>
      <c r="L254" s="276" t="s">
        <v>274</v>
      </c>
      <c r="M254" s="115" t="s">
        <v>114</v>
      </c>
      <c r="N254" s="119" t="s">
        <v>115</v>
      </c>
    </row>
    <row r="255" hidden="1" outlineLevel="1">
      <c r="A255" s="303" t="s">
        <v>2793</v>
      </c>
      <c r="B255" s="344">
        <v>46139.0</v>
      </c>
      <c r="C255" s="133" t="str">
        <f t="shared" ref="C255:C269" si="29">IF(B255="", "", TEXT(B255, "ddd"))</f>
        <v>Mon</v>
      </c>
      <c r="D255" s="381">
        <f t="shared" ref="D255:D269" si="30">IF(E255="Yes",0.05,0)
+IF(F255="Yes",0.1,0)
+IF(G255="Yes",0.15,0)
+IF(H255="Yes",0.15,0)
+IF(I255="Yes",0.05,0)
+IF(J255="Yes",0.05,0)
+IF(K255="Yes",0.15,0)
+IF(L255="Yes",0.3,0)
</f>
        <v>1</v>
      </c>
      <c r="E255" s="382" t="s">
        <v>129</v>
      </c>
      <c r="F255" s="137" t="s">
        <v>129</v>
      </c>
      <c r="G255" s="137" t="s">
        <v>129</v>
      </c>
      <c r="H255" s="137" t="s">
        <v>129</v>
      </c>
      <c r="I255" s="137" t="s">
        <v>129</v>
      </c>
      <c r="J255" s="137" t="s">
        <v>129</v>
      </c>
      <c r="K255" s="137" t="s">
        <v>129</v>
      </c>
      <c r="L255" s="137" t="s">
        <v>129</v>
      </c>
      <c r="M255" s="141"/>
      <c r="N255" s="143"/>
    </row>
    <row r="256" hidden="1" outlineLevel="1">
      <c r="A256" s="303" t="s">
        <v>2798</v>
      </c>
      <c r="B256" s="344">
        <v>46139.0</v>
      </c>
      <c r="C256" s="133" t="str">
        <f t="shared" si="29"/>
        <v>Mon</v>
      </c>
      <c r="D256" s="383">
        <f t="shared" si="30"/>
        <v>1</v>
      </c>
      <c r="E256" s="147" t="s">
        <v>129</v>
      </c>
      <c r="F256" s="137" t="s">
        <v>129</v>
      </c>
      <c r="G256" s="137" t="s">
        <v>129</v>
      </c>
      <c r="H256" s="137" t="s">
        <v>129</v>
      </c>
      <c r="I256" s="137" t="s">
        <v>129</v>
      </c>
      <c r="J256" s="137" t="s">
        <v>129</v>
      </c>
      <c r="K256" s="137" t="s">
        <v>129</v>
      </c>
      <c r="L256" s="137" t="s">
        <v>129</v>
      </c>
      <c r="M256" s="141"/>
      <c r="N256" s="147"/>
    </row>
    <row r="257" hidden="1" outlineLevel="1">
      <c r="A257" s="303" t="s">
        <v>2801</v>
      </c>
      <c r="B257" s="344">
        <v>46139.0</v>
      </c>
      <c r="C257" s="133" t="str">
        <f t="shared" si="29"/>
        <v>Mon</v>
      </c>
      <c r="D257" s="381">
        <f t="shared" si="30"/>
        <v>1</v>
      </c>
      <c r="E257" s="382" t="s">
        <v>129</v>
      </c>
      <c r="F257" s="137" t="s">
        <v>129</v>
      </c>
      <c r="G257" s="137" t="s">
        <v>129</v>
      </c>
      <c r="H257" s="137" t="s">
        <v>129</v>
      </c>
      <c r="I257" s="137" t="s">
        <v>129</v>
      </c>
      <c r="J257" s="137" t="s">
        <v>129</v>
      </c>
      <c r="K257" s="137" t="s">
        <v>129</v>
      </c>
      <c r="L257" s="137" t="s">
        <v>129</v>
      </c>
      <c r="M257" s="141"/>
      <c r="N257" s="147"/>
    </row>
    <row r="258" hidden="1" outlineLevel="1">
      <c r="A258" s="389" t="s">
        <v>2803</v>
      </c>
      <c r="B258" s="344">
        <v>46140.0</v>
      </c>
      <c r="C258" s="133" t="str">
        <f t="shared" si="29"/>
        <v>Tue</v>
      </c>
      <c r="D258" s="383">
        <f t="shared" si="30"/>
        <v>1</v>
      </c>
      <c r="E258" s="147" t="s">
        <v>129</v>
      </c>
      <c r="F258" s="137" t="s">
        <v>129</v>
      </c>
      <c r="G258" s="137" t="s">
        <v>129</v>
      </c>
      <c r="H258" s="137" t="s">
        <v>129</v>
      </c>
      <c r="I258" s="137" t="s">
        <v>129</v>
      </c>
      <c r="J258" s="137" t="s">
        <v>129</v>
      </c>
      <c r="K258" s="137" t="s">
        <v>129</v>
      </c>
      <c r="L258" s="137" t="s">
        <v>129</v>
      </c>
      <c r="M258" s="141"/>
      <c r="N258" s="143"/>
    </row>
    <row r="259" hidden="1" outlineLevel="1">
      <c r="A259" s="389" t="s">
        <v>2805</v>
      </c>
      <c r="B259" s="344">
        <v>46140.0</v>
      </c>
      <c r="C259" s="133" t="str">
        <f t="shared" si="29"/>
        <v>Tue</v>
      </c>
      <c r="D259" s="381">
        <f t="shared" si="30"/>
        <v>1</v>
      </c>
      <c r="E259" s="382" t="s">
        <v>129</v>
      </c>
      <c r="F259" s="137" t="s">
        <v>129</v>
      </c>
      <c r="G259" s="137" t="s">
        <v>129</v>
      </c>
      <c r="H259" s="137" t="s">
        <v>129</v>
      </c>
      <c r="I259" s="137" t="s">
        <v>129</v>
      </c>
      <c r="J259" s="137" t="s">
        <v>129</v>
      </c>
      <c r="K259" s="137" t="s">
        <v>129</v>
      </c>
      <c r="L259" s="137" t="s">
        <v>129</v>
      </c>
      <c r="M259" s="141"/>
      <c r="N259" s="143"/>
    </row>
    <row r="260" hidden="1" outlineLevel="1">
      <c r="A260" s="388" t="s">
        <v>2807</v>
      </c>
      <c r="B260" s="344">
        <v>46140.0</v>
      </c>
      <c r="C260" s="133" t="str">
        <f t="shared" si="29"/>
        <v>Tue</v>
      </c>
      <c r="D260" s="383">
        <f t="shared" si="30"/>
        <v>1</v>
      </c>
      <c r="E260" s="147" t="s">
        <v>129</v>
      </c>
      <c r="F260" s="137" t="s">
        <v>129</v>
      </c>
      <c r="G260" s="137" t="s">
        <v>129</v>
      </c>
      <c r="H260" s="137" t="s">
        <v>129</v>
      </c>
      <c r="I260" s="137" t="s">
        <v>129</v>
      </c>
      <c r="J260" s="137" t="s">
        <v>129</v>
      </c>
      <c r="K260" s="137" t="s">
        <v>129</v>
      </c>
      <c r="L260" s="137" t="s">
        <v>129</v>
      </c>
      <c r="M260" s="141"/>
      <c r="N260" s="143"/>
    </row>
    <row r="261" hidden="1" outlineLevel="1">
      <c r="A261" s="394" t="s">
        <v>2808</v>
      </c>
      <c r="B261" s="344">
        <v>46141.0</v>
      </c>
      <c r="C261" s="133" t="str">
        <f t="shared" si="29"/>
        <v>Wed</v>
      </c>
      <c r="D261" s="381">
        <f t="shared" si="30"/>
        <v>1</v>
      </c>
      <c r="E261" s="382" t="s">
        <v>129</v>
      </c>
      <c r="F261" s="137" t="s">
        <v>129</v>
      </c>
      <c r="G261" s="137" t="s">
        <v>129</v>
      </c>
      <c r="H261" s="137" t="s">
        <v>129</v>
      </c>
      <c r="I261" s="137" t="s">
        <v>129</v>
      </c>
      <c r="J261" s="137" t="s">
        <v>129</v>
      </c>
      <c r="K261" s="137" t="s">
        <v>129</v>
      </c>
      <c r="L261" s="137" t="s">
        <v>129</v>
      </c>
      <c r="M261" s="141"/>
      <c r="N261" s="143"/>
    </row>
    <row r="262" hidden="1" outlineLevel="1">
      <c r="A262" s="394" t="s">
        <v>2809</v>
      </c>
      <c r="B262" s="344">
        <v>46141.0</v>
      </c>
      <c r="C262" s="133" t="str">
        <f t="shared" si="29"/>
        <v>Wed</v>
      </c>
      <c r="D262" s="383">
        <f t="shared" si="30"/>
        <v>1</v>
      </c>
      <c r="E262" s="147" t="s">
        <v>129</v>
      </c>
      <c r="F262" s="137" t="s">
        <v>129</v>
      </c>
      <c r="G262" s="137" t="s">
        <v>129</v>
      </c>
      <c r="H262" s="137" t="s">
        <v>129</v>
      </c>
      <c r="I262" s="137" t="s">
        <v>129</v>
      </c>
      <c r="J262" s="137" t="s">
        <v>129</v>
      </c>
      <c r="K262" s="137" t="s">
        <v>129</v>
      </c>
      <c r="L262" s="137" t="s">
        <v>129</v>
      </c>
      <c r="M262" s="141"/>
      <c r="N262" s="147"/>
    </row>
    <row r="263" hidden="1" outlineLevel="1">
      <c r="A263" s="393" t="s">
        <v>2810</v>
      </c>
      <c r="B263" s="344">
        <v>46141.0</v>
      </c>
      <c r="C263" s="133" t="str">
        <f t="shared" si="29"/>
        <v>Wed</v>
      </c>
      <c r="D263" s="381">
        <f t="shared" si="30"/>
        <v>1</v>
      </c>
      <c r="E263" s="382" t="s">
        <v>129</v>
      </c>
      <c r="F263" s="137" t="s">
        <v>129</v>
      </c>
      <c r="G263" s="137" t="s">
        <v>129</v>
      </c>
      <c r="H263" s="137" t="s">
        <v>129</v>
      </c>
      <c r="I263" s="137" t="s">
        <v>129</v>
      </c>
      <c r="J263" s="137" t="s">
        <v>129</v>
      </c>
      <c r="K263" s="137" t="s">
        <v>129</v>
      </c>
      <c r="L263" s="137" t="s">
        <v>129</v>
      </c>
      <c r="M263" s="141"/>
      <c r="N263" s="143"/>
    </row>
    <row r="264" hidden="1" outlineLevel="1">
      <c r="A264" s="393" t="s">
        <v>2811</v>
      </c>
      <c r="B264" s="344">
        <v>46144.0</v>
      </c>
      <c r="C264" s="133" t="str">
        <f t="shared" si="29"/>
        <v>Sat</v>
      </c>
      <c r="D264" s="383">
        <f t="shared" si="30"/>
        <v>1</v>
      </c>
      <c r="E264" s="147" t="s">
        <v>129</v>
      </c>
      <c r="F264" s="137" t="s">
        <v>129</v>
      </c>
      <c r="G264" s="137" t="s">
        <v>129</v>
      </c>
      <c r="H264" s="137" t="s">
        <v>129</v>
      </c>
      <c r="I264" s="137" t="s">
        <v>129</v>
      </c>
      <c r="J264" s="137" t="s">
        <v>129</v>
      </c>
      <c r="K264" s="137" t="s">
        <v>129</v>
      </c>
      <c r="L264" s="137" t="s">
        <v>129</v>
      </c>
      <c r="M264" s="141"/>
      <c r="N264" s="147"/>
    </row>
    <row r="265" hidden="1" outlineLevel="1">
      <c r="A265" s="393" t="s">
        <v>2813</v>
      </c>
      <c r="B265" s="344">
        <v>46144.0</v>
      </c>
      <c r="C265" s="133" t="str">
        <f t="shared" si="29"/>
        <v>Sat</v>
      </c>
      <c r="D265" s="381">
        <f t="shared" si="30"/>
        <v>1</v>
      </c>
      <c r="E265" s="382" t="s">
        <v>129</v>
      </c>
      <c r="F265" s="137" t="s">
        <v>129</v>
      </c>
      <c r="G265" s="137" t="s">
        <v>129</v>
      </c>
      <c r="H265" s="137" t="s">
        <v>129</v>
      </c>
      <c r="I265" s="137" t="s">
        <v>129</v>
      </c>
      <c r="J265" s="137" t="s">
        <v>129</v>
      </c>
      <c r="K265" s="137" t="s">
        <v>129</v>
      </c>
      <c r="L265" s="137" t="s">
        <v>129</v>
      </c>
      <c r="M265" s="141"/>
      <c r="N265" s="147"/>
    </row>
    <row r="266" hidden="1" outlineLevel="1">
      <c r="A266" s="394" t="s">
        <v>2815</v>
      </c>
      <c r="B266" s="344">
        <v>46144.0</v>
      </c>
      <c r="C266" s="133" t="str">
        <f t="shared" si="29"/>
        <v>Sat</v>
      </c>
      <c r="D266" s="383">
        <f t="shared" si="30"/>
        <v>1</v>
      </c>
      <c r="E266" s="147" t="s">
        <v>129</v>
      </c>
      <c r="F266" s="137" t="s">
        <v>129</v>
      </c>
      <c r="G266" s="137" t="s">
        <v>129</v>
      </c>
      <c r="H266" s="137" t="s">
        <v>129</v>
      </c>
      <c r="I266" s="137" t="s">
        <v>129</v>
      </c>
      <c r="J266" s="137" t="s">
        <v>129</v>
      </c>
      <c r="K266" s="137" t="s">
        <v>129</v>
      </c>
      <c r="L266" s="137" t="s">
        <v>129</v>
      </c>
      <c r="M266" s="141"/>
      <c r="N266" s="147"/>
    </row>
    <row r="267" hidden="1" outlineLevel="1">
      <c r="A267" s="394" t="s">
        <v>2816</v>
      </c>
      <c r="B267" s="344">
        <v>46145.0</v>
      </c>
      <c r="C267" s="133" t="str">
        <f t="shared" si="29"/>
        <v>Sun</v>
      </c>
      <c r="D267" s="381">
        <f t="shared" si="30"/>
        <v>1</v>
      </c>
      <c r="E267" s="382" t="s">
        <v>129</v>
      </c>
      <c r="F267" s="137" t="s">
        <v>129</v>
      </c>
      <c r="G267" s="137" t="s">
        <v>129</v>
      </c>
      <c r="H267" s="137" t="s">
        <v>129</v>
      </c>
      <c r="I267" s="137" t="s">
        <v>129</v>
      </c>
      <c r="J267" s="137" t="s">
        <v>129</v>
      </c>
      <c r="K267" s="137" t="s">
        <v>129</v>
      </c>
      <c r="L267" s="137" t="s">
        <v>129</v>
      </c>
      <c r="M267" s="141"/>
      <c r="N267" s="143"/>
    </row>
    <row r="268" hidden="1" outlineLevel="1">
      <c r="A268" s="394" t="s">
        <v>2818</v>
      </c>
      <c r="B268" s="344">
        <v>46145.0</v>
      </c>
      <c r="C268" s="133" t="str">
        <f t="shared" si="29"/>
        <v>Sun</v>
      </c>
      <c r="D268" s="383">
        <f t="shared" si="30"/>
        <v>1</v>
      </c>
      <c r="E268" s="147" t="s">
        <v>129</v>
      </c>
      <c r="F268" s="137" t="s">
        <v>129</v>
      </c>
      <c r="G268" s="137" t="s">
        <v>129</v>
      </c>
      <c r="H268" s="137" t="s">
        <v>129</v>
      </c>
      <c r="I268" s="137" t="s">
        <v>129</v>
      </c>
      <c r="J268" s="137" t="s">
        <v>129</v>
      </c>
      <c r="K268" s="137" t="s">
        <v>129</v>
      </c>
      <c r="L268" s="137" t="s">
        <v>129</v>
      </c>
      <c r="M268" s="141"/>
      <c r="N268" s="143"/>
    </row>
    <row r="269" ht="15.0" hidden="1" customHeight="1" outlineLevel="1">
      <c r="A269" s="393" t="s">
        <v>2819</v>
      </c>
      <c r="B269" s="344">
        <v>46145.0</v>
      </c>
      <c r="C269" s="133" t="str">
        <f t="shared" si="29"/>
        <v>Sun</v>
      </c>
      <c r="D269" s="381">
        <f t="shared" si="30"/>
        <v>1</v>
      </c>
      <c r="E269" s="382" t="s">
        <v>129</v>
      </c>
      <c r="F269" s="137" t="s">
        <v>129</v>
      </c>
      <c r="G269" s="137" t="s">
        <v>129</v>
      </c>
      <c r="H269" s="137" t="s">
        <v>129</v>
      </c>
      <c r="I269" s="137" t="s">
        <v>129</v>
      </c>
      <c r="J269" s="137" t="s">
        <v>129</v>
      </c>
      <c r="K269" s="137" t="s">
        <v>129</v>
      </c>
      <c r="L269" s="137" t="s">
        <v>129</v>
      </c>
      <c r="M269" s="141"/>
      <c r="N269" s="147"/>
    </row>
    <row r="270" hidden="1" outlineLevel="1">
      <c r="B270" s="189"/>
      <c r="C270" s="191" t="s">
        <v>194</v>
      </c>
      <c r="D270" s="204">
        <f>AVERAGE(D255:D269)</f>
        <v>1</v>
      </c>
      <c r="E270" s="384"/>
      <c r="L270" s="191" t="s">
        <v>194</v>
      </c>
      <c r="M270" s="204">
        <f>SUM(M255:M269)/75*0.1</f>
        <v>0</v>
      </c>
    </row>
    <row r="271" hidden="1" collapsed="1">
      <c r="A271" s="206" t="s">
        <v>1006</v>
      </c>
      <c r="B271" s="207"/>
      <c r="C271" s="207"/>
      <c r="D271" s="385"/>
      <c r="E271" s="109"/>
      <c r="F271" s="109"/>
      <c r="G271" s="110"/>
      <c r="H271" s="110"/>
      <c r="I271" s="110"/>
      <c r="J271" s="110"/>
      <c r="K271" s="110"/>
      <c r="L271" s="110"/>
      <c r="M271" s="111"/>
      <c r="N271" s="113"/>
    </row>
    <row r="272" hidden="1" outlineLevel="1">
      <c r="A272" s="373" t="s">
        <v>98</v>
      </c>
      <c r="B272" s="115" t="s">
        <v>100</v>
      </c>
      <c r="C272" s="115" t="s">
        <v>102</v>
      </c>
      <c r="D272" s="119" t="s">
        <v>103</v>
      </c>
      <c r="E272" s="275" t="s">
        <v>269</v>
      </c>
      <c r="F272" s="275" t="s">
        <v>272</v>
      </c>
      <c r="G272" s="276" t="s">
        <v>328</v>
      </c>
      <c r="H272" s="121" t="s">
        <v>107</v>
      </c>
      <c r="I272" s="121" t="s">
        <v>108</v>
      </c>
      <c r="J272" s="276" t="s">
        <v>329</v>
      </c>
      <c r="K272" s="121" t="s">
        <v>111</v>
      </c>
      <c r="L272" s="276" t="s">
        <v>274</v>
      </c>
      <c r="M272" s="115" t="s">
        <v>114</v>
      </c>
      <c r="N272" s="119" t="s">
        <v>115</v>
      </c>
    </row>
    <row r="273" hidden="1" outlineLevel="1">
      <c r="A273" s="391" t="s">
        <v>2822</v>
      </c>
      <c r="B273" s="344">
        <v>46146.0</v>
      </c>
      <c r="C273" s="133" t="str">
        <f t="shared" ref="C273:C287" si="31">IF(B273="", "", TEXT(B273, "ddd"))</f>
        <v>Mon</v>
      </c>
      <c r="D273" s="381">
        <f t="shared" ref="D273:D287" si="32">IF(E273="Yes",0.05,0)
+IF(F273="Yes",0.1,0)
+IF(G273="Yes",0.15,0)
+IF(H273="Yes",0.15,0)
+IF(I273="Yes",0.05,0)
+IF(J273="Yes",0.05,0)
+IF(K273="Yes",0.15,0)
+IF(L273="Yes",0.3,0)
</f>
        <v>1</v>
      </c>
      <c r="E273" s="382" t="s">
        <v>129</v>
      </c>
      <c r="F273" s="137" t="s">
        <v>129</v>
      </c>
      <c r="G273" s="137" t="s">
        <v>129</v>
      </c>
      <c r="H273" s="137" t="s">
        <v>129</v>
      </c>
      <c r="I273" s="137" t="s">
        <v>129</v>
      </c>
      <c r="J273" s="137" t="s">
        <v>129</v>
      </c>
      <c r="K273" s="137" t="s">
        <v>129</v>
      </c>
      <c r="L273" s="137" t="s">
        <v>129</v>
      </c>
      <c r="M273" s="141"/>
      <c r="N273" s="143"/>
    </row>
    <row r="274" hidden="1" outlineLevel="1">
      <c r="A274" s="391" t="s">
        <v>2825</v>
      </c>
      <c r="B274" s="344">
        <v>46146.0</v>
      </c>
      <c r="C274" s="133" t="str">
        <f t="shared" si="31"/>
        <v>Mon</v>
      </c>
      <c r="D274" s="383">
        <f t="shared" si="32"/>
        <v>1</v>
      </c>
      <c r="E274" s="147" t="s">
        <v>129</v>
      </c>
      <c r="F274" s="137" t="s">
        <v>129</v>
      </c>
      <c r="G274" s="137" t="s">
        <v>129</v>
      </c>
      <c r="H274" s="137" t="s">
        <v>129</v>
      </c>
      <c r="I274" s="137" t="s">
        <v>129</v>
      </c>
      <c r="J274" s="137" t="s">
        <v>129</v>
      </c>
      <c r="K274" s="137" t="s">
        <v>129</v>
      </c>
      <c r="L274" s="137" t="s">
        <v>129</v>
      </c>
      <c r="M274" s="141"/>
      <c r="N274" s="147"/>
    </row>
    <row r="275" hidden="1" outlineLevel="1">
      <c r="A275" s="390" t="s">
        <v>2827</v>
      </c>
      <c r="B275" s="344">
        <v>46146.0</v>
      </c>
      <c r="C275" s="133" t="str">
        <f t="shared" si="31"/>
        <v>Mon</v>
      </c>
      <c r="D275" s="381">
        <f t="shared" si="32"/>
        <v>1</v>
      </c>
      <c r="E275" s="382" t="s">
        <v>129</v>
      </c>
      <c r="F275" s="137" t="s">
        <v>129</v>
      </c>
      <c r="G275" s="137" t="s">
        <v>129</v>
      </c>
      <c r="H275" s="137" t="s">
        <v>129</v>
      </c>
      <c r="I275" s="137" t="s">
        <v>129</v>
      </c>
      <c r="J275" s="137" t="s">
        <v>129</v>
      </c>
      <c r="K275" s="137" t="s">
        <v>129</v>
      </c>
      <c r="L275" s="137" t="s">
        <v>129</v>
      </c>
      <c r="M275" s="141"/>
      <c r="N275" s="147"/>
    </row>
    <row r="276" hidden="1" outlineLevel="1">
      <c r="A276" s="391" t="s">
        <v>2830</v>
      </c>
      <c r="B276" s="344">
        <v>46148.0</v>
      </c>
      <c r="C276" s="133" t="str">
        <f t="shared" si="31"/>
        <v>Wed</v>
      </c>
      <c r="D276" s="383">
        <f t="shared" si="32"/>
        <v>1</v>
      </c>
      <c r="E276" s="147" t="s">
        <v>129</v>
      </c>
      <c r="F276" s="137" t="s">
        <v>129</v>
      </c>
      <c r="G276" s="137" t="s">
        <v>129</v>
      </c>
      <c r="H276" s="137" t="s">
        <v>129</v>
      </c>
      <c r="I276" s="137" t="s">
        <v>129</v>
      </c>
      <c r="J276" s="137" t="s">
        <v>129</v>
      </c>
      <c r="K276" s="137" t="s">
        <v>129</v>
      </c>
      <c r="L276" s="137" t="s">
        <v>129</v>
      </c>
      <c r="M276" s="141"/>
      <c r="N276" s="143"/>
    </row>
    <row r="277" hidden="1" outlineLevel="1">
      <c r="A277" s="391" t="s">
        <v>2832</v>
      </c>
      <c r="B277" s="344">
        <v>46148.0</v>
      </c>
      <c r="C277" s="133" t="str">
        <f t="shared" si="31"/>
        <v>Wed</v>
      </c>
      <c r="D277" s="381">
        <f t="shared" si="32"/>
        <v>1</v>
      </c>
      <c r="E277" s="382" t="s">
        <v>129</v>
      </c>
      <c r="F277" s="137" t="s">
        <v>129</v>
      </c>
      <c r="G277" s="137" t="s">
        <v>129</v>
      </c>
      <c r="H277" s="137" t="s">
        <v>129</v>
      </c>
      <c r="I277" s="137" t="s">
        <v>129</v>
      </c>
      <c r="J277" s="137" t="s">
        <v>129</v>
      </c>
      <c r="K277" s="137" t="s">
        <v>129</v>
      </c>
      <c r="L277" s="137" t="s">
        <v>129</v>
      </c>
      <c r="M277" s="141"/>
      <c r="N277" s="143"/>
    </row>
    <row r="278" hidden="1" outlineLevel="1">
      <c r="A278" s="390" t="s">
        <v>2833</v>
      </c>
      <c r="B278" s="344">
        <v>46148.0</v>
      </c>
      <c r="C278" s="133" t="str">
        <f t="shared" si="31"/>
        <v>Wed</v>
      </c>
      <c r="D278" s="383">
        <f t="shared" si="32"/>
        <v>1</v>
      </c>
      <c r="E278" s="147" t="s">
        <v>129</v>
      </c>
      <c r="F278" s="137" t="s">
        <v>129</v>
      </c>
      <c r="G278" s="137" t="s">
        <v>129</v>
      </c>
      <c r="H278" s="137" t="s">
        <v>129</v>
      </c>
      <c r="I278" s="137" t="s">
        <v>129</v>
      </c>
      <c r="J278" s="137" t="s">
        <v>129</v>
      </c>
      <c r="K278" s="137" t="s">
        <v>129</v>
      </c>
      <c r="L278" s="137" t="s">
        <v>129</v>
      </c>
      <c r="M278" s="141"/>
      <c r="N278" s="143"/>
    </row>
    <row r="279" hidden="1" outlineLevel="1">
      <c r="A279" s="391" t="s">
        <v>2835</v>
      </c>
      <c r="B279" s="344">
        <v>46149.0</v>
      </c>
      <c r="C279" s="133" t="str">
        <f t="shared" si="31"/>
        <v>Thu</v>
      </c>
      <c r="D279" s="381">
        <f t="shared" si="32"/>
        <v>1</v>
      </c>
      <c r="E279" s="382" t="s">
        <v>129</v>
      </c>
      <c r="F279" s="137" t="s">
        <v>129</v>
      </c>
      <c r="G279" s="137" t="s">
        <v>129</v>
      </c>
      <c r="H279" s="137" t="s">
        <v>129</v>
      </c>
      <c r="I279" s="137" t="s">
        <v>129</v>
      </c>
      <c r="J279" s="137" t="s">
        <v>129</v>
      </c>
      <c r="K279" s="137" t="s">
        <v>129</v>
      </c>
      <c r="L279" s="137" t="s">
        <v>129</v>
      </c>
      <c r="M279" s="141"/>
      <c r="N279" s="143"/>
    </row>
    <row r="280" hidden="1" outlineLevel="1">
      <c r="A280" s="390" t="s">
        <v>2836</v>
      </c>
      <c r="B280" s="344">
        <v>46149.0</v>
      </c>
      <c r="C280" s="133" t="str">
        <f t="shared" si="31"/>
        <v>Thu</v>
      </c>
      <c r="D280" s="383">
        <f t="shared" si="32"/>
        <v>1</v>
      </c>
      <c r="E280" s="147" t="s">
        <v>129</v>
      </c>
      <c r="F280" s="137" t="s">
        <v>129</v>
      </c>
      <c r="G280" s="137" t="s">
        <v>129</v>
      </c>
      <c r="H280" s="137" t="s">
        <v>129</v>
      </c>
      <c r="I280" s="137" t="s">
        <v>129</v>
      </c>
      <c r="J280" s="137" t="s">
        <v>129</v>
      </c>
      <c r="K280" s="137" t="s">
        <v>129</v>
      </c>
      <c r="L280" s="137" t="s">
        <v>129</v>
      </c>
      <c r="M280" s="141"/>
      <c r="N280" s="147"/>
    </row>
    <row r="281" hidden="1" outlineLevel="1">
      <c r="A281" s="391" t="s">
        <v>2839</v>
      </c>
      <c r="B281" s="344">
        <v>46149.0</v>
      </c>
      <c r="C281" s="133" t="str">
        <f t="shared" si="31"/>
        <v>Thu</v>
      </c>
      <c r="D281" s="381">
        <f t="shared" si="32"/>
        <v>1</v>
      </c>
      <c r="E281" s="382" t="s">
        <v>129</v>
      </c>
      <c r="F281" s="137" t="s">
        <v>129</v>
      </c>
      <c r="G281" s="137" t="s">
        <v>129</v>
      </c>
      <c r="H281" s="137" t="s">
        <v>129</v>
      </c>
      <c r="I281" s="137" t="s">
        <v>129</v>
      </c>
      <c r="J281" s="137" t="s">
        <v>129</v>
      </c>
      <c r="K281" s="137" t="s">
        <v>129</v>
      </c>
      <c r="L281" s="137" t="s">
        <v>129</v>
      </c>
      <c r="M281" s="141"/>
      <c r="N281" s="143"/>
    </row>
    <row r="282" hidden="1" outlineLevel="1">
      <c r="A282" s="390" t="s">
        <v>2841</v>
      </c>
      <c r="B282" s="344">
        <v>46150.0</v>
      </c>
      <c r="C282" s="133" t="str">
        <f t="shared" si="31"/>
        <v>Fri</v>
      </c>
      <c r="D282" s="383">
        <f t="shared" si="32"/>
        <v>1</v>
      </c>
      <c r="E282" s="147" t="s">
        <v>129</v>
      </c>
      <c r="F282" s="137" t="s">
        <v>129</v>
      </c>
      <c r="G282" s="137" t="s">
        <v>129</v>
      </c>
      <c r="H282" s="137" t="s">
        <v>129</v>
      </c>
      <c r="I282" s="137" t="s">
        <v>129</v>
      </c>
      <c r="J282" s="137" t="s">
        <v>129</v>
      </c>
      <c r="K282" s="137" t="s">
        <v>129</v>
      </c>
      <c r="L282" s="137" t="s">
        <v>129</v>
      </c>
      <c r="M282" s="141"/>
      <c r="N282" s="147"/>
    </row>
    <row r="283" hidden="1" outlineLevel="1">
      <c r="A283" s="390" t="s">
        <v>2843</v>
      </c>
      <c r="B283" s="344">
        <v>46150.0</v>
      </c>
      <c r="C283" s="133" t="str">
        <f t="shared" si="31"/>
        <v>Fri</v>
      </c>
      <c r="D283" s="381">
        <f t="shared" si="32"/>
        <v>1</v>
      </c>
      <c r="E283" s="382" t="s">
        <v>129</v>
      </c>
      <c r="F283" s="137" t="s">
        <v>129</v>
      </c>
      <c r="G283" s="137" t="s">
        <v>129</v>
      </c>
      <c r="H283" s="137" t="s">
        <v>129</v>
      </c>
      <c r="I283" s="137" t="s">
        <v>129</v>
      </c>
      <c r="J283" s="137" t="s">
        <v>129</v>
      </c>
      <c r="K283" s="137" t="s">
        <v>129</v>
      </c>
      <c r="L283" s="137" t="s">
        <v>129</v>
      </c>
      <c r="M283" s="141"/>
      <c r="N283" s="147"/>
    </row>
    <row r="284" hidden="1" outlineLevel="1">
      <c r="A284" s="391" t="s">
        <v>2845</v>
      </c>
      <c r="B284" s="344">
        <v>46150.0</v>
      </c>
      <c r="C284" s="133" t="str">
        <f t="shared" si="31"/>
        <v>Fri</v>
      </c>
      <c r="D284" s="383">
        <f t="shared" si="32"/>
        <v>1</v>
      </c>
      <c r="E284" s="147" t="s">
        <v>129</v>
      </c>
      <c r="F284" s="137" t="s">
        <v>129</v>
      </c>
      <c r="G284" s="137" t="s">
        <v>129</v>
      </c>
      <c r="H284" s="137" t="s">
        <v>129</v>
      </c>
      <c r="I284" s="137" t="s">
        <v>129</v>
      </c>
      <c r="J284" s="137" t="s">
        <v>129</v>
      </c>
      <c r="K284" s="137" t="s">
        <v>129</v>
      </c>
      <c r="L284" s="137" t="s">
        <v>129</v>
      </c>
      <c r="M284" s="141"/>
      <c r="N284" s="147"/>
    </row>
    <row r="285" hidden="1" outlineLevel="1">
      <c r="A285" s="390" t="s">
        <v>2847</v>
      </c>
      <c r="B285" s="344">
        <v>46151.0</v>
      </c>
      <c r="C285" s="133" t="str">
        <f t="shared" si="31"/>
        <v>Sat</v>
      </c>
      <c r="D285" s="381">
        <f t="shared" si="32"/>
        <v>1</v>
      </c>
      <c r="E285" s="382" t="s">
        <v>129</v>
      </c>
      <c r="F285" s="137" t="s">
        <v>129</v>
      </c>
      <c r="G285" s="137" t="s">
        <v>129</v>
      </c>
      <c r="H285" s="137" t="s">
        <v>129</v>
      </c>
      <c r="I285" s="137" t="s">
        <v>129</v>
      </c>
      <c r="J285" s="137" t="s">
        <v>129</v>
      </c>
      <c r="K285" s="137" t="s">
        <v>129</v>
      </c>
      <c r="L285" s="137" t="s">
        <v>129</v>
      </c>
      <c r="M285" s="141"/>
      <c r="N285" s="143"/>
    </row>
    <row r="286" hidden="1" outlineLevel="1">
      <c r="A286" s="390" t="s">
        <v>2849</v>
      </c>
      <c r="B286" s="344">
        <v>46151.0</v>
      </c>
      <c r="C286" s="133" t="str">
        <f t="shared" si="31"/>
        <v>Sat</v>
      </c>
      <c r="D286" s="383">
        <f t="shared" si="32"/>
        <v>1</v>
      </c>
      <c r="E286" s="147" t="s">
        <v>129</v>
      </c>
      <c r="F286" s="137" t="s">
        <v>129</v>
      </c>
      <c r="G286" s="137" t="s">
        <v>129</v>
      </c>
      <c r="H286" s="137" t="s">
        <v>129</v>
      </c>
      <c r="I286" s="137" t="s">
        <v>129</v>
      </c>
      <c r="J286" s="137" t="s">
        <v>129</v>
      </c>
      <c r="K286" s="137" t="s">
        <v>129</v>
      </c>
      <c r="L286" s="137" t="s">
        <v>129</v>
      </c>
      <c r="M286" s="141"/>
      <c r="N286" s="143"/>
    </row>
    <row r="287" ht="15.0" hidden="1" customHeight="1" outlineLevel="1">
      <c r="A287" s="391" t="s">
        <v>2851</v>
      </c>
      <c r="B287" s="344">
        <v>46151.0</v>
      </c>
      <c r="C287" s="133" t="str">
        <f t="shared" si="31"/>
        <v>Sat</v>
      </c>
      <c r="D287" s="381">
        <f t="shared" si="32"/>
        <v>1</v>
      </c>
      <c r="E287" s="382" t="s">
        <v>129</v>
      </c>
      <c r="F287" s="137" t="s">
        <v>129</v>
      </c>
      <c r="G287" s="137" t="s">
        <v>129</v>
      </c>
      <c r="H287" s="137" t="s">
        <v>129</v>
      </c>
      <c r="I287" s="137" t="s">
        <v>129</v>
      </c>
      <c r="J287" s="137" t="s">
        <v>129</v>
      </c>
      <c r="K287" s="137" t="s">
        <v>129</v>
      </c>
      <c r="L287" s="137" t="s">
        <v>129</v>
      </c>
      <c r="M287" s="141"/>
      <c r="N287" s="147"/>
    </row>
    <row r="288" hidden="1" outlineLevel="1">
      <c r="B288" s="189"/>
      <c r="C288" s="191" t="s">
        <v>194</v>
      </c>
      <c r="D288" s="204">
        <f>AVERAGE(D273:D287)</f>
        <v>1</v>
      </c>
      <c r="E288" s="384"/>
      <c r="L288" s="191" t="s">
        <v>194</v>
      </c>
      <c r="M288" s="204">
        <f>SUM(M273:M287)/75*0.1</f>
        <v>0</v>
      </c>
    </row>
    <row r="289" hidden="1" collapsed="1">
      <c r="A289" s="206" t="s">
        <v>1036</v>
      </c>
      <c r="B289" s="207"/>
      <c r="C289" s="207"/>
      <c r="D289" s="385"/>
      <c r="E289" s="109"/>
      <c r="F289" s="109"/>
      <c r="G289" s="110"/>
      <c r="H289" s="110"/>
      <c r="I289" s="110"/>
      <c r="J289" s="110"/>
      <c r="K289" s="110"/>
      <c r="L289" s="110"/>
      <c r="M289" s="111"/>
      <c r="N289" s="113"/>
    </row>
    <row r="290" hidden="1" outlineLevel="1">
      <c r="A290" s="373" t="s">
        <v>98</v>
      </c>
      <c r="B290" s="115" t="s">
        <v>100</v>
      </c>
      <c r="C290" s="115" t="s">
        <v>102</v>
      </c>
      <c r="D290" s="119" t="s">
        <v>103</v>
      </c>
      <c r="E290" s="275" t="s">
        <v>269</v>
      </c>
      <c r="F290" s="275" t="s">
        <v>272</v>
      </c>
      <c r="G290" s="276" t="s">
        <v>328</v>
      </c>
      <c r="H290" s="121" t="s">
        <v>107</v>
      </c>
      <c r="I290" s="121" t="s">
        <v>108</v>
      </c>
      <c r="J290" s="276" t="s">
        <v>329</v>
      </c>
      <c r="K290" s="121" t="s">
        <v>111</v>
      </c>
      <c r="L290" s="276" t="s">
        <v>274</v>
      </c>
      <c r="M290" s="115" t="s">
        <v>114</v>
      </c>
      <c r="N290" s="119" t="s">
        <v>115</v>
      </c>
    </row>
    <row r="291" hidden="1" outlineLevel="1">
      <c r="A291" s="391" t="s">
        <v>2856</v>
      </c>
      <c r="B291" s="344">
        <v>46153.0</v>
      </c>
      <c r="C291" s="133" t="str">
        <f t="shared" ref="C291:C305" si="33">IF(B291="", "", TEXT(B291, "ddd"))</f>
        <v>Mon</v>
      </c>
      <c r="D291" s="381">
        <f t="shared" ref="D291:D305" si="34">IF(E291="Yes",0.05,0)
+IF(F291="Yes",0.1,0)
+IF(G291="Yes",0.15,0)
+IF(H291="Yes",0.15,0)
+IF(I291="Yes",0.05,0)
+IF(J291="Yes",0.05,0)
+IF(K291="Yes",0.15,0)
+IF(L291="Yes",0.3,0)
</f>
        <v>1</v>
      </c>
      <c r="E291" s="382" t="s">
        <v>129</v>
      </c>
      <c r="F291" s="137" t="s">
        <v>129</v>
      </c>
      <c r="G291" s="137" t="s">
        <v>129</v>
      </c>
      <c r="H291" s="137" t="s">
        <v>129</v>
      </c>
      <c r="I291" s="137" t="s">
        <v>129</v>
      </c>
      <c r="J291" s="137" t="s">
        <v>129</v>
      </c>
      <c r="K291" s="137" t="s">
        <v>129</v>
      </c>
      <c r="L291" s="137" t="s">
        <v>129</v>
      </c>
      <c r="M291" s="141"/>
      <c r="N291" s="143"/>
    </row>
    <row r="292" hidden="1" outlineLevel="1">
      <c r="A292" s="391" t="s">
        <v>2861</v>
      </c>
      <c r="B292" s="344">
        <v>46153.0</v>
      </c>
      <c r="C292" s="133" t="str">
        <f t="shared" si="33"/>
        <v>Mon</v>
      </c>
      <c r="D292" s="383">
        <f t="shared" si="34"/>
        <v>1</v>
      </c>
      <c r="E292" s="147" t="s">
        <v>129</v>
      </c>
      <c r="F292" s="137" t="s">
        <v>129</v>
      </c>
      <c r="G292" s="137" t="s">
        <v>129</v>
      </c>
      <c r="H292" s="137" t="s">
        <v>129</v>
      </c>
      <c r="I292" s="137" t="s">
        <v>129</v>
      </c>
      <c r="J292" s="137" t="s">
        <v>129</v>
      </c>
      <c r="K292" s="137" t="s">
        <v>129</v>
      </c>
      <c r="L292" s="137" t="s">
        <v>129</v>
      </c>
      <c r="M292" s="141"/>
      <c r="N292" s="147"/>
    </row>
    <row r="293" hidden="1" outlineLevel="1">
      <c r="A293" s="390" t="s">
        <v>2864</v>
      </c>
      <c r="B293" s="344">
        <v>46153.0</v>
      </c>
      <c r="C293" s="133" t="str">
        <f t="shared" si="33"/>
        <v>Mon</v>
      </c>
      <c r="D293" s="381">
        <f t="shared" si="34"/>
        <v>1</v>
      </c>
      <c r="E293" s="382" t="s">
        <v>129</v>
      </c>
      <c r="F293" s="137" t="s">
        <v>129</v>
      </c>
      <c r="G293" s="137" t="s">
        <v>129</v>
      </c>
      <c r="H293" s="137" t="s">
        <v>129</v>
      </c>
      <c r="I293" s="137" t="s">
        <v>129</v>
      </c>
      <c r="J293" s="137" t="s">
        <v>129</v>
      </c>
      <c r="K293" s="137" t="s">
        <v>129</v>
      </c>
      <c r="L293" s="137" t="s">
        <v>129</v>
      </c>
      <c r="M293" s="141"/>
      <c r="N293" s="147"/>
    </row>
    <row r="294" hidden="1" outlineLevel="1">
      <c r="A294" s="390" t="s">
        <v>2865</v>
      </c>
      <c r="B294" s="344">
        <v>46154.0</v>
      </c>
      <c r="C294" s="133" t="str">
        <f t="shared" si="33"/>
        <v>Tue</v>
      </c>
      <c r="D294" s="383">
        <f t="shared" si="34"/>
        <v>1</v>
      </c>
      <c r="E294" s="147" t="s">
        <v>129</v>
      </c>
      <c r="F294" s="137" t="s">
        <v>129</v>
      </c>
      <c r="G294" s="137" t="s">
        <v>129</v>
      </c>
      <c r="H294" s="137" t="s">
        <v>129</v>
      </c>
      <c r="I294" s="137" t="s">
        <v>129</v>
      </c>
      <c r="J294" s="137" t="s">
        <v>129</v>
      </c>
      <c r="K294" s="137" t="s">
        <v>129</v>
      </c>
      <c r="L294" s="137" t="s">
        <v>129</v>
      </c>
      <c r="M294" s="141"/>
      <c r="N294" s="143"/>
    </row>
    <row r="295" hidden="1" outlineLevel="1">
      <c r="A295" s="390" t="s">
        <v>2867</v>
      </c>
      <c r="B295" s="344">
        <v>46154.0</v>
      </c>
      <c r="C295" s="133" t="str">
        <f t="shared" si="33"/>
        <v>Tue</v>
      </c>
      <c r="D295" s="381">
        <f t="shared" si="34"/>
        <v>1</v>
      </c>
      <c r="E295" s="382" t="s">
        <v>129</v>
      </c>
      <c r="F295" s="137" t="s">
        <v>129</v>
      </c>
      <c r="G295" s="137" t="s">
        <v>129</v>
      </c>
      <c r="H295" s="137" t="s">
        <v>129</v>
      </c>
      <c r="I295" s="137" t="s">
        <v>129</v>
      </c>
      <c r="J295" s="137" t="s">
        <v>129</v>
      </c>
      <c r="K295" s="137" t="s">
        <v>129</v>
      </c>
      <c r="L295" s="137" t="s">
        <v>129</v>
      </c>
      <c r="M295" s="141"/>
      <c r="N295" s="143"/>
    </row>
    <row r="296" hidden="1" outlineLevel="1">
      <c r="A296" s="390" t="s">
        <v>2869</v>
      </c>
      <c r="B296" s="344">
        <v>46154.0</v>
      </c>
      <c r="C296" s="133" t="str">
        <f t="shared" si="33"/>
        <v>Tue</v>
      </c>
      <c r="D296" s="383">
        <f t="shared" si="34"/>
        <v>1</v>
      </c>
      <c r="E296" s="147" t="s">
        <v>129</v>
      </c>
      <c r="F296" s="137" t="s">
        <v>129</v>
      </c>
      <c r="G296" s="137" t="s">
        <v>129</v>
      </c>
      <c r="H296" s="137" t="s">
        <v>129</v>
      </c>
      <c r="I296" s="137" t="s">
        <v>129</v>
      </c>
      <c r="J296" s="137" t="s">
        <v>129</v>
      </c>
      <c r="K296" s="137" t="s">
        <v>129</v>
      </c>
      <c r="L296" s="137" t="s">
        <v>129</v>
      </c>
      <c r="M296" s="141"/>
      <c r="N296" s="143"/>
    </row>
    <row r="297" hidden="1" outlineLevel="1">
      <c r="A297" s="390" t="s">
        <v>2871</v>
      </c>
      <c r="B297" s="344">
        <v>46155.0</v>
      </c>
      <c r="C297" s="133" t="str">
        <f t="shared" si="33"/>
        <v>Wed</v>
      </c>
      <c r="D297" s="381">
        <f t="shared" si="34"/>
        <v>1</v>
      </c>
      <c r="E297" s="382" t="s">
        <v>129</v>
      </c>
      <c r="F297" s="137" t="s">
        <v>129</v>
      </c>
      <c r="G297" s="137" t="s">
        <v>129</v>
      </c>
      <c r="H297" s="137" t="s">
        <v>129</v>
      </c>
      <c r="I297" s="137" t="s">
        <v>129</v>
      </c>
      <c r="J297" s="137" t="s">
        <v>129</v>
      </c>
      <c r="K297" s="137" t="s">
        <v>129</v>
      </c>
      <c r="L297" s="137" t="s">
        <v>129</v>
      </c>
      <c r="M297" s="141"/>
      <c r="N297" s="143"/>
    </row>
    <row r="298" hidden="1" outlineLevel="1">
      <c r="A298" s="390" t="s">
        <v>2873</v>
      </c>
      <c r="B298" s="344">
        <v>46155.0</v>
      </c>
      <c r="C298" s="133" t="str">
        <f t="shared" si="33"/>
        <v>Wed</v>
      </c>
      <c r="D298" s="383">
        <f t="shared" si="34"/>
        <v>1</v>
      </c>
      <c r="E298" s="147" t="s">
        <v>129</v>
      </c>
      <c r="F298" s="137" t="s">
        <v>129</v>
      </c>
      <c r="G298" s="137" t="s">
        <v>129</v>
      </c>
      <c r="H298" s="137" t="s">
        <v>129</v>
      </c>
      <c r="I298" s="137" t="s">
        <v>129</v>
      </c>
      <c r="J298" s="137" t="s">
        <v>129</v>
      </c>
      <c r="K298" s="137" t="s">
        <v>129</v>
      </c>
      <c r="L298" s="137" t="s">
        <v>129</v>
      </c>
      <c r="M298" s="141"/>
      <c r="N298" s="147"/>
    </row>
    <row r="299" hidden="1" outlineLevel="1">
      <c r="A299" s="391" t="s">
        <v>2876</v>
      </c>
      <c r="B299" s="344">
        <v>46155.0</v>
      </c>
      <c r="C299" s="133" t="str">
        <f t="shared" si="33"/>
        <v>Wed</v>
      </c>
      <c r="D299" s="381">
        <f t="shared" si="34"/>
        <v>1</v>
      </c>
      <c r="E299" s="382" t="s">
        <v>129</v>
      </c>
      <c r="F299" s="137" t="s">
        <v>129</v>
      </c>
      <c r="G299" s="137" t="s">
        <v>129</v>
      </c>
      <c r="H299" s="137" t="s">
        <v>129</v>
      </c>
      <c r="I299" s="137" t="s">
        <v>129</v>
      </c>
      <c r="J299" s="137" t="s">
        <v>129</v>
      </c>
      <c r="K299" s="137" t="s">
        <v>129</v>
      </c>
      <c r="L299" s="137" t="s">
        <v>129</v>
      </c>
      <c r="M299" s="141"/>
      <c r="N299" s="143"/>
    </row>
    <row r="300" hidden="1" outlineLevel="1">
      <c r="A300" s="391" t="s">
        <v>2879</v>
      </c>
      <c r="B300" s="344">
        <v>46156.0</v>
      </c>
      <c r="C300" s="133" t="str">
        <f t="shared" si="33"/>
        <v>Thu</v>
      </c>
      <c r="D300" s="383">
        <f t="shared" si="34"/>
        <v>1</v>
      </c>
      <c r="E300" s="147" t="s">
        <v>129</v>
      </c>
      <c r="F300" s="137" t="s">
        <v>129</v>
      </c>
      <c r="G300" s="137" t="s">
        <v>129</v>
      </c>
      <c r="H300" s="137" t="s">
        <v>129</v>
      </c>
      <c r="I300" s="137" t="s">
        <v>129</v>
      </c>
      <c r="J300" s="137" t="s">
        <v>129</v>
      </c>
      <c r="K300" s="137" t="s">
        <v>129</v>
      </c>
      <c r="L300" s="137" t="s">
        <v>129</v>
      </c>
      <c r="M300" s="141"/>
      <c r="N300" s="147"/>
    </row>
    <row r="301" hidden="1" outlineLevel="1">
      <c r="A301" s="391" t="s">
        <v>2882</v>
      </c>
      <c r="B301" s="344">
        <v>46156.0</v>
      </c>
      <c r="C301" s="133" t="str">
        <f t="shared" si="33"/>
        <v>Thu</v>
      </c>
      <c r="D301" s="381">
        <f t="shared" si="34"/>
        <v>1</v>
      </c>
      <c r="E301" s="382" t="s">
        <v>129</v>
      </c>
      <c r="F301" s="137" t="s">
        <v>129</v>
      </c>
      <c r="G301" s="137" t="s">
        <v>129</v>
      </c>
      <c r="H301" s="137" t="s">
        <v>129</v>
      </c>
      <c r="I301" s="137" t="s">
        <v>129</v>
      </c>
      <c r="J301" s="137" t="s">
        <v>129</v>
      </c>
      <c r="K301" s="137" t="s">
        <v>129</v>
      </c>
      <c r="L301" s="137" t="s">
        <v>129</v>
      </c>
      <c r="M301" s="141"/>
      <c r="N301" s="147"/>
    </row>
    <row r="302" hidden="1" outlineLevel="1">
      <c r="A302" s="390" t="s">
        <v>2884</v>
      </c>
      <c r="B302" s="344">
        <v>46156.0</v>
      </c>
      <c r="C302" s="133" t="str">
        <f t="shared" si="33"/>
        <v>Thu</v>
      </c>
      <c r="D302" s="383">
        <f t="shared" si="34"/>
        <v>1</v>
      </c>
      <c r="E302" s="147" t="s">
        <v>129</v>
      </c>
      <c r="F302" s="137" t="s">
        <v>129</v>
      </c>
      <c r="G302" s="137" t="s">
        <v>129</v>
      </c>
      <c r="H302" s="137" t="s">
        <v>129</v>
      </c>
      <c r="I302" s="137" t="s">
        <v>129</v>
      </c>
      <c r="J302" s="137" t="s">
        <v>129</v>
      </c>
      <c r="K302" s="137" t="s">
        <v>129</v>
      </c>
      <c r="L302" s="137" t="s">
        <v>129</v>
      </c>
      <c r="M302" s="141"/>
      <c r="N302" s="147"/>
    </row>
    <row r="303" hidden="1" outlineLevel="1">
      <c r="A303" s="391" t="s">
        <v>2887</v>
      </c>
      <c r="B303" s="344">
        <v>46157.0</v>
      </c>
      <c r="C303" s="133" t="str">
        <f t="shared" si="33"/>
        <v>Fri</v>
      </c>
      <c r="D303" s="381">
        <f t="shared" si="34"/>
        <v>1</v>
      </c>
      <c r="E303" s="382" t="s">
        <v>129</v>
      </c>
      <c r="F303" s="137" t="s">
        <v>129</v>
      </c>
      <c r="G303" s="137" t="s">
        <v>129</v>
      </c>
      <c r="H303" s="137" t="s">
        <v>129</v>
      </c>
      <c r="I303" s="137" t="s">
        <v>129</v>
      </c>
      <c r="J303" s="137" t="s">
        <v>129</v>
      </c>
      <c r="K303" s="137" t="s">
        <v>129</v>
      </c>
      <c r="L303" s="137" t="s">
        <v>129</v>
      </c>
      <c r="M303" s="141"/>
      <c r="N303" s="143"/>
    </row>
    <row r="304" hidden="1" outlineLevel="1">
      <c r="A304" s="391" t="s">
        <v>2889</v>
      </c>
      <c r="B304" s="344">
        <v>46157.0</v>
      </c>
      <c r="C304" s="133" t="str">
        <f t="shared" si="33"/>
        <v>Fri</v>
      </c>
      <c r="D304" s="383">
        <f t="shared" si="34"/>
        <v>1</v>
      </c>
      <c r="E304" s="147" t="s">
        <v>129</v>
      </c>
      <c r="F304" s="137" t="s">
        <v>129</v>
      </c>
      <c r="G304" s="137" t="s">
        <v>129</v>
      </c>
      <c r="H304" s="137" t="s">
        <v>129</v>
      </c>
      <c r="I304" s="137" t="s">
        <v>129</v>
      </c>
      <c r="J304" s="137" t="s">
        <v>129</v>
      </c>
      <c r="K304" s="137" t="s">
        <v>129</v>
      </c>
      <c r="L304" s="137" t="s">
        <v>129</v>
      </c>
      <c r="M304" s="141"/>
      <c r="N304" s="143"/>
    </row>
    <row r="305" ht="15.0" hidden="1" customHeight="1" outlineLevel="1">
      <c r="A305" s="390" t="s">
        <v>2892</v>
      </c>
      <c r="B305" s="344">
        <v>46157.0</v>
      </c>
      <c r="C305" s="133" t="str">
        <f t="shared" si="33"/>
        <v>Fri</v>
      </c>
      <c r="D305" s="381">
        <f t="shared" si="34"/>
        <v>1</v>
      </c>
      <c r="E305" s="382" t="s">
        <v>129</v>
      </c>
      <c r="F305" s="137" t="s">
        <v>129</v>
      </c>
      <c r="G305" s="137" t="s">
        <v>129</v>
      </c>
      <c r="H305" s="137" t="s">
        <v>129</v>
      </c>
      <c r="I305" s="137" t="s">
        <v>129</v>
      </c>
      <c r="J305" s="137" t="s">
        <v>129</v>
      </c>
      <c r="K305" s="137" t="s">
        <v>129</v>
      </c>
      <c r="L305" s="137" t="s">
        <v>129</v>
      </c>
      <c r="M305" s="141"/>
      <c r="N305" s="147"/>
    </row>
    <row r="306" hidden="1" outlineLevel="1">
      <c r="B306" s="189"/>
      <c r="C306" s="191" t="s">
        <v>194</v>
      </c>
      <c r="D306" s="204">
        <f>AVERAGE(D291:D305)</f>
        <v>1</v>
      </c>
      <c r="E306" s="384"/>
      <c r="L306" s="191" t="s">
        <v>194</v>
      </c>
      <c r="M306" s="204">
        <f>SUM(M291:M305)/75*0.1</f>
        <v>0</v>
      </c>
    </row>
    <row r="307" hidden="1" collapsed="1">
      <c r="A307" s="206" t="s">
        <v>1057</v>
      </c>
      <c r="B307" s="207"/>
      <c r="C307" s="207"/>
      <c r="D307" s="385"/>
      <c r="E307" s="109"/>
      <c r="F307" s="109"/>
      <c r="G307" s="110"/>
      <c r="H307" s="110"/>
      <c r="I307" s="110"/>
      <c r="J307" s="110"/>
      <c r="K307" s="110"/>
      <c r="L307" s="110"/>
      <c r="M307" s="111"/>
      <c r="N307" s="113"/>
    </row>
    <row r="308" hidden="1" outlineLevel="1">
      <c r="A308" s="373" t="s">
        <v>98</v>
      </c>
      <c r="B308" s="115" t="s">
        <v>100</v>
      </c>
      <c r="C308" s="115" t="s">
        <v>102</v>
      </c>
      <c r="D308" s="119" t="s">
        <v>103</v>
      </c>
      <c r="E308" s="275" t="s">
        <v>269</v>
      </c>
      <c r="F308" s="275" t="s">
        <v>272</v>
      </c>
      <c r="G308" s="276" t="s">
        <v>328</v>
      </c>
      <c r="H308" s="121" t="s">
        <v>107</v>
      </c>
      <c r="I308" s="121" t="s">
        <v>108</v>
      </c>
      <c r="J308" s="276" t="s">
        <v>329</v>
      </c>
      <c r="K308" s="121" t="s">
        <v>111</v>
      </c>
      <c r="L308" s="276" t="s">
        <v>274</v>
      </c>
      <c r="M308" s="115" t="s">
        <v>114</v>
      </c>
      <c r="N308" s="119" t="s">
        <v>115</v>
      </c>
    </row>
    <row r="309" hidden="1" outlineLevel="1">
      <c r="A309" s="391" t="s">
        <v>2899</v>
      </c>
      <c r="B309" s="344">
        <v>46160.0</v>
      </c>
      <c r="C309" s="133" t="str">
        <f t="shared" ref="C309:C323" si="35">IF(B309="", "", TEXT(B309, "ddd"))</f>
        <v>Mon</v>
      </c>
      <c r="D309" s="381">
        <f t="shared" ref="D309:D323" si="36">IF(E309="Yes",0.05,0)
+IF(F309="Yes",0.1,0)
+IF(G309="Yes",0.15,0)
+IF(H309="Yes",0.15,0)
+IF(I309="Yes",0.05,0)
+IF(J309="Yes",0.05,0)
+IF(K309="Yes",0.15,0)
+IF(L309="Yes",0.3,0)
</f>
        <v>1</v>
      </c>
      <c r="E309" s="382" t="s">
        <v>129</v>
      </c>
      <c r="F309" s="137" t="s">
        <v>129</v>
      </c>
      <c r="G309" s="137" t="s">
        <v>129</v>
      </c>
      <c r="H309" s="137" t="s">
        <v>129</v>
      </c>
      <c r="I309" s="137" t="s">
        <v>129</v>
      </c>
      <c r="J309" s="137" t="s">
        <v>129</v>
      </c>
      <c r="K309" s="137" t="s">
        <v>129</v>
      </c>
      <c r="L309" s="137" t="s">
        <v>129</v>
      </c>
      <c r="M309" s="141"/>
      <c r="N309" s="143"/>
    </row>
    <row r="310" hidden="1" outlineLevel="1">
      <c r="A310" s="390" t="s">
        <v>2903</v>
      </c>
      <c r="B310" s="344">
        <v>46160.0</v>
      </c>
      <c r="C310" s="133" t="str">
        <f t="shared" si="35"/>
        <v>Mon</v>
      </c>
      <c r="D310" s="383">
        <f t="shared" si="36"/>
        <v>1</v>
      </c>
      <c r="E310" s="147" t="s">
        <v>129</v>
      </c>
      <c r="F310" s="137" t="s">
        <v>129</v>
      </c>
      <c r="G310" s="137" t="s">
        <v>129</v>
      </c>
      <c r="H310" s="137" t="s">
        <v>129</v>
      </c>
      <c r="I310" s="137" t="s">
        <v>129</v>
      </c>
      <c r="J310" s="137" t="s">
        <v>129</v>
      </c>
      <c r="K310" s="137" t="s">
        <v>129</v>
      </c>
      <c r="L310" s="137" t="s">
        <v>129</v>
      </c>
      <c r="M310" s="141"/>
      <c r="N310" s="147"/>
    </row>
    <row r="311" hidden="1" outlineLevel="1">
      <c r="A311" s="391" t="s">
        <v>2905</v>
      </c>
      <c r="B311" s="344">
        <v>46160.0</v>
      </c>
      <c r="C311" s="133" t="str">
        <f t="shared" si="35"/>
        <v>Mon</v>
      </c>
      <c r="D311" s="381">
        <f t="shared" si="36"/>
        <v>1</v>
      </c>
      <c r="E311" s="382" t="s">
        <v>129</v>
      </c>
      <c r="F311" s="137" t="s">
        <v>129</v>
      </c>
      <c r="G311" s="137" t="s">
        <v>129</v>
      </c>
      <c r="H311" s="137" t="s">
        <v>129</v>
      </c>
      <c r="I311" s="137" t="s">
        <v>129</v>
      </c>
      <c r="J311" s="137" t="s">
        <v>129</v>
      </c>
      <c r="K311" s="137" t="s">
        <v>129</v>
      </c>
      <c r="L311" s="137" t="s">
        <v>129</v>
      </c>
      <c r="M311" s="141"/>
      <c r="N311" s="147"/>
    </row>
    <row r="312" hidden="1" outlineLevel="1">
      <c r="A312" s="390" t="s">
        <v>2906</v>
      </c>
      <c r="B312" s="344">
        <v>46161.0</v>
      </c>
      <c r="C312" s="133" t="str">
        <f t="shared" si="35"/>
        <v>Tue</v>
      </c>
      <c r="D312" s="383">
        <f t="shared" si="36"/>
        <v>1</v>
      </c>
      <c r="E312" s="147" t="s">
        <v>129</v>
      </c>
      <c r="F312" s="137" t="s">
        <v>129</v>
      </c>
      <c r="G312" s="137" t="s">
        <v>129</v>
      </c>
      <c r="H312" s="137" t="s">
        <v>129</v>
      </c>
      <c r="I312" s="137" t="s">
        <v>129</v>
      </c>
      <c r="J312" s="137" t="s">
        <v>129</v>
      </c>
      <c r="K312" s="137" t="s">
        <v>129</v>
      </c>
      <c r="L312" s="137" t="s">
        <v>129</v>
      </c>
      <c r="M312" s="141"/>
      <c r="N312" s="143"/>
    </row>
    <row r="313" hidden="1" outlineLevel="1">
      <c r="A313" s="391" t="s">
        <v>2908</v>
      </c>
      <c r="B313" s="344">
        <v>46161.0</v>
      </c>
      <c r="C313" s="133" t="str">
        <f t="shared" si="35"/>
        <v>Tue</v>
      </c>
      <c r="D313" s="381">
        <f t="shared" si="36"/>
        <v>1</v>
      </c>
      <c r="E313" s="382" t="s">
        <v>129</v>
      </c>
      <c r="F313" s="137" t="s">
        <v>129</v>
      </c>
      <c r="G313" s="137" t="s">
        <v>129</v>
      </c>
      <c r="H313" s="137" t="s">
        <v>129</v>
      </c>
      <c r="I313" s="137" t="s">
        <v>129</v>
      </c>
      <c r="J313" s="137" t="s">
        <v>129</v>
      </c>
      <c r="K313" s="137" t="s">
        <v>129</v>
      </c>
      <c r="L313" s="137" t="s">
        <v>129</v>
      </c>
      <c r="M313" s="141"/>
      <c r="N313" s="143"/>
    </row>
    <row r="314" hidden="1" outlineLevel="1">
      <c r="A314" s="390" t="s">
        <v>2910</v>
      </c>
      <c r="B314" s="344">
        <v>46161.0</v>
      </c>
      <c r="C314" s="133" t="str">
        <f t="shared" si="35"/>
        <v>Tue</v>
      </c>
      <c r="D314" s="383">
        <f t="shared" si="36"/>
        <v>1</v>
      </c>
      <c r="E314" s="147" t="s">
        <v>129</v>
      </c>
      <c r="F314" s="137" t="s">
        <v>129</v>
      </c>
      <c r="G314" s="137" t="s">
        <v>129</v>
      </c>
      <c r="H314" s="137" t="s">
        <v>129</v>
      </c>
      <c r="I314" s="137" t="s">
        <v>129</v>
      </c>
      <c r="J314" s="137" t="s">
        <v>129</v>
      </c>
      <c r="K314" s="137" t="s">
        <v>129</v>
      </c>
      <c r="L314" s="137" t="s">
        <v>129</v>
      </c>
      <c r="M314" s="141"/>
      <c r="N314" s="143"/>
    </row>
    <row r="315" hidden="1" outlineLevel="1">
      <c r="A315" s="255" t="s">
        <v>2912</v>
      </c>
      <c r="B315" s="344">
        <v>46162.0</v>
      </c>
      <c r="C315" s="133" t="str">
        <f t="shared" si="35"/>
        <v>Wed</v>
      </c>
      <c r="D315" s="381">
        <f t="shared" si="36"/>
        <v>1</v>
      </c>
      <c r="E315" s="382" t="s">
        <v>129</v>
      </c>
      <c r="F315" s="137" t="s">
        <v>129</v>
      </c>
      <c r="G315" s="137" t="s">
        <v>129</v>
      </c>
      <c r="H315" s="137" t="s">
        <v>129</v>
      </c>
      <c r="I315" s="137" t="s">
        <v>129</v>
      </c>
      <c r="J315" s="137" t="s">
        <v>129</v>
      </c>
      <c r="K315" s="137" t="s">
        <v>129</v>
      </c>
      <c r="L315" s="137" t="s">
        <v>129</v>
      </c>
      <c r="M315" s="141"/>
      <c r="N315" s="143"/>
    </row>
    <row r="316" hidden="1" outlineLevel="1">
      <c r="A316" s="255" t="s">
        <v>2913</v>
      </c>
      <c r="B316" s="344">
        <v>46162.0</v>
      </c>
      <c r="C316" s="133" t="str">
        <f t="shared" si="35"/>
        <v>Wed</v>
      </c>
      <c r="D316" s="383">
        <f t="shared" si="36"/>
        <v>1</v>
      </c>
      <c r="E316" s="147" t="s">
        <v>129</v>
      </c>
      <c r="F316" s="137" t="s">
        <v>129</v>
      </c>
      <c r="G316" s="137" t="s">
        <v>129</v>
      </c>
      <c r="H316" s="137" t="s">
        <v>129</v>
      </c>
      <c r="I316" s="137" t="s">
        <v>129</v>
      </c>
      <c r="J316" s="137" t="s">
        <v>129</v>
      </c>
      <c r="K316" s="137" t="s">
        <v>129</v>
      </c>
      <c r="L316" s="137" t="s">
        <v>129</v>
      </c>
      <c r="M316" s="141"/>
      <c r="N316" s="147"/>
    </row>
    <row r="317" hidden="1" outlineLevel="1">
      <c r="A317" s="255" t="s">
        <v>2915</v>
      </c>
      <c r="B317" s="344">
        <v>46162.0</v>
      </c>
      <c r="C317" s="133" t="str">
        <f t="shared" si="35"/>
        <v>Wed</v>
      </c>
      <c r="D317" s="381">
        <f t="shared" si="36"/>
        <v>1</v>
      </c>
      <c r="E317" s="382" t="s">
        <v>129</v>
      </c>
      <c r="F317" s="137" t="s">
        <v>129</v>
      </c>
      <c r="G317" s="137" t="s">
        <v>129</v>
      </c>
      <c r="H317" s="137" t="s">
        <v>129</v>
      </c>
      <c r="I317" s="137" t="s">
        <v>129</v>
      </c>
      <c r="J317" s="137" t="s">
        <v>129</v>
      </c>
      <c r="K317" s="137" t="s">
        <v>129</v>
      </c>
      <c r="L317" s="137" t="s">
        <v>129</v>
      </c>
      <c r="M317" s="141"/>
      <c r="N317" s="143"/>
    </row>
    <row r="318" hidden="1" outlineLevel="1">
      <c r="A318" s="255" t="s">
        <v>2917</v>
      </c>
      <c r="B318" s="344">
        <v>46163.0</v>
      </c>
      <c r="C318" s="133" t="str">
        <f t="shared" si="35"/>
        <v>Thu</v>
      </c>
      <c r="D318" s="383">
        <f t="shared" si="36"/>
        <v>1</v>
      </c>
      <c r="E318" s="147" t="s">
        <v>129</v>
      </c>
      <c r="F318" s="137" t="s">
        <v>129</v>
      </c>
      <c r="G318" s="137" t="s">
        <v>129</v>
      </c>
      <c r="H318" s="137" t="s">
        <v>129</v>
      </c>
      <c r="I318" s="137" t="s">
        <v>129</v>
      </c>
      <c r="J318" s="137" t="s">
        <v>129</v>
      </c>
      <c r="K318" s="137" t="s">
        <v>129</v>
      </c>
      <c r="L318" s="137" t="s">
        <v>129</v>
      </c>
      <c r="M318" s="141"/>
      <c r="N318" s="147"/>
    </row>
    <row r="319" hidden="1" outlineLevel="1">
      <c r="A319" s="255" t="s">
        <v>2919</v>
      </c>
      <c r="B319" s="344">
        <v>46163.0</v>
      </c>
      <c r="C319" s="133" t="str">
        <f t="shared" si="35"/>
        <v>Thu</v>
      </c>
      <c r="D319" s="381">
        <f t="shared" si="36"/>
        <v>1</v>
      </c>
      <c r="E319" s="382" t="s">
        <v>129</v>
      </c>
      <c r="F319" s="137" t="s">
        <v>129</v>
      </c>
      <c r="G319" s="137" t="s">
        <v>129</v>
      </c>
      <c r="H319" s="137" t="s">
        <v>129</v>
      </c>
      <c r="I319" s="137" t="s">
        <v>129</v>
      </c>
      <c r="J319" s="137" t="s">
        <v>129</v>
      </c>
      <c r="K319" s="137" t="s">
        <v>129</v>
      </c>
      <c r="L319" s="137" t="s">
        <v>129</v>
      </c>
      <c r="M319" s="141"/>
      <c r="N319" s="147"/>
    </row>
    <row r="320" hidden="1" outlineLevel="1">
      <c r="A320" s="255" t="s">
        <v>2922</v>
      </c>
      <c r="B320" s="344">
        <v>46163.0</v>
      </c>
      <c r="C320" s="133" t="str">
        <f t="shared" si="35"/>
        <v>Thu</v>
      </c>
      <c r="D320" s="383">
        <f t="shared" si="36"/>
        <v>1</v>
      </c>
      <c r="E320" s="147" t="s">
        <v>129</v>
      </c>
      <c r="F320" s="137" t="s">
        <v>129</v>
      </c>
      <c r="G320" s="137" t="s">
        <v>129</v>
      </c>
      <c r="H320" s="137" t="s">
        <v>129</v>
      </c>
      <c r="I320" s="137" t="s">
        <v>129</v>
      </c>
      <c r="J320" s="137" t="s">
        <v>129</v>
      </c>
      <c r="K320" s="137" t="s">
        <v>129</v>
      </c>
      <c r="L320" s="137" t="s">
        <v>129</v>
      </c>
      <c r="M320" s="141"/>
      <c r="N320" s="147"/>
    </row>
    <row r="321" hidden="1" outlineLevel="1">
      <c r="A321" s="255" t="s">
        <v>2924</v>
      </c>
      <c r="B321" s="344">
        <v>46164.0</v>
      </c>
      <c r="C321" s="133" t="str">
        <f t="shared" si="35"/>
        <v>Fri</v>
      </c>
      <c r="D321" s="381">
        <f t="shared" si="36"/>
        <v>1</v>
      </c>
      <c r="E321" s="382" t="s">
        <v>129</v>
      </c>
      <c r="F321" s="137" t="s">
        <v>129</v>
      </c>
      <c r="G321" s="137" t="s">
        <v>129</v>
      </c>
      <c r="H321" s="137" t="s">
        <v>129</v>
      </c>
      <c r="I321" s="137" t="s">
        <v>129</v>
      </c>
      <c r="J321" s="137" t="s">
        <v>129</v>
      </c>
      <c r="K321" s="137" t="s">
        <v>129</v>
      </c>
      <c r="L321" s="137" t="s">
        <v>129</v>
      </c>
      <c r="M321" s="141"/>
      <c r="N321" s="143"/>
    </row>
    <row r="322" hidden="1" outlineLevel="1">
      <c r="A322" s="255" t="s">
        <v>2927</v>
      </c>
      <c r="B322" s="344">
        <v>46164.0</v>
      </c>
      <c r="C322" s="133" t="str">
        <f t="shared" si="35"/>
        <v>Fri</v>
      </c>
      <c r="D322" s="383">
        <f t="shared" si="36"/>
        <v>1</v>
      </c>
      <c r="E322" s="147" t="s">
        <v>129</v>
      </c>
      <c r="F322" s="137" t="s">
        <v>129</v>
      </c>
      <c r="G322" s="137" t="s">
        <v>129</v>
      </c>
      <c r="H322" s="137" t="s">
        <v>129</v>
      </c>
      <c r="I322" s="137" t="s">
        <v>129</v>
      </c>
      <c r="J322" s="137" t="s">
        <v>129</v>
      </c>
      <c r="K322" s="137" t="s">
        <v>129</v>
      </c>
      <c r="L322" s="137" t="s">
        <v>129</v>
      </c>
      <c r="M322" s="141"/>
      <c r="N322" s="143"/>
    </row>
    <row r="323" ht="15.0" hidden="1" customHeight="1" outlineLevel="1">
      <c r="A323" s="255" t="s">
        <v>2929</v>
      </c>
      <c r="B323" s="344">
        <v>46164.0</v>
      </c>
      <c r="C323" s="133" t="str">
        <f t="shared" si="35"/>
        <v>Fri</v>
      </c>
      <c r="D323" s="381">
        <f t="shared" si="36"/>
        <v>1</v>
      </c>
      <c r="E323" s="382" t="s">
        <v>129</v>
      </c>
      <c r="F323" s="137" t="s">
        <v>129</v>
      </c>
      <c r="G323" s="137" t="s">
        <v>129</v>
      </c>
      <c r="H323" s="137" t="s">
        <v>129</v>
      </c>
      <c r="I323" s="137" t="s">
        <v>129</v>
      </c>
      <c r="J323" s="137" t="s">
        <v>129</v>
      </c>
      <c r="K323" s="137" t="s">
        <v>129</v>
      </c>
      <c r="L323" s="137" t="s">
        <v>129</v>
      </c>
      <c r="M323" s="141"/>
      <c r="N323" s="147"/>
    </row>
    <row r="324" hidden="1" outlineLevel="1">
      <c r="B324" s="189"/>
      <c r="C324" s="191" t="s">
        <v>194</v>
      </c>
      <c r="D324" s="204">
        <f>AVERAGE(D309:D323)</f>
        <v>1</v>
      </c>
      <c r="E324" s="384"/>
      <c r="L324" s="191" t="s">
        <v>194</v>
      </c>
      <c r="M324" s="204">
        <f>SUM(M309:M323)/75*0.1</f>
        <v>0</v>
      </c>
    </row>
    <row r="325" hidden="1" collapsed="1">
      <c r="A325" s="206" t="s">
        <v>1084</v>
      </c>
      <c r="B325" s="207"/>
      <c r="C325" s="207"/>
      <c r="D325" s="385"/>
      <c r="E325" s="109"/>
      <c r="F325" s="109"/>
      <c r="G325" s="110"/>
      <c r="H325" s="110"/>
      <c r="I325" s="110"/>
      <c r="J325" s="110"/>
      <c r="K325" s="110"/>
      <c r="L325" s="110"/>
      <c r="M325" s="111"/>
      <c r="N325" s="113"/>
    </row>
    <row r="326" hidden="1" outlineLevel="1">
      <c r="A326" s="373" t="s">
        <v>98</v>
      </c>
      <c r="B326" s="115" t="s">
        <v>100</v>
      </c>
      <c r="C326" s="115" t="s">
        <v>102</v>
      </c>
      <c r="D326" s="119" t="s">
        <v>103</v>
      </c>
      <c r="E326" s="275" t="s">
        <v>269</v>
      </c>
      <c r="F326" s="275" t="s">
        <v>272</v>
      </c>
      <c r="G326" s="276" t="s">
        <v>328</v>
      </c>
      <c r="H326" s="121" t="s">
        <v>107</v>
      </c>
      <c r="I326" s="121" t="s">
        <v>108</v>
      </c>
      <c r="J326" s="276" t="s">
        <v>329</v>
      </c>
      <c r="K326" s="121" t="s">
        <v>111</v>
      </c>
      <c r="L326" s="276" t="s">
        <v>274</v>
      </c>
      <c r="M326" s="115" t="s">
        <v>114</v>
      </c>
      <c r="N326" s="119" t="s">
        <v>115</v>
      </c>
    </row>
    <row r="327" hidden="1" outlineLevel="1">
      <c r="A327" s="255" t="s">
        <v>2935</v>
      </c>
      <c r="B327" s="344">
        <v>46167.0</v>
      </c>
      <c r="C327" s="133" t="str">
        <f t="shared" ref="C327:C341" si="37">IF(B327="", "", TEXT(B327, "ddd"))</f>
        <v>Mon</v>
      </c>
      <c r="D327" s="381">
        <f t="shared" ref="D327:D341" si="38">IF(E327="Yes",0.05,0)
+IF(F327="Yes",0.1,0)
+IF(G327="Yes",0.15,0)
+IF(H327="Yes",0.15,0)
+IF(I327="Yes",0.05,0)
+IF(J327="Yes",0.05,0)
+IF(K327="Yes",0.15,0)
+IF(L327="Yes",0.3,0)
</f>
        <v>1</v>
      </c>
      <c r="E327" s="382" t="s">
        <v>129</v>
      </c>
      <c r="F327" s="137" t="s">
        <v>129</v>
      </c>
      <c r="G327" s="137" t="s">
        <v>129</v>
      </c>
      <c r="H327" s="137" t="s">
        <v>129</v>
      </c>
      <c r="I327" s="137" t="s">
        <v>129</v>
      </c>
      <c r="J327" s="137" t="s">
        <v>129</v>
      </c>
      <c r="K327" s="137" t="s">
        <v>129</v>
      </c>
      <c r="L327" s="137" t="s">
        <v>129</v>
      </c>
      <c r="M327" s="141"/>
      <c r="N327" s="143"/>
    </row>
    <row r="328" hidden="1" outlineLevel="1">
      <c r="A328" s="255" t="s">
        <v>2939</v>
      </c>
      <c r="B328" s="344">
        <v>46167.0</v>
      </c>
      <c r="C328" s="133" t="str">
        <f t="shared" si="37"/>
        <v>Mon</v>
      </c>
      <c r="D328" s="383">
        <f t="shared" si="38"/>
        <v>1</v>
      </c>
      <c r="E328" s="147" t="s">
        <v>129</v>
      </c>
      <c r="F328" s="137" t="s">
        <v>129</v>
      </c>
      <c r="G328" s="137" t="s">
        <v>129</v>
      </c>
      <c r="H328" s="137" t="s">
        <v>129</v>
      </c>
      <c r="I328" s="137" t="s">
        <v>129</v>
      </c>
      <c r="J328" s="137" t="s">
        <v>129</v>
      </c>
      <c r="K328" s="137" t="s">
        <v>129</v>
      </c>
      <c r="L328" s="137" t="s">
        <v>129</v>
      </c>
      <c r="M328" s="141"/>
      <c r="N328" s="147"/>
    </row>
    <row r="329" hidden="1" outlineLevel="1">
      <c r="A329" s="255" t="s">
        <v>2942</v>
      </c>
      <c r="B329" s="344">
        <v>46167.0</v>
      </c>
      <c r="C329" s="133" t="str">
        <f t="shared" si="37"/>
        <v>Mon</v>
      </c>
      <c r="D329" s="381">
        <f t="shared" si="38"/>
        <v>1</v>
      </c>
      <c r="E329" s="382" t="s">
        <v>129</v>
      </c>
      <c r="F329" s="137" t="s">
        <v>129</v>
      </c>
      <c r="G329" s="137" t="s">
        <v>129</v>
      </c>
      <c r="H329" s="137" t="s">
        <v>129</v>
      </c>
      <c r="I329" s="137" t="s">
        <v>129</v>
      </c>
      <c r="J329" s="137" t="s">
        <v>129</v>
      </c>
      <c r="K329" s="137" t="s">
        <v>129</v>
      </c>
      <c r="L329" s="137" t="s">
        <v>129</v>
      </c>
      <c r="M329" s="141"/>
      <c r="N329" s="147"/>
    </row>
    <row r="330" hidden="1" outlineLevel="1">
      <c r="A330" s="255" t="s">
        <v>2944</v>
      </c>
      <c r="B330" s="344">
        <v>46168.0</v>
      </c>
      <c r="C330" s="133" t="str">
        <f t="shared" si="37"/>
        <v>Tue</v>
      </c>
      <c r="D330" s="383">
        <f t="shared" si="38"/>
        <v>1</v>
      </c>
      <c r="E330" s="147" t="s">
        <v>129</v>
      </c>
      <c r="F330" s="137" t="s">
        <v>129</v>
      </c>
      <c r="G330" s="137" t="s">
        <v>129</v>
      </c>
      <c r="H330" s="137" t="s">
        <v>129</v>
      </c>
      <c r="I330" s="137" t="s">
        <v>129</v>
      </c>
      <c r="J330" s="137" t="s">
        <v>129</v>
      </c>
      <c r="K330" s="137" t="s">
        <v>129</v>
      </c>
      <c r="L330" s="137" t="s">
        <v>129</v>
      </c>
      <c r="M330" s="141"/>
      <c r="N330" s="143"/>
    </row>
    <row r="331" hidden="1" outlineLevel="1">
      <c r="A331" s="255" t="s">
        <v>2946</v>
      </c>
      <c r="B331" s="344">
        <v>46168.0</v>
      </c>
      <c r="C331" s="133" t="str">
        <f t="shared" si="37"/>
        <v>Tue</v>
      </c>
      <c r="D331" s="381">
        <f t="shared" si="38"/>
        <v>1</v>
      </c>
      <c r="E331" s="382" t="s">
        <v>129</v>
      </c>
      <c r="F331" s="137" t="s">
        <v>129</v>
      </c>
      <c r="G331" s="137" t="s">
        <v>129</v>
      </c>
      <c r="H331" s="137" t="s">
        <v>129</v>
      </c>
      <c r="I331" s="137" t="s">
        <v>129</v>
      </c>
      <c r="J331" s="137" t="s">
        <v>129</v>
      </c>
      <c r="K331" s="137" t="s">
        <v>129</v>
      </c>
      <c r="L331" s="137" t="s">
        <v>129</v>
      </c>
      <c r="M331" s="141"/>
      <c r="N331" s="143"/>
    </row>
    <row r="332" hidden="1" outlineLevel="1">
      <c r="A332" s="255" t="s">
        <v>2948</v>
      </c>
      <c r="B332" s="344">
        <v>46168.0</v>
      </c>
      <c r="C332" s="133" t="str">
        <f t="shared" si="37"/>
        <v>Tue</v>
      </c>
      <c r="D332" s="383">
        <f t="shared" si="38"/>
        <v>1</v>
      </c>
      <c r="E332" s="147" t="s">
        <v>129</v>
      </c>
      <c r="F332" s="137" t="s">
        <v>129</v>
      </c>
      <c r="G332" s="137" t="s">
        <v>129</v>
      </c>
      <c r="H332" s="137" t="s">
        <v>129</v>
      </c>
      <c r="I332" s="137" t="s">
        <v>129</v>
      </c>
      <c r="J332" s="137" t="s">
        <v>129</v>
      </c>
      <c r="K332" s="137" t="s">
        <v>129</v>
      </c>
      <c r="L332" s="137" t="s">
        <v>129</v>
      </c>
      <c r="M332" s="141"/>
      <c r="N332" s="143"/>
    </row>
    <row r="333" hidden="1" outlineLevel="1">
      <c r="A333" s="303" t="s">
        <v>2951</v>
      </c>
      <c r="B333" s="344">
        <v>46169.0</v>
      </c>
      <c r="C333" s="133" t="str">
        <f t="shared" si="37"/>
        <v>Wed</v>
      </c>
      <c r="D333" s="381">
        <f t="shared" si="38"/>
        <v>1</v>
      </c>
      <c r="E333" s="382" t="s">
        <v>129</v>
      </c>
      <c r="F333" s="137" t="s">
        <v>129</v>
      </c>
      <c r="G333" s="137" t="s">
        <v>129</v>
      </c>
      <c r="H333" s="137" t="s">
        <v>129</v>
      </c>
      <c r="I333" s="137" t="s">
        <v>129</v>
      </c>
      <c r="J333" s="137" t="s">
        <v>129</v>
      </c>
      <c r="K333" s="137" t="s">
        <v>129</v>
      </c>
      <c r="L333" s="137" t="s">
        <v>129</v>
      </c>
      <c r="M333" s="141"/>
      <c r="N333" s="143"/>
    </row>
    <row r="334" hidden="1" outlineLevel="1">
      <c r="A334" s="303" t="s">
        <v>2952</v>
      </c>
      <c r="B334" s="344">
        <v>46169.0</v>
      </c>
      <c r="C334" s="133" t="str">
        <f t="shared" si="37"/>
        <v>Wed</v>
      </c>
      <c r="D334" s="383">
        <f t="shared" si="38"/>
        <v>1</v>
      </c>
      <c r="E334" s="147" t="s">
        <v>129</v>
      </c>
      <c r="F334" s="137" t="s">
        <v>129</v>
      </c>
      <c r="G334" s="137" t="s">
        <v>129</v>
      </c>
      <c r="H334" s="137" t="s">
        <v>129</v>
      </c>
      <c r="I334" s="137" t="s">
        <v>129</v>
      </c>
      <c r="J334" s="137" t="s">
        <v>129</v>
      </c>
      <c r="K334" s="137" t="s">
        <v>129</v>
      </c>
      <c r="L334" s="137" t="s">
        <v>129</v>
      </c>
      <c r="M334" s="141"/>
      <c r="N334" s="147"/>
    </row>
    <row r="335" hidden="1" outlineLevel="1">
      <c r="A335" s="303" t="s">
        <v>2954</v>
      </c>
      <c r="B335" s="344">
        <v>46169.0</v>
      </c>
      <c r="C335" s="133" t="str">
        <f t="shared" si="37"/>
        <v>Wed</v>
      </c>
      <c r="D335" s="381">
        <f t="shared" si="38"/>
        <v>1</v>
      </c>
      <c r="E335" s="382" t="s">
        <v>129</v>
      </c>
      <c r="F335" s="137" t="s">
        <v>129</v>
      </c>
      <c r="G335" s="137" t="s">
        <v>129</v>
      </c>
      <c r="H335" s="137" t="s">
        <v>129</v>
      </c>
      <c r="I335" s="137" t="s">
        <v>129</v>
      </c>
      <c r="J335" s="137" t="s">
        <v>129</v>
      </c>
      <c r="K335" s="137" t="s">
        <v>129</v>
      </c>
      <c r="L335" s="137" t="s">
        <v>129</v>
      </c>
      <c r="M335" s="141"/>
      <c r="N335" s="143"/>
    </row>
    <row r="336" hidden="1" outlineLevel="1">
      <c r="A336" s="303" t="s">
        <v>2957</v>
      </c>
      <c r="B336" s="344">
        <v>46170.0</v>
      </c>
      <c r="C336" s="133" t="str">
        <f t="shared" si="37"/>
        <v>Thu</v>
      </c>
      <c r="D336" s="383">
        <f t="shared" si="38"/>
        <v>1</v>
      </c>
      <c r="E336" s="147" t="s">
        <v>129</v>
      </c>
      <c r="F336" s="137" t="s">
        <v>129</v>
      </c>
      <c r="G336" s="137" t="s">
        <v>129</v>
      </c>
      <c r="H336" s="137" t="s">
        <v>129</v>
      </c>
      <c r="I336" s="137" t="s">
        <v>129</v>
      </c>
      <c r="J336" s="137" t="s">
        <v>129</v>
      </c>
      <c r="K336" s="137" t="s">
        <v>129</v>
      </c>
      <c r="L336" s="137" t="s">
        <v>129</v>
      </c>
      <c r="M336" s="141"/>
      <c r="N336" s="147"/>
    </row>
    <row r="337" hidden="1" outlineLevel="1">
      <c r="A337" s="303" t="s">
        <v>2960</v>
      </c>
      <c r="B337" s="344">
        <v>46170.0</v>
      </c>
      <c r="C337" s="133" t="str">
        <f t="shared" si="37"/>
        <v>Thu</v>
      </c>
      <c r="D337" s="381">
        <f t="shared" si="38"/>
        <v>1</v>
      </c>
      <c r="E337" s="382" t="s">
        <v>129</v>
      </c>
      <c r="F337" s="137" t="s">
        <v>129</v>
      </c>
      <c r="G337" s="137" t="s">
        <v>129</v>
      </c>
      <c r="H337" s="137" t="s">
        <v>129</v>
      </c>
      <c r="I337" s="137" t="s">
        <v>129</v>
      </c>
      <c r="J337" s="137" t="s">
        <v>129</v>
      </c>
      <c r="K337" s="137" t="s">
        <v>129</v>
      </c>
      <c r="L337" s="137" t="s">
        <v>129</v>
      </c>
      <c r="M337" s="141"/>
      <c r="N337" s="147"/>
    </row>
    <row r="338" hidden="1" outlineLevel="1">
      <c r="A338" s="303" t="s">
        <v>2961</v>
      </c>
      <c r="B338" s="344">
        <v>46170.0</v>
      </c>
      <c r="C338" s="133" t="str">
        <f t="shared" si="37"/>
        <v>Thu</v>
      </c>
      <c r="D338" s="383">
        <f t="shared" si="38"/>
        <v>1</v>
      </c>
      <c r="E338" s="147" t="s">
        <v>129</v>
      </c>
      <c r="F338" s="137" t="s">
        <v>129</v>
      </c>
      <c r="G338" s="137" t="s">
        <v>129</v>
      </c>
      <c r="H338" s="137" t="s">
        <v>129</v>
      </c>
      <c r="I338" s="137" t="s">
        <v>129</v>
      </c>
      <c r="J338" s="137" t="s">
        <v>129</v>
      </c>
      <c r="K338" s="137" t="s">
        <v>129</v>
      </c>
      <c r="L338" s="137" t="s">
        <v>129</v>
      </c>
      <c r="M338" s="141"/>
      <c r="N338" s="147"/>
    </row>
    <row r="339" hidden="1" outlineLevel="1">
      <c r="A339" s="303" t="s">
        <v>2963</v>
      </c>
      <c r="B339" s="344">
        <v>46171.0</v>
      </c>
      <c r="C339" s="133" t="str">
        <f t="shared" si="37"/>
        <v>Fri</v>
      </c>
      <c r="D339" s="381">
        <f t="shared" si="38"/>
        <v>1</v>
      </c>
      <c r="E339" s="382" t="s">
        <v>129</v>
      </c>
      <c r="F339" s="137" t="s">
        <v>129</v>
      </c>
      <c r="G339" s="137" t="s">
        <v>129</v>
      </c>
      <c r="H339" s="137" t="s">
        <v>129</v>
      </c>
      <c r="I339" s="137" t="s">
        <v>129</v>
      </c>
      <c r="J339" s="137" t="s">
        <v>129</v>
      </c>
      <c r="K339" s="137" t="s">
        <v>129</v>
      </c>
      <c r="L339" s="137" t="s">
        <v>129</v>
      </c>
      <c r="M339" s="141"/>
      <c r="N339" s="143"/>
    </row>
    <row r="340" hidden="1" outlineLevel="1">
      <c r="A340" s="303" t="s">
        <v>2965</v>
      </c>
      <c r="B340" s="344">
        <v>46171.0</v>
      </c>
      <c r="C340" s="133" t="str">
        <f t="shared" si="37"/>
        <v>Fri</v>
      </c>
      <c r="D340" s="383">
        <f t="shared" si="38"/>
        <v>1</v>
      </c>
      <c r="E340" s="147" t="s">
        <v>129</v>
      </c>
      <c r="F340" s="137" t="s">
        <v>129</v>
      </c>
      <c r="G340" s="137" t="s">
        <v>129</v>
      </c>
      <c r="H340" s="137" t="s">
        <v>129</v>
      </c>
      <c r="I340" s="137" t="s">
        <v>129</v>
      </c>
      <c r="J340" s="137" t="s">
        <v>129</v>
      </c>
      <c r="K340" s="137" t="s">
        <v>129</v>
      </c>
      <c r="L340" s="137" t="s">
        <v>129</v>
      </c>
      <c r="M340" s="141"/>
      <c r="N340" s="143"/>
    </row>
    <row r="341" ht="15.0" hidden="1" customHeight="1" outlineLevel="1">
      <c r="A341" s="303" t="s">
        <v>2968</v>
      </c>
      <c r="B341" s="344">
        <v>46171.0</v>
      </c>
      <c r="C341" s="133" t="str">
        <f t="shared" si="37"/>
        <v>Fri</v>
      </c>
      <c r="D341" s="381">
        <f t="shared" si="38"/>
        <v>1</v>
      </c>
      <c r="E341" s="382" t="s">
        <v>129</v>
      </c>
      <c r="F341" s="137" t="s">
        <v>129</v>
      </c>
      <c r="G341" s="137" t="s">
        <v>129</v>
      </c>
      <c r="H341" s="137" t="s">
        <v>129</v>
      </c>
      <c r="I341" s="137" t="s">
        <v>129</v>
      </c>
      <c r="J341" s="137" t="s">
        <v>129</v>
      </c>
      <c r="K341" s="137" t="s">
        <v>129</v>
      </c>
      <c r="L341" s="137" t="s">
        <v>129</v>
      </c>
      <c r="M341" s="141"/>
      <c r="N341" s="147"/>
    </row>
    <row r="342" hidden="1" outlineLevel="1">
      <c r="B342" s="189"/>
      <c r="C342" s="191" t="s">
        <v>194</v>
      </c>
      <c r="D342" s="204">
        <f>AVERAGE(D327:D341)</f>
        <v>1</v>
      </c>
      <c r="E342" s="384"/>
      <c r="L342" s="191" t="s">
        <v>194</v>
      </c>
      <c r="M342" s="204">
        <f>SUM(M327:M341)/75*0.1</f>
        <v>0</v>
      </c>
    </row>
    <row r="343" hidden="1" collapsed="1">
      <c r="A343" s="206" t="s">
        <v>1109</v>
      </c>
      <c r="B343" s="207"/>
      <c r="C343" s="207"/>
      <c r="D343" s="385"/>
      <c r="E343" s="109"/>
      <c r="F343" s="109"/>
      <c r="G343" s="110"/>
      <c r="H343" s="110"/>
      <c r="I343" s="110"/>
      <c r="J343" s="110"/>
      <c r="K343" s="110"/>
      <c r="L343" s="110"/>
      <c r="M343" s="111"/>
      <c r="N343" s="113"/>
    </row>
    <row r="344" hidden="1" outlineLevel="1">
      <c r="A344" s="373" t="s">
        <v>98</v>
      </c>
      <c r="B344" s="115" t="s">
        <v>100</v>
      </c>
      <c r="C344" s="115" t="s">
        <v>102</v>
      </c>
      <c r="D344" s="119" t="s">
        <v>103</v>
      </c>
      <c r="E344" s="275" t="s">
        <v>269</v>
      </c>
      <c r="F344" s="275" t="s">
        <v>272</v>
      </c>
      <c r="G344" s="276" t="s">
        <v>328</v>
      </c>
      <c r="H344" s="121" t="s">
        <v>107</v>
      </c>
      <c r="I344" s="121" t="s">
        <v>108</v>
      </c>
      <c r="J344" s="276" t="s">
        <v>329</v>
      </c>
      <c r="K344" s="121" t="s">
        <v>111</v>
      </c>
      <c r="L344" s="276" t="s">
        <v>274</v>
      </c>
      <c r="M344" s="115" t="s">
        <v>114</v>
      </c>
      <c r="N344" s="119" t="s">
        <v>115</v>
      </c>
    </row>
    <row r="345" hidden="1" outlineLevel="1">
      <c r="A345" s="255" t="s">
        <v>2974</v>
      </c>
      <c r="B345" s="344">
        <v>46174.0</v>
      </c>
      <c r="C345" s="133" t="str">
        <f t="shared" ref="C345:C359" si="39">IF(B345="", "", TEXT(B345, "ddd"))</f>
        <v>Mon</v>
      </c>
      <c r="D345" s="381">
        <f t="shared" ref="D345:D359" si="40">IF(E345="Yes",0.05,0)
+IF(F345="Yes",0.1,0)
+IF(G345="Yes",0.15,0)
+IF(H345="Yes",0.15,0)
+IF(I345="Yes",0.05,0)
+IF(J345="Yes",0.05,0)
+IF(K345="Yes",0.15,0)
+IF(L345="Yes",0.3,0)
</f>
        <v>1</v>
      </c>
      <c r="E345" s="382" t="s">
        <v>129</v>
      </c>
      <c r="F345" s="137" t="s">
        <v>129</v>
      </c>
      <c r="G345" s="137" t="s">
        <v>129</v>
      </c>
      <c r="H345" s="137" t="s">
        <v>129</v>
      </c>
      <c r="I345" s="137" t="s">
        <v>129</v>
      </c>
      <c r="J345" s="137" t="s">
        <v>129</v>
      </c>
      <c r="K345" s="137" t="s">
        <v>129</v>
      </c>
      <c r="L345" s="137" t="s">
        <v>129</v>
      </c>
      <c r="M345" s="141"/>
      <c r="N345" s="143"/>
    </row>
    <row r="346" hidden="1" outlineLevel="1">
      <c r="A346" s="255" t="s">
        <v>2979</v>
      </c>
      <c r="B346" s="344">
        <v>46174.0</v>
      </c>
      <c r="C346" s="133" t="str">
        <f t="shared" si="39"/>
        <v>Mon</v>
      </c>
      <c r="D346" s="383">
        <f t="shared" si="40"/>
        <v>1</v>
      </c>
      <c r="E346" s="147" t="s">
        <v>129</v>
      </c>
      <c r="F346" s="137" t="s">
        <v>129</v>
      </c>
      <c r="G346" s="137" t="s">
        <v>129</v>
      </c>
      <c r="H346" s="137" t="s">
        <v>129</v>
      </c>
      <c r="I346" s="137" t="s">
        <v>129</v>
      </c>
      <c r="J346" s="137" t="s">
        <v>129</v>
      </c>
      <c r="K346" s="137" t="s">
        <v>129</v>
      </c>
      <c r="L346" s="137" t="s">
        <v>129</v>
      </c>
      <c r="M346" s="141"/>
      <c r="N346" s="147"/>
    </row>
    <row r="347" hidden="1" outlineLevel="1">
      <c r="A347" s="255" t="s">
        <v>2981</v>
      </c>
      <c r="B347" s="344">
        <v>46174.0</v>
      </c>
      <c r="C347" s="133" t="str">
        <f t="shared" si="39"/>
        <v>Mon</v>
      </c>
      <c r="D347" s="381">
        <f t="shared" si="40"/>
        <v>1</v>
      </c>
      <c r="E347" s="382" t="s">
        <v>129</v>
      </c>
      <c r="F347" s="137" t="s">
        <v>129</v>
      </c>
      <c r="G347" s="137" t="s">
        <v>129</v>
      </c>
      <c r="H347" s="137" t="s">
        <v>129</v>
      </c>
      <c r="I347" s="137" t="s">
        <v>129</v>
      </c>
      <c r="J347" s="137" t="s">
        <v>129</v>
      </c>
      <c r="K347" s="137" t="s">
        <v>129</v>
      </c>
      <c r="L347" s="137" t="s">
        <v>129</v>
      </c>
      <c r="M347" s="141"/>
      <c r="N347" s="147"/>
    </row>
    <row r="348" hidden="1" outlineLevel="1">
      <c r="A348" s="255" t="s">
        <v>2984</v>
      </c>
      <c r="B348" s="344">
        <v>46175.0</v>
      </c>
      <c r="C348" s="133" t="str">
        <f t="shared" si="39"/>
        <v>Tue</v>
      </c>
      <c r="D348" s="383">
        <f t="shared" si="40"/>
        <v>1</v>
      </c>
      <c r="E348" s="147" t="s">
        <v>129</v>
      </c>
      <c r="F348" s="137" t="s">
        <v>129</v>
      </c>
      <c r="G348" s="137" t="s">
        <v>129</v>
      </c>
      <c r="H348" s="137" t="s">
        <v>129</v>
      </c>
      <c r="I348" s="137" t="s">
        <v>129</v>
      </c>
      <c r="J348" s="137" t="s">
        <v>129</v>
      </c>
      <c r="K348" s="137" t="s">
        <v>129</v>
      </c>
      <c r="L348" s="137" t="s">
        <v>129</v>
      </c>
      <c r="M348" s="141"/>
      <c r="N348" s="143"/>
    </row>
    <row r="349" hidden="1" outlineLevel="1">
      <c r="A349" s="255" t="s">
        <v>2987</v>
      </c>
      <c r="B349" s="344">
        <v>46175.0</v>
      </c>
      <c r="C349" s="133" t="str">
        <f t="shared" si="39"/>
        <v>Tue</v>
      </c>
      <c r="D349" s="381">
        <f t="shared" si="40"/>
        <v>1</v>
      </c>
      <c r="E349" s="382" t="s">
        <v>129</v>
      </c>
      <c r="F349" s="137" t="s">
        <v>129</v>
      </c>
      <c r="G349" s="137" t="s">
        <v>129</v>
      </c>
      <c r="H349" s="137" t="s">
        <v>129</v>
      </c>
      <c r="I349" s="137" t="s">
        <v>129</v>
      </c>
      <c r="J349" s="137" t="s">
        <v>129</v>
      </c>
      <c r="K349" s="137" t="s">
        <v>129</v>
      </c>
      <c r="L349" s="137" t="s">
        <v>129</v>
      </c>
      <c r="M349" s="141"/>
      <c r="N349" s="143"/>
    </row>
    <row r="350" hidden="1" outlineLevel="1">
      <c r="A350" s="255" t="s">
        <v>2988</v>
      </c>
      <c r="B350" s="344">
        <v>46175.0</v>
      </c>
      <c r="C350" s="133" t="str">
        <f t="shared" si="39"/>
        <v>Tue</v>
      </c>
      <c r="D350" s="383">
        <f t="shared" si="40"/>
        <v>1</v>
      </c>
      <c r="E350" s="147" t="s">
        <v>129</v>
      </c>
      <c r="F350" s="137" t="s">
        <v>129</v>
      </c>
      <c r="G350" s="137" t="s">
        <v>129</v>
      </c>
      <c r="H350" s="137" t="s">
        <v>129</v>
      </c>
      <c r="I350" s="137" t="s">
        <v>129</v>
      </c>
      <c r="J350" s="137" t="s">
        <v>129</v>
      </c>
      <c r="K350" s="137" t="s">
        <v>129</v>
      </c>
      <c r="L350" s="137" t="s">
        <v>129</v>
      </c>
      <c r="M350" s="141"/>
      <c r="N350" s="143"/>
    </row>
    <row r="351" hidden="1" outlineLevel="1">
      <c r="A351" s="255" t="s">
        <v>2991</v>
      </c>
      <c r="B351" s="344">
        <v>46176.0</v>
      </c>
      <c r="C351" s="133" t="str">
        <f t="shared" si="39"/>
        <v>Wed</v>
      </c>
      <c r="D351" s="381">
        <f t="shared" si="40"/>
        <v>1</v>
      </c>
      <c r="E351" s="382" t="s">
        <v>129</v>
      </c>
      <c r="F351" s="137" t="s">
        <v>129</v>
      </c>
      <c r="G351" s="137" t="s">
        <v>129</v>
      </c>
      <c r="H351" s="137" t="s">
        <v>129</v>
      </c>
      <c r="I351" s="137" t="s">
        <v>129</v>
      </c>
      <c r="J351" s="137" t="s">
        <v>129</v>
      </c>
      <c r="K351" s="137" t="s">
        <v>129</v>
      </c>
      <c r="L351" s="137" t="s">
        <v>129</v>
      </c>
      <c r="M351" s="141"/>
      <c r="N351" s="143"/>
    </row>
    <row r="352" hidden="1" outlineLevel="1">
      <c r="A352" s="255" t="s">
        <v>2994</v>
      </c>
      <c r="B352" s="344">
        <v>46176.0</v>
      </c>
      <c r="C352" s="133" t="str">
        <f t="shared" si="39"/>
        <v>Wed</v>
      </c>
      <c r="D352" s="383">
        <f t="shared" si="40"/>
        <v>1</v>
      </c>
      <c r="E352" s="147" t="s">
        <v>129</v>
      </c>
      <c r="F352" s="137" t="s">
        <v>129</v>
      </c>
      <c r="G352" s="137" t="s">
        <v>129</v>
      </c>
      <c r="H352" s="137" t="s">
        <v>129</v>
      </c>
      <c r="I352" s="137" t="s">
        <v>129</v>
      </c>
      <c r="J352" s="137" t="s">
        <v>129</v>
      </c>
      <c r="K352" s="137" t="s">
        <v>129</v>
      </c>
      <c r="L352" s="137" t="s">
        <v>129</v>
      </c>
      <c r="M352" s="141"/>
      <c r="N352" s="147"/>
    </row>
    <row r="353" hidden="1" outlineLevel="1">
      <c r="A353" s="255" t="s">
        <v>2995</v>
      </c>
      <c r="B353" s="344">
        <v>46176.0</v>
      </c>
      <c r="C353" s="133" t="str">
        <f t="shared" si="39"/>
        <v>Wed</v>
      </c>
      <c r="D353" s="381">
        <f t="shared" si="40"/>
        <v>1</v>
      </c>
      <c r="E353" s="382" t="s">
        <v>129</v>
      </c>
      <c r="F353" s="137" t="s">
        <v>129</v>
      </c>
      <c r="G353" s="137" t="s">
        <v>129</v>
      </c>
      <c r="H353" s="137" t="s">
        <v>129</v>
      </c>
      <c r="I353" s="137" t="s">
        <v>129</v>
      </c>
      <c r="J353" s="137" t="s">
        <v>129</v>
      </c>
      <c r="K353" s="137" t="s">
        <v>129</v>
      </c>
      <c r="L353" s="137" t="s">
        <v>129</v>
      </c>
      <c r="M353" s="141"/>
      <c r="N353" s="143"/>
    </row>
    <row r="354" hidden="1" outlineLevel="1">
      <c r="A354" s="255" t="s">
        <v>2998</v>
      </c>
      <c r="B354" s="344">
        <v>46177.0</v>
      </c>
      <c r="C354" s="133" t="str">
        <f t="shared" si="39"/>
        <v>Thu</v>
      </c>
      <c r="D354" s="383">
        <f t="shared" si="40"/>
        <v>1</v>
      </c>
      <c r="E354" s="147" t="s">
        <v>129</v>
      </c>
      <c r="F354" s="137" t="s">
        <v>129</v>
      </c>
      <c r="G354" s="137" t="s">
        <v>129</v>
      </c>
      <c r="H354" s="137" t="s">
        <v>129</v>
      </c>
      <c r="I354" s="137" t="s">
        <v>129</v>
      </c>
      <c r="J354" s="137" t="s">
        <v>129</v>
      </c>
      <c r="K354" s="137" t="s">
        <v>129</v>
      </c>
      <c r="L354" s="137" t="s">
        <v>129</v>
      </c>
      <c r="M354" s="141"/>
      <c r="N354" s="147"/>
    </row>
    <row r="355" hidden="1" outlineLevel="1">
      <c r="A355" s="255" t="s">
        <v>3001</v>
      </c>
      <c r="B355" s="344">
        <v>46177.0</v>
      </c>
      <c r="C355" s="133" t="str">
        <f t="shared" si="39"/>
        <v>Thu</v>
      </c>
      <c r="D355" s="381">
        <f t="shared" si="40"/>
        <v>1</v>
      </c>
      <c r="E355" s="382" t="s">
        <v>129</v>
      </c>
      <c r="F355" s="137" t="s">
        <v>129</v>
      </c>
      <c r="G355" s="137" t="s">
        <v>129</v>
      </c>
      <c r="H355" s="137" t="s">
        <v>129</v>
      </c>
      <c r="I355" s="137" t="s">
        <v>129</v>
      </c>
      <c r="J355" s="137" t="s">
        <v>129</v>
      </c>
      <c r="K355" s="137" t="s">
        <v>129</v>
      </c>
      <c r="L355" s="137" t="s">
        <v>129</v>
      </c>
      <c r="M355" s="141"/>
      <c r="N355" s="147"/>
    </row>
    <row r="356" hidden="1" outlineLevel="1">
      <c r="A356" s="255" t="s">
        <v>3003</v>
      </c>
      <c r="B356" s="344">
        <v>46177.0</v>
      </c>
      <c r="C356" s="133" t="str">
        <f t="shared" si="39"/>
        <v>Thu</v>
      </c>
      <c r="D356" s="383">
        <f t="shared" si="40"/>
        <v>1</v>
      </c>
      <c r="E356" s="147" t="s">
        <v>129</v>
      </c>
      <c r="F356" s="137" t="s">
        <v>129</v>
      </c>
      <c r="G356" s="137" t="s">
        <v>129</v>
      </c>
      <c r="H356" s="137" t="s">
        <v>129</v>
      </c>
      <c r="I356" s="137" t="s">
        <v>129</v>
      </c>
      <c r="J356" s="137" t="s">
        <v>129</v>
      </c>
      <c r="K356" s="137" t="s">
        <v>129</v>
      </c>
      <c r="L356" s="137" t="s">
        <v>129</v>
      </c>
      <c r="M356" s="141"/>
      <c r="N356" s="147"/>
    </row>
    <row r="357" hidden="1" outlineLevel="1">
      <c r="A357" s="255" t="s">
        <v>3004</v>
      </c>
      <c r="B357" s="344">
        <v>46178.0</v>
      </c>
      <c r="C357" s="133" t="str">
        <f t="shared" si="39"/>
        <v>Fri</v>
      </c>
      <c r="D357" s="381">
        <f t="shared" si="40"/>
        <v>1</v>
      </c>
      <c r="E357" s="382" t="s">
        <v>129</v>
      </c>
      <c r="F357" s="137" t="s">
        <v>129</v>
      </c>
      <c r="G357" s="137" t="s">
        <v>129</v>
      </c>
      <c r="H357" s="137" t="s">
        <v>129</v>
      </c>
      <c r="I357" s="137" t="s">
        <v>129</v>
      </c>
      <c r="J357" s="137" t="s">
        <v>129</v>
      </c>
      <c r="K357" s="137" t="s">
        <v>129</v>
      </c>
      <c r="L357" s="137" t="s">
        <v>129</v>
      </c>
      <c r="M357" s="141"/>
      <c r="N357" s="143"/>
    </row>
    <row r="358" hidden="1" outlineLevel="1">
      <c r="A358" s="255" t="s">
        <v>3006</v>
      </c>
      <c r="B358" s="344">
        <v>46178.0</v>
      </c>
      <c r="C358" s="133" t="str">
        <f t="shared" si="39"/>
        <v>Fri</v>
      </c>
      <c r="D358" s="383">
        <f t="shared" si="40"/>
        <v>1</v>
      </c>
      <c r="E358" s="147" t="s">
        <v>129</v>
      </c>
      <c r="F358" s="137" t="s">
        <v>129</v>
      </c>
      <c r="G358" s="137" t="s">
        <v>129</v>
      </c>
      <c r="H358" s="137" t="s">
        <v>129</v>
      </c>
      <c r="I358" s="137" t="s">
        <v>129</v>
      </c>
      <c r="J358" s="137" t="s">
        <v>129</v>
      </c>
      <c r="K358" s="137" t="s">
        <v>129</v>
      </c>
      <c r="L358" s="137" t="s">
        <v>129</v>
      </c>
      <c r="M358" s="141"/>
      <c r="N358" s="143"/>
    </row>
    <row r="359" ht="15.0" hidden="1" customHeight="1" outlineLevel="1">
      <c r="A359" s="255" t="s">
        <v>3008</v>
      </c>
      <c r="B359" s="344">
        <v>46178.0</v>
      </c>
      <c r="C359" s="133" t="str">
        <f t="shared" si="39"/>
        <v>Fri</v>
      </c>
      <c r="D359" s="381">
        <f t="shared" si="40"/>
        <v>1</v>
      </c>
      <c r="E359" s="382" t="s">
        <v>129</v>
      </c>
      <c r="F359" s="137" t="s">
        <v>129</v>
      </c>
      <c r="G359" s="137" t="s">
        <v>129</v>
      </c>
      <c r="H359" s="137" t="s">
        <v>129</v>
      </c>
      <c r="I359" s="137" t="s">
        <v>129</v>
      </c>
      <c r="J359" s="137" t="s">
        <v>129</v>
      </c>
      <c r="K359" s="137" t="s">
        <v>129</v>
      </c>
      <c r="L359" s="137" t="s">
        <v>129</v>
      </c>
      <c r="M359" s="141"/>
      <c r="N359" s="147"/>
    </row>
    <row r="360" hidden="1" outlineLevel="1">
      <c r="B360" s="189"/>
      <c r="C360" s="191" t="s">
        <v>194</v>
      </c>
      <c r="D360" s="204">
        <f>AVERAGE(D345:D359)</f>
        <v>1</v>
      </c>
      <c r="E360" s="384"/>
      <c r="L360" s="191" t="s">
        <v>194</v>
      </c>
      <c r="M360" s="204">
        <f>SUM(M345:M359)/75*0.1</f>
        <v>0</v>
      </c>
    </row>
    <row r="361" hidden="1" collapsed="1">
      <c r="A361" s="206" t="s">
        <v>1138</v>
      </c>
      <c r="B361" s="207"/>
      <c r="C361" s="207"/>
      <c r="D361" s="385"/>
      <c r="E361" s="109"/>
      <c r="F361" s="109"/>
      <c r="G361" s="110"/>
      <c r="H361" s="110"/>
      <c r="I361" s="110"/>
      <c r="J361" s="110"/>
      <c r="K361" s="110"/>
      <c r="L361" s="110"/>
      <c r="M361" s="111"/>
      <c r="N361" s="113"/>
    </row>
    <row r="362" hidden="1" outlineLevel="1">
      <c r="A362" s="373" t="s">
        <v>98</v>
      </c>
      <c r="B362" s="115" t="s">
        <v>100</v>
      </c>
      <c r="C362" s="115" t="s">
        <v>102</v>
      </c>
      <c r="D362" s="119" t="s">
        <v>103</v>
      </c>
      <c r="E362" s="275" t="s">
        <v>269</v>
      </c>
      <c r="F362" s="275" t="s">
        <v>272</v>
      </c>
      <c r="G362" s="276" t="s">
        <v>328</v>
      </c>
      <c r="H362" s="121" t="s">
        <v>107</v>
      </c>
      <c r="I362" s="121" t="s">
        <v>108</v>
      </c>
      <c r="J362" s="276" t="s">
        <v>329</v>
      </c>
      <c r="K362" s="121" t="s">
        <v>111</v>
      </c>
      <c r="L362" s="276" t="s">
        <v>274</v>
      </c>
      <c r="M362" s="115" t="s">
        <v>114</v>
      </c>
      <c r="N362" s="119" t="s">
        <v>115</v>
      </c>
    </row>
    <row r="363" hidden="1" outlineLevel="1">
      <c r="A363" s="303" t="s">
        <v>3010</v>
      </c>
      <c r="B363" s="344">
        <v>46181.0</v>
      </c>
      <c r="C363" s="133" t="str">
        <f t="shared" ref="C363:C377" si="41">IF(B363="", "", TEXT(B363, "ddd"))</f>
        <v>Mon</v>
      </c>
      <c r="D363" s="381">
        <f t="shared" ref="D363:D377" si="42">IF(E363="Yes",0.05,0)
+IF(F363="Yes",0.1,0)
+IF(G363="Yes",0.15,0)
+IF(H363="Yes",0.15,0)
+IF(I363="Yes",0.05,0)
+IF(J363="Yes",0.05,0)
+IF(K363="Yes",0.15,0)
+IF(L363="Yes",0.3,0)
</f>
        <v>1</v>
      </c>
      <c r="E363" s="382" t="s">
        <v>129</v>
      </c>
      <c r="F363" s="137" t="s">
        <v>129</v>
      </c>
      <c r="G363" s="137" t="s">
        <v>129</v>
      </c>
      <c r="H363" s="137" t="s">
        <v>129</v>
      </c>
      <c r="I363" s="137" t="s">
        <v>129</v>
      </c>
      <c r="J363" s="137" t="s">
        <v>129</v>
      </c>
      <c r="K363" s="137" t="s">
        <v>129</v>
      </c>
      <c r="L363" s="137" t="s">
        <v>129</v>
      </c>
      <c r="M363" s="141"/>
      <c r="N363" s="143"/>
    </row>
    <row r="364" hidden="1" outlineLevel="1">
      <c r="A364" s="303" t="s">
        <v>3011</v>
      </c>
      <c r="B364" s="344">
        <v>46181.0</v>
      </c>
      <c r="C364" s="133" t="str">
        <f t="shared" si="41"/>
        <v>Mon</v>
      </c>
      <c r="D364" s="383">
        <f t="shared" si="42"/>
        <v>1</v>
      </c>
      <c r="E364" s="147" t="s">
        <v>129</v>
      </c>
      <c r="F364" s="137" t="s">
        <v>129</v>
      </c>
      <c r="G364" s="137" t="s">
        <v>129</v>
      </c>
      <c r="H364" s="137" t="s">
        <v>129</v>
      </c>
      <c r="I364" s="137" t="s">
        <v>129</v>
      </c>
      <c r="J364" s="137" t="s">
        <v>129</v>
      </c>
      <c r="K364" s="137" t="s">
        <v>129</v>
      </c>
      <c r="L364" s="137" t="s">
        <v>129</v>
      </c>
      <c r="M364" s="141"/>
      <c r="N364" s="147"/>
    </row>
    <row r="365" hidden="1" outlineLevel="1">
      <c r="A365" s="303" t="s">
        <v>3013</v>
      </c>
      <c r="B365" s="344">
        <v>46181.0</v>
      </c>
      <c r="C365" s="133" t="str">
        <f t="shared" si="41"/>
        <v>Mon</v>
      </c>
      <c r="D365" s="381">
        <f t="shared" si="42"/>
        <v>1</v>
      </c>
      <c r="E365" s="382" t="s">
        <v>129</v>
      </c>
      <c r="F365" s="137" t="s">
        <v>129</v>
      </c>
      <c r="G365" s="137" t="s">
        <v>129</v>
      </c>
      <c r="H365" s="137" t="s">
        <v>129</v>
      </c>
      <c r="I365" s="137" t="s">
        <v>129</v>
      </c>
      <c r="J365" s="137" t="s">
        <v>129</v>
      </c>
      <c r="K365" s="137" t="s">
        <v>129</v>
      </c>
      <c r="L365" s="137" t="s">
        <v>129</v>
      </c>
      <c r="M365" s="141"/>
      <c r="N365" s="147"/>
    </row>
    <row r="366" hidden="1" outlineLevel="1">
      <c r="A366" s="303" t="s">
        <v>3014</v>
      </c>
      <c r="B366" s="344">
        <v>46182.0</v>
      </c>
      <c r="C366" s="133" t="str">
        <f t="shared" si="41"/>
        <v>Tue</v>
      </c>
      <c r="D366" s="383">
        <f t="shared" si="42"/>
        <v>1</v>
      </c>
      <c r="E366" s="147" t="s">
        <v>129</v>
      </c>
      <c r="F366" s="137" t="s">
        <v>129</v>
      </c>
      <c r="G366" s="137" t="s">
        <v>129</v>
      </c>
      <c r="H366" s="137" t="s">
        <v>129</v>
      </c>
      <c r="I366" s="137" t="s">
        <v>129</v>
      </c>
      <c r="J366" s="137" t="s">
        <v>129</v>
      </c>
      <c r="K366" s="137" t="s">
        <v>129</v>
      </c>
      <c r="L366" s="137" t="s">
        <v>129</v>
      </c>
      <c r="M366" s="141"/>
      <c r="N366" s="143"/>
    </row>
    <row r="367" hidden="1" outlineLevel="1">
      <c r="A367" s="303" t="s">
        <v>3016</v>
      </c>
      <c r="B367" s="344">
        <v>46182.0</v>
      </c>
      <c r="C367" s="133" t="str">
        <f t="shared" si="41"/>
        <v>Tue</v>
      </c>
      <c r="D367" s="381">
        <f t="shared" si="42"/>
        <v>1</v>
      </c>
      <c r="E367" s="382" t="s">
        <v>129</v>
      </c>
      <c r="F367" s="137" t="s">
        <v>129</v>
      </c>
      <c r="G367" s="137" t="s">
        <v>129</v>
      </c>
      <c r="H367" s="137" t="s">
        <v>129</v>
      </c>
      <c r="I367" s="137" t="s">
        <v>129</v>
      </c>
      <c r="J367" s="137" t="s">
        <v>129</v>
      </c>
      <c r="K367" s="137" t="s">
        <v>129</v>
      </c>
      <c r="L367" s="137" t="s">
        <v>129</v>
      </c>
      <c r="M367" s="141"/>
      <c r="N367" s="143"/>
    </row>
    <row r="368" hidden="1" outlineLevel="1">
      <c r="A368" s="303" t="s">
        <v>3021</v>
      </c>
      <c r="B368" s="344">
        <v>46182.0</v>
      </c>
      <c r="C368" s="133" t="str">
        <f t="shared" si="41"/>
        <v>Tue</v>
      </c>
      <c r="D368" s="383">
        <f t="shared" si="42"/>
        <v>1</v>
      </c>
      <c r="E368" s="147" t="s">
        <v>129</v>
      </c>
      <c r="F368" s="137" t="s">
        <v>129</v>
      </c>
      <c r="G368" s="137" t="s">
        <v>129</v>
      </c>
      <c r="H368" s="137" t="s">
        <v>129</v>
      </c>
      <c r="I368" s="137" t="s">
        <v>129</v>
      </c>
      <c r="J368" s="137" t="s">
        <v>129</v>
      </c>
      <c r="K368" s="137" t="s">
        <v>129</v>
      </c>
      <c r="L368" s="137" t="s">
        <v>129</v>
      </c>
      <c r="M368" s="141"/>
      <c r="N368" s="143"/>
    </row>
    <row r="369" hidden="1" outlineLevel="1">
      <c r="A369" s="255" t="s">
        <v>3023</v>
      </c>
      <c r="B369" s="344">
        <v>46183.0</v>
      </c>
      <c r="C369" s="133" t="str">
        <f t="shared" si="41"/>
        <v>Wed</v>
      </c>
      <c r="D369" s="381">
        <f t="shared" si="42"/>
        <v>1</v>
      </c>
      <c r="E369" s="382" t="s">
        <v>129</v>
      </c>
      <c r="F369" s="137" t="s">
        <v>129</v>
      </c>
      <c r="G369" s="137" t="s">
        <v>129</v>
      </c>
      <c r="H369" s="137" t="s">
        <v>129</v>
      </c>
      <c r="I369" s="137" t="s">
        <v>129</v>
      </c>
      <c r="J369" s="137" t="s">
        <v>129</v>
      </c>
      <c r="K369" s="137" t="s">
        <v>129</v>
      </c>
      <c r="L369" s="137" t="s">
        <v>129</v>
      </c>
      <c r="M369" s="141"/>
      <c r="N369" s="143"/>
    </row>
    <row r="370" hidden="1" outlineLevel="1">
      <c r="A370" s="255" t="s">
        <v>3025</v>
      </c>
      <c r="B370" s="344">
        <v>46183.0</v>
      </c>
      <c r="C370" s="133" t="str">
        <f t="shared" si="41"/>
        <v>Wed</v>
      </c>
      <c r="D370" s="383">
        <f t="shared" si="42"/>
        <v>1</v>
      </c>
      <c r="E370" s="147" t="s">
        <v>129</v>
      </c>
      <c r="F370" s="137" t="s">
        <v>129</v>
      </c>
      <c r="G370" s="137" t="s">
        <v>129</v>
      </c>
      <c r="H370" s="137" t="s">
        <v>129</v>
      </c>
      <c r="I370" s="137" t="s">
        <v>129</v>
      </c>
      <c r="J370" s="137" t="s">
        <v>129</v>
      </c>
      <c r="K370" s="137" t="s">
        <v>129</v>
      </c>
      <c r="L370" s="137" t="s">
        <v>129</v>
      </c>
      <c r="M370" s="141"/>
      <c r="N370" s="147"/>
    </row>
    <row r="371" hidden="1" outlineLevel="1">
      <c r="A371" s="255" t="s">
        <v>3028</v>
      </c>
      <c r="B371" s="344">
        <v>46183.0</v>
      </c>
      <c r="C371" s="133" t="str">
        <f t="shared" si="41"/>
        <v>Wed</v>
      </c>
      <c r="D371" s="381">
        <f t="shared" si="42"/>
        <v>1</v>
      </c>
      <c r="E371" s="382" t="s">
        <v>129</v>
      </c>
      <c r="F371" s="137" t="s">
        <v>129</v>
      </c>
      <c r="G371" s="137" t="s">
        <v>129</v>
      </c>
      <c r="H371" s="137" t="s">
        <v>129</v>
      </c>
      <c r="I371" s="137" t="s">
        <v>129</v>
      </c>
      <c r="J371" s="137" t="s">
        <v>129</v>
      </c>
      <c r="K371" s="137" t="s">
        <v>129</v>
      </c>
      <c r="L371" s="137" t="s">
        <v>129</v>
      </c>
      <c r="M371" s="141"/>
      <c r="N371" s="143"/>
    </row>
    <row r="372" hidden="1" outlineLevel="1">
      <c r="A372" s="255" t="s">
        <v>3030</v>
      </c>
      <c r="B372" s="344">
        <v>46184.0</v>
      </c>
      <c r="C372" s="133" t="str">
        <f t="shared" si="41"/>
        <v>Thu</v>
      </c>
      <c r="D372" s="383">
        <f t="shared" si="42"/>
        <v>1</v>
      </c>
      <c r="E372" s="147" t="s">
        <v>129</v>
      </c>
      <c r="F372" s="137" t="s">
        <v>129</v>
      </c>
      <c r="G372" s="137" t="s">
        <v>129</v>
      </c>
      <c r="H372" s="137" t="s">
        <v>129</v>
      </c>
      <c r="I372" s="137" t="s">
        <v>129</v>
      </c>
      <c r="J372" s="137" t="s">
        <v>129</v>
      </c>
      <c r="K372" s="137" t="s">
        <v>129</v>
      </c>
      <c r="L372" s="137" t="s">
        <v>129</v>
      </c>
      <c r="M372" s="141"/>
      <c r="N372" s="147"/>
    </row>
    <row r="373" hidden="1" outlineLevel="1">
      <c r="A373" s="255" t="s">
        <v>3031</v>
      </c>
      <c r="B373" s="344">
        <v>46184.0</v>
      </c>
      <c r="C373" s="133" t="str">
        <f t="shared" si="41"/>
        <v>Thu</v>
      </c>
      <c r="D373" s="381">
        <f t="shared" si="42"/>
        <v>1</v>
      </c>
      <c r="E373" s="382" t="s">
        <v>129</v>
      </c>
      <c r="F373" s="137" t="s">
        <v>129</v>
      </c>
      <c r="G373" s="137" t="s">
        <v>129</v>
      </c>
      <c r="H373" s="137" t="s">
        <v>129</v>
      </c>
      <c r="I373" s="137" t="s">
        <v>129</v>
      </c>
      <c r="J373" s="137" t="s">
        <v>129</v>
      </c>
      <c r="K373" s="137" t="s">
        <v>129</v>
      </c>
      <c r="L373" s="137" t="s">
        <v>129</v>
      </c>
      <c r="M373" s="141"/>
      <c r="N373" s="147"/>
    </row>
    <row r="374" hidden="1" outlineLevel="1">
      <c r="A374" s="255" t="s">
        <v>3033</v>
      </c>
      <c r="B374" s="344">
        <v>46184.0</v>
      </c>
      <c r="C374" s="133" t="str">
        <f t="shared" si="41"/>
        <v>Thu</v>
      </c>
      <c r="D374" s="383">
        <f t="shared" si="42"/>
        <v>1</v>
      </c>
      <c r="E374" s="147" t="s">
        <v>129</v>
      </c>
      <c r="F374" s="137" t="s">
        <v>129</v>
      </c>
      <c r="G374" s="137" t="s">
        <v>129</v>
      </c>
      <c r="H374" s="137" t="s">
        <v>129</v>
      </c>
      <c r="I374" s="137" t="s">
        <v>129</v>
      </c>
      <c r="J374" s="137" t="s">
        <v>129</v>
      </c>
      <c r="K374" s="137" t="s">
        <v>129</v>
      </c>
      <c r="L374" s="137" t="s">
        <v>129</v>
      </c>
      <c r="M374" s="141"/>
      <c r="N374" s="147"/>
    </row>
    <row r="375" hidden="1" outlineLevel="1">
      <c r="A375" s="255" t="s">
        <v>3035</v>
      </c>
      <c r="B375" s="344">
        <v>46187.0</v>
      </c>
      <c r="C375" s="133" t="str">
        <f t="shared" si="41"/>
        <v>Sun</v>
      </c>
      <c r="D375" s="381">
        <f t="shared" si="42"/>
        <v>1</v>
      </c>
      <c r="E375" s="382" t="s">
        <v>129</v>
      </c>
      <c r="F375" s="137" t="s">
        <v>129</v>
      </c>
      <c r="G375" s="137" t="s">
        <v>129</v>
      </c>
      <c r="H375" s="137" t="s">
        <v>129</v>
      </c>
      <c r="I375" s="137" t="s">
        <v>129</v>
      </c>
      <c r="J375" s="137" t="s">
        <v>129</v>
      </c>
      <c r="K375" s="137" t="s">
        <v>129</v>
      </c>
      <c r="L375" s="137" t="s">
        <v>129</v>
      </c>
      <c r="M375" s="141"/>
      <c r="N375" s="143"/>
    </row>
    <row r="376" hidden="1" outlineLevel="1">
      <c r="A376" s="255" t="s">
        <v>3036</v>
      </c>
      <c r="B376" s="344">
        <v>46187.0</v>
      </c>
      <c r="C376" s="133" t="str">
        <f t="shared" si="41"/>
        <v>Sun</v>
      </c>
      <c r="D376" s="383">
        <f t="shared" si="42"/>
        <v>1</v>
      </c>
      <c r="E376" s="147" t="s">
        <v>129</v>
      </c>
      <c r="F376" s="137" t="s">
        <v>129</v>
      </c>
      <c r="G376" s="137" t="s">
        <v>129</v>
      </c>
      <c r="H376" s="137" t="s">
        <v>129</v>
      </c>
      <c r="I376" s="137" t="s">
        <v>129</v>
      </c>
      <c r="J376" s="137" t="s">
        <v>129</v>
      </c>
      <c r="K376" s="137" t="s">
        <v>129</v>
      </c>
      <c r="L376" s="137" t="s">
        <v>129</v>
      </c>
      <c r="M376" s="141"/>
      <c r="N376" s="143"/>
    </row>
    <row r="377" ht="15.0" hidden="1" customHeight="1" outlineLevel="1">
      <c r="A377" s="255" t="s">
        <v>3039</v>
      </c>
      <c r="B377" s="344">
        <v>46187.0</v>
      </c>
      <c r="C377" s="133" t="str">
        <f t="shared" si="41"/>
        <v>Sun</v>
      </c>
      <c r="D377" s="381">
        <f t="shared" si="42"/>
        <v>1</v>
      </c>
      <c r="E377" s="382" t="s">
        <v>129</v>
      </c>
      <c r="F377" s="137" t="s">
        <v>129</v>
      </c>
      <c r="G377" s="137" t="s">
        <v>129</v>
      </c>
      <c r="H377" s="137" t="s">
        <v>129</v>
      </c>
      <c r="I377" s="137" t="s">
        <v>129</v>
      </c>
      <c r="J377" s="137" t="s">
        <v>129</v>
      </c>
      <c r="K377" s="137" t="s">
        <v>129</v>
      </c>
      <c r="L377" s="137" t="s">
        <v>129</v>
      </c>
      <c r="M377" s="141"/>
      <c r="N377" s="147"/>
    </row>
    <row r="378" hidden="1" outlineLevel="1">
      <c r="B378" s="189"/>
      <c r="C378" s="191" t="s">
        <v>194</v>
      </c>
      <c r="D378" s="204">
        <f>AVERAGE(D363:D377)</f>
        <v>1</v>
      </c>
      <c r="E378" s="384"/>
      <c r="L378" s="191" t="s">
        <v>194</v>
      </c>
      <c r="M378" s="204">
        <f>SUM(M363:M377)/75*0.1</f>
        <v>0</v>
      </c>
    </row>
    <row r="379" hidden="1" collapsed="1">
      <c r="A379" s="206" t="s">
        <v>1161</v>
      </c>
      <c r="B379" s="207"/>
      <c r="C379" s="207"/>
      <c r="D379" s="385"/>
      <c r="E379" s="109"/>
      <c r="F379" s="109"/>
      <c r="G379" s="110"/>
      <c r="H379" s="110"/>
      <c r="I379" s="110"/>
      <c r="J379" s="110"/>
      <c r="K379" s="110"/>
      <c r="L379" s="110"/>
      <c r="M379" s="111"/>
      <c r="N379" s="113"/>
    </row>
    <row r="380" hidden="1" outlineLevel="1">
      <c r="A380" s="373" t="s">
        <v>98</v>
      </c>
      <c r="B380" s="115" t="s">
        <v>100</v>
      </c>
      <c r="C380" s="115" t="s">
        <v>102</v>
      </c>
      <c r="D380" s="119" t="s">
        <v>103</v>
      </c>
      <c r="E380" s="275" t="s">
        <v>269</v>
      </c>
      <c r="F380" s="275" t="s">
        <v>272</v>
      </c>
      <c r="G380" s="276" t="s">
        <v>328</v>
      </c>
      <c r="H380" s="121" t="s">
        <v>107</v>
      </c>
      <c r="I380" s="121" t="s">
        <v>108</v>
      </c>
      <c r="J380" s="276" t="s">
        <v>329</v>
      </c>
      <c r="K380" s="121" t="s">
        <v>111</v>
      </c>
      <c r="L380" s="276" t="s">
        <v>274</v>
      </c>
      <c r="M380" s="115" t="s">
        <v>114</v>
      </c>
      <c r="N380" s="119" t="s">
        <v>115</v>
      </c>
    </row>
    <row r="381" hidden="1" outlineLevel="1">
      <c r="A381" s="412" t="s">
        <v>1162</v>
      </c>
      <c r="B381" s="344"/>
      <c r="C381" s="133" t="str">
        <f t="shared" ref="C381:C395" si="43">IF(B381="", "", TEXT(B381, "ddd"))</f>
        <v/>
      </c>
      <c r="D381" s="381">
        <f t="shared" ref="D381:D395" si="44">IF(E381="Yes",0.05,0)
+IF(F381="Yes",0.1,0)
+IF(G381="Yes",0.15,0)
+IF(H381="Yes",0.15,0)
+IF(I381="Yes",0.05,0)
+IF(J381="Yes",0.05,0)
+IF(K381="Yes",0.15,0)
+IF(L381="Yes",0.3,0)
</f>
        <v>1</v>
      </c>
      <c r="E381" s="382" t="s">
        <v>129</v>
      </c>
      <c r="F381" s="137" t="s">
        <v>129</v>
      </c>
      <c r="G381" s="137" t="s">
        <v>129</v>
      </c>
      <c r="H381" s="137" t="s">
        <v>129</v>
      </c>
      <c r="I381" s="137" t="s">
        <v>129</v>
      </c>
      <c r="J381" s="137" t="s">
        <v>129</v>
      </c>
      <c r="K381" s="137" t="s">
        <v>129</v>
      </c>
      <c r="L381" s="137" t="s">
        <v>129</v>
      </c>
      <c r="M381" s="141"/>
      <c r="N381" s="143"/>
    </row>
    <row r="382" hidden="1" outlineLevel="1">
      <c r="A382" s="412" t="s">
        <v>1162</v>
      </c>
      <c r="B382" s="344"/>
      <c r="C382" s="133" t="str">
        <f t="shared" si="43"/>
        <v/>
      </c>
      <c r="D382" s="383">
        <f t="shared" si="44"/>
        <v>1</v>
      </c>
      <c r="E382" s="147" t="s">
        <v>129</v>
      </c>
      <c r="F382" s="137" t="s">
        <v>129</v>
      </c>
      <c r="G382" s="137" t="s">
        <v>129</v>
      </c>
      <c r="H382" s="137" t="s">
        <v>129</v>
      </c>
      <c r="I382" s="137" t="s">
        <v>129</v>
      </c>
      <c r="J382" s="137" t="s">
        <v>129</v>
      </c>
      <c r="K382" s="137" t="s">
        <v>129</v>
      </c>
      <c r="L382" s="137" t="s">
        <v>129</v>
      </c>
      <c r="M382" s="141"/>
      <c r="N382" s="147"/>
    </row>
    <row r="383" hidden="1" outlineLevel="1">
      <c r="A383" s="412" t="s">
        <v>1162</v>
      </c>
      <c r="B383" s="344"/>
      <c r="C383" s="133" t="str">
        <f t="shared" si="43"/>
        <v/>
      </c>
      <c r="D383" s="381">
        <f t="shared" si="44"/>
        <v>1</v>
      </c>
      <c r="E383" s="382" t="s">
        <v>129</v>
      </c>
      <c r="F383" s="137" t="s">
        <v>129</v>
      </c>
      <c r="G383" s="137" t="s">
        <v>129</v>
      </c>
      <c r="H383" s="137" t="s">
        <v>129</v>
      </c>
      <c r="I383" s="137" t="s">
        <v>129</v>
      </c>
      <c r="J383" s="137" t="s">
        <v>129</v>
      </c>
      <c r="K383" s="137" t="s">
        <v>129</v>
      </c>
      <c r="L383" s="137" t="s">
        <v>129</v>
      </c>
      <c r="M383" s="141"/>
      <c r="N383" s="147"/>
    </row>
    <row r="384" hidden="1" outlineLevel="1">
      <c r="A384" s="412" t="s">
        <v>1162</v>
      </c>
      <c r="B384" s="344"/>
      <c r="C384" s="133" t="str">
        <f t="shared" si="43"/>
        <v/>
      </c>
      <c r="D384" s="383">
        <f t="shared" si="44"/>
        <v>1</v>
      </c>
      <c r="E384" s="147" t="s">
        <v>129</v>
      </c>
      <c r="F384" s="137" t="s">
        <v>129</v>
      </c>
      <c r="G384" s="137" t="s">
        <v>129</v>
      </c>
      <c r="H384" s="137" t="s">
        <v>129</v>
      </c>
      <c r="I384" s="137" t="s">
        <v>129</v>
      </c>
      <c r="J384" s="137" t="s">
        <v>129</v>
      </c>
      <c r="K384" s="137" t="s">
        <v>129</v>
      </c>
      <c r="L384" s="137" t="s">
        <v>129</v>
      </c>
      <c r="M384" s="141"/>
      <c r="N384" s="143"/>
    </row>
    <row r="385" hidden="1" outlineLevel="1">
      <c r="A385" s="412" t="s">
        <v>1162</v>
      </c>
      <c r="B385" s="344"/>
      <c r="C385" s="133" t="str">
        <f t="shared" si="43"/>
        <v/>
      </c>
      <c r="D385" s="381">
        <f t="shared" si="44"/>
        <v>1</v>
      </c>
      <c r="E385" s="382" t="s">
        <v>129</v>
      </c>
      <c r="F385" s="137" t="s">
        <v>129</v>
      </c>
      <c r="G385" s="137" t="s">
        <v>129</v>
      </c>
      <c r="H385" s="137" t="s">
        <v>129</v>
      </c>
      <c r="I385" s="137" t="s">
        <v>129</v>
      </c>
      <c r="J385" s="137" t="s">
        <v>129</v>
      </c>
      <c r="K385" s="137" t="s">
        <v>129</v>
      </c>
      <c r="L385" s="137" t="s">
        <v>129</v>
      </c>
      <c r="M385" s="141"/>
      <c r="N385" s="143"/>
    </row>
    <row r="386" hidden="1" outlineLevel="1">
      <c r="A386" s="412" t="s">
        <v>1162</v>
      </c>
      <c r="B386" s="344"/>
      <c r="C386" s="133" t="str">
        <f t="shared" si="43"/>
        <v/>
      </c>
      <c r="D386" s="383">
        <f t="shared" si="44"/>
        <v>1</v>
      </c>
      <c r="E386" s="147" t="s">
        <v>129</v>
      </c>
      <c r="F386" s="137" t="s">
        <v>129</v>
      </c>
      <c r="G386" s="137" t="s">
        <v>129</v>
      </c>
      <c r="H386" s="137" t="s">
        <v>129</v>
      </c>
      <c r="I386" s="137" t="s">
        <v>129</v>
      </c>
      <c r="J386" s="137" t="s">
        <v>129</v>
      </c>
      <c r="K386" s="137" t="s">
        <v>129</v>
      </c>
      <c r="L386" s="137" t="s">
        <v>129</v>
      </c>
      <c r="M386" s="141"/>
      <c r="N386" s="143"/>
    </row>
    <row r="387" hidden="1" outlineLevel="1">
      <c r="A387" s="412" t="s">
        <v>1162</v>
      </c>
      <c r="B387" s="344"/>
      <c r="C387" s="133" t="str">
        <f t="shared" si="43"/>
        <v/>
      </c>
      <c r="D387" s="381">
        <f t="shared" si="44"/>
        <v>1</v>
      </c>
      <c r="E387" s="382" t="s">
        <v>129</v>
      </c>
      <c r="F387" s="137" t="s">
        <v>129</v>
      </c>
      <c r="G387" s="137" t="s">
        <v>129</v>
      </c>
      <c r="H387" s="137" t="s">
        <v>129</v>
      </c>
      <c r="I387" s="137" t="s">
        <v>129</v>
      </c>
      <c r="J387" s="137" t="s">
        <v>129</v>
      </c>
      <c r="K387" s="137" t="s">
        <v>129</v>
      </c>
      <c r="L387" s="137" t="s">
        <v>129</v>
      </c>
      <c r="M387" s="141"/>
      <c r="N387" s="143"/>
    </row>
    <row r="388" hidden="1" outlineLevel="1">
      <c r="A388" s="412" t="s">
        <v>1162</v>
      </c>
      <c r="B388" s="344"/>
      <c r="C388" s="133" t="str">
        <f t="shared" si="43"/>
        <v/>
      </c>
      <c r="D388" s="383">
        <f t="shared" si="44"/>
        <v>1</v>
      </c>
      <c r="E388" s="147" t="s">
        <v>129</v>
      </c>
      <c r="F388" s="137" t="s">
        <v>129</v>
      </c>
      <c r="G388" s="137" t="s">
        <v>129</v>
      </c>
      <c r="H388" s="137" t="s">
        <v>129</v>
      </c>
      <c r="I388" s="137" t="s">
        <v>129</v>
      </c>
      <c r="J388" s="137" t="s">
        <v>129</v>
      </c>
      <c r="K388" s="137" t="s">
        <v>129</v>
      </c>
      <c r="L388" s="137" t="s">
        <v>129</v>
      </c>
      <c r="M388" s="141"/>
      <c r="N388" s="147"/>
    </row>
    <row r="389" hidden="1" outlineLevel="1">
      <c r="A389" s="412" t="s">
        <v>1162</v>
      </c>
      <c r="B389" s="344"/>
      <c r="C389" s="133" t="str">
        <f t="shared" si="43"/>
        <v/>
      </c>
      <c r="D389" s="381">
        <f t="shared" si="44"/>
        <v>1</v>
      </c>
      <c r="E389" s="382" t="s">
        <v>129</v>
      </c>
      <c r="F389" s="137" t="s">
        <v>129</v>
      </c>
      <c r="G389" s="137" t="s">
        <v>129</v>
      </c>
      <c r="H389" s="137" t="s">
        <v>129</v>
      </c>
      <c r="I389" s="137" t="s">
        <v>129</v>
      </c>
      <c r="J389" s="137" t="s">
        <v>129</v>
      </c>
      <c r="K389" s="137" t="s">
        <v>129</v>
      </c>
      <c r="L389" s="137" t="s">
        <v>129</v>
      </c>
      <c r="M389" s="141"/>
      <c r="N389" s="143"/>
    </row>
    <row r="390" hidden="1" outlineLevel="1">
      <c r="A390" s="412" t="s">
        <v>1162</v>
      </c>
      <c r="B390" s="344"/>
      <c r="C390" s="133" t="str">
        <f t="shared" si="43"/>
        <v/>
      </c>
      <c r="D390" s="383">
        <f t="shared" si="44"/>
        <v>1</v>
      </c>
      <c r="E390" s="147" t="s">
        <v>129</v>
      </c>
      <c r="F390" s="137" t="s">
        <v>129</v>
      </c>
      <c r="G390" s="137" t="s">
        <v>129</v>
      </c>
      <c r="H390" s="137" t="s">
        <v>129</v>
      </c>
      <c r="I390" s="137" t="s">
        <v>129</v>
      </c>
      <c r="J390" s="137" t="s">
        <v>129</v>
      </c>
      <c r="K390" s="137" t="s">
        <v>129</v>
      </c>
      <c r="L390" s="137" t="s">
        <v>129</v>
      </c>
      <c r="M390" s="141"/>
      <c r="N390" s="147"/>
    </row>
    <row r="391" hidden="1" outlineLevel="1">
      <c r="A391" s="412" t="s">
        <v>1162</v>
      </c>
      <c r="B391" s="344"/>
      <c r="C391" s="133" t="str">
        <f t="shared" si="43"/>
        <v/>
      </c>
      <c r="D391" s="381">
        <f t="shared" si="44"/>
        <v>1</v>
      </c>
      <c r="E391" s="382" t="s">
        <v>129</v>
      </c>
      <c r="F391" s="137" t="s">
        <v>129</v>
      </c>
      <c r="G391" s="137" t="s">
        <v>129</v>
      </c>
      <c r="H391" s="137" t="s">
        <v>129</v>
      </c>
      <c r="I391" s="137" t="s">
        <v>129</v>
      </c>
      <c r="J391" s="137" t="s">
        <v>129</v>
      </c>
      <c r="K391" s="137" t="s">
        <v>129</v>
      </c>
      <c r="L391" s="137" t="s">
        <v>129</v>
      </c>
      <c r="M391" s="141"/>
      <c r="N391" s="147"/>
    </row>
    <row r="392" hidden="1" outlineLevel="1">
      <c r="A392" s="412" t="s">
        <v>1162</v>
      </c>
      <c r="B392" s="344"/>
      <c r="C392" s="133" t="str">
        <f t="shared" si="43"/>
        <v/>
      </c>
      <c r="D392" s="383">
        <f t="shared" si="44"/>
        <v>1</v>
      </c>
      <c r="E392" s="147" t="s">
        <v>129</v>
      </c>
      <c r="F392" s="137" t="s">
        <v>129</v>
      </c>
      <c r="G392" s="137" t="s">
        <v>129</v>
      </c>
      <c r="H392" s="137" t="s">
        <v>129</v>
      </c>
      <c r="I392" s="137" t="s">
        <v>129</v>
      </c>
      <c r="J392" s="137" t="s">
        <v>129</v>
      </c>
      <c r="K392" s="137" t="s">
        <v>129</v>
      </c>
      <c r="L392" s="137" t="s">
        <v>129</v>
      </c>
      <c r="M392" s="141"/>
      <c r="N392" s="147"/>
    </row>
    <row r="393" hidden="1" outlineLevel="1">
      <c r="A393" s="412" t="s">
        <v>1162</v>
      </c>
      <c r="B393" s="344"/>
      <c r="C393" s="133" t="str">
        <f t="shared" si="43"/>
        <v/>
      </c>
      <c r="D393" s="381">
        <f t="shared" si="44"/>
        <v>1</v>
      </c>
      <c r="E393" s="382" t="s">
        <v>129</v>
      </c>
      <c r="F393" s="137" t="s">
        <v>129</v>
      </c>
      <c r="G393" s="137" t="s">
        <v>129</v>
      </c>
      <c r="H393" s="137" t="s">
        <v>129</v>
      </c>
      <c r="I393" s="137" t="s">
        <v>129</v>
      </c>
      <c r="J393" s="137" t="s">
        <v>129</v>
      </c>
      <c r="K393" s="137" t="s">
        <v>129</v>
      </c>
      <c r="L393" s="137" t="s">
        <v>129</v>
      </c>
      <c r="M393" s="141"/>
      <c r="N393" s="143"/>
    </row>
    <row r="394" hidden="1" outlineLevel="1">
      <c r="A394" s="412" t="s">
        <v>1162</v>
      </c>
      <c r="B394" s="344"/>
      <c r="C394" s="133" t="str">
        <f t="shared" si="43"/>
        <v/>
      </c>
      <c r="D394" s="383">
        <f t="shared" si="44"/>
        <v>1</v>
      </c>
      <c r="E394" s="147" t="s">
        <v>129</v>
      </c>
      <c r="F394" s="137" t="s">
        <v>129</v>
      </c>
      <c r="G394" s="137" t="s">
        <v>129</v>
      </c>
      <c r="H394" s="137" t="s">
        <v>129</v>
      </c>
      <c r="I394" s="137" t="s">
        <v>129</v>
      </c>
      <c r="J394" s="137" t="s">
        <v>129</v>
      </c>
      <c r="K394" s="137" t="s">
        <v>129</v>
      </c>
      <c r="L394" s="137" t="s">
        <v>129</v>
      </c>
      <c r="M394" s="141"/>
      <c r="N394" s="143"/>
    </row>
    <row r="395" ht="15.0" hidden="1" customHeight="1" outlineLevel="1">
      <c r="A395" s="412" t="s">
        <v>1162</v>
      </c>
      <c r="B395" s="344"/>
      <c r="C395" s="133" t="str">
        <f t="shared" si="43"/>
        <v/>
      </c>
      <c r="D395" s="381">
        <f t="shared" si="44"/>
        <v>1</v>
      </c>
      <c r="E395" s="382" t="s">
        <v>129</v>
      </c>
      <c r="F395" s="137" t="s">
        <v>129</v>
      </c>
      <c r="G395" s="137" t="s">
        <v>129</v>
      </c>
      <c r="H395" s="137" t="s">
        <v>129</v>
      </c>
      <c r="I395" s="137" t="s">
        <v>129</v>
      </c>
      <c r="J395" s="137" t="s">
        <v>129</v>
      </c>
      <c r="K395" s="137" t="s">
        <v>129</v>
      </c>
      <c r="L395" s="137" t="s">
        <v>129</v>
      </c>
      <c r="M395" s="141"/>
      <c r="N395" s="147"/>
    </row>
    <row r="396" hidden="1" outlineLevel="1">
      <c r="B396" s="189"/>
      <c r="C396" s="191" t="s">
        <v>194</v>
      </c>
      <c r="D396" s="204">
        <f>AVERAGE(D381:D395)</f>
        <v>1</v>
      </c>
      <c r="E396" s="384"/>
      <c r="L396" s="191" t="s">
        <v>194</v>
      </c>
      <c r="M396" s="204">
        <f>SUM(M381:M395)/75*0.1</f>
        <v>0</v>
      </c>
    </row>
    <row r="397" hidden="1" collapsed="1">
      <c r="A397" s="206" t="s">
        <v>1169</v>
      </c>
      <c r="B397" s="207"/>
      <c r="C397" s="207"/>
      <c r="D397" s="385"/>
      <c r="E397" s="109"/>
      <c r="F397" s="109"/>
      <c r="G397" s="110"/>
      <c r="H397" s="110"/>
      <c r="I397" s="110"/>
      <c r="J397" s="110"/>
      <c r="K397" s="110"/>
      <c r="L397" s="110"/>
      <c r="M397" s="111"/>
      <c r="N397" s="113"/>
    </row>
    <row r="398" hidden="1" outlineLevel="1">
      <c r="A398" s="373" t="s">
        <v>98</v>
      </c>
      <c r="B398" s="115" t="s">
        <v>100</v>
      </c>
      <c r="C398" s="115" t="s">
        <v>102</v>
      </c>
      <c r="D398" s="119" t="s">
        <v>103</v>
      </c>
      <c r="E398" s="275" t="s">
        <v>269</v>
      </c>
      <c r="F398" s="275" t="s">
        <v>272</v>
      </c>
      <c r="G398" s="276" t="s">
        <v>328</v>
      </c>
      <c r="H398" s="121" t="s">
        <v>107</v>
      </c>
      <c r="I398" s="121" t="s">
        <v>108</v>
      </c>
      <c r="J398" s="276" t="s">
        <v>329</v>
      </c>
      <c r="K398" s="121" t="s">
        <v>111</v>
      </c>
      <c r="L398" s="276" t="s">
        <v>274</v>
      </c>
      <c r="M398" s="115" t="s">
        <v>114</v>
      </c>
      <c r="N398" s="119" t="s">
        <v>115</v>
      </c>
    </row>
    <row r="399" hidden="1" outlineLevel="1">
      <c r="A399" s="303" t="s">
        <v>3058</v>
      </c>
      <c r="B399" s="344">
        <v>46195.0</v>
      </c>
      <c r="C399" s="133" t="str">
        <f t="shared" ref="C399:C413" si="45">IF(B399="", "", TEXT(B399, "ddd"))</f>
        <v>Mon</v>
      </c>
      <c r="D399" s="381">
        <f t="shared" ref="D399:D413" si="46">IF(E399="Yes",0.05,0)
+IF(F399="Yes",0.1,0)
+IF(G399="Yes",0.15,0)
+IF(H399="Yes",0.15,0)
+IF(I399="Yes",0.05,0)
+IF(J399="Yes",0.05,0)
+IF(K399="Yes",0.15,0)
+IF(L399="Yes",0.3,0)
</f>
        <v>1</v>
      </c>
      <c r="E399" s="382" t="s">
        <v>129</v>
      </c>
      <c r="F399" s="137" t="s">
        <v>129</v>
      </c>
      <c r="G399" s="137" t="s">
        <v>129</v>
      </c>
      <c r="H399" s="137" t="s">
        <v>129</v>
      </c>
      <c r="I399" s="137" t="s">
        <v>129</v>
      </c>
      <c r="J399" s="137" t="s">
        <v>129</v>
      </c>
      <c r="K399" s="137" t="s">
        <v>129</v>
      </c>
      <c r="L399" s="137" t="s">
        <v>129</v>
      </c>
      <c r="M399" s="141"/>
      <c r="N399" s="143"/>
    </row>
    <row r="400" hidden="1" outlineLevel="1">
      <c r="A400" s="303" t="s">
        <v>3061</v>
      </c>
      <c r="B400" s="344">
        <v>46195.0</v>
      </c>
      <c r="C400" s="133" t="str">
        <f t="shared" si="45"/>
        <v>Mon</v>
      </c>
      <c r="D400" s="383">
        <f t="shared" si="46"/>
        <v>1</v>
      </c>
      <c r="E400" s="147" t="s">
        <v>129</v>
      </c>
      <c r="F400" s="137" t="s">
        <v>129</v>
      </c>
      <c r="G400" s="137" t="s">
        <v>129</v>
      </c>
      <c r="H400" s="137" t="s">
        <v>129</v>
      </c>
      <c r="I400" s="137" t="s">
        <v>129</v>
      </c>
      <c r="J400" s="137" t="s">
        <v>129</v>
      </c>
      <c r="K400" s="137" t="s">
        <v>129</v>
      </c>
      <c r="L400" s="137" t="s">
        <v>129</v>
      </c>
      <c r="M400" s="141"/>
      <c r="N400" s="147"/>
    </row>
    <row r="401" hidden="1" outlineLevel="1">
      <c r="A401" s="303" t="s">
        <v>3063</v>
      </c>
      <c r="B401" s="344">
        <v>46195.0</v>
      </c>
      <c r="C401" s="133" t="str">
        <f t="shared" si="45"/>
        <v>Mon</v>
      </c>
      <c r="D401" s="381">
        <f t="shared" si="46"/>
        <v>1</v>
      </c>
      <c r="E401" s="382" t="s">
        <v>129</v>
      </c>
      <c r="F401" s="137" t="s">
        <v>129</v>
      </c>
      <c r="G401" s="137" t="s">
        <v>129</v>
      </c>
      <c r="H401" s="137" t="s">
        <v>129</v>
      </c>
      <c r="I401" s="137" t="s">
        <v>129</v>
      </c>
      <c r="J401" s="137" t="s">
        <v>129</v>
      </c>
      <c r="K401" s="137" t="s">
        <v>129</v>
      </c>
      <c r="L401" s="137" t="s">
        <v>129</v>
      </c>
      <c r="M401" s="141"/>
      <c r="N401" s="147"/>
    </row>
    <row r="402" hidden="1" outlineLevel="1">
      <c r="A402" s="412" t="s">
        <v>3065</v>
      </c>
      <c r="B402" s="344">
        <v>46196.0</v>
      </c>
      <c r="C402" s="133" t="str">
        <f t="shared" si="45"/>
        <v>Tue</v>
      </c>
      <c r="D402" s="383">
        <f t="shared" si="46"/>
        <v>1</v>
      </c>
      <c r="E402" s="147" t="s">
        <v>129</v>
      </c>
      <c r="F402" s="137" t="s">
        <v>129</v>
      </c>
      <c r="G402" s="137" t="s">
        <v>129</v>
      </c>
      <c r="H402" s="137" t="s">
        <v>129</v>
      </c>
      <c r="I402" s="137" t="s">
        <v>129</v>
      </c>
      <c r="J402" s="137" t="s">
        <v>129</v>
      </c>
      <c r="K402" s="137" t="s">
        <v>129</v>
      </c>
      <c r="L402" s="137" t="s">
        <v>129</v>
      </c>
      <c r="M402" s="141"/>
      <c r="N402" s="143"/>
    </row>
    <row r="403" hidden="1" outlineLevel="1">
      <c r="A403" s="412" t="s">
        <v>3066</v>
      </c>
      <c r="B403" s="344">
        <v>46196.0</v>
      </c>
      <c r="C403" s="133" t="str">
        <f t="shared" si="45"/>
        <v>Tue</v>
      </c>
      <c r="D403" s="381">
        <f t="shared" si="46"/>
        <v>1</v>
      </c>
      <c r="E403" s="382" t="s">
        <v>129</v>
      </c>
      <c r="F403" s="137" t="s">
        <v>129</v>
      </c>
      <c r="G403" s="137" t="s">
        <v>129</v>
      </c>
      <c r="H403" s="137" t="s">
        <v>129</v>
      </c>
      <c r="I403" s="137" t="s">
        <v>129</v>
      </c>
      <c r="J403" s="137" t="s">
        <v>129</v>
      </c>
      <c r="K403" s="137" t="s">
        <v>129</v>
      </c>
      <c r="L403" s="137" t="s">
        <v>129</v>
      </c>
      <c r="M403" s="141"/>
      <c r="N403" s="143"/>
    </row>
    <row r="404" hidden="1" outlineLevel="1">
      <c r="A404" s="412" t="s">
        <v>3067</v>
      </c>
      <c r="B404" s="344">
        <v>46196.0</v>
      </c>
      <c r="C404" s="133" t="str">
        <f t="shared" si="45"/>
        <v>Tue</v>
      </c>
      <c r="D404" s="383">
        <f t="shared" si="46"/>
        <v>1</v>
      </c>
      <c r="E404" s="147" t="s">
        <v>129</v>
      </c>
      <c r="F404" s="137" t="s">
        <v>129</v>
      </c>
      <c r="G404" s="137" t="s">
        <v>129</v>
      </c>
      <c r="H404" s="137" t="s">
        <v>129</v>
      </c>
      <c r="I404" s="137" t="s">
        <v>129</v>
      </c>
      <c r="J404" s="137" t="s">
        <v>129</v>
      </c>
      <c r="K404" s="137" t="s">
        <v>129</v>
      </c>
      <c r="L404" s="137" t="s">
        <v>129</v>
      </c>
      <c r="M404" s="141"/>
      <c r="N404" s="143"/>
    </row>
    <row r="405" hidden="1" outlineLevel="1">
      <c r="A405" s="303" t="s">
        <v>3071</v>
      </c>
      <c r="B405" s="344">
        <v>46197.0</v>
      </c>
      <c r="C405" s="133" t="str">
        <f t="shared" si="45"/>
        <v>Wed</v>
      </c>
      <c r="D405" s="381">
        <f t="shared" si="46"/>
        <v>1</v>
      </c>
      <c r="E405" s="382" t="s">
        <v>129</v>
      </c>
      <c r="F405" s="137" t="s">
        <v>129</v>
      </c>
      <c r="G405" s="137" t="s">
        <v>129</v>
      </c>
      <c r="H405" s="137" t="s">
        <v>129</v>
      </c>
      <c r="I405" s="137" t="s">
        <v>129</v>
      </c>
      <c r="J405" s="137" t="s">
        <v>129</v>
      </c>
      <c r="K405" s="137" t="s">
        <v>129</v>
      </c>
      <c r="L405" s="137" t="s">
        <v>129</v>
      </c>
      <c r="M405" s="141"/>
      <c r="N405" s="143"/>
    </row>
    <row r="406" hidden="1" outlineLevel="1">
      <c r="A406" s="303" t="s">
        <v>3074</v>
      </c>
      <c r="B406" s="344">
        <v>46197.0</v>
      </c>
      <c r="C406" s="133" t="str">
        <f t="shared" si="45"/>
        <v>Wed</v>
      </c>
      <c r="D406" s="383">
        <f t="shared" si="46"/>
        <v>1</v>
      </c>
      <c r="E406" s="147" t="s">
        <v>129</v>
      </c>
      <c r="F406" s="137" t="s">
        <v>129</v>
      </c>
      <c r="G406" s="137" t="s">
        <v>129</v>
      </c>
      <c r="H406" s="137" t="s">
        <v>129</v>
      </c>
      <c r="I406" s="137" t="s">
        <v>129</v>
      </c>
      <c r="J406" s="137" t="s">
        <v>129</v>
      </c>
      <c r="K406" s="137" t="s">
        <v>129</v>
      </c>
      <c r="L406" s="137" t="s">
        <v>129</v>
      </c>
      <c r="M406" s="141"/>
      <c r="N406" s="147"/>
    </row>
    <row r="407" hidden="1" outlineLevel="1">
      <c r="A407" s="303" t="s">
        <v>3076</v>
      </c>
      <c r="B407" s="344">
        <v>46197.0</v>
      </c>
      <c r="C407" s="133" t="str">
        <f t="shared" si="45"/>
        <v>Wed</v>
      </c>
      <c r="D407" s="381">
        <f t="shared" si="46"/>
        <v>1</v>
      </c>
      <c r="E407" s="382" t="s">
        <v>129</v>
      </c>
      <c r="F407" s="137" t="s">
        <v>129</v>
      </c>
      <c r="G407" s="137" t="s">
        <v>129</v>
      </c>
      <c r="H407" s="137" t="s">
        <v>129</v>
      </c>
      <c r="I407" s="137" t="s">
        <v>129</v>
      </c>
      <c r="J407" s="137" t="s">
        <v>129</v>
      </c>
      <c r="K407" s="137" t="s">
        <v>129</v>
      </c>
      <c r="L407" s="137" t="s">
        <v>129</v>
      </c>
      <c r="M407" s="141"/>
      <c r="N407" s="143"/>
    </row>
    <row r="408" hidden="1" outlineLevel="1">
      <c r="A408" s="303" t="s">
        <v>3079</v>
      </c>
      <c r="B408" s="344">
        <v>46198.0</v>
      </c>
      <c r="C408" s="133" t="str">
        <f t="shared" si="45"/>
        <v>Thu</v>
      </c>
      <c r="D408" s="383">
        <f t="shared" si="46"/>
        <v>1</v>
      </c>
      <c r="E408" s="147" t="s">
        <v>129</v>
      </c>
      <c r="F408" s="137" t="s">
        <v>129</v>
      </c>
      <c r="G408" s="137" t="s">
        <v>129</v>
      </c>
      <c r="H408" s="137" t="s">
        <v>129</v>
      </c>
      <c r="I408" s="137" t="s">
        <v>129</v>
      </c>
      <c r="J408" s="137" t="s">
        <v>129</v>
      </c>
      <c r="K408" s="137" t="s">
        <v>129</v>
      </c>
      <c r="L408" s="137" t="s">
        <v>129</v>
      </c>
      <c r="M408" s="141"/>
      <c r="N408" s="147"/>
    </row>
    <row r="409" hidden="1" outlineLevel="1">
      <c r="A409" s="303" t="s">
        <v>3083</v>
      </c>
      <c r="B409" s="344">
        <v>46198.0</v>
      </c>
      <c r="C409" s="133" t="str">
        <f t="shared" si="45"/>
        <v>Thu</v>
      </c>
      <c r="D409" s="381">
        <f t="shared" si="46"/>
        <v>1</v>
      </c>
      <c r="E409" s="382" t="s">
        <v>129</v>
      </c>
      <c r="F409" s="137" t="s">
        <v>129</v>
      </c>
      <c r="G409" s="137" t="s">
        <v>129</v>
      </c>
      <c r="H409" s="137" t="s">
        <v>129</v>
      </c>
      <c r="I409" s="137" t="s">
        <v>129</v>
      </c>
      <c r="J409" s="137" t="s">
        <v>129</v>
      </c>
      <c r="K409" s="137" t="s">
        <v>129</v>
      </c>
      <c r="L409" s="137" t="s">
        <v>129</v>
      </c>
      <c r="M409" s="141"/>
      <c r="N409" s="147"/>
    </row>
    <row r="410" hidden="1" outlineLevel="1">
      <c r="A410" s="303" t="s">
        <v>3084</v>
      </c>
      <c r="B410" s="344">
        <v>46198.0</v>
      </c>
      <c r="C410" s="133" t="str">
        <f t="shared" si="45"/>
        <v>Thu</v>
      </c>
      <c r="D410" s="383">
        <f t="shared" si="46"/>
        <v>1</v>
      </c>
      <c r="E410" s="147" t="s">
        <v>129</v>
      </c>
      <c r="F410" s="137" t="s">
        <v>129</v>
      </c>
      <c r="G410" s="137" t="s">
        <v>129</v>
      </c>
      <c r="H410" s="137" t="s">
        <v>129</v>
      </c>
      <c r="I410" s="137" t="s">
        <v>129</v>
      </c>
      <c r="J410" s="137" t="s">
        <v>129</v>
      </c>
      <c r="K410" s="137" t="s">
        <v>129</v>
      </c>
      <c r="L410" s="137" t="s">
        <v>129</v>
      </c>
      <c r="M410" s="141"/>
      <c r="N410" s="147"/>
    </row>
    <row r="411" hidden="1" outlineLevel="1">
      <c r="A411" s="303" t="s">
        <v>3088</v>
      </c>
      <c r="B411" s="344"/>
      <c r="C411" s="133" t="str">
        <f t="shared" si="45"/>
        <v/>
      </c>
      <c r="D411" s="381">
        <f t="shared" si="46"/>
        <v>1</v>
      </c>
      <c r="E411" s="382" t="s">
        <v>129</v>
      </c>
      <c r="F411" s="137" t="s">
        <v>129</v>
      </c>
      <c r="G411" s="137" t="s">
        <v>129</v>
      </c>
      <c r="H411" s="137" t="s">
        <v>129</v>
      </c>
      <c r="I411" s="137" t="s">
        <v>129</v>
      </c>
      <c r="J411" s="137" t="s">
        <v>129</v>
      </c>
      <c r="K411" s="137" t="s">
        <v>129</v>
      </c>
      <c r="L411" s="137" t="s">
        <v>129</v>
      </c>
      <c r="M411" s="141"/>
      <c r="N411" s="143"/>
    </row>
    <row r="412" hidden="1" outlineLevel="1">
      <c r="A412" s="303" t="s">
        <v>3090</v>
      </c>
      <c r="B412" s="344"/>
      <c r="C412" s="133" t="str">
        <f t="shared" si="45"/>
        <v/>
      </c>
      <c r="D412" s="383">
        <f t="shared" si="46"/>
        <v>1</v>
      </c>
      <c r="E412" s="147" t="s">
        <v>129</v>
      </c>
      <c r="F412" s="137" t="s">
        <v>129</v>
      </c>
      <c r="G412" s="137" t="s">
        <v>129</v>
      </c>
      <c r="H412" s="137" t="s">
        <v>129</v>
      </c>
      <c r="I412" s="137" t="s">
        <v>129</v>
      </c>
      <c r="J412" s="137" t="s">
        <v>129</v>
      </c>
      <c r="K412" s="137" t="s">
        <v>129</v>
      </c>
      <c r="L412" s="137" t="s">
        <v>129</v>
      </c>
      <c r="M412" s="141"/>
      <c r="N412" s="143"/>
    </row>
    <row r="413" ht="15.0" hidden="1" customHeight="1" outlineLevel="1">
      <c r="A413" s="303" t="s">
        <v>3092</v>
      </c>
      <c r="B413" s="344"/>
      <c r="C413" s="133" t="str">
        <f t="shared" si="45"/>
        <v/>
      </c>
      <c r="D413" s="381">
        <f t="shared" si="46"/>
        <v>1</v>
      </c>
      <c r="E413" s="382" t="s">
        <v>129</v>
      </c>
      <c r="F413" s="137" t="s">
        <v>129</v>
      </c>
      <c r="G413" s="137" t="s">
        <v>129</v>
      </c>
      <c r="H413" s="137" t="s">
        <v>129</v>
      </c>
      <c r="I413" s="137" t="s">
        <v>129</v>
      </c>
      <c r="J413" s="137" t="s">
        <v>129</v>
      </c>
      <c r="K413" s="137" t="s">
        <v>129</v>
      </c>
      <c r="L413" s="137" t="s">
        <v>129</v>
      </c>
      <c r="M413" s="141"/>
      <c r="N413" s="147"/>
    </row>
    <row r="414" hidden="1" outlineLevel="1">
      <c r="B414" s="189"/>
      <c r="C414" s="191" t="s">
        <v>194</v>
      </c>
      <c r="D414" s="204">
        <f>AVERAGE(D399:D413)</f>
        <v>1</v>
      </c>
      <c r="E414" s="384"/>
      <c r="L414" s="191" t="s">
        <v>194</v>
      </c>
      <c r="M414" s="204">
        <f>SUM(M399:M413)/75*0.1</f>
        <v>0</v>
      </c>
    </row>
    <row r="415" hidden="1" collapsed="1">
      <c r="A415" s="206" t="s">
        <v>1194</v>
      </c>
      <c r="B415" s="207"/>
      <c r="C415" s="207"/>
      <c r="D415" s="385"/>
      <c r="E415" s="109"/>
      <c r="F415" s="109"/>
      <c r="G415" s="110"/>
      <c r="H415" s="110"/>
      <c r="I415" s="110"/>
      <c r="J415" s="110"/>
      <c r="K415" s="110"/>
      <c r="L415" s="110"/>
      <c r="M415" s="111"/>
      <c r="N415" s="113"/>
    </row>
    <row r="416" hidden="1" outlineLevel="1">
      <c r="A416" s="373" t="s">
        <v>98</v>
      </c>
      <c r="B416" s="115" t="s">
        <v>100</v>
      </c>
      <c r="C416" s="115" t="s">
        <v>102</v>
      </c>
      <c r="D416" s="119" t="s">
        <v>103</v>
      </c>
      <c r="E416" s="275" t="s">
        <v>269</v>
      </c>
      <c r="F416" s="275" t="s">
        <v>272</v>
      </c>
      <c r="G416" s="276" t="s">
        <v>328</v>
      </c>
      <c r="H416" s="121" t="s">
        <v>107</v>
      </c>
      <c r="I416" s="121" t="s">
        <v>108</v>
      </c>
      <c r="J416" s="276" t="s">
        <v>329</v>
      </c>
      <c r="K416" s="121" t="s">
        <v>111</v>
      </c>
      <c r="L416" s="276" t="s">
        <v>274</v>
      </c>
      <c r="M416" s="115" t="s">
        <v>114</v>
      </c>
      <c r="N416" s="119" t="s">
        <v>115</v>
      </c>
    </row>
    <row r="417" hidden="1" outlineLevel="1">
      <c r="A417" s="303" t="s">
        <v>3095</v>
      </c>
      <c r="B417" s="344">
        <v>46202.0</v>
      </c>
      <c r="C417" s="133" t="str">
        <f t="shared" ref="C417:C431" si="47">IF(B417="", "", TEXT(B417, "ddd"))</f>
        <v>Mon</v>
      </c>
      <c r="D417" s="381">
        <f t="shared" ref="D417:D431" si="48">IF(E417="Yes",0.05,0)
+IF(F417="Yes",0.1,0)
+IF(G417="Yes",0.15,0)
+IF(H417="Yes",0.15,0)
+IF(I417="Yes",0.05,0)
+IF(J417="Yes",0.05,0)
+IF(K417="Yes",0.15,0)
+IF(L417="Yes",0.3,0)
</f>
        <v>1</v>
      </c>
      <c r="E417" s="382" t="s">
        <v>129</v>
      </c>
      <c r="F417" s="137" t="s">
        <v>129</v>
      </c>
      <c r="G417" s="137" t="s">
        <v>129</v>
      </c>
      <c r="H417" s="137" t="s">
        <v>129</v>
      </c>
      <c r="I417" s="137" t="s">
        <v>129</v>
      </c>
      <c r="J417" s="137" t="s">
        <v>129</v>
      </c>
      <c r="K417" s="137" t="s">
        <v>129</v>
      </c>
      <c r="L417" s="137" t="s">
        <v>129</v>
      </c>
      <c r="M417" s="141"/>
      <c r="N417" s="143"/>
    </row>
    <row r="418" hidden="1" outlineLevel="1">
      <c r="A418" s="303" t="s">
        <v>3098</v>
      </c>
      <c r="B418" s="344">
        <v>46202.0</v>
      </c>
      <c r="C418" s="133" t="str">
        <f t="shared" si="47"/>
        <v>Mon</v>
      </c>
      <c r="D418" s="383">
        <f t="shared" si="48"/>
        <v>1</v>
      </c>
      <c r="E418" s="147" t="s">
        <v>129</v>
      </c>
      <c r="F418" s="137" t="s">
        <v>129</v>
      </c>
      <c r="G418" s="137" t="s">
        <v>129</v>
      </c>
      <c r="H418" s="137" t="s">
        <v>129</v>
      </c>
      <c r="I418" s="137" t="s">
        <v>129</v>
      </c>
      <c r="J418" s="137" t="s">
        <v>129</v>
      </c>
      <c r="K418" s="137" t="s">
        <v>129</v>
      </c>
      <c r="L418" s="137" t="s">
        <v>129</v>
      </c>
      <c r="M418" s="141"/>
      <c r="N418" s="147"/>
    </row>
    <row r="419" hidden="1" outlineLevel="1">
      <c r="A419" s="303" t="s">
        <v>3100</v>
      </c>
      <c r="B419" s="344">
        <v>46202.0</v>
      </c>
      <c r="C419" s="133" t="str">
        <f t="shared" si="47"/>
        <v>Mon</v>
      </c>
      <c r="D419" s="381">
        <f t="shared" si="48"/>
        <v>1</v>
      </c>
      <c r="E419" s="382" t="s">
        <v>129</v>
      </c>
      <c r="F419" s="137" t="s">
        <v>129</v>
      </c>
      <c r="G419" s="137" t="s">
        <v>129</v>
      </c>
      <c r="H419" s="137" t="s">
        <v>129</v>
      </c>
      <c r="I419" s="137" t="s">
        <v>129</v>
      </c>
      <c r="J419" s="137" t="s">
        <v>129</v>
      </c>
      <c r="K419" s="137" t="s">
        <v>129</v>
      </c>
      <c r="L419" s="137" t="s">
        <v>129</v>
      </c>
      <c r="M419" s="141"/>
      <c r="N419" s="147"/>
    </row>
    <row r="420" hidden="1" outlineLevel="1">
      <c r="A420" s="303" t="s">
        <v>3103</v>
      </c>
      <c r="B420" s="344">
        <v>46203.0</v>
      </c>
      <c r="C420" s="133" t="str">
        <f t="shared" si="47"/>
        <v>Tue</v>
      </c>
      <c r="D420" s="383">
        <f t="shared" si="48"/>
        <v>1</v>
      </c>
      <c r="E420" s="147" t="s">
        <v>129</v>
      </c>
      <c r="F420" s="137" t="s">
        <v>129</v>
      </c>
      <c r="G420" s="137" t="s">
        <v>129</v>
      </c>
      <c r="H420" s="137" t="s">
        <v>129</v>
      </c>
      <c r="I420" s="137" t="s">
        <v>129</v>
      </c>
      <c r="J420" s="137" t="s">
        <v>129</v>
      </c>
      <c r="K420" s="137" t="s">
        <v>129</v>
      </c>
      <c r="L420" s="137" t="s">
        <v>129</v>
      </c>
      <c r="M420" s="141"/>
      <c r="N420" s="143"/>
    </row>
    <row r="421" hidden="1" outlineLevel="1">
      <c r="A421" s="303" t="s">
        <v>3106</v>
      </c>
      <c r="B421" s="344">
        <v>46203.0</v>
      </c>
      <c r="C421" s="133" t="str">
        <f t="shared" si="47"/>
        <v>Tue</v>
      </c>
      <c r="D421" s="381">
        <f t="shared" si="48"/>
        <v>1</v>
      </c>
      <c r="E421" s="382" t="s">
        <v>129</v>
      </c>
      <c r="F421" s="137" t="s">
        <v>129</v>
      </c>
      <c r="G421" s="137" t="s">
        <v>129</v>
      </c>
      <c r="H421" s="137" t="s">
        <v>129</v>
      </c>
      <c r="I421" s="137" t="s">
        <v>129</v>
      </c>
      <c r="J421" s="137" t="s">
        <v>129</v>
      </c>
      <c r="K421" s="137" t="s">
        <v>129</v>
      </c>
      <c r="L421" s="137" t="s">
        <v>129</v>
      </c>
      <c r="M421" s="141"/>
      <c r="N421" s="143"/>
    </row>
    <row r="422" hidden="1" outlineLevel="1">
      <c r="A422" s="303" t="s">
        <v>3109</v>
      </c>
      <c r="B422" s="344">
        <v>46203.0</v>
      </c>
      <c r="C422" s="133" t="str">
        <f t="shared" si="47"/>
        <v>Tue</v>
      </c>
      <c r="D422" s="383">
        <f t="shared" si="48"/>
        <v>1</v>
      </c>
      <c r="E422" s="147" t="s">
        <v>129</v>
      </c>
      <c r="F422" s="137" t="s">
        <v>129</v>
      </c>
      <c r="G422" s="137" t="s">
        <v>129</v>
      </c>
      <c r="H422" s="137" t="s">
        <v>129</v>
      </c>
      <c r="I422" s="137" t="s">
        <v>129</v>
      </c>
      <c r="J422" s="137" t="s">
        <v>129</v>
      </c>
      <c r="K422" s="137" t="s">
        <v>129</v>
      </c>
      <c r="L422" s="137" t="s">
        <v>129</v>
      </c>
      <c r="M422" s="141"/>
      <c r="N422" s="143"/>
    </row>
    <row r="423" hidden="1" outlineLevel="1">
      <c r="A423" s="303" t="s">
        <v>3112</v>
      </c>
      <c r="B423" s="344">
        <v>46204.0</v>
      </c>
      <c r="C423" s="133" t="str">
        <f t="shared" si="47"/>
        <v>Wed</v>
      </c>
      <c r="D423" s="381">
        <f t="shared" si="48"/>
        <v>1</v>
      </c>
      <c r="E423" s="382" t="s">
        <v>129</v>
      </c>
      <c r="F423" s="137" t="s">
        <v>129</v>
      </c>
      <c r="G423" s="137" t="s">
        <v>129</v>
      </c>
      <c r="H423" s="137" t="s">
        <v>129</v>
      </c>
      <c r="I423" s="137" t="s">
        <v>129</v>
      </c>
      <c r="J423" s="137" t="s">
        <v>129</v>
      </c>
      <c r="K423" s="137" t="s">
        <v>129</v>
      </c>
      <c r="L423" s="137" t="s">
        <v>129</v>
      </c>
      <c r="M423" s="141"/>
      <c r="N423" s="143"/>
    </row>
    <row r="424" hidden="1" outlineLevel="1">
      <c r="A424" s="303" t="s">
        <v>3114</v>
      </c>
      <c r="B424" s="344">
        <v>46204.0</v>
      </c>
      <c r="C424" s="133" t="str">
        <f t="shared" si="47"/>
        <v>Wed</v>
      </c>
      <c r="D424" s="383">
        <f t="shared" si="48"/>
        <v>1</v>
      </c>
      <c r="E424" s="147" t="s">
        <v>129</v>
      </c>
      <c r="F424" s="137" t="s">
        <v>129</v>
      </c>
      <c r="G424" s="137" t="s">
        <v>129</v>
      </c>
      <c r="H424" s="137" t="s">
        <v>129</v>
      </c>
      <c r="I424" s="137" t="s">
        <v>129</v>
      </c>
      <c r="J424" s="137" t="s">
        <v>129</v>
      </c>
      <c r="K424" s="137" t="s">
        <v>129</v>
      </c>
      <c r="L424" s="137" t="s">
        <v>129</v>
      </c>
      <c r="M424" s="141"/>
      <c r="N424" s="147"/>
    </row>
    <row r="425" hidden="1" outlineLevel="1">
      <c r="A425" s="303" t="s">
        <v>3116</v>
      </c>
      <c r="B425" s="344">
        <v>46204.0</v>
      </c>
      <c r="C425" s="133" t="str">
        <f t="shared" si="47"/>
        <v>Wed</v>
      </c>
      <c r="D425" s="381">
        <f t="shared" si="48"/>
        <v>1</v>
      </c>
      <c r="E425" s="382" t="s">
        <v>129</v>
      </c>
      <c r="F425" s="137" t="s">
        <v>129</v>
      </c>
      <c r="G425" s="137" t="s">
        <v>129</v>
      </c>
      <c r="H425" s="137" t="s">
        <v>129</v>
      </c>
      <c r="I425" s="137" t="s">
        <v>129</v>
      </c>
      <c r="J425" s="137" t="s">
        <v>129</v>
      </c>
      <c r="K425" s="137" t="s">
        <v>129</v>
      </c>
      <c r="L425" s="137" t="s">
        <v>129</v>
      </c>
      <c r="M425" s="141"/>
      <c r="N425" s="143"/>
    </row>
    <row r="426" hidden="1" outlineLevel="1">
      <c r="A426" s="303" t="s">
        <v>3119</v>
      </c>
      <c r="B426" s="344">
        <v>46205.0</v>
      </c>
      <c r="C426" s="133" t="str">
        <f t="shared" si="47"/>
        <v>Thu</v>
      </c>
      <c r="D426" s="383">
        <f t="shared" si="48"/>
        <v>1</v>
      </c>
      <c r="E426" s="147" t="s">
        <v>129</v>
      </c>
      <c r="F426" s="137" t="s">
        <v>129</v>
      </c>
      <c r="G426" s="137" t="s">
        <v>129</v>
      </c>
      <c r="H426" s="137" t="s">
        <v>129</v>
      </c>
      <c r="I426" s="137" t="s">
        <v>129</v>
      </c>
      <c r="J426" s="137" t="s">
        <v>129</v>
      </c>
      <c r="K426" s="137" t="s">
        <v>129</v>
      </c>
      <c r="L426" s="137" t="s">
        <v>129</v>
      </c>
      <c r="M426" s="141"/>
      <c r="N426" s="147"/>
    </row>
    <row r="427" hidden="1" outlineLevel="1">
      <c r="A427" s="376" t="s">
        <v>3123</v>
      </c>
      <c r="B427" s="344">
        <v>46205.0</v>
      </c>
      <c r="C427" s="133" t="str">
        <f t="shared" si="47"/>
        <v>Thu</v>
      </c>
      <c r="D427" s="381">
        <f t="shared" si="48"/>
        <v>0.3</v>
      </c>
      <c r="E427" s="382" t="s">
        <v>129</v>
      </c>
      <c r="F427" s="137" t="s">
        <v>129</v>
      </c>
      <c r="G427" s="137" t="s">
        <v>129</v>
      </c>
      <c r="H427" s="137" t="s">
        <v>174</v>
      </c>
      <c r="I427" s="137" t="s">
        <v>174</v>
      </c>
      <c r="J427" s="137" t="s">
        <v>174</v>
      </c>
      <c r="K427" s="137" t="s">
        <v>174</v>
      </c>
      <c r="L427" s="137" t="s">
        <v>174</v>
      </c>
      <c r="M427" s="141"/>
      <c r="N427" s="147" t="s">
        <v>3125</v>
      </c>
    </row>
    <row r="428" hidden="1" outlineLevel="1">
      <c r="A428" s="303" t="s">
        <v>3126</v>
      </c>
      <c r="B428" s="344">
        <v>46205.0</v>
      </c>
      <c r="C428" s="133" t="str">
        <f t="shared" si="47"/>
        <v>Thu</v>
      </c>
      <c r="D428" s="383">
        <f t="shared" si="48"/>
        <v>1</v>
      </c>
      <c r="E428" s="147" t="s">
        <v>129</v>
      </c>
      <c r="F428" s="137" t="s">
        <v>129</v>
      </c>
      <c r="G428" s="137" t="s">
        <v>129</v>
      </c>
      <c r="H428" s="137" t="s">
        <v>129</v>
      </c>
      <c r="I428" s="137" t="s">
        <v>129</v>
      </c>
      <c r="J428" s="137" t="s">
        <v>129</v>
      </c>
      <c r="K428" s="137" t="s">
        <v>129</v>
      </c>
      <c r="L428" s="137" t="s">
        <v>129</v>
      </c>
      <c r="M428" s="141"/>
      <c r="N428" s="147"/>
    </row>
    <row r="429" hidden="1" outlineLevel="1">
      <c r="A429" s="303" t="s">
        <v>3128</v>
      </c>
      <c r="B429" s="344">
        <v>46208.0</v>
      </c>
      <c r="C429" s="133" t="str">
        <f t="shared" si="47"/>
        <v>Sun</v>
      </c>
      <c r="D429" s="381">
        <f t="shared" si="48"/>
        <v>1</v>
      </c>
      <c r="E429" s="382" t="s">
        <v>129</v>
      </c>
      <c r="F429" s="137" t="s">
        <v>129</v>
      </c>
      <c r="G429" s="137" t="s">
        <v>129</v>
      </c>
      <c r="H429" s="137" t="s">
        <v>129</v>
      </c>
      <c r="I429" s="137" t="s">
        <v>129</v>
      </c>
      <c r="J429" s="137" t="s">
        <v>129</v>
      </c>
      <c r="K429" s="137" t="s">
        <v>129</v>
      </c>
      <c r="L429" s="137" t="s">
        <v>129</v>
      </c>
      <c r="M429" s="141"/>
      <c r="N429" s="143"/>
    </row>
    <row r="430" hidden="1" outlineLevel="1">
      <c r="A430" s="303" t="s">
        <v>3132</v>
      </c>
      <c r="B430" s="344">
        <v>46208.0</v>
      </c>
      <c r="C430" s="133" t="str">
        <f t="shared" si="47"/>
        <v>Sun</v>
      </c>
      <c r="D430" s="383">
        <f t="shared" si="48"/>
        <v>1</v>
      </c>
      <c r="E430" s="147" t="s">
        <v>129</v>
      </c>
      <c r="F430" s="137" t="s">
        <v>129</v>
      </c>
      <c r="G430" s="137" t="s">
        <v>129</v>
      </c>
      <c r="H430" s="137" t="s">
        <v>129</v>
      </c>
      <c r="I430" s="137" t="s">
        <v>129</v>
      </c>
      <c r="J430" s="137" t="s">
        <v>129</v>
      </c>
      <c r="K430" s="137" t="s">
        <v>129</v>
      </c>
      <c r="L430" s="137" t="s">
        <v>129</v>
      </c>
      <c r="M430" s="141"/>
      <c r="N430" s="143"/>
    </row>
    <row r="431" ht="15.0" hidden="1" customHeight="1" outlineLevel="1">
      <c r="A431" s="303" t="s">
        <v>3133</v>
      </c>
      <c r="B431" s="344">
        <v>46208.0</v>
      </c>
      <c r="C431" s="133" t="str">
        <f t="shared" si="47"/>
        <v>Sun</v>
      </c>
      <c r="D431" s="381">
        <f t="shared" si="48"/>
        <v>1</v>
      </c>
      <c r="E431" s="382" t="s">
        <v>129</v>
      </c>
      <c r="F431" s="137" t="s">
        <v>129</v>
      </c>
      <c r="G431" s="137" t="s">
        <v>129</v>
      </c>
      <c r="H431" s="137" t="s">
        <v>129</v>
      </c>
      <c r="I431" s="137" t="s">
        <v>129</v>
      </c>
      <c r="J431" s="137" t="s">
        <v>129</v>
      </c>
      <c r="K431" s="137" t="s">
        <v>129</v>
      </c>
      <c r="L431" s="137" t="s">
        <v>129</v>
      </c>
      <c r="M431" s="141"/>
      <c r="N431" s="147"/>
    </row>
    <row r="432" hidden="1" outlineLevel="1">
      <c r="B432" s="189"/>
      <c r="C432" s="191" t="s">
        <v>194</v>
      </c>
      <c r="D432" s="204">
        <f>AVERAGE(D417:D431)</f>
        <v>0.9533333333</v>
      </c>
      <c r="E432" s="384"/>
      <c r="L432" s="191" t="s">
        <v>194</v>
      </c>
      <c r="M432" s="204">
        <f>SUM(M417:M431)/75*0.1</f>
        <v>0</v>
      </c>
    </row>
    <row r="433" hidden="1" collapsed="1">
      <c r="A433" s="206" t="s">
        <v>1220</v>
      </c>
      <c r="B433" s="207"/>
      <c r="C433" s="207"/>
      <c r="D433" s="385"/>
      <c r="E433" s="109"/>
      <c r="F433" s="109"/>
      <c r="G433" s="110"/>
      <c r="H433" s="110"/>
      <c r="I433" s="110"/>
      <c r="J433" s="110"/>
      <c r="K433" s="110"/>
      <c r="L433" s="110"/>
      <c r="M433" s="111"/>
      <c r="N433" s="113"/>
    </row>
    <row r="434" hidden="1" outlineLevel="1">
      <c r="A434" s="373" t="s">
        <v>98</v>
      </c>
      <c r="B434" s="115" t="s">
        <v>100</v>
      </c>
      <c r="C434" s="115" t="s">
        <v>102</v>
      </c>
      <c r="D434" s="119" t="s">
        <v>103</v>
      </c>
      <c r="E434" s="275" t="s">
        <v>269</v>
      </c>
      <c r="F434" s="275" t="s">
        <v>272</v>
      </c>
      <c r="G434" s="276" t="s">
        <v>328</v>
      </c>
      <c r="H434" s="121" t="s">
        <v>107</v>
      </c>
      <c r="I434" s="121" t="s">
        <v>108</v>
      </c>
      <c r="J434" s="276" t="s">
        <v>329</v>
      </c>
      <c r="K434" s="121" t="s">
        <v>111</v>
      </c>
      <c r="L434" s="276" t="s">
        <v>274</v>
      </c>
      <c r="M434" s="115" t="s">
        <v>114</v>
      </c>
      <c r="N434" s="119" t="s">
        <v>115</v>
      </c>
    </row>
    <row r="435" hidden="1" outlineLevel="1">
      <c r="A435" s="303" t="s">
        <v>3140</v>
      </c>
      <c r="B435" s="344">
        <v>46209.0</v>
      </c>
      <c r="C435" s="133" t="str">
        <f t="shared" ref="C435:C449" si="49">IF(B435="", "", TEXT(B435, "ddd"))</f>
        <v>Mon</v>
      </c>
      <c r="D435" s="381">
        <f t="shared" ref="D435:D449" si="50">IF(E435="Yes",0.05,0)
+IF(F435="Yes",0.1,0)
+IF(G435="Yes",0.15,0)
+IF(H435="Yes",0.15,0)
+IF(I435="Yes",0.05,0)
+IF(J435="Yes",0.05,0)
+IF(K435="Yes",0.15,0)
+IF(L435="Yes",0.3,0)
</f>
        <v>1</v>
      </c>
      <c r="E435" s="382" t="s">
        <v>129</v>
      </c>
      <c r="F435" s="137" t="s">
        <v>129</v>
      </c>
      <c r="G435" s="137" t="s">
        <v>129</v>
      </c>
      <c r="H435" s="137" t="s">
        <v>129</v>
      </c>
      <c r="I435" s="137" t="s">
        <v>129</v>
      </c>
      <c r="J435" s="137" t="s">
        <v>129</v>
      </c>
      <c r="K435" s="137" t="s">
        <v>129</v>
      </c>
      <c r="L435" s="137" t="s">
        <v>129</v>
      </c>
      <c r="M435" s="141"/>
      <c r="N435" s="143"/>
    </row>
    <row r="436" hidden="1" outlineLevel="1">
      <c r="A436" s="303" t="s">
        <v>3144</v>
      </c>
      <c r="B436" s="344">
        <v>46209.0</v>
      </c>
      <c r="C436" s="133" t="str">
        <f t="shared" si="49"/>
        <v>Mon</v>
      </c>
      <c r="D436" s="383">
        <f t="shared" si="50"/>
        <v>1</v>
      </c>
      <c r="E436" s="147" t="s">
        <v>129</v>
      </c>
      <c r="F436" s="137" t="s">
        <v>129</v>
      </c>
      <c r="G436" s="137" t="s">
        <v>129</v>
      </c>
      <c r="H436" s="137" t="s">
        <v>129</v>
      </c>
      <c r="I436" s="137" t="s">
        <v>129</v>
      </c>
      <c r="J436" s="137" t="s">
        <v>129</v>
      </c>
      <c r="K436" s="137" t="s">
        <v>129</v>
      </c>
      <c r="L436" s="137" t="s">
        <v>129</v>
      </c>
      <c r="M436" s="141"/>
      <c r="N436" s="147"/>
    </row>
    <row r="437" hidden="1" outlineLevel="1">
      <c r="A437" s="303" t="s">
        <v>3146</v>
      </c>
      <c r="B437" s="344">
        <v>46209.0</v>
      </c>
      <c r="C437" s="133" t="str">
        <f t="shared" si="49"/>
        <v>Mon</v>
      </c>
      <c r="D437" s="381">
        <f t="shared" si="50"/>
        <v>1</v>
      </c>
      <c r="E437" s="382" t="s">
        <v>129</v>
      </c>
      <c r="F437" s="137" t="s">
        <v>129</v>
      </c>
      <c r="G437" s="137" t="s">
        <v>129</v>
      </c>
      <c r="H437" s="137" t="s">
        <v>129</v>
      </c>
      <c r="I437" s="137" t="s">
        <v>129</v>
      </c>
      <c r="J437" s="137" t="s">
        <v>129</v>
      </c>
      <c r="K437" s="137" t="s">
        <v>129</v>
      </c>
      <c r="L437" s="137" t="s">
        <v>129</v>
      </c>
      <c r="M437" s="141"/>
      <c r="N437" s="147"/>
    </row>
    <row r="438" hidden="1" outlineLevel="1">
      <c r="A438" s="303" t="s">
        <v>3148</v>
      </c>
      <c r="B438" s="344">
        <v>46210.0</v>
      </c>
      <c r="C438" s="133" t="str">
        <f t="shared" si="49"/>
        <v>Tue</v>
      </c>
      <c r="D438" s="383">
        <f t="shared" si="50"/>
        <v>1</v>
      </c>
      <c r="E438" s="147" t="s">
        <v>129</v>
      </c>
      <c r="F438" s="137" t="s">
        <v>129</v>
      </c>
      <c r="G438" s="137" t="s">
        <v>129</v>
      </c>
      <c r="H438" s="137" t="s">
        <v>129</v>
      </c>
      <c r="I438" s="137" t="s">
        <v>129</v>
      </c>
      <c r="J438" s="137" t="s">
        <v>129</v>
      </c>
      <c r="K438" s="137" t="s">
        <v>129</v>
      </c>
      <c r="L438" s="137" t="s">
        <v>129</v>
      </c>
      <c r="M438" s="141"/>
      <c r="N438" s="143"/>
    </row>
    <row r="439" hidden="1" outlineLevel="1">
      <c r="A439" s="303" t="s">
        <v>3152</v>
      </c>
      <c r="B439" s="344">
        <v>46210.0</v>
      </c>
      <c r="C439" s="133" t="str">
        <f t="shared" si="49"/>
        <v>Tue</v>
      </c>
      <c r="D439" s="381">
        <f t="shared" si="50"/>
        <v>1</v>
      </c>
      <c r="E439" s="382" t="s">
        <v>129</v>
      </c>
      <c r="F439" s="137" t="s">
        <v>129</v>
      </c>
      <c r="G439" s="137" t="s">
        <v>129</v>
      </c>
      <c r="H439" s="137" t="s">
        <v>129</v>
      </c>
      <c r="I439" s="137" t="s">
        <v>129</v>
      </c>
      <c r="J439" s="137" t="s">
        <v>129</v>
      </c>
      <c r="K439" s="137" t="s">
        <v>129</v>
      </c>
      <c r="L439" s="137" t="s">
        <v>129</v>
      </c>
      <c r="M439" s="141"/>
      <c r="N439" s="143"/>
    </row>
    <row r="440" hidden="1" outlineLevel="1">
      <c r="A440" s="303" t="s">
        <v>3153</v>
      </c>
      <c r="B440" s="344">
        <v>46210.0</v>
      </c>
      <c r="C440" s="133" t="str">
        <f t="shared" si="49"/>
        <v>Tue</v>
      </c>
      <c r="D440" s="383">
        <f t="shared" si="50"/>
        <v>1</v>
      </c>
      <c r="E440" s="147" t="s">
        <v>129</v>
      </c>
      <c r="F440" s="137" t="s">
        <v>129</v>
      </c>
      <c r="G440" s="137" t="s">
        <v>129</v>
      </c>
      <c r="H440" s="137" t="s">
        <v>129</v>
      </c>
      <c r="I440" s="137" t="s">
        <v>129</v>
      </c>
      <c r="J440" s="137" t="s">
        <v>129</v>
      </c>
      <c r="K440" s="137" t="s">
        <v>129</v>
      </c>
      <c r="L440" s="137" t="s">
        <v>129</v>
      </c>
      <c r="M440" s="141"/>
      <c r="N440" s="143"/>
    </row>
    <row r="441" hidden="1" outlineLevel="1">
      <c r="A441" s="303" t="s">
        <v>3156</v>
      </c>
      <c r="B441" s="344">
        <v>46211.0</v>
      </c>
      <c r="C441" s="133" t="str">
        <f t="shared" si="49"/>
        <v>Wed</v>
      </c>
      <c r="D441" s="381">
        <f t="shared" si="50"/>
        <v>1</v>
      </c>
      <c r="E441" s="382" t="s">
        <v>129</v>
      </c>
      <c r="F441" s="137" t="s">
        <v>129</v>
      </c>
      <c r="G441" s="137" t="s">
        <v>129</v>
      </c>
      <c r="H441" s="137" t="s">
        <v>129</v>
      </c>
      <c r="I441" s="137" t="s">
        <v>129</v>
      </c>
      <c r="J441" s="137" t="s">
        <v>129</v>
      </c>
      <c r="K441" s="137" t="s">
        <v>129</v>
      </c>
      <c r="L441" s="137" t="s">
        <v>129</v>
      </c>
      <c r="M441" s="141"/>
      <c r="N441" s="143"/>
    </row>
    <row r="442" hidden="1" outlineLevel="1">
      <c r="A442" s="303" t="s">
        <v>3159</v>
      </c>
      <c r="B442" s="344">
        <v>46211.0</v>
      </c>
      <c r="C442" s="133" t="str">
        <f t="shared" si="49"/>
        <v>Wed</v>
      </c>
      <c r="D442" s="383">
        <f t="shared" si="50"/>
        <v>1</v>
      </c>
      <c r="E442" s="147" t="s">
        <v>129</v>
      </c>
      <c r="F442" s="137" t="s">
        <v>129</v>
      </c>
      <c r="G442" s="137" t="s">
        <v>129</v>
      </c>
      <c r="H442" s="137" t="s">
        <v>129</v>
      </c>
      <c r="I442" s="137" t="s">
        <v>129</v>
      </c>
      <c r="J442" s="137" t="s">
        <v>129</v>
      </c>
      <c r="K442" s="137" t="s">
        <v>129</v>
      </c>
      <c r="L442" s="137" t="s">
        <v>129</v>
      </c>
      <c r="M442" s="141"/>
      <c r="N442" s="147"/>
    </row>
    <row r="443" hidden="1" outlineLevel="1">
      <c r="A443" s="303" t="s">
        <v>3160</v>
      </c>
      <c r="B443" s="344">
        <v>46211.0</v>
      </c>
      <c r="C443" s="133" t="str">
        <f t="shared" si="49"/>
        <v>Wed</v>
      </c>
      <c r="D443" s="381">
        <f t="shared" si="50"/>
        <v>1</v>
      </c>
      <c r="E443" s="382" t="s">
        <v>129</v>
      </c>
      <c r="F443" s="137" t="s">
        <v>129</v>
      </c>
      <c r="G443" s="137" t="s">
        <v>129</v>
      </c>
      <c r="H443" s="137" t="s">
        <v>129</v>
      </c>
      <c r="I443" s="137" t="s">
        <v>129</v>
      </c>
      <c r="J443" s="137" t="s">
        <v>129</v>
      </c>
      <c r="K443" s="137" t="s">
        <v>129</v>
      </c>
      <c r="L443" s="137" t="s">
        <v>129</v>
      </c>
      <c r="M443" s="141"/>
      <c r="N443" s="143"/>
    </row>
    <row r="444" hidden="1" outlineLevel="1">
      <c r="A444" s="303" t="s">
        <v>3162</v>
      </c>
      <c r="B444" s="344">
        <v>46212.0</v>
      </c>
      <c r="C444" s="133" t="str">
        <f t="shared" si="49"/>
        <v>Thu</v>
      </c>
      <c r="D444" s="383">
        <f t="shared" si="50"/>
        <v>1</v>
      </c>
      <c r="E444" s="147" t="s">
        <v>129</v>
      </c>
      <c r="F444" s="137" t="s">
        <v>129</v>
      </c>
      <c r="G444" s="137" t="s">
        <v>129</v>
      </c>
      <c r="H444" s="137" t="s">
        <v>129</v>
      </c>
      <c r="I444" s="137" t="s">
        <v>129</v>
      </c>
      <c r="J444" s="137" t="s">
        <v>129</v>
      </c>
      <c r="K444" s="137" t="s">
        <v>129</v>
      </c>
      <c r="L444" s="137" t="s">
        <v>129</v>
      </c>
      <c r="M444" s="141"/>
      <c r="N444" s="147"/>
    </row>
    <row r="445" hidden="1" outlineLevel="1">
      <c r="A445" s="303" t="s">
        <v>3168</v>
      </c>
      <c r="B445" s="344">
        <v>46212.0</v>
      </c>
      <c r="C445" s="133" t="str">
        <f t="shared" si="49"/>
        <v>Thu</v>
      </c>
      <c r="D445" s="381">
        <f t="shared" si="50"/>
        <v>1</v>
      </c>
      <c r="E445" s="382" t="s">
        <v>129</v>
      </c>
      <c r="F445" s="137" t="s">
        <v>129</v>
      </c>
      <c r="G445" s="137" t="s">
        <v>129</v>
      </c>
      <c r="H445" s="137" t="s">
        <v>129</v>
      </c>
      <c r="I445" s="137" t="s">
        <v>129</v>
      </c>
      <c r="J445" s="137" t="s">
        <v>129</v>
      </c>
      <c r="K445" s="137" t="s">
        <v>129</v>
      </c>
      <c r="L445" s="137" t="s">
        <v>129</v>
      </c>
      <c r="M445" s="141"/>
      <c r="N445" s="147"/>
    </row>
    <row r="446" hidden="1" outlineLevel="1">
      <c r="A446" s="303" t="s">
        <v>3171</v>
      </c>
      <c r="B446" s="344">
        <v>46212.0</v>
      </c>
      <c r="C446" s="133" t="str">
        <f t="shared" si="49"/>
        <v>Thu</v>
      </c>
      <c r="D446" s="383">
        <f t="shared" si="50"/>
        <v>1</v>
      </c>
      <c r="E446" s="147" t="s">
        <v>129</v>
      </c>
      <c r="F446" s="137" t="s">
        <v>129</v>
      </c>
      <c r="G446" s="137" t="s">
        <v>129</v>
      </c>
      <c r="H446" s="137" t="s">
        <v>129</v>
      </c>
      <c r="I446" s="137" t="s">
        <v>129</v>
      </c>
      <c r="J446" s="137" t="s">
        <v>129</v>
      </c>
      <c r="K446" s="137" t="s">
        <v>129</v>
      </c>
      <c r="L446" s="137" t="s">
        <v>129</v>
      </c>
      <c r="M446" s="141"/>
      <c r="N446" s="147"/>
    </row>
    <row r="447" hidden="1" outlineLevel="1">
      <c r="A447" s="255" t="s">
        <v>3175</v>
      </c>
      <c r="B447" s="344">
        <v>46215.0</v>
      </c>
      <c r="C447" s="133" t="str">
        <f t="shared" si="49"/>
        <v>Sun</v>
      </c>
      <c r="D447" s="381">
        <f t="shared" si="50"/>
        <v>1</v>
      </c>
      <c r="E447" s="382" t="s">
        <v>129</v>
      </c>
      <c r="F447" s="137" t="s">
        <v>129</v>
      </c>
      <c r="G447" s="137" t="s">
        <v>129</v>
      </c>
      <c r="H447" s="137" t="s">
        <v>129</v>
      </c>
      <c r="I447" s="137" t="s">
        <v>129</v>
      </c>
      <c r="J447" s="137" t="s">
        <v>129</v>
      </c>
      <c r="K447" s="137" t="s">
        <v>129</v>
      </c>
      <c r="L447" s="137" t="s">
        <v>129</v>
      </c>
      <c r="M447" s="141"/>
      <c r="N447" s="143"/>
    </row>
    <row r="448" hidden="1" outlineLevel="1">
      <c r="A448" s="255" t="s">
        <v>3177</v>
      </c>
      <c r="B448" s="344">
        <v>46215.0</v>
      </c>
      <c r="C448" s="133" t="str">
        <f t="shared" si="49"/>
        <v>Sun</v>
      </c>
      <c r="D448" s="383">
        <f t="shared" si="50"/>
        <v>1</v>
      </c>
      <c r="E448" s="147" t="s">
        <v>129</v>
      </c>
      <c r="F448" s="137" t="s">
        <v>129</v>
      </c>
      <c r="G448" s="137" t="s">
        <v>129</v>
      </c>
      <c r="H448" s="137" t="s">
        <v>129</v>
      </c>
      <c r="I448" s="137" t="s">
        <v>129</v>
      </c>
      <c r="J448" s="137" t="s">
        <v>129</v>
      </c>
      <c r="K448" s="137" t="s">
        <v>129</v>
      </c>
      <c r="L448" s="137" t="s">
        <v>129</v>
      </c>
      <c r="M448" s="141"/>
      <c r="N448" s="143"/>
    </row>
    <row r="449" ht="15.0" hidden="1" customHeight="1" outlineLevel="1">
      <c r="A449" s="255" t="s">
        <v>3179</v>
      </c>
      <c r="B449" s="344">
        <v>46215.0</v>
      </c>
      <c r="C449" s="133" t="str">
        <f t="shared" si="49"/>
        <v>Sun</v>
      </c>
      <c r="D449" s="381">
        <f t="shared" si="50"/>
        <v>1</v>
      </c>
      <c r="E449" s="382" t="s">
        <v>129</v>
      </c>
      <c r="F449" s="137" t="s">
        <v>129</v>
      </c>
      <c r="G449" s="137" t="s">
        <v>129</v>
      </c>
      <c r="H449" s="137" t="s">
        <v>129</v>
      </c>
      <c r="I449" s="137" t="s">
        <v>129</v>
      </c>
      <c r="J449" s="137" t="s">
        <v>129</v>
      </c>
      <c r="K449" s="137" t="s">
        <v>129</v>
      </c>
      <c r="L449" s="137" t="s">
        <v>129</v>
      </c>
      <c r="M449" s="141"/>
      <c r="N449" s="147"/>
    </row>
    <row r="450" hidden="1" outlineLevel="1">
      <c r="B450" s="189"/>
      <c r="C450" s="191" t="s">
        <v>194</v>
      </c>
      <c r="D450" s="204">
        <f>AVERAGE(D435:D449)</f>
        <v>1</v>
      </c>
      <c r="E450" s="384"/>
      <c r="L450" s="191" t="s">
        <v>194</v>
      </c>
      <c r="M450" s="204">
        <f>SUM(M435:M449)/75*0.1</f>
        <v>0</v>
      </c>
    </row>
    <row r="451" hidden="1" collapsed="1">
      <c r="A451" s="206" t="s">
        <v>1246</v>
      </c>
      <c r="B451" s="207"/>
      <c r="C451" s="207"/>
      <c r="D451" s="385"/>
      <c r="E451" s="109"/>
      <c r="F451" s="109"/>
      <c r="G451" s="110"/>
      <c r="H451" s="110"/>
      <c r="I451" s="110"/>
      <c r="J451" s="110"/>
      <c r="K451" s="110"/>
      <c r="L451" s="110"/>
      <c r="M451" s="111"/>
      <c r="N451" s="113"/>
    </row>
    <row r="452" hidden="1" outlineLevel="1">
      <c r="A452" s="373" t="s">
        <v>98</v>
      </c>
      <c r="B452" s="115" t="s">
        <v>100</v>
      </c>
      <c r="C452" s="115" t="s">
        <v>102</v>
      </c>
      <c r="D452" s="119" t="s">
        <v>103</v>
      </c>
      <c r="E452" s="275" t="s">
        <v>269</v>
      </c>
      <c r="F452" s="275" t="s">
        <v>272</v>
      </c>
      <c r="G452" s="276" t="s">
        <v>328</v>
      </c>
      <c r="H452" s="121" t="s">
        <v>107</v>
      </c>
      <c r="I452" s="121" t="s">
        <v>108</v>
      </c>
      <c r="J452" s="276" t="s">
        <v>329</v>
      </c>
      <c r="K452" s="121" t="s">
        <v>111</v>
      </c>
      <c r="L452" s="276" t="s">
        <v>274</v>
      </c>
      <c r="M452" s="115" t="s">
        <v>114</v>
      </c>
      <c r="N452" s="119" t="s">
        <v>115</v>
      </c>
    </row>
    <row r="453" hidden="1" outlineLevel="1">
      <c r="A453" s="303" t="s">
        <v>3185</v>
      </c>
      <c r="B453" s="344">
        <v>46216.0</v>
      </c>
      <c r="C453" s="133" t="str">
        <f t="shared" ref="C453:C467" si="51">IF(B453="", "", TEXT(B453, "ddd"))</f>
        <v>Mon</v>
      </c>
      <c r="D453" s="381">
        <f t="shared" ref="D453:D467" si="52">IF(E453="Yes",0.05,0)
+IF(F453="Yes",0.1,0)
+IF(G453="Yes",0.15,0)
+IF(H453="Yes",0.15,0)
+IF(I453="Yes",0.05,0)
+IF(J453="Yes",0.05,0)
+IF(K453="Yes",0.15,0)
+IF(L453="Yes",0.3,0)
</f>
        <v>1</v>
      </c>
      <c r="E453" s="382" t="s">
        <v>129</v>
      </c>
      <c r="F453" s="137" t="s">
        <v>129</v>
      </c>
      <c r="G453" s="137" t="s">
        <v>129</v>
      </c>
      <c r="H453" s="137" t="s">
        <v>129</v>
      </c>
      <c r="I453" s="137" t="s">
        <v>129</v>
      </c>
      <c r="J453" s="137" t="s">
        <v>129</v>
      </c>
      <c r="K453" s="137" t="s">
        <v>129</v>
      </c>
      <c r="L453" s="137" t="s">
        <v>129</v>
      </c>
      <c r="M453" s="141"/>
      <c r="N453" s="143"/>
    </row>
    <row r="454" hidden="1" outlineLevel="1">
      <c r="A454" s="303" t="s">
        <v>3188</v>
      </c>
      <c r="B454" s="344">
        <v>46216.0</v>
      </c>
      <c r="C454" s="133" t="str">
        <f t="shared" si="51"/>
        <v>Mon</v>
      </c>
      <c r="D454" s="383">
        <f t="shared" si="52"/>
        <v>1</v>
      </c>
      <c r="E454" s="147" t="s">
        <v>129</v>
      </c>
      <c r="F454" s="137" t="s">
        <v>129</v>
      </c>
      <c r="G454" s="137" t="s">
        <v>129</v>
      </c>
      <c r="H454" s="137" t="s">
        <v>129</v>
      </c>
      <c r="I454" s="137" t="s">
        <v>129</v>
      </c>
      <c r="J454" s="137" t="s">
        <v>129</v>
      </c>
      <c r="K454" s="137" t="s">
        <v>129</v>
      </c>
      <c r="L454" s="137" t="s">
        <v>129</v>
      </c>
      <c r="M454" s="141"/>
      <c r="N454" s="147"/>
    </row>
    <row r="455" hidden="1" outlineLevel="1">
      <c r="A455" s="303" t="s">
        <v>3190</v>
      </c>
      <c r="B455" s="344">
        <v>46216.0</v>
      </c>
      <c r="C455" s="133" t="str">
        <f t="shared" si="51"/>
        <v>Mon</v>
      </c>
      <c r="D455" s="381">
        <f t="shared" si="52"/>
        <v>1</v>
      </c>
      <c r="E455" s="382" t="s">
        <v>129</v>
      </c>
      <c r="F455" s="137" t="s">
        <v>129</v>
      </c>
      <c r="G455" s="137" t="s">
        <v>129</v>
      </c>
      <c r="H455" s="137" t="s">
        <v>129</v>
      </c>
      <c r="I455" s="137" t="s">
        <v>129</v>
      </c>
      <c r="J455" s="137" t="s">
        <v>129</v>
      </c>
      <c r="K455" s="137" t="s">
        <v>129</v>
      </c>
      <c r="L455" s="137" t="s">
        <v>129</v>
      </c>
      <c r="M455" s="141"/>
      <c r="N455" s="147"/>
    </row>
    <row r="456" hidden="1" outlineLevel="1">
      <c r="A456" s="303" t="s">
        <v>3191</v>
      </c>
      <c r="B456" s="344">
        <v>46217.0</v>
      </c>
      <c r="C456" s="133" t="str">
        <f t="shared" si="51"/>
        <v>Tue</v>
      </c>
      <c r="D456" s="383">
        <f t="shared" si="52"/>
        <v>1</v>
      </c>
      <c r="E456" s="147" t="s">
        <v>129</v>
      </c>
      <c r="F456" s="137" t="s">
        <v>129</v>
      </c>
      <c r="G456" s="137" t="s">
        <v>129</v>
      </c>
      <c r="H456" s="137" t="s">
        <v>129</v>
      </c>
      <c r="I456" s="137" t="s">
        <v>129</v>
      </c>
      <c r="J456" s="137" t="s">
        <v>129</v>
      </c>
      <c r="K456" s="137" t="s">
        <v>129</v>
      </c>
      <c r="L456" s="137" t="s">
        <v>129</v>
      </c>
      <c r="M456" s="141"/>
      <c r="N456" s="143"/>
    </row>
    <row r="457" hidden="1" outlineLevel="1">
      <c r="A457" s="303" t="s">
        <v>3193</v>
      </c>
      <c r="B457" s="344">
        <v>46217.0</v>
      </c>
      <c r="C457" s="133" t="str">
        <f t="shared" si="51"/>
        <v>Tue</v>
      </c>
      <c r="D457" s="381">
        <f t="shared" si="52"/>
        <v>1</v>
      </c>
      <c r="E457" s="382" t="s">
        <v>129</v>
      </c>
      <c r="F457" s="137" t="s">
        <v>129</v>
      </c>
      <c r="G457" s="137" t="s">
        <v>129</v>
      </c>
      <c r="H457" s="137" t="s">
        <v>129</v>
      </c>
      <c r="I457" s="137" t="s">
        <v>129</v>
      </c>
      <c r="J457" s="137" t="s">
        <v>129</v>
      </c>
      <c r="K457" s="137" t="s">
        <v>129</v>
      </c>
      <c r="L457" s="137" t="s">
        <v>129</v>
      </c>
      <c r="M457" s="141"/>
      <c r="N457" s="143"/>
    </row>
    <row r="458" hidden="1" outlineLevel="1">
      <c r="A458" s="303" t="s">
        <v>3196</v>
      </c>
      <c r="B458" s="344">
        <v>46217.0</v>
      </c>
      <c r="C458" s="133" t="str">
        <f t="shared" si="51"/>
        <v>Tue</v>
      </c>
      <c r="D458" s="383">
        <f t="shared" si="52"/>
        <v>1</v>
      </c>
      <c r="E458" s="147" t="s">
        <v>129</v>
      </c>
      <c r="F458" s="137" t="s">
        <v>129</v>
      </c>
      <c r="G458" s="137" t="s">
        <v>129</v>
      </c>
      <c r="H458" s="137" t="s">
        <v>129</v>
      </c>
      <c r="I458" s="137" t="s">
        <v>129</v>
      </c>
      <c r="J458" s="137" t="s">
        <v>129</v>
      </c>
      <c r="K458" s="137" t="s">
        <v>129</v>
      </c>
      <c r="L458" s="137" t="s">
        <v>129</v>
      </c>
      <c r="M458" s="141"/>
      <c r="N458" s="143"/>
    </row>
    <row r="459" hidden="1" outlineLevel="1">
      <c r="A459" s="303" t="s">
        <v>3197</v>
      </c>
      <c r="B459" s="344">
        <v>46221.0</v>
      </c>
      <c r="C459" s="133" t="str">
        <f t="shared" si="51"/>
        <v>Sat</v>
      </c>
      <c r="D459" s="381">
        <f t="shared" si="52"/>
        <v>1</v>
      </c>
      <c r="E459" s="382" t="s">
        <v>129</v>
      </c>
      <c r="F459" s="137" t="s">
        <v>129</v>
      </c>
      <c r="G459" s="137" t="s">
        <v>129</v>
      </c>
      <c r="H459" s="137" t="s">
        <v>129</v>
      </c>
      <c r="I459" s="137" t="s">
        <v>129</v>
      </c>
      <c r="J459" s="137" t="s">
        <v>129</v>
      </c>
      <c r="K459" s="137" t="s">
        <v>129</v>
      </c>
      <c r="L459" s="137" t="s">
        <v>129</v>
      </c>
      <c r="M459" s="141"/>
      <c r="N459" s="143"/>
    </row>
    <row r="460" hidden="1" outlineLevel="1">
      <c r="A460" s="303" t="s">
        <v>3199</v>
      </c>
      <c r="B460" s="344">
        <v>46221.0</v>
      </c>
      <c r="C460" s="133" t="str">
        <f t="shared" si="51"/>
        <v>Sat</v>
      </c>
      <c r="D460" s="383">
        <f t="shared" si="52"/>
        <v>1</v>
      </c>
      <c r="E460" s="147" t="s">
        <v>129</v>
      </c>
      <c r="F460" s="137" t="s">
        <v>129</v>
      </c>
      <c r="G460" s="137" t="s">
        <v>129</v>
      </c>
      <c r="H460" s="137" t="s">
        <v>129</v>
      </c>
      <c r="I460" s="137" t="s">
        <v>129</v>
      </c>
      <c r="J460" s="137" t="s">
        <v>129</v>
      </c>
      <c r="K460" s="137" t="s">
        <v>129</v>
      </c>
      <c r="L460" s="137" t="s">
        <v>129</v>
      </c>
      <c r="M460" s="141"/>
      <c r="N460" s="147"/>
    </row>
    <row r="461" hidden="1" outlineLevel="1">
      <c r="A461" s="303" t="s">
        <v>3201</v>
      </c>
      <c r="B461" s="344">
        <v>46221.0</v>
      </c>
      <c r="C461" s="133" t="str">
        <f t="shared" si="51"/>
        <v>Sat</v>
      </c>
      <c r="D461" s="381">
        <f t="shared" si="52"/>
        <v>1</v>
      </c>
      <c r="E461" s="382" t="s">
        <v>129</v>
      </c>
      <c r="F461" s="137" t="s">
        <v>129</v>
      </c>
      <c r="G461" s="137" t="s">
        <v>129</v>
      </c>
      <c r="H461" s="137" t="s">
        <v>129</v>
      </c>
      <c r="I461" s="137" t="s">
        <v>129</v>
      </c>
      <c r="J461" s="137" t="s">
        <v>129</v>
      </c>
      <c r="K461" s="137" t="s">
        <v>129</v>
      </c>
      <c r="L461" s="137" t="s">
        <v>129</v>
      </c>
      <c r="M461" s="141"/>
      <c r="N461" s="143"/>
    </row>
    <row r="462" hidden="1" outlineLevel="1">
      <c r="A462" s="303" t="s">
        <v>3203</v>
      </c>
      <c r="B462" s="344">
        <v>46222.0</v>
      </c>
      <c r="C462" s="133" t="str">
        <f t="shared" si="51"/>
        <v>Sun</v>
      </c>
      <c r="D462" s="383">
        <f t="shared" si="52"/>
        <v>1</v>
      </c>
      <c r="E462" s="147" t="s">
        <v>129</v>
      </c>
      <c r="F462" s="137" t="s">
        <v>129</v>
      </c>
      <c r="G462" s="137" t="s">
        <v>129</v>
      </c>
      <c r="H462" s="137" t="s">
        <v>129</v>
      </c>
      <c r="I462" s="137" t="s">
        <v>129</v>
      </c>
      <c r="J462" s="137" t="s">
        <v>129</v>
      </c>
      <c r="K462" s="137" t="s">
        <v>129</v>
      </c>
      <c r="L462" s="137" t="s">
        <v>129</v>
      </c>
      <c r="M462" s="141"/>
      <c r="N462" s="147"/>
    </row>
    <row r="463" hidden="1" outlineLevel="1">
      <c r="A463" s="303" t="s">
        <v>3206</v>
      </c>
      <c r="B463" s="344">
        <v>46222.0</v>
      </c>
      <c r="C463" s="133" t="str">
        <f t="shared" si="51"/>
        <v>Sun</v>
      </c>
      <c r="D463" s="381">
        <f t="shared" si="52"/>
        <v>1</v>
      </c>
      <c r="E463" s="382" t="s">
        <v>129</v>
      </c>
      <c r="F463" s="137" t="s">
        <v>129</v>
      </c>
      <c r="G463" s="137" t="s">
        <v>129</v>
      </c>
      <c r="H463" s="137" t="s">
        <v>129</v>
      </c>
      <c r="I463" s="137" t="s">
        <v>129</v>
      </c>
      <c r="J463" s="137" t="s">
        <v>129</v>
      </c>
      <c r="K463" s="137" t="s">
        <v>129</v>
      </c>
      <c r="L463" s="137" t="s">
        <v>129</v>
      </c>
      <c r="M463" s="141"/>
      <c r="N463" s="147"/>
    </row>
    <row r="464" hidden="1" outlineLevel="1">
      <c r="A464" s="303" t="s">
        <v>3207</v>
      </c>
      <c r="B464" s="344">
        <v>46222.0</v>
      </c>
      <c r="C464" s="133" t="str">
        <f t="shared" si="51"/>
        <v>Sun</v>
      </c>
      <c r="D464" s="383">
        <f t="shared" si="52"/>
        <v>1</v>
      </c>
      <c r="E464" s="147" t="s">
        <v>129</v>
      </c>
      <c r="F464" s="137" t="s">
        <v>129</v>
      </c>
      <c r="G464" s="137" t="s">
        <v>129</v>
      </c>
      <c r="H464" s="137" t="s">
        <v>129</v>
      </c>
      <c r="I464" s="137" t="s">
        <v>129</v>
      </c>
      <c r="J464" s="137" t="s">
        <v>129</v>
      </c>
      <c r="K464" s="137" t="s">
        <v>129</v>
      </c>
      <c r="L464" s="137" t="s">
        <v>129</v>
      </c>
      <c r="M464" s="141"/>
      <c r="N464" s="147"/>
    </row>
    <row r="465" hidden="1" outlineLevel="1">
      <c r="A465" s="255"/>
      <c r="B465" s="344"/>
      <c r="C465" s="133" t="str">
        <f t="shared" si="51"/>
        <v/>
      </c>
      <c r="D465" s="381">
        <f t="shared" si="52"/>
        <v>1</v>
      </c>
      <c r="E465" s="382" t="s">
        <v>129</v>
      </c>
      <c r="F465" s="137" t="s">
        <v>129</v>
      </c>
      <c r="G465" s="137" t="s">
        <v>129</v>
      </c>
      <c r="H465" s="137" t="s">
        <v>129</v>
      </c>
      <c r="I465" s="137" t="s">
        <v>129</v>
      </c>
      <c r="J465" s="137" t="s">
        <v>129</v>
      </c>
      <c r="K465" s="137" t="s">
        <v>129</v>
      </c>
      <c r="L465" s="137" t="s">
        <v>129</v>
      </c>
      <c r="M465" s="141"/>
      <c r="N465" s="143"/>
    </row>
    <row r="466" hidden="1" outlineLevel="1">
      <c r="A466" s="255"/>
      <c r="B466" s="344"/>
      <c r="C466" s="133" t="str">
        <f t="shared" si="51"/>
        <v/>
      </c>
      <c r="D466" s="383">
        <f t="shared" si="52"/>
        <v>1</v>
      </c>
      <c r="E466" s="147" t="s">
        <v>129</v>
      </c>
      <c r="F466" s="137" t="s">
        <v>129</v>
      </c>
      <c r="G466" s="137" t="s">
        <v>129</v>
      </c>
      <c r="H466" s="137" t="s">
        <v>129</v>
      </c>
      <c r="I466" s="137" t="s">
        <v>129</v>
      </c>
      <c r="J466" s="137" t="s">
        <v>129</v>
      </c>
      <c r="K466" s="137" t="s">
        <v>129</v>
      </c>
      <c r="L466" s="137" t="s">
        <v>129</v>
      </c>
      <c r="M466" s="141"/>
      <c r="N466" s="143"/>
    </row>
    <row r="467" ht="15.0" hidden="1" customHeight="1" outlineLevel="1">
      <c r="A467" s="255"/>
      <c r="B467" s="344"/>
      <c r="C467" s="133" t="str">
        <f t="shared" si="51"/>
        <v/>
      </c>
      <c r="D467" s="381">
        <f t="shared" si="52"/>
        <v>1</v>
      </c>
      <c r="E467" s="382" t="s">
        <v>129</v>
      </c>
      <c r="F467" s="137" t="s">
        <v>129</v>
      </c>
      <c r="G467" s="137" t="s">
        <v>129</v>
      </c>
      <c r="H467" s="137" t="s">
        <v>129</v>
      </c>
      <c r="I467" s="137" t="s">
        <v>129</v>
      </c>
      <c r="J467" s="137" t="s">
        <v>129</v>
      </c>
      <c r="K467" s="137" t="s">
        <v>129</v>
      </c>
      <c r="L467" s="137" t="s">
        <v>129</v>
      </c>
      <c r="M467" s="141"/>
      <c r="N467" s="147"/>
    </row>
    <row r="468" hidden="1" outlineLevel="1">
      <c r="B468" s="189"/>
      <c r="C468" s="191" t="s">
        <v>194</v>
      </c>
      <c r="D468" s="204">
        <f>AVERAGE(D453:D467)</f>
        <v>1</v>
      </c>
      <c r="E468" s="384"/>
      <c r="L468" s="191" t="s">
        <v>194</v>
      </c>
      <c r="M468" s="204">
        <f>SUM(M453:M467)/75*0.1</f>
        <v>0</v>
      </c>
    </row>
    <row r="469" hidden="1" collapsed="1">
      <c r="A469" s="206" t="s">
        <v>1270</v>
      </c>
      <c r="B469" s="207"/>
      <c r="C469" s="207"/>
      <c r="D469" s="385"/>
      <c r="E469" s="109"/>
      <c r="F469" s="109"/>
      <c r="G469" s="110"/>
      <c r="H469" s="110"/>
      <c r="I469" s="110"/>
      <c r="J469" s="110"/>
      <c r="K469" s="110"/>
      <c r="L469" s="110"/>
      <c r="M469" s="111"/>
      <c r="N469" s="113"/>
    </row>
    <row r="470" hidden="1" outlineLevel="1">
      <c r="A470" s="373" t="s">
        <v>98</v>
      </c>
      <c r="B470" s="115" t="s">
        <v>100</v>
      </c>
      <c r="C470" s="115" t="s">
        <v>102</v>
      </c>
      <c r="D470" s="119" t="s">
        <v>103</v>
      </c>
      <c r="E470" s="275" t="s">
        <v>269</v>
      </c>
      <c r="F470" s="275" t="s">
        <v>272</v>
      </c>
      <c r="G470" s="276" t="s">
        <v>328</v>
      </c>
      <c r="H470" s="121" t="s">
        <v>107</v>
      </c>
      <c r="I470" s="121" t="s">
        <v>108</v>
      </c>
      <c r="J470" s="276" t="s">
        <v>329</v>
      </c>
      <c r="K470" s="121" t="s">
        <v>111</v>
      </c>
      <c r="L470" s="276" t="s">
        <v>274</v>
      </c>
      <c r="M470" s="115" t="s">
        <v>114</v>
      </c>
      <c r="N470" s="119" t="s">
        <v>115</v>
      </c>
    </row>
    <row r="471" hidden="1" outlineLevel="1">
      <c r="A471" s="255" t="s">
        <v>3213</v>
      </c>
      <c r="B471" s="344">
        <v>46223.0</v>
      </c>
      <c r="C471" s="133" t="str">
        <f t="shared" ref="C471:C485" si="53">IF(B471="", "", TEXT(B471, "ddd"))</f>
        <v>Mon</v>
      </c>
      <c r="D471" s="381">
        <f t="shared" ref="D471:D485" si="54">IF(E471="Yes",0.05,0)
+IF(F471="Yes",0.1,0)
+IF(G471="Yes",0.15,0)
+IF(H471="Yes",0.15,0)
+IF(I471="Yes",0.05,0)
+IF(J471="Yes",0.05,0)
+IF(K471="Yes",0.15,0)
+IF(L471="Yes",0.3,0)
</f>
        <v>1</v>
      </c>
      <c r="E471" s="382" t="s">
        <v>129</v>
      </c>
      <c r="F471" s="137" t="s">
        <v>129</v>
      </c>
      <c r="G471" s="137" t="s">
        <v>129</v>
      </c>
      <c r="H471" s="137" t="s">
        <v>129</v>
      </c>
      <c r="I471" s="137" t="s">
        <v>129</v>
      </c>
      <c r="J471" s="137" t="s">
        <v>129</v>
      </c>
      <c r="K471" s="137" t="s">
        <v>129</v>
      </c>
      <c r="L471" s="137" t="s">
        <v>129</v>
      </c>
      <c r="M471" s="141"/>
      <c r="N471" s="143"/>
    </row>
    <row r="472" hidden="1" outlineLevel="1">
      <c r="A472" s="255" t="s">
        <v>3216</v>
      </c>
      <c r="B472" s="344">
        <v>46223.0</v>
      </c>
      <c r="C472" s="133" t="str">
        <f t="shared" si="53"/>
        <v>Mon</v>
      </c>
      <c r="D472" s="383">
        <f t="shared" si="54"/>
        <v>1</v>
      </c>
      <c r="E472" s="147" t="s">
        <v>129</v>
      </c>
      <c r="F472" s="137" t="s">
        <v>129</v>
      </c>
      <c r="G472" s="137" t="s">
        <v>129</v>
      </c>
      <c r="H472" s="137" t="s">
        <v>129</v>
      </c>
      <c r="I472" s="137" t="s">
        <v>129</v>
      </c>
      <c r="J472" s="137" t="s">
        <v>129</v>
      </c>
      <c r="K472" s="137" t="s">
        <v>129</v>
      </c>
      <c r="L472" s="137" t="s">
        <v>129</v>
      </c>
      <c r="M472" s="141"/>
      <c r="N472" s="147"/>
    </row>
    <row r="473" hidden="1" outlineLevel="1">
      <c r="A473" s="255" t="s">
        <v>3219</v>
      </c>
      <c r="B473" s="344">
        <v>46223.0</v>
      </c>
      <c r="C473" s="133" t="str">
        <f t="shared" si="53"/>
        <v>Mon</v>
      </c>
      <c r="D473" s="381">
        <f t="shared" si="54"/>
        <v>1</v>
      </c>
      <c r="E473" s="382" t="s">
        <v>129</v>
      </c>
      <c r="F473" s="137" t="s">
        <v>129</v>
      </c>
      <c r="G473" s="137" t="s">
        <v>129</v>
      </c>
      <c r="H473" s="137" t="s">
        <v>129</v>
      </c>
      <c r="I473" s="137" t="s">
        <v>129</v>
      </c>
      <c r="J473" s="137" t="s">
        <v>129</v>
      </c>
      <c r="K473" s="137" t="s">
        <v>129</v>
      </c>
      <c r="L473" s="137" t="s">
        <v>129</v>
      </c>
      <c r="M473" s="141"/>
      <c r="N473" s="147"/>
    </row>
    <row r="474" hidden="1" outlineLevel="1">
      <c r="A474" s="255" t="s">
        <v>3222</v>
      </c>
      <c r="B474" s="344">
        <v>46224.0</v>
      </c>
      <c r="C474" s="133" t="str">
        <f t="shared" si="53"/>
        <v>Tue</v>
      </c>
      <c r="D474" s="383">
        <f t="shared" si="54"/>
        <v>1</v>
      </c>
      <c r="E474" s="147" t="s">
        <v>129</v>
      </c>
      <c r="F474" s="137" t="s">
        <v>129</v>
      </c>
      <c r="G474" s="137" t="s">
        <v>129</v>
      </c>
      <c r="H474" s="137" t="s">
        <v>129</v>
      </c>
      <c r="I474" s="137" t="s">
        <v>129</v>
      </c>
      <c r="J474" s="137" t="s">
        <v>129</v>
      </c>
      <c r="K474" s="137" t="s">
        <v>129</v>
      </c>
      <c r="L474" s="137" t="s">
        <v>129</v>
      </c>
      <c r="M474" s="141"/>
      <c r="N474" s="143"/>
    </row>
    <row r="475" hidden="1" outlineLevel="1">
      <c r="A475" s="255" t="s">
        <v>3226</v>
      </c>
      <c r="B475" s="344">
        <v>46224.0</v>
      </c>
      <c r="C475" s="133" t="str">
        <f t="shared" si="53"/>
        <v>Tue</v>
      </c>
      <c r="D475" s="381">
        <f t="shared" si="54"/>
        <v>1</v>
      </c>
      <c r="E475" s="382" t="s">
        <v>129</v>
      </c>
      <c r="F475" s="137" t="s">
        <v>129</v>
      </c>
      <c r="G475" s="137" t="s">
        <v>129</v>
      </c>
      <c r="H475" s="137" t="s">
        <v>129</v>
      </c>
      <c r="I475" s="137" t="s">
        <v>129</v>
      </c>
      <c r="J475" s="137" t="s">
        <v>129</v>
      </c>
      <c r="K475" s="137" t="s">
        <v>129</v>
      </c>
      <c r="L475" s="137" t="s">
        <v>129</v>
      </c>
      <c r="M475" s="141"/>
      <c r="N475" s="143"/>
    </row>
    <row r="476" hidden="1" outlineLevel="1">
      <c r="A476" s="255" t="s">
        <v>3227</v>
      </c>
      <c r="B476" s="344">
        <v>46224.0</v>
      </c>
      <c r="C476" s="133" t="str">
        <f t="shared" si="53"/>
        <v>Tue</v>
      </c>
      <c r="D476" s="383">
        <f t="shared" si="54"/>
        <v>1</v>
      </c>
      <c r="E476" s="147" t="s">
        <v>129</v>
      </c>
      <c r="F476" s="137" t="s">
        <v>129</v>
      </c>
      <c r="G476" s="137" t="s">
        <v>129</v>
      </c>
      <c r="H476" s="137" t="s">
        <v>129</v>
      </c>
      <c r="I476" s="137" t="s">
        <v>129</v>
      </c>
      <c r="J476" s="137" t="s">
        <v>129</v>
      </c>
      <c r="K476" s="137" t="s">
        <v>129</v>
      </c>
      <c r="L476" s="137" t="s">
        <v>129</v>
      </c>
      <c r="M476" s="141"/>
      <c r="N476" s="143"/>
    </row>
    <row r="477" hidden="1" outlineLevel="1">
      <c r="A477" s="255" t="s">
        <v>3229</v>
      </c>
      <c r="B477" s="344">
        <v>46225.0</v>
      </c>
      <c r="C477" s="133" t="str">
        <f t="shared" si="53"/>
        <v>Wed</v>
      </c>
      <c r="D477" s="381">
        <f t="shared" si="54"/>
        <v>1</v>
      </c>
      <c r="E477" s="382" t="s">
        <v>129</v>
      </c>
      <c r="F477" s="137" t="s">
        <v>129</v>
      </c>
      <c r="G477" s="137" t="s">
        <v>129</v>
      </c>
      <c r="H477" s="137" t="s">
        <v>129</v>
      </c>
      <c r="I477" s="137" t="s">
        <v>129</v>
      </c>
      <c r="J477" s="137" t="s">
        <v>129</v>
      </c>
      <c r="K477" s="137" t="s">
        <v>129</v>
      </c>
      <c r="L477" s="137" t="s">
        <v>129</v>
      </c>
      <c r="M477" s="141"/>
      <c r="N477" s="143"/>
    </row>
    <row r="478" hidden="1" outlineLevel="1">
      <c r="A478" s="255" t="s">
        <v>3234</v>
      </c>
      <c r="B478" s="344">
        <v>46225.0</v>
      </c>
      <c r="C478" s="133" t="str">
        <f t="shared" si="53"/>
        <v>Wed</v>
      </c>
      <c r="D478" s="383">
        <f t="shared" si="54"/>
        <v>1</v>
      </c>
      <c r="E478" s="147" t="s">
        <v>129</v>
      </c>
      <c r="F478" s="137" t="s">
        <v>129</v>
      </c>
      <c r="G478" s="137" t="s">
        <v>129</v>
      </c>
      <c r="H478" s="137" t="s">
        <v>129</v>
      </c>
      <c r="I478" s="137" t="s">
        <v>129</v>
      </c>
      <c r="J478" s="137" t="s">
        <v>129</v>
      </c>
      <c r="K478" s="137" t="s">
        <v>129</v>
      </c>
      <c r="L478" s="137" t="s">
        <v>129</v>
      </c>
      <c r="M478" s="141"/>
      <c r="N478" s="147"/>
    </row>
    <row r="479" hidden="1" outlineLevel="1">
      <c r="A479" s="255" t="s">
        <v>3238</v>
      </c>
      <c r="B479" s="344">
        <v>46225.0</v>
      </c>
      <c r="C479" s="133" t="str">
        <f t="shared" si="53"/>
        <v>Wed</v>
      </c>
      <c r="D479" s="381">
        <f t="shared" si="54"/>
        <v>1</v>
      </c>
      <c r="E479" s="382" t="s">
        <v>129</v>
      </c>
      <c r="F479" s="137" t="s">
        <v>129</v>
      </c>
      <c r="G479" s="137" t="s">
        <v>129</v>
      </c>
      <c r="H479" s="137" t="s">
        <v>129</v>
      </c>
      <c r="I479" s="137" t="s">
        <v>129</v>
      </c>
      <c r="J479" s="137" t="s">
        <v>129</v>
      </c>
      <c r="K479" s="137" t="s">
        <v>129</v>
      </c>
      <c r="L479" s="137" t="s">
        <v>129</v>
      </c>
      <c r="M479" s="141"/>
      <c r="N479" s="143"/>
    </row>
    <row r="480" hidden="1" outlineLevel="1">
      <c r="A480" s="255" t="s">
        <v>3241</v>
      </c>
      <c r="B480" s="344">
        <v>46226.0</v>
      </c>
      <c r="C480" s="133" t="str">
        <f t="shared" si="53"/>
        <v>Thu</v>
      </c>
      <c r="D480" s="383">
        <f t="shared" si="54"/>
        <v>1</v>
      </c>
      <c r="E480" s="147" t="s">
        <v>129</v>
      </c>
      <c r="F480" s="137" t="s">
        <v>129</v>
      </c>
      <c r="G480" s="137" t="s">
        <v>129</v>
      </c>
      <c r="H480" s="137" t="s">
        <v>129</v>
      </c>
      <c r="I480" s="137" t="s">
        <v>129</v>
      </c>
      <c r="J480" s="137" t="s">
        <v>129</v>
      </c>
      <c r="K480" s="137" t="s">
        <v>129</v>
      </c>
      <c r="L480" s="137" t="s">
        <v>129</v>
      </c>
      <c r="M480" s="141"/>
      <c r="N480" s="147"/>
    </row>
    <row r="481" hidden="1" outlineLevel="1">
      <c r="A481" s="255" t="s">
        <v>3244</v>
      </c>
      <c r="B481" s="344">
        <v>46226.0</v>
      </c>
      <c r="C481" s="133" t="str">
        <f t="shared" si="53"/>
        <v>Thu</v>
      </c>
      <c r="D481" s="381">
        <f t="shared" si="54"/>
        <v>1</v>
      </c>
      <c r="E481" s="382" t="s">
        <v>129</v>
      </c>
      <c r="F481" s="137" t="s">
        <v>129</v>
      </c>
      <c r="G481" s="137" t="s">
        <v>129</v>
      </c>
      <c r="H481" s="137" t="s">
        <v>129</v>
      </c>
      <c r="I481" s="137" t="s">
        <v>129</v>
      </c>
      <c r="J481" s="137" t="s">
        <v>129</v>
      </c>
      <c r="K481" s="137" t="s">
        <v>129</v>
      </c>
      <c r="L481" s="137" t="s">
        <v>129</v>
      </c>
      <c r="M481" s="141"/>
      <c r="N481" s="147"/>
    </row>
    <row r="482" hidden="1" outlineLevel="1">
      <c r="A482" s="255" t="s">
        <v>3249</v>
      </c>
      <c r="B482" s="344">
        <v>46226.0</v>
      </c>
      <c r="C482" s="133" t="str">
        <f t="shared" si="53"/>
        <v>Thu</v>
      </c>
      <c r="D482" s="383">
        <f t="shared" si="54"/>
        <v>1</v>
      </c>
      <c r="E482" s="147" t="s">
        <v>129</v>
      </c>
      <c r="F482" s="137" t="s">
        <v>129</v>
      </c>
      <c r="G482" s="137" t="s">
        <v>129</v>
      </c>
      <c r="H482" s="137" t="s">
        <v>129</v>
      </c>
      <c r="I482" s="137" t="s">
        <v>129</v>
      </c>
      <c r="J482" s="137" t="s">
        <v>129</v>
      </c>
      <c r="K482" s="137" t="s">
        <v>129</v>
      </c>
      <c r="L482" s="137" t="s">
        <v>129</v>
      </c>
      <c r="M482" s="141"/>
      <c r="N482" s="147"/>
    </row>
    <row r="483" hidden="1" outlineLevel="1">
      <c r="A483" s="255" t="s">
        <v>3253</v>
      </c>
      <c r="B483" s="344">
        <v>46227.0</v>
      </c>
      <c r="C483" s="133" t="str">
        <f t="shared" si="53"/>
        <v>Fri</v>
      </c>
      <c r="D483" s="381">
        <f t="shared" si="54"/>
        <v>1</v>
      </c>
      <c r="E483" s="382" t="s">
        <v>129</v>
      </c>
      <c r="F483" s="137" t="s">
        <v>129</v>
      </c>
      <c r="G483" s="137" t="s">
        <v>129</v>
      </c>
      <c r="H483" s="137" t="s">
        <v>129</v>
      </c>
      <c r="I483" s="137" t="s">
        <v>129</v>
      </c>
      <c r="J483" s="137" t="s">
        <v>129</v>
      </c>
      <c r="K483" s="137" t="s">
        <v>129</v>
      </c>
      <c r="L483" s="137" t="s">
        <v>129</v>
      </c>
      <c r="M483" s="141"/>
      <c r="N483" s="143"/>
    </row>
    <row r="484" hidden="1" outlineLevel="1">
      <c r="A484" s="255" t="s">
        <v>3255</v>
      </c>
      <c r="B484" s="344">
        <v>46227.0</v>
      </c>
      <c r="C484" s="133" t="str">
        <f t="shared" si="53"/>
        <v>Fri</v>
      </c>
      <c r="D484" s="383">
        <f t="shared" si="54"/>
        <v>1</v>
      </c>
      <c r="E484" s="147" t="s">
        <v>129</v>
      </c>
      <c r="F484" s="137" t="s">
        <v>129</v>
      </c>
      <c r="G484" s="137" t="s">
        <v>129</v>
      </c>
      <c r="H484" s="137" t="s">
        <v>129</v>
      </c>
      <c r="I484" s="137" t="s">
        <v>129</v>
      </c>
      <c r="J484" s="137" t="s">
        <v>129</v>
      </c>
      <c r="K484" s="137" t="s">
        <v>129</v>
      </c>
      <c r="L484" s="137" t="s">
        <v>129</v>
      </c>
      <c r="M484" s="141"/>
      <c r="N484" s="143"/>
    </row>
    <row r="485" ht="15.0" hidden="1" customHeight="1" outlineLevel="1">
      <c r="A485" s="255" t="s">
        <v>3256</v>
      </c>
      <c r="B485" s="344">
        <v>46227.0</v>
      </c>
      <c r="C485" s="133" t="str">
        <f t="shared" si="53"/>
        <v>Fri</v>
      </c>
      <c r="D485" s="381">
        <f t="shared" si="54"/>
        <v>1</v>
      </c>
      <c r="E485" s="382" t="s">
        <v>129</v>
      </c>
      <c r="F485" s="137" t="s">
        <v>129</v>
      </c>
      <c r="G485" s="137" t="s">
        <v>129</v>
      </c>
      <c r="H485" s="137" t="s">
        <v>129</v>
      </c>
      <c r="I485" s="137" t="s">
        <v>129</v>
      </c>
      <c r="J485" s="137" t="s">
        <v>129</v>
      </c>
      <c r="K485" s="137" t="s">
        <v>129</v>
      </c>
      <c r="L485" s="137" t="s">
        <v>129</v>
      </c>
      <c r="M485" s="141"/>
      <c r="N485" s="147"/>
    </row>
    <row r="486" hidden="1" outlineLevel="1">
      <c r="A486" s="177"/>
      <c r="B486" s="189"/>
      <c r="C486" s="191" t="s">
        <v>194</v>
      </c>
      <c r="D486" s="204">
        <f>AVERAGE(D471:D485)</f>
        <v>1</v>
      </c>
      <c r="E486" s="384"/>
      <c r="L486" s="191" t="s">
        <v>194</v>
      </c>
      <c r="M486" s="204">
        <f>SUM(M471:M485)/75*0.1</f>
        <v>0</v>
      </c>
    </row>
    <row r="487" collapsed="1">
      <c r="A487" s="206" t="s">
        <v>1294</v>
      </c>
      <c r="B487" s="207"/>
      <c r="C487" s="207"/>
      <c r="D487" s="385"/>
      <c r="E487" s="109"/>
      <c r="F487" s="109"/>
      <c r="G487" s="110"/>
      <c r="H487" s="110"/>
      <c r="I487" s="110"/>
      <c r="J487" s="110"/>
      <c r="K487" s="110"/>
      <c r="L487" s="110"/>
      <c r="M487" s="111"/>
      <c r="N487" s="113"/>
    </row>
    <row r="488" hidden="1" outlineLevel="1">
      <c r="A488" s="373" t="s">
        <v>98</v>
      </c>
      <c r="B488" s="115" t="s">
        <v>100</v>
      </c>
      <c r="C488" s="115" t="s">
        <v>102</v>
      </c>
      <c r="D488" s="119" t="s">
        <v>103</v>
      </c>
      <c r="E488" s="275" t="s">
        <v>269</v>
      </c>
      <c r="F488" s="275" t="s">
        <v>272</v>
      </c>
      <c r="G488" s="276" t="s">
        <v>328</v>
      </c>
      <c r="H488" s="121" t="s">
        <v>107</v>
      </c>
      <c r="I488" s="121" t="s">
        <v>108</v>
      </c>
      <c r="J488" s="276" t="s">
        <v>329</v>
      </c>
      <c r="K488" s="121" t="s">
        <v>111</v>
      </c>
      <c r="L488" s="276" t="s">
        <v>274</v>
      </c>
      <c r="M488" s="115" t="s">
        <v>114</v>
      </c>
      <c r="N488" s="119" t="s">
        <v>115</v>
      </c>
    </row>
    <row r="489" hidden="1" outlineLevel="1">
      <c r="A489" s="255" t="s">
        <v>3261</v>
      </c>
      <c r="B489" s="420">
        <v>46230.0</v>
      </c>
      <c r="C489" s="133" t="str">
        <f t="shared" ref="C489:C503" si="55">IF(B489="", "", TEXT(B489, "ddd"))</f>
        <v>Mon</v>
      </c>
      <c r="D489" s="381">
        <f t="shared" ref="D489:D503" si="56">IF(E489="Yes",0.05,0)
+IF(F489="Yes",0.1,0)
+IF(G489="Yes",0.15,0)
+IF(H489="Yes",0.15,0)
+IF(I489="Yes",0.05,0)
+IF(J489="Yes",0.05,0)
+IF(K489="Yes",0.15,0)
+IF(L489="Yes",0.3,0)
</f>
        <v>1</v>
      </c>
      <c r="E489" s="382" t="s">
        <v>129</v>
      </c>
      <c r="F489" s="137" t="s">
        <v>129</v>
      </c>
      <c r="G489" s="137" t="s">
        <v>129</v>
      </c>
      <c r="H489" s="137" t="s">
        <v>129</v>
      </c>
      <c r="I489" s="137" t="s">
        <v>129</v>
      </c>
      <c r="J489" s="137" t="s">
        <v>129</v>
      </c>
      <c r="K489" s="137" t="s">
        <v>129</v>
      </c>
      <c r="L489" s="137" t="s">
        <v>129</v>
      </c>
      <c r="M489" s="141"/>
      <c r="N489" s="143"/>
    </row>
    <row r="490" hidden="1" outlineLevel="1">
      <c r="A490" s="255" t="s">
        <v>3263</v>
      </c>
      <c r="B490" s="420">
        <v>46230.0</v>
      </c>
      <c r="C490" s="133" t="str">
        <f t="shared" si="55"/>
        <v>Mon</v>
      </c>
      <c r="D490" s="383">
        <f t="shared" si="56"/>
        <v>1</v>
      </c>
      <c r="E490" s="147" t="s">
        <v>129</v>
      </c>
      <c r="F490" s="137" t="s">
        <v>129</v>
      </c>
      <c r="G490" s="137" t="s">
        <v>129</v>
      </c>
      <c r="H490" s="137" t="s">
        <v>129</v>
      </c>
      <c r="I490" s="137" t="s">
        <v>129</v>
      </c>
      <c r="J490" s="137" t="s">
        <v>129</v>
      </c>
      <c r="K490" s="137" t="s">
        <v>129</v>
      </c>
      <c r="L490" s="137" t="s">
        <v>129</v>
      </c>
      <c r="M490" s="141"/>
      <c r="N490" s="147"/>
    </row>
    <row r="491" hidden="1" outlineLevel="1">
      <c r="A491" s="255" t="s">
        <v>3264</v>
      </c>
      <c r="B491" s="420">
        <v>46230.0</v>
      </c>
      <c r="C491" s="133" t="str">
        <f t="shared" si="55"/>
        <v>Mon</v>
      </c>
      <c r="D491" s="381">
        <f t="shared" si="56"/>
        <v>1</v>
      </c>
      <c r="E491" s="382" t="s">
        <v>129</v>
      </c>
      <c r="F491" s="137" t="s">
        <v>129</v>
      </c>
      <c r="G491" s="137" t="s">
        <v>129</v>
      </c>
      <c r="H491" s="137" t="s">
        <v>129</v>
      </c>
      <c r="I491" s="137" t="s">
        <v>129</v>
      </c>
      <c r="J491" s="137" t="s">
        <v>129</v>
      </c>
      <c r="K491" s="137" t="s">
        <v>129</v>
      </c>
      <c r="L491" s="137" t="s">
        <v>129</v>
      </c>
      <c r="M491" s="141"/>
      <c r="N491" s="147"/>
    </row>
    <row r="492" hidden="1" outlineLevel="1">
      <c r="A492" s="255" t="s">
        <v>3268</v>
      </c>
      <c r="B492" s="420">
        <v>46231.0</v>
      </c>
      <c r="C492" s="133" t="str">
        <f t="shared" si="55"/>
        <v>Tue</v>
      </c>
      <c r="D492" s="383">
        <f t="shared" si="56"/>
        <v>1</v>
      </c>
      <c r="E492" s="147" t="s">
        <v>129</v>
      </c>
      <c r="F492" s="137" t="s">
        <v>129</v>
      </c>
      <c r="G492" s="137" t="s">
        <v>129</v>
      </c>
      <c r="H492" s="137" t="s">
        <v>129</v>
      </c>
      <c r="I492" s="137" t="s">
        <v>129</v>
      </c>
      <c r="J492" s="137" t="s">
        <v>129</v>
      </c>
      <c r="K492" s="137" t="s">
        <v>129</v>
      </c>
      <c r="L492" s="137" t="s">
        <v>129</v>
      </c>
      <c r="M492" s="141"/>
      <c r="N492" s="143"/>
    </row>
    <row r="493" hidden="1" outlineLevel="1">
      <c r="A493" s="255" t="s">
        <v>3269</v>
      </c>
      <c r="B493" s="420">
        <v>46231.0</v>
      </c>
      <c r="C493" s="133" t="str">
        <f t="shared" si="55"/>
        <v>Tue</v>
      </c>
      <c r="D493" s="381">
        <f t="shared" si="56"/>
        <v>1</v>
      </c>
      <c r="E493" s="382" t="s">
        <v>129</v>
      </c>
      <c r="F493" s="137" t="s">
        <v>129</v>
      </c>
      <c r="G493" s="137" t="s">
        <v>129</v>
      </c>
      <c r="H493" s="137" t="s">
        <v>129</v>
      </c>
      <c r="I493" s="137" t="s">
        <v>129</v>
      </c>
      <c r="J493" s="137" t="s">
        <v>129</v>
      </c>
      <c r="K493" s="137" t="s">
        <v>129</v>
      </c>
      <c r="L493" s="137" t="s">
        <v>129</v>
      </c>
      <c r="M493" s="141"/>
      <c r="N493" s="143"/>
    </row>
    <row r="494" hidden="1" outlineLevel="1">
      <c r="A494" s="255" t="s">
        <v>3274</v>
      </c>
      <c r="B494" s="420">
        <v>46231.0</v>
      </c>
      <c r="C494" s="133" t="str">
        <f t="shared" si="55"/>
        <v>Tue</v>
      </c>
      <c r="D494" s="383">
        <f t="shared" si="56"/>
        <v>1</v>
      </c>
      <c r="E494" s="147" t="s">
        <v>129</v>
      </c>
      <c r="F494" s="137" t="s">
        <v>129</v>
      </c>
      <c r="G494" s="137" t="s">
        <v>129</v>
      </c>
      <c r="H494" s="137" t="s">
        <v>129</v>
      </c>
      <c r="I494" s="137" t="s">
        <v>129</v>
      </c>
      <c r="J494" s="137" t="s">
        <v>129</v>
      </c>
      <c r="K494" s="137" t="s">
        <v>129</v>
      </c>
      <c r="L494" s="137" t="s">
        <v>129</v>
      </c>
      <c r="M494" s="141"/>
      <c r="N494" s="143"/>
    </row>
    <row r="495" hidden="1" outlineLevel="1">
      <c r="A495" s="255" t="s">
        <v>3276</v>
      </c>
      <c r="B495" s="420">
        <v>46232.0</v>
      </c>
      <c r="C495" s="133" t="str">
        <f t="shared" si="55"/>
        <v>Wed</v>
      </c>
      <c r="D495" s="381">
        <f t="shared" si="56"/>
        <v>1</v>
      </c>
      <c r="E495" s="382" t="s">
        <v>129</v>
      </c>
      <c r="F495" s="137" t="s">
        <v>129</v>
      </c>
      <c r="G495" s="137" t="s">
        <v>129</v>
      </c>
      <c r="H495" s="137" t="s">
        <v>129</v>
      </c>
      <c r="I495" s="137" t="s">
        <v>129</v>
      </c>
      <c r="J495" s="137" t="s">
        <v>129</v>
      </c>
      <c r="K495" s="137" t="s">
        <v>129</v>
      </c>
      <c r="L495" s="137" t="s">
        <v>129</v>
      </c>
      <c r="M495" s="141"/>
      <c r="N495" s="143"/>
    </row>
    <row r="496" hidden="1" outlineLevel="1">
      <c r="A496" s="255" t="s">
        <v>3278</v>
      </c>
      <c r="B496" s="420">
        <v>46232.0</v>
      </c>
      <c r="C496" s="133" t="str">
        <f t="shared" si="55"/>
        <v>Wed</v>
      </c>
      <c r="D496" s="383">
        <f t="shared" si="56"/>
        <v>1</v>
      </c>
      <c r="E496" s="147" t="s">
        <v>129</v>
      </c>
      <c r="F496" s="137" t="s">
        <v>129</v>
      </c>
      <c r="G496" s="137" t="s">
        <v>129</v>
      </c>
      <c r="H496" s="137" t="s">
        <v>129</v>
      </c>
      <c r="I496" s="137" t="s">
        <v>129</v>
      </c>
      <c r="J496" s="137" t="s">
        <v>129</v>
      </c>
      <c r="K496" s="137" t="s">
        <v>129</v>
      </c>
      <c r="L496" s="137" t="s">
        <v>129</v>
      </c>
      <c r="M496" s="141"/>
      <c r="N496" s="147"/>
    </row>
    <row r="497" hidden="1" outlineLevel="1">
      <c r="A497" s="255" t="s">
        <v>3282</v>
      </c>
      <c r="B497" s="420">
        <v>46232.0</v>
      </c>
      <c r="C497" s="133" t="str">
        <f t="shared" si="55"/>
        <v>Wed</v>
      </c>
      <c r="D497" s="381">
        <f t="shared" si="56"/>
        <v>1</v>
      </c>
      <c r="E497" s="382" t="s">
        <v>129</v>
      </c>
      <c r="F497" s="137" t="s">
        <v>129</v>
      </c>
      <c r="G497" s="137" t="s">
        <v>129</v>
      </c>
      <c r="H497" s="137" t="s">
        <v>129</v>
      </c>
      <c r="I497" s="137" t="s">
        <v>129</v>
      </c>
      <c r="J497" s="137" t="s">
        <v>129</v>
      </c>
      <c r="K497" s="137" t="s">
        <v>129</v>
      </c>
      <c r="L497" s="137" t="s">
        <v>129</v>
      </c>
      <c r="M497" s="141"/>
      <c r="N497" s="143"/>
    </row>
    <row r="498" hidden="1" outlineLevel="1">
      <c r="A498" s="255" t="s">
        <v>3284</v>
      </c>
      <c r="B498" s="420">
        <v>46233.0</v>
      </c>
      <c r="C498" s="133" t="str">
        <f t="shared" si="55"/>
        <v>Thu</v>
      </c>
      <c r="D498" s="383">
        <f t="shared" si="56"/>
        <v>1</v>
      </c>
      <c r="E498" s="147" t="s">
        <v>129</v>
      </c>
      <c r="F498" s="137" t="s">
        <v>129</v>
      </c>
      <c r="G498" s="137" t="s">
        <v>129</v>
      </c>
      <c r="H498" s="137" t="s">
        <v>129</v>
      </c>
      <c r="I498" s="137" t="s">
        <v>129</v>
      </c>
      <c r="J498" s="137" t="s">
        <v>129</v>
      </c>
      <c r="K498" s="137" t="s">
        <v>129</v>
      </c>
      <c r="L498" s="137" t="s">
        <v>129</v>
      </c>
      <c r="M498" s="141"/>
      <c r="N498" s="147"/>
    </row>
    <row r="499" hidden="1" outlineLevel="1">
      <c r="A499" s="255" t="s">
        <v>3286</v>
      </c>
      <c r="B499" s="420">
        <v>46233.0</v>
      </c>
      <c r="C499" s="133" t="str">
        <f t="shared" si="55"/>
        <v>Thu</v>
      </c>
      <c r="D499" s="381">
        <f t="shared" si="56"/>
        <v>1</v>
      </c>
      <c r="E499" s="382" t="s">
        <v>129</v>
      </c>
      <c r="F499" s="137" t="s">
        <v>129</v>
      </c>
      <c r="G499" s="137" t="s">
        <v>129</v>
      </c>
      <c r="H499" s="137" t="s">
        <v>129</v>
      </c>
      <c r="I499" s="137" t="s">
        <v>129</v>
      </c>
      <c r="J499" s="137" t="s">
        <v>129</v>
      </c>
      <c r="K499" s="137" t="s">
        <v>129</v>
      </c>
      <c r="L499" s="137" t="s">
        <v>129</v>
      </c>
      <c r="M499" s="141"/>
      <c r="N499" s="147"/>
    </row>
    <row r="500" hidden="1" outlineLevel="1">
      <c r="A500" s="255" t="s">
        <v>3289</v>
      </c>
      <c r="B500" s="420">
        <v>46233.0</v>
      </c>
      <c r="C500" s="133" t="str">
        <f t="shared" si="55"/>
        <v>Thu</v>
      </c>
      <c r="D500" s="383">
        <f t="shared" si="56"/>
        <v>1</v>
      </c>
      <c r="E500" s="147" t="s">
        <v>129</v>
      </c>
      <c r="F500" s="137" t="s">
        <v>129</v>
      </c>
      <c r="G500" s="137" t="s">
        <v>129</v>
      </c>
      <c r="H500" s="137" t="s">
        <v>129</v>
      </c>
      <c r="I500" s="137" t="s">
        <v>129</v>
      </c>
      <c r="J500" s="137" t="s">
        <v>129</v>
      </c>
      <c r="K500" s="137" t="s">
        <v>129</v>
      </c>
      <c r="L500" s="137" t="s">
        <v>129</v>
      </c>
      <c r="M500" s="141"/>
      <c r="N500" s="147"/>
    </row>
    <row r="501" hidden="1" outlineLevel="1">
      <c r="A501" s="255" t="s">
        <v>3294</v>
      </c>
      <c r="B501" s="420">
        <v>46234.0</v>
      </c>
      <c r="C501" s="133" t="str">
        <f t="shared" si="55"/>
        <v>Fri</v>
      </c>
      <c r="D501" s="381">
        <f t="shared" si="56"/>
        <v>1</v>
      </c>
      <c r="E501" s="382" t="s">
        <v>129</v>
      </c>
      <c r="F501" s="137" t="s">
        <v>129</v>
      </c>
      <c r="G501" s="137" t="s">
        <v>129</v>
      </c>
      <c r="H501" s="137" t="s">
        <v>129</v>
      </c>
      <c r="I501" s="137" t="s">
        <v>129</v>
      </c>
      <c r="J501" s="137" t="s">
        <v>129</v>
      </c>
      <c r="K501" s="137" t="s">
        <v>129</v>
      </c>
      <c r="L501" s="137" t="s">
        <v>129</v>
      </c>
      <c r="M501" s="141"/>
      <c r="N501" s="147"/>
    </row>
    <row r="502" hidden="1" outlineLevel="1">
      <c r="A502" s="255" t="s">
        <v>3297</v>
      </c>
      <c r="B502" s="420">
        <v>46234.0</v>
      </c>
      <c r="C502" s="133" t="str">
        <f t="shared" si="55"/>
        <v>Fri</v>
      </c>
      <c r="D502" s="383">
        <f t="shared" si="56"/>
        <v>1</v>
      </c>
      <c r="E502" s="147" t="s">
        <v>129</v>
      </c>
      <c r="F502" s="137" t="s">
        <v>129</v>
      </c>
      <c r="G502" s="137" t="s">
        <v>129</v>
      </c>
      <c r="H502" s="137" t="s">
        <v>129</v>
      </c>
      <c r="I502" s="137" t="s">
        <v>129</v>
      </c>
      <c r="J502" s="137" t="s">
        <v>129</v>
      </c>
      <c r="K502" s="137" t="s">
        <v>129</v>
      </c>
      <c r="L502" s="137" t="s">
        <v>129</v>
      </c>
      <c r="M502" s="141"/>
      <c r="N502" s="147"/>
    </row>
    <row r="503" ht="15.0" hidden="1" customHeight="1" outlineLevel="1">
      <c r="A503" s="255" t="s">
        <v>3300</v>
      </c>
      <c r="B503" s="420">
        <v>46234.0</v>
      </c>
      <c r="C503" s="133" t="str">
        <f t="shared" si="55"/>
        <v>Fri</v>
      </c>
      <c r="D503" s="381">
        <f t="shared" si="56"/>
        <v>1</v>
      </c>
      <c r="E503" s="382" t="s">
        <v>129</v>
      </c>
      <c r="F503" s="137" t="s">
        <v>129</v>
      </c>
      <c r="G503" s="137" t="s">
        <v>129</v>
      </c>
      <c r="H503" s="137" t="s">
        <v>129</v>
      </c>
      <c r="I503" s="137" t="s">
        <v>129</v>
      </c>
      <c r="J503" s="137" t="s">
        <v>129</v>
      </c>
      <c r="K503" s="137" t="s">
        <v>129</v>
      </c>
      <c r="L503" s="137" t="s">
        <v>129</v>
      </c>
      <c r="M503" s="141"/>
      <c r="N503" s="147"/>
    </row>
    <row r="504" hidden="1" outlineLevel="1">
      <c r="B504" s="189"/>
      <c r="C504" s="191" t="s">
        <v>194</v>
      </c>
      <c r="D504" s="204">
        <f>AVERAGE(D489:D503)</f>
        <v>1</v>
      </c>
      <c r="E504" s="384"/>
      <c r="L504" s="191" t="s">
        <v>194</v>
      </c>
      <c r="M504" s="204">
        <f>SUM(M489:M503)/75*0.1</f>
        <v>0</v>
      </c>
    </row>
    <row r="505">
      <c r="A505" s="206" t="s">
        <v>1318</v>
      </c>
      <c r="B505" s="207"/>
      <c r="C505" s="207"/>
      <c r="D505" s="385"/>
      <c r="E505" s="109"/>
      <c r="F505" s="109"/>
      <c r="G505" s="110"/>
      <c r="H505" s="110"/>
      <c r="I505" s="110"/>
      <c r="J505" s="110"/>
      <c r="K505" s="110"/>
      <c r="L505" s="110"/>
      <c r="M505" s="111"/>
      <c r="N505" s="113"/>
    </row>
    <row r="506" outlineLevel="1">
      <c r="A506" s="373" t="s">
        <v>98</v>
      </c>
      <c r="B506" s="115" t="s">
        <v>100</v>
      </c>
      <c r="C506" s="115" t="s">
        <v>102</v>
      </c>
      <c r="D506" s="119" t="s">
        <v>103</v>
      </c>
      <c r="E506" s="275" t="s">
        <v>269</v>
      </c>
      <c r="F506" s="275" t="s">
        <v>272</v>
      </c>
      <c r="G506" s="276" t="s">
        <v>328</v>
      </c>
      <c r="H506" s="121" t="s">
        <v>107</v>
      </c>
      <c r="I506" s="121" t="s">
        <v>108</v>
      </c>
      <c r="J506" s="276" t="s">
        <v>329</v>
      </c>
      <c r="K506" s="121" t="s">
        <v>111</v>
      </c>
      <c r="L506" s="276" t="s">
        <v>274</v>
      </c>
      <c r="M506" s="115" t="s">
        <v>114</v>
      </c>
      <c r="N506" s="119" t="s">
        <v>115</v>
      </c>
    </row>
    <row r="507" outlineLevel="1">
      <c r="A507" s="303" t="s">
        <v>3305</v>
      </c>
      <c r="B507" s="420">
        <v>46237.0</v>
      </c>
      <c r="C507" s="133" t="str">
        <f t="shared" ref="C507:C521" si="57">IF(B507="", "", TEXT(B507, "ddd"))</f>
        <v>Mon</v>
      </c>
      <c r="D507" s="381">
        <f t="shared" ref="D507:D521" si="58">IF(E507="Yes",0.05,0)
+IF(F507="Yes",0.1,0)
+IF(G507="Yes",0.15,0)
+IF(H507="Yes",0.15,0)
+IF(I507="Yes",0.05,0)
+IF(J507="Yes",0.05,0)
+IF(K507="Yes",0.15,0)
+IF(L507="Yes",0.3,0)
</f>
        <v>1</v>
      </c>
      <c r="E507" s="382" t="s">
        <v>129</v>
      </c>
      <c r="F507" s="137" t="s">
        <v>129</v>
      </c>
      <c r="G507" s="137" t="s">
        <v>129</v>
      </c>
      <c r="H507" s="137" t="s">
        <v>129</v>
      </c>
      <c r="I507" s="137" t="s">
        <v>129</v>
      </c>
      <c r="J507" s="137" t="s">
        <v>129</v>
      </c>
      <c r="K507" s="137" t="s">
        <v>129</v>
      </c>
      <c r="L507" s="137" t="s">
        <v>129</v>
      </c>
      <c r="M507" s="137" t="s">
        <v>129</v>
      </c>
      <c r="N507" s="147"/>
    </row>
    <row r="508" outlineLevel="1">
      <c r="A508" s="303" t="s">
        <v>3308</v>
      </c>
      <c r="B508" s="420">
        <v>46237.0</v>
      </c>
      <c r="C508" s="133" t="str">
        <f t="shared" si="57"/>
        <v>Mon</v>
      </c>
      <c r="D508" s="383">
        <f t="shared" si="58"/>
        <v>1</v>
      </c>
      <c r="E508" s="147" t="s">
        <v>129</v>
      </c>
      <c r="F508" s="137" t="s">
        <v>129</v>
      </c>
      <c r="G508" s="137" t="s">
        <v>129</v>
      </c>
      <c r="H508" s="137" t="s">
        <v>129</v>
      </c>
      <c r="I508" s="137" t="s">
        <v>129</v>
      </c>
      <c r="J508" s="137" t="s">
        <v>129</v>
      </c>
      <c r="K508" s="137" t="s">
        <v>129</v>
      </c>
      <c r="L508" s="137" t="s">
        <v>129</v>
      </c>
      <c r="M508" s="137" t="s">
        <v>129</v>
      </c>
      <c r="N508" s="147"/>
    </row>
    <row r="509" outlineLevel="1">
      <c r="A509" s="303" t="s">
        <v>3310</v>
      </c>
      <c r="B509" s="420">
        <v>46237.0</v>
      </c>
      <c r="C509" s="133" t="str">
        <f t="shared" si="57"/>
        <v>Mon</v>
      </c>
      <c r="D509" s="381">
        <f t="shared" si="58"/>
        <v>1</v>
      </c>
      <c r="E509" s="382" t="s">
        <v>129</v>
      </c>
      <c r="F509" s="137" t="s">
        <v>129</v>
      </c>
      <c r="G509" s="137" t="s">
        <v>129</v>
      </c>
      <c r="H509" s="137" t="s">
        <v>129</v>
      </c>
      <c r="I509" s="137" t="s">
        <v>129</v>
      </c>
      <c r="J509" s="137" t="s">
        <v>129</v>
      </c>
      <c r="K509" s="137" t="s">
        <v>129</v>
      </c>
      <c r="L509" s="137" t="s">
        <v>129</v>
      </c>
      <c r="M509" s="137" t="s">
        <v>129</v>
      </c>
      <c r="N509" s="147"/>
    </row>
    <row r="510" outlineLevel="1">
      <c r="A510" s="303" t="s">
        <v>3311</v>
      </c>
      <c r="B510" s="420">
        <v>46238.0</v>
      </c>
      <c r="C510" s="133" t="str">
        <f t="shared" si="57"/>
        <v>Tue</v>
      </c>
      <c r="D510" s="383">
        <f t="shared" si="58"/>
        <v>1</v>
      </c>
      <c r="E510" s="147" t="s">
        <v>129</v>
      </c>
      <c r="F510" s="137" t="s">
        <v>129</v>
      </c>
      <c r="G510" s="137" t="s">
        <v>129</v>
      </c>
      <c r="H510" s="137" t="s">
        <v>129</v>
      </c>
      <c r="I510" s="137" t="s">
        <v>129</v>
      </c>
      <c r="J510" s="137" t="s">
        <v>129</v>
      </c>
      <c r="K510" s="137" t="s">
        <v>129</v>
      </c>
      <c r="L510" s="137" t="s">
        <v>129</v>
      </c>
      <c r="M510" s="137" t="s">
        <v>129</v>
      </c>
      <c r="N510" s="147"/>
    </row>
    <row r="511" outlineLevel="1">
      <c r="A511" s="303" t="s">
        <v>3315</v>
      </c>
      <c r="B511" s="420">
        <v>46238.0</v>
      </c>
      <c r="C511" s="133" t="str">
        <f t="shared" si="57"/>
        <v>Tue</v>
      </c>
      <c r="D511" s="381">
        <f t="shared" si="58"/>
        <v>1</v>
      </c>
      <c r="E511" s="382" t="s">
        <v>129</v>
      </c>
      <c r="F511" s="137" t="s">
        <v>129</v>
      </c>
      <c r="G511" s="137" t="s">
        <v>129</v>
      </c>
      <c r="H511" s="137" t="s">
        <v>129</v>
      </c>
      <c r="I511" s="137" t="s">
        <v>129</v>
      </c>
      <c r="J511" s="137" t="s">
        <v>129</v>
      </c>
      <c r="K511" s="137" t="s">
        <v>129</v>
      </c>
      <c r="L511" s="137" t="s">
        <v>129</v>
      </c>
      <c r="M511" s="137" t="s">
        <v>129</v>
      </c>
      <c r="N511" s="147"/>
    </row>
    <row r="512" outlineLevel="1">
      <c r="A512" s="303" t="s">
        <v>3318</v>
      </c>
      <c r="B512" s="420">
        <v>46238.0</v>
      </c>
      <c r="C512" s="133" t="str">
        <f t="shared" si="57"/>
        <v>Tue</v>
      </c>
      <c r="D512" s="383">
        <f t="shared" si="58"/>
        <v>1</v>
      </c>
      <c r="E512" s="147" t="s">
        <v>129</v>
      </c>
      <c r="F512" s="137" t="s">
        <v>129</v>
      </c>
      <c r="G512" s="137" t="s">
        <v>129</v>
      </c>
      <c r="H512" s="137" t="s">
        <v>129</v>
      </c>
      <c r="I512" s="137" t="s">
        <v>129</v>
      </c>
      <c r="J512" s="137" t="s">
        <v>129</v>
      </c>
      <c r="K512" s="137" t="s">
        <v>129</v>
      </c>
      <c r="L512" s="137" t="s">
        <v>129</v>
      </c>
      <c r="M512" s="137" t="s">
        <v>129</v>
      </c>
      <c r="N512" s="147"/>
    </row>
    <row r="513" outlineLevel="1">
      <c r="A513" s="255" t="s">
        <v>3319</v>
      </c>
      <c r="B513" s="418">
        <v>46239.0</v>
      </c>
      <c r="C513" s="428" t="str">
        <f t="shared" si="57"/>
        <v>Wed</v>
      </c>
      <c r="D513" s="381">
        <f t="shared" si="58"/>
        <v>1</v>
      </c>
      <c r="E513" s="382" t="s">
        <v>129</v>
      </c>
      <c r="F513" s="137" t="s">
        <v>129</v>
      </c>
      <c r="G513" s="137" t="s">
        <v>129</v>
      </c>
      <c r="H513" s="137" t="s">
        <v>129</v>
      </c>
      <c r="I513" s="137" t="s">
        <v>129</v>
      </c>
      <c r="J513" s="137" t="s">
        <v>129</v>
      </c>
      <c r="K513" s="137" t="s">
        <v>129</v>
      </c>
      <c r="L513" s="137" t="s">
        <v>129</v>
      </c>
      <c r="M513" s="137" t="s">
        <v>129</v>
      </c>
      <c r="N513" s="147"/>
    </row>
    <row r="514" outlineLevel="1">
      <c r="A514" s="255" t="s">
        <v>3322</v>
      </c>
      <c r="B514" s="418">
        <v>46239.0</v>
      </c>
      <c r="C514" s="428" t="str">
        <f t="shared" si="57"/>
        <v>Wed</v>
      </c>
      <c r="D514" s="383">
        <f t="shared" si="58"/>
        <v>1</v>
      </c>
      <c r="E514" s="147" t="s">
        <v>129</v>
      </c>
      <c r="F514" s="137" t="s">
        <v>129</v>
      </c>
      <c r="G514" s="137" t="s">
        <v>129</v>
      </c>
      <c r="H514" s="137" t="s">
        <v>129</v>
      </c>
      <c r="I514" s="137" t="s">
        <v>129</v>
      </c>
      <c r="J514" s="137" t="s">
        <v>129</v>
      </c>
      <c r="K514" s="137" t="s">
        <v>129</v>
      </c>
      <c r="L514" s="137" t="s">
        <v>129</v>
      </c>
      <c r="M514" s="137" t="s">
        <v>129</v>
      </c>
      <c r="N514" s="147"/>
    </row>
    <row r="515" outlineLevel="1">
      <c r="A515" s="255" t="s">
        <v>3325</v>
      </c>
      <c r="B515" s="418">
        <v>46239.0</v>
      </c>
      <c r="C515" s="428" t="str">
        <f t="shared" si="57"/>
        <v>Wed</v>
      </c>
      <c r="D515" s="381">
        <f t="shared" si="58"/>
        <v>1</v>
      </c>
      <c r="E515" s="382" t="s">
        <v>129</v>
      </c>
      <c r="F515" s="137" t="s">
        <v>129</v>
      </c>
      <c r="G515" s="137" t="s">
        <v>129</v>
      </c>
      <c r="H515" s="137" t="s">
        <v>129</v>
      </c>
      <c r="I515" s="137" t="s">
        <v>129</v>
      </c>
      <c r="J515" s="137" t="s">
        <v>129</v>
      </c>
      <c r="K515" s="137" t="s">
        <v>129</v>
      </c>
      <c r="L515" s="137" t="s">
        <v>129</v>
      </c>
      <c r="M515" s="137" t="s">
        <v>129</v>
      </c>
      <c r="N515" s="147"/>
    </row>
    <row r="516" outlineLevel="1">
      <c r="A516" s="255" t="s">
        <v>3328</v>
      </c>
      <c r="B516" s="418">
        <v>46240.0</v>
      </c>
      <c r="C516" s="428" t="str">
        <f t="shared" si="57"/>
        <v>Thu</v>
      </c>
      <c r="D516" s="383">
        <f t="shared" si="58"/>
        <v>1</v>
      </c>
      <c r="E516" s="147" t="s">
        <v>129</v>
      </c>
      <c r="F516" s="137" t="s">
        <v>129</v>
      </c>
      <c r="G516" s="137" t="s">
        <v>129</v>
      </c>
      <c r="H516" s="137" t="s">
        <v>129</v>
      </c>
      <c r="I516" s="137" t="s">
        <v>129</v>
      </c>
      <c r="J516" s="137" t="s">
        <v>129</v>
      </c>
      <c r="K516" s="137" t="s">
        <v>129</v>
      </c>
      <c r="L516" s="137" t="s">
        <v>129</v>
      </c>
      <c r="M516" s="137" t="s">
        <v>129</v>
      </c>
      <c r="N516" s="147"/>
    </row>
    <row r="517" outlineLevel="1">
      <c r="A517" s="255" t="s">
        <v>3331</v>
      </c>
      <c r="B517" s="418">
        <v>46240.0</v>
      </c>
      <c r="C517" s="428" t="str">
        <f t="shared" si="57"/>
        <v>Thu</v>
      </c>
      <c r="D517" s="381">
        <f t="shared" si="58"/>
        <v>1</v>
      </c>
      <c r="E517" s="382" t="s">
        <v>129</v>
      </c>
      <c r="F517" s="137" t="s">
        <v>129</v>
      </c>
      <c r="G517" s="137" t="s">
        <v>129</v>
      </c>
      <c r="H517" s="137" t="s">
        <v>129</v>
      </c>
      <c r="I517" s="137" t="s">
        <v>129</v>
      </c>
      <c r="J517" s="137" t="s">
        <v>129</v>
      </c>
      <c r="K517" s="137" t="s">
        <v>129</v>
      </c>
      <c r="L517" s="137" t="s">
        <v>129</v>
      </c>
      <c r="M517" s="137" t="s">
        <v>129</v>
      </c>
      <c r="N517" s="147"/>
    </row>
    <row r="518" outlineLevel="1">
      <c r="A518" s="255" t="s">
        <v>3332</v>
      </c>
      <c r="B518" s="418">
        <v>46240.0</v>
      </c>
      <c r="C518" s="428" t="str">
        <f t="shared" si="57"/>
        <v>Thu</v>
      </c>
      <c r="D518" s="383">
        <f t="shared" si="58"/>
        <v>1</v>
      </c>
      <c r="E518" s="147" t="s">
        <v>129</v>
      </c>
      <c r="F518" s="137" t="s">
        <v>129</v>
      </c>
      <c r="G518" s="137" t="s">
        <v>129</v>
      </c>
      <c r="H518" s="137" t="s">
        <v>129</v>
      </c>
      <c r="I518" s="137" t="s">
        <v>129</v>
      </c>
      <c r="J518" s="137" t="s">
        <v>129</v>
      </c>
      <c r="K518" s="137" t="s">
        <v>129</v>
      </c>
      <c r="L518" s="137" t="s">
        <v>129</v>
      </c>
      <c r="M518" s="137" t="s">
        <v>129</v>
      </c>
      <c r="N518" s="147"/>
    </row>
    <row r="519" outlineLevel="1">
      <c r="A519" s="255" t="s">
        <v>3334</v>
      </c>
      <c r="B519" s="418">
        <v>46241.0</v>
      </c>
      <c r="C519" s="428" t="str">
        <f t="shared" si="57"/>
        <v>Fri</v>
      </c>
      <c r="D519" s="381">
        <f t="shared" si="58"/>
        <v>0</v>
      </c>
      <c r="E519" s="382"/>
      <c r="F519" s="137"/>
      <c r="G519" s="137"/>
      <c r="H519" s="137"/>
      <c r="I519" s="137"/>
      <c r="J519" s="137"/>
      <c r="K519" s="137"/>
      <c r="L519" s="137"/>
      <c r="M519" s="141"/>
      <c r="N519" s="143"/>
    </row>
    <row r="520" outlineLevel="1">
      <c r="A520" s="255" t="s">
        <v>3337</v>
      </c>
      <c r="B520" s="418">
        <v>46241.0</v>
      </c>
      <c r="C520" s="428" t="str">
        <f t="shared" si="57"/>
        <v>Fri</v>
      </c>
      <c r="D520" s="383">
        <f t="shared" si="58"/>
        <v>0</v>
      </c>
      <c r="E520" s="147"/>
      <c r="F520" s="137"/>
      <c r="G520" s="137"/>
      <c r="H520" s="137"/>
      <c r="I520" s="137"/>
      <c r="J520" s="137"/>
      <c r="K520" s="137"/>
      <c r="L520" s="137"/>
      <c r="M520" s="141"/>
      <c r="N520" s="143"/>
    </row>
    <row r="521" ht="15.0" customHeight="1" outlineLevel="1">
      <c r="A521" s="255" t="s">
        <v>3340</v>
      </c>
      <c r="B521" s="418">
        <v>46241.0</v>
      </c>
      <c r="C521" s="428" t="str">
        <f t="shared" si="57"/>
        <v>Fri</v>
      </c>
      <c r="D521" s="381">
        <f t="shared" si="58"/>
        <v>0</v>
      </c>
      <c r="E521" s="382"/>
      <c r="F521" s="137"/>
      <c r="G521" s="137"/>
      <c r="H521" s="137"/>
      <c r="I521" s="137"/>
      <c r="J521" s="137"/>
      <c r="K521" s="137"/>
      <c r="L521" s="137"/>
      <c r="M521" s="141"/>
      <c r="N521" s="147"/>
    </row>
    <row r="522" outlineLevel="1">
      <c r="B522" s="189"/>
      <c r="C522" s="191" t="s">
        <v>194</v>
      </c>
      <c r="D522" s="204">
        <f>AVERAGE(D507:D521)</f>
        <v>0.8</v>
      </c>
      <c r="E522" s="384"/>
      <c r="L522" s="191" t="s">
        <v>194</v>
      </c>
      <c r="M522" s="204">
        <f>SUM(M507:M521)/75*0.1</f>
        <v>0</v>
      </c>
    </row>
  </sheetData>
  <mergeCells count="29">
    <mergeCell ref="A1:D1"/>
    <mergeCell ref="A19:D19"/>
    <mergeCell ref="A37:D37"/>
    <mergeCell ref="A55:D55"/>
    <mergeCell ref="A73:D73"/>
    <mergeCell ref="A91:D91"/>
    <mergeCell ref="A109:D109"/>
    <mergeCell ref="A127:D127"/>
    <mergeCell ref="A145:D145"/>
    <mergeCell ref="A163:D163"/>
    <mergeCell ref="A181:D181"/>
    <mergeCell ref="A199:D199"/>
    <mergeCell ref="A217:D217"/>
    <mergeCell ref="A235:D235"/>
    <mergeCell ref="A379:D379"/>
    <mergeCell ref="A397:D397"/>
    <mergeCell ref="A415:D415"/>
    <mergeCell ref="A433:D433"/>
    <mergeCell ref="A451:D451"/>
    <mergeCell ref="A469:D469"/>
    <mergeCell ref="A487:D487"/>
    <mergeCell ref="A505:D505"/>
    <mergeCell ref="A253:D253"/>
    <mergeCell ref="A271:D271"/>
    <mergeCell ref="A289:D289"/>
    <mergeCell ref="A307:D307"/>
    <mergeCell ref="A325:D325"/>
    <mergeCell ref="A343:D343"/>
    <mergeCell ref="A361:D361"/>
  </mergeCells>
  <conditionalFormatting sqref="A3:A5 B3:B17 C3:D5 E3:L17 A19:N126 O89:U89 A129:A131 B129:B143 C129:D131 E129:L143 C141:C143 A147:A149 B147:B161 C147:D149 E147:L161 C159:C161 A163:N180 A183:A185 B183:B197 C183:D185 E183:L197 C195:C197 A199:N216 A219:A221 B219:B233 C219:D221 E219:L233 C231:C233 A235:N252 A255:A257 B255:B269 C255:D257 E255:L269 A267:A269 C267:D269 A273:A275 B273:B287 C273:D275 E273:L287 A285:A287 C285:D287 A291:A293 B291:B305 C291:D293 E291:L305 A303:A305 C303:D305 A309:A311 B309:B323 C309:D311 E309:L323 A321:A323 C321:D323 A327:A329 B327:B341 C327:D329 E327:L341 A339:A341 C339:D341 A345:A347 B345:B359 C345:D347 E345:L359 A357:A359 C357:D359 A363:A365 B363:B377 C363:D365 E363:L377 A375:A377 C375:D377 A379:N396 A399:B413 C399:D401 E399:L413 C411:D413 A417:B431 C417:D419 E417:L431 C429:D431 A433:N450 A453:B467 C453:D455 E453:L467 C465:D467 A469:B503 C469:N486 C489:D491 E489:L503 C501:D503 A507:B521 C507:D509 E507:L521 M507:N518 C519:D521">
    <cfRule type="cellIs" dxfId="7" priority="1" operator="equal">
      <formula>"LWOP"</formula>
    </cfRule>
  </conditionalFormatting>
  <conditionalFormatting sqref="A1:D1 A19:D19 A37:D37 A55:D55 A73:D73 A91:D91 A109:D109 A127:D127 A145:D145 A163:D163 A181:D181 A199:D199 A217:D217 A235:D235 A253:D253 A271:D271 A289:D289 A307:D307 A325:D325 A343:D343 A361:D361 A379:D379 A397:D397 A415:D415 A433:D433 A451:D451 A469:D469 A487:D487 A505:D505">
    <cfRule type="cellIs" dxfId="8" priority="2" operator="equal">
      <formula>"OFF"</formula>
    </cfRule>
  </conditionalFormatting>
  <conditionalFormatting sqref="A1:D1 A19:D19 A37:D37 A55:D55 A73:D73 A91:D91 A109:D109 A127:D127 A145:D145 A163:D163 A181:D181 A199:D199 A217:D217 A235:D235 A253:D253 A271:D271 A289:D289 A307:D307 A325:D325 A343:D343 A361:D361 A379:D379 A397:D397 A415:D415 A433:D433 A451:D451 A469:D469 A487:D487 A505:D505">
    <cfRule type="cellIs" dxfId="9" priority="3" operator="equal">
      <formula>"A"</formula>
    </cfRule>
  </conditionalFormatting>
  <conditionalFormatting sqref="A1:D1 A19:D19 A37:D37 A55:D55 A73:D73 A91:D91 A109:D109 A127:D127 A145:D145 A163:D163 A181:D181 A199:D199 A217:D217 A235:D235 A253:D253 A271:D271 A289:D289 A307:D307 A325:D325 A343:D343 A361:D361 A379:D379 A397:D397 A415:D415 A433:D433 A451:D451 A469:D469 A487:D487 A505:D505">
    <cfRule type="cellIs" dxfId="10" priority="4" operator="equal">
      <formula>"LWOP"</formula>
    </cfRule>
  </conditionalFormatting>
  <conditionalFormatting sqref="A1:N522 O89:U89">
    <cfRule type="cellIs" dxfId="6" priority="5" operator="equal">
      <formula>"Absent"</formula>
    </cfRule>
  </conditionalFormatting>
  <dataValidations>
    <dataValidation type="list" allowBlank="1" showErrorMessage="1" sqref="E3:L17 E21:L35 E39:L53 E57:L71 E75:L89 O89:U89 E93:L107 E111:L125 E129:L143 E147:L161 E165:L179 E183:L197 E201:L215 E219:L233 E237:L251 E255:L269 E273:L287 E291:L305 E309:L323 E327:L341 E345:L359 E363:L377 E381:L395 E399:L413 E417:L431 E435:L449 E453:L467 E471:L485 E489:L503 E507:M518 E519:L521">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7"/>
    <hyperlink r:id="rId47" ref="A58"/>
    <hyperlink r:id="rId48" ref="A59"/>
    <hyperlink r:id="rId49" ref="A60"/>
    <hyperlink r:id="rId50" ref="A61"/>
    <hyperlink r:id="rId51" ref="A62"/>
    <hyperlink r:id="rId52" ref="A63"/>
    <hyperlink r:id="rId53" ref="A64"/>
    <hyperlink r:id="rId54" ref="A65"/>
    <hyperlink r:id="rId55" ref="A66"/>
    <hyperlink r:id="rId56" ref="A67"/>
    <hyperlink r:id="rId57" ref="A68"/>
    <hyperlink r:id="rId58" ref="A69"/>
    <hyperlink r:id="rId59" ref="A70"/>
    <hyperlink r:id="rId60" ref="A71"/>
    <hyperlink r:id="rId61" ref="A75"/>
    <hyperlink r:id="rId62" ref="A76"/>
    <hyperlink r:id="rId63" ref="A77"/>
    <hyperlink r:id="rId64" ref="A78"/>
    <hyperlink r:id="rId65" ref="A79"/>
    <hyperlink r:id="rId66" ref="A80"/>
    <hyperlink r:id="rId67" ref="A81"/>
    <hyperlink r:id="rId68" ref="A82"/>
    <hyperlink r:id="rId69" ref="A83"/>
    <hyperlink r:id="rId70" ref="A84"/>
    <hyperlink r:id="rId71" ref="A85"/>
    <hyperlink r:id="rId72" ref="A86"/>
    <hyperlink r:id="rId73" ref="A87"/>
    <hyperlink r:id="rId74" ref="A88"/>
    <hyperlink r:id="rId75" ref="A89"/>
    <hyperlink r:id="rId76" ref="A93"/>
    <hyperlink r:id="rId77" ref="A94"/>
    <hyperlink r:id="rId78" ref="A95"/>
    <hyperlink r:id="rId79" ref="A96"/>
    <hyperlink r:id="rId80" ref="A97"/>
    <hyperlink r:id="rId81" ref="A98"/>
    <hyperlink r:id="rId82" ref="A99"/>
    <hyperlink r:id="rId83" ref="A100"/>
    <hyperlink r:id="rId84" ref="A101"/>
    <hyperlink r:id="rId85" ref="A102"/>
    <hyperlink r:id="rId86" ref="A103"/>
    <hyperlink r:id="rId87" ref="A104"/>
    <hyperlink r:id="rId88" ref="A105"/>
    <hyperlink r:id="rId89" ref="A106"/>
    <hyperlink r:id="rId90" ref="A107"/>
    <hyperlink r:id="rId91" ref="A111"/>
    <hyperlink r:id="rId92" ref="A112"/>
    <hyperlink r:id="rId93" ref="A113"/>
    <hyperlink r:id="rId94"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9"/>
    <hyperlink r:id="rId107" ref="A130"/>
    <hyperlink r:id="rId108" ref="A131"/>
    <hyperlink r:id="rId109" ref="A132"/>
    <hyperlink r:id="rId110" ref="A133"/>
    <hyperlink r:id="rId111" ref="A134"/>
    <hyperlink r:id="rId112" ref="A135"/>
    <hyperlink r:id="rId113" ref="A136"/>
    <hyperlink r:id="rId114" ref="A137"/>
    <hyperlink r:id="rId115" ref="A138"/>
    <hyperlink r:id="rId116" ref="A139"/>
    <hyperlink r:id="rId117" ref="A140"/>
    <hyperlink r:id="rId118" ref="A141"/>
    <hyperlink r:id="rId119" ref="A142"/>
    <hyperlink r:id="rId120" ref="A143"/>
    <hyperlink r:id="rId121" ref="A147"/>
    <hyperlink r:id="rId122" ref="A148"/>
    <hyperlink r:id="rId123" ref="A149"/>
    <hyperlink r:id="rId124" ref="A150"/>
    <hyperlink r:id="rId125" ref="A151"/>
    <hyperlink r:id="rId126" ref="A152"/>
    <hyperlink r:id="rId127" ref="A153"/>
    <hyperlink r:id="rId128" ref="A154"/>
    <hyperlink r:id="rId129" ref="A155"/>
    <hyperlink r:id="rId130" ref="A156"/>
    <hyperlink r:id="rId131" ref="A157"/>
    <hyperlink r:id="rId132" ref="A158"/>
    <hyperlink r:id="rId133" ref="A159"/>
    <hyperlink r:id="rId134" ref="A160"/>
    <hyperlink r:id="rId135" ref="A161"/>
    <hyperlink r:id="rId136" ref="A165"/>
    <hyperlink r:id="rId137" ref="A166"/>
    <hyperlink r:id="rId138" ref="A167"/>
    <hyperlink r:id="rId139" ref="A168"/>
    <hyperlink r:id="rId140" ref="A169"/>
    <hyperlink r:id="rId141" ref="A170"/>
    <hyperlink r:id="rId142" ref="A171"/>
    <hyperlink r:id="rId143" ref="A172"/>
    <hyperlink r:id="rId144" ref="A173"/>
    <hyperlink r:id="rId145" ref="A174"/>
    <hyperlink r:id="rId146" ref="A175"/>
    <hyperlink r:id="rId147" ref="A176"/>
    <hyperlink r:id="rId148" ref="A177"/>
    <hyperlink r:id="rId149" ref="A178"/>
    <hyperlink r:id="rId150" ref="A179"/>
    <hyperlink r:id="rId151" ref="A183"/>
    <hyperlink r:id="rId152" ref="A184"/>
    <hyperlink r:id="rId153" ref="A185"/>
    <hyperlink r:id="rId154" ref="A186"/>
    <hyperlink r:id="rId155" ref="A187"/>
    <hyperlink r:id="rId156" ref="A188"/>
    <hyperlink r:id="rId157" ref="A189"/>
    <hyperlink r:id="rId158" ref="A190"/>
    <hyperlink r:id="rId159" ref="A191"/>
    <hyperlink r:id="rId160" ref="A192"/>
    <hyperlink r:id="rId161" ref="A193"/>
    <hyperlink r:id="rId162" ref="A194"/>
    <hyperlink r:id="rId163" ref="A195"/>
    <hyperlink r:id="rId164" ref="A196"/>
    <hyperlink r:id="rId165" ref="A197"/>
    <hyperlink r:id="rId166" ref="A201"/>
    <hyperlink r:id="rId167" ref="A202"/>
    <hyperlink r:id="rId168" ref="A203"/>
    <hyperlink r:id="rId169" ref="A204"/>
    <hyperlink r:id="rId170" ref="A205"/>
    <hyperlink r:id="rId171" ref="A206"/>
    <hyperlink r:id="rId172" ref="A207"/>
    <hyperlink r:id="rId173" ref="A208"/>
    <hyperlink r:id="rId174" ref="A209"/>
    <hyperlink r:id="rId175" ref="A210"/>
    <hyperlink r:id="rId176" ref="A211"/>
    <hyperlink r:id="rId177" ref="A212"/>
    <hyperlink r:id="rId178" ref="A213"/>
    <hyperlink r:id="rId179" ref="A214"/>
    <hyperlink r:id="rId180" ref="A215"/>
    <hyperlink r:id="rId181" ref="A222"/>
    <hyperlink r:id="rId182" ref="A223"/>
    <hyperlink r:id="rId183" ref="A224"/>
    <hyperlink r:id="rId184" ref="A225"/>
    <hyperlink r:id="rId185" ref="A226"/>
    <hyperlink r:id="rId186" ref="A227"/>
    <hyperlink r:id="rId187" ref="A228"/>
    <hyperlink r:id="rId188" ref="A229"/>
    <hyperlink r:id="rId189" ref="A230"/>
    <hyperlink r:id="rId190" ref="A231"/>
    <hyperlink r:id="rId191" ref="A232"/>
    <hyperlink r:id="rId192" ref="A233"/>
    <hyperlink r:id="rId193" ref="A237"/>
    <hyperlink r:id="rId194" ref="A238"/>
    <hyperlink r:id="rId195" ref="A239"/>
    <hyperlink r:id="rId196" ref="A240"/>
    <hyperlink r:id="rId197" ref="A241"/>
    <hyperlink r:id="rId198" ref="A242"/>
    <hyperlink r:id="rId199" ref="A243"/>
    <hyperlink r:id="rId200" ref="A244"/>
    <hyperlink r:id="rId201" ref="A245"/>
    <hyperlink r:id="rId202" ref="A246"/>
    <hyperlink r:id="rId203" ref="A247"/>
    <hyperlink r:id="rId204" ref="A248"/>
    <hyperlink r:id="rId205" ref="A249"/>
    <hyperlink r:id="rId206" ref="A250"/>
    <hyperlink r:id="rId207" ref="A251"/>
    <hyperlink r:id="rId208" ref="A255"/>
    <hyperlink r:id="rId209" ref="A256"/>
    <hyperlink r:id="rId210" ref="A257"/>
    <hyperlink r:id="rId211" ref="A258"/>
    <hyperlink r:id="rId212" ref="A259"/>
    <hyperlink r:id="rId213" ref="A260"/>
    <hyperlink r:id="rId214" ref="A261"/>
    <hyperlink r:id="rId215" ref="A262"/>
    <hyperlink r:id="rId216" ref="A263"/>
    <hyperlink r:id="rId217" ref="A264"/>
    <hyperlink r:id="rId218" ref="A265"/>
    <hyperlink r:id="rId219" ref="A266"/>
    <hyperlink r:id="rId220" ref="A267"/>
    <hyperlink r:id="rId221" ref="A268"/>
    <hyperlink r:id="rId222" ref="A269"/>
    <hyperlink r:id="rId223" ref="A273"/>
    <hyperlink r:id="rId224" ref="A274"/>
    <hyperlink r:id="rId225" ref="A275"/>
    <hyperlink r:id="rId226" ref="A276"/>
    <hyperlink r:id="rId227" ref="A277"/>
    <hyperlink r:id="rId228" ref="A278"/>
    <hyperlink r:id="rId229" ref="A279"/>
    <hyperlink r:id="rId230" ref="A280"/>
    <hyperlink r:id="rId231" ref="A281"/>
    <hyperlink r:id="rId232" ref="A282"/>
    <hyperlink r:id="rId233" ref="A283"/>
    <hyperlink r:id="rId234" ref="A284"/>
    <hyperlink r:id="rId235" ref="A285"/>
    <hyperlink r:id="rId236" ref="A286"/>
    <hyperlink r:id="rId237" ref="A287"/>
    <hyperlink r:id="rId238" ref="A291"/>
    <hyperlink r:id="rId239" ref="A292"/>
    <hyperlink r:id="rId240" ref="A293"/>
    <hyperlink r:id="rId241" ref="A294"/>
    <hyperlink r:id="rId242" ref="A295"/>
    <hyperlink r:id="rId243" ref="A296"/>
    <hyperlink r:id="rId244" ref="A297"/>
    <hyperlink r:id="rId245" ref="A298"/>
    <hyperlink r:id="rId246" ref="A299"/>
    <hyperlink r:id="rId247" ref="A300"/>
    <hyperlink r:id="rId248" ref="A301"/>
    <hyperlink r:id="rId249" ref="A302"/>
    <hyperlink r:id="rId250" ref="A303"/>
    <hyperlink r:id="rId251" ref="A304"/>
    <hyperlink r:id="rId252" ref="A305"/>
    <hyperlink r:id="rId253" ref="A309"/>
    <hyperlink r:id="rId254" ref="A310"/>
    <hyperlink r:id="rId255" ref="A311"/>
    <hyperlink r:id="rId256" ref="A312"/>
    <hyperlink r:id="rId257" ref="A313"/>
    <hyperlink r:id="rId258" ref="A314"/>
    <hyperlink r:id="rId259" ref="A315"/>
    <hyperlink r:id="rId260" ref="A316"/>
    <hyperlink r:id="rId261" ref="A317"/>
    <hyperlink r:id="rId262" ref="A318"/>
    <hyperlink r:id="rId263" ref="A319"/>
    <hyperlink r:id="rId264" ref="A320"/>
    <hyperlink r:id="rId265" ref="A321"/>
    <hyperlink r:id="rId266" ref="A322"/>
    <hyperlink r:id="rId267" ref="A323"/>
    <hyperlink r:id="rId268" ref="A327"/>
    <hyperlink r:id="rId269" ref="A328"/>
    <hyperlink r:id="rId270" ref="A329"/>
    <hyperlink r:id="rId271" ref="A330"/>
    <hyperlink r:id="rId272" ref="A331"/>
    <hyperlink r:id="rId273" ref="A332"/>
    <hyperlink r:id="rId274" ref="A333"/>
    <hyperlink r:id="rId275" ref="A334"/>
    <hyperlink r:id="rId276" ref="A335"/>
    <hyperlink r:id="rId277" ref="A336"/>
    <hyperlink r:id="rId278" ref="A337"/>
    <hyperlink r:id="rId279" ref="A338"/>
    <hyperlink r:id="rId280" ref="A339"/>
    <hyperlink r:id="rId281" ref="A340"/>
    <hyperlink r:id="rId282" ref="A341"/>
    <hyperlink r:id="rId283" ref="A345"/>
    <hyperlink r:id="rId284" ref="A346"/>
    <hyperlink r:id="rId285" ref="A347"/>
    <hyperlink r:id="rId286" ref="A348"/>
    <hyperlink r:id="rId287" ref="A349"/>
    <hyperlink r:id="rId288" ref="A350"/>
    <hyperlink r:id="rId289" ref="A351"/>
    <hyperlink r:id="rId290" ref="A352"/>
    <hyperlink r:id="rId291" ref="A353"/>
    <hyperlink r:id="rId292" ref="A354"/>
    <hyperlink r:id="rId293" ref="A355"/>
    <hyperlink r:id="rId294" ref="A356"/>
    <hyperlink r:id="rId295" ref="A357"/>
    <hyperlink r:id="rId296" ref="A358"/>
    <hyperlink r:id="rId297" ref="A359"/>
    <hyperlink r:id="rId298" ref="A363"/>
    <hyperlink r:id="rId299" ref="A364"/>
    <hyperlink r:id="rId300" ref="A365"/>
    <hyperlink r:id="rId301" ref="A366"/>
    <hyperlink r:id="rId302" ref="A367"/>
    <hyperlink r:id="rId303" ref="A368"/>
    <hyperlink r:id="rId304" ref="A369"/>
    <hyperlink r:id="rId305" ref="A370"/>
    <hyperlink r:id="rId306" ref="A371"/>
    <hyperlink r:id="rId307" ref="A372"/>
    <hyperlink r:id="rId308" ref="A373"/>
    <hyperlink r:id="rId309" ref="A374"/>
    <hyperlink r:id="rId310" ref="A375"/>
    <hyperlink r:id="rId311" ref="A376"/>
    <hyperlink r:id="rId312" ref="A377"/>
    <hyperlink r:id="rId313" ref="A399"/>
    <hyperlink r:id="rId314" ref="A400"/>
    <hyperlink r:id="rId315" ref="A401"/>
    <hyperlink r:id="rId316" ref="A402"/>
    <hyperlink r:id="rId317" ref="A403"/>
    <hyperlink r:id="rId318" ref="A404"/>
    <hyperlink r:id="rId319" ref="A405"/>
    <hyperlink r:id="rId320" ref="A406"/>
    <hyperlink r:id="rId321" ref="A407"/>
    <hyperlink r:id="rId322" ref="A408"/>
    <hyperlink r:id="rId323" ref="A409"/>
    <hyperlink r:id="rId324" ref="A410"/>
    <hyperlink r:id="rId325" ref="A411"/>
    <hyperlink r:id="rId326" ref="A412"/>
    <hyperlink r:id="rId327" ref="A413"/>
    <hyperlink r:id="rId328" ref="A417"/>
    <hyperlink r:id="rId329" ref="A418"/>
    <hyperlink r:id="rId330" ref="A419"/>
    <hyperlink r:id="rId331" ref="A420"/>
    <hyperlink r:id="rId332" ref="A421"/>
    <hyperlink r:id="rId333" ref="A422"/>
    <hyperlink r:id="rId334" ref="A423"/>
    <hyperlink r:id="rId335" ref="A424"/>
    <hyperlink r:id="rId336" ref="A425"/>
    <hyperlink r:id="rId337" ref="A426"/>
    <hyperlink r:id="rId338" ref="A427"/>
    <hyperlink r:id="rId339" ref="A428"/>
    <hyperlink r:id="rId340" ref="A429"/>
    <hyperlink r:id="rId341" ref="A430"/>
    <hyperlink r:id="rId342" ref="A431"/>
    <hyperlink r:id="rId343" ref="A435"/>
    <hyperlink r:id="rId344" ref="A436"/>
    <hyperlink r:id="rId345" ref="A437"/>
    <hyperlink r:id="rId346" ref="A438"/>
    <hyperlink r:id="rId347" ref="A439"/>
    <hyperlink r:id="rId348" ref="A440"/>
    <hyperlink r:id="rId349" ref="A441"/>
    <hyperlink r:id="rId350" ref="A442"/>
    <hyperlink r:id="rId351" ref="A443"/>
    <hyperlink r:id="rId352" ref="A444"/>
    <hyperlink r:id="rId353" ref="A445"/>
    <hyperlink r:id="rId354" ref="A446"/>
    <hyperlink r:id="rId355" ref="A447"/>
    <hyperlink r:id="rId356" ref="A448"/>
    <hyperlink r:id="rId357" ref="A449"/>
    <hyperlink r:id="rId358" ref="A453"/>
    <hyperlink r:id="rId359" ref="A454"/>
    <hyperlink r:id="rId360" ref="A455"/>
    <hyperlink r:id="rId361" ref="A456"/>
    <hyperlink r:id="rId362" ref="A457"/>
    <hyperlink r:id="rId363" ref="A458"/>
    <hyperlink r:id="rId364" ref="A459"/>
    <hyperlink r:id="rId365" ref="A460"/>
    <hyperlink r:id="rId366" ref="A461"/>
    <hyperlink r:id="rId367" ref="A462"/>
    <hyperlink r:id="rId368" ref="A463"/>
    <hyperlink r:id="rId369" ref="A464"/>
    <hyperlink r:id="rId370" ref="A471"/>
    <hyperlink r:id="rId371" ref="A472"/>
    <hyperlink r:id="rId372" ref="A473"/>
    <hyperlink r:id="rId373" ref="A474"/>
    <hyperlink r:id="rId374" ref="A475"/>
    <hyperlink r:id="rId375" ref="A476"/>
    <hyperlink r:id="rId376" ref="A477"/>
    <hyperlink r:id="rId377" ref="A478"/>
    <hyperlink r:id="rId378" ref="A479"/>
    <hyperlink r:id="rId379" ref="A480"/>
    <hyperlink r:id="rId380" ref="A481"/>
    <hyperlink r:id="rId381" ref="A482"/>
    <hyperlink r:id="rId382" ref="A483"/>
    <hyperlink r:id="rId383" ref="A484"/>
    <hyperlink r:id="rId384" ref="A485"/>
    <hyperlink r:id="rId385" ref="A489"/>
    <hyperlink r:id="rId386" ref="A490"/>
    <hyperlink r:id="rId387" ref="A491"/>
    <hyperlink r:id="rId388" ref="A492"/>
    <hyperlink r:id="rId389" ref="A493"/>
    <hyperlink r:id="rId390" ref="A494"/>
    <hyperlink r:id="rId391" ref="A495"/>
    <hyperlink r:id="rId392" ref="A496"/>
    <hyperlink r:id="rId393" ref="A497"/>
    <hyperlink r:id="rId394" ref="A498"/>
    <hyperlink r:id="rId395" ref="A499"/>
    <hyperlink r:id="rId396" ref="A500"/>
    <hyperlink r:id="rId397" ref="A501"/>
    <hyperlink r:id="rId398" ref="A502"/>
    <hyperlink r:id="rId399" ref="A503"/>
    <hyperlink r:id="rId400" ref="A507"/>
    <hyperlink r:id="rId401" ref="A508"/>
    <hyperlink r:id="rId402" ref="A509"/>
    <hyperlink r:id="rId403" ref="A510"/>
    <hyperlink r:id="rId404" ref="A511"/>
    <hyperlink r:id="rId405" ref="A512"/>
    <hyperlink r:id="rId406" ref="A513"/>
    <hyperlink r:id="rId407" ref="A514"/>
    <hyperlink r:id="rId408" ref="A515"/>
    <hyperlink r:id="rId409" ref="A516"/>
    <hyperlink r:id="rId410" ref="A517"/>
    <hyperlink r:id="rId411" ref="A518"/>
    <hyperlink r:id="rId412" ref="A519"/>
    <hyperlink r:id="rId413" ref="A520"/>
    <hyperlink r:id="rId414" ref="A521"/>
  </hyperlinks>
  <drawing r:id="rId415"/>
  <tableParts count="1">
    <tablePart r:id="rId41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customWidth="1" min="8" max="8" width="10.13"/>
    <col customWidth="1" min="14" max="14" width="152.75"/>
  </cols>
  <sheetData>
    <row r="1" hidden="1" outlineLevel="1">
      <c r="A1" s="115" t="s">
        <v>98</v>
      </c>
      <c r="B1" s="115" t="s">
        <v>100</v>
      </c>
      <c r="C1" s="115" t="s">
        <v>102</v>
      </c>
      <c r="D1" s="119" t="s">
        <v>103</v>
      </c>
      <c r="E1" s="275" t="s">
        <v>269</v>
      </c>
      <c r="F1" s="275" t="s">
        <v>272</v>
      </c>
      <c r="G1" s="276" t="s">
        <v>328</v>
      </c>
      <c r="H1" s="121" t="s">
        <v>107</v>
      </c>
      <c r="I1" s="121" t="s">
        <v>108</v>
      </c>
      <c r="J1" s="276" t="s">
        <v>329</v>
      </c>
      <c r="K1" s="121" t="s">
        <v>111</v>
      </c>
      <c r="L1" s="276" t="s">
        <v>274</v>
      </c>
      <c r="M1" s="115" t="s">
        <v>114</v>
      </c>
      <c r="N1" s="119" t="s">
        <v>115</v>
      </c>
    </row>
    <row r="2" hidden="1" outlineLevel="1">
      <c r="A2" s="219" t="s">
        <v>3070</v>
      </c>
      <c r="B2" s="344">
        <v>46048.0</v>
      </c>
      <c r="C2" s="133" t="str">
        <f t="shared" ref="C2:C16" si="1">IF(B2="", "", TEXT(B2, "ddd"))</f>
        <v>Mon</v>
      </c>
      <c r="D2" s="136">
        <f t="shared" ref="D2:D16" si="2">IF(E2="Yes",0.05,0)
+IF(F2="Yes",0.1,0)
+IF(G2="Yes",0.15,0)
+IF(H2="Yes",0.15,0)
+IF(I2="Yes",0.05,0)
+IF(J2="Yes",0.05,0)
+IF(K2="Yes",0.15,0)
+IF(L2="Yes",0.3,0)
</f>
        <v>1</v>
      </c>
      <c r="E2" s="137" t="s">
        <v>129</v>
      </c>
      <c r="F2" s="137" t="s">
        <v>129</v>
      </c>
      <c r="G2" s="137" t="s">
        <v>129</v>
      </c>
      <c r="H2" s="137" t="s">
        <v>129</v>
      </c>
      <c r="I2" s="137" t="s">
        <v>129</v>
      </c>
      <c r="J2" s="137" t="s">
        <v>129</v>
      </c>
      <c r="K2" s="137" t="s">
        <v>129</v>
      </c>
      <c r="L2" s="137" t="s">
        <v>129</v>
      </c>
      <c r="M2" s="141"/>
      <c r="N2" s="143"/>
    </row>
    <row r="3" hidden="1" outlineLevel="1">
      <c r="A3" s="219" t="s">
        <v>3080</v>
      </c>
      <c r="B3" s="344">
        <v>46048.0</v>
      </c>
      <c r="C3" s="133" t="str">
        <f t="shared" si="1"/>
        <v>Mon</v>
      </c>
      <c r="D3" s="136">
        <f t="shared" si="2"/>
        <v>1</v>
      </c>
      <c r="E3" s="137" t="s">
        <v>129</v>
      </c>
      <c r="F3" s="137" t="s">
        <v>129</v>
      </c>
      <c r="G3" s="137" t="s">
        <v>129</v>
      </c>
      <c r="H3" s="137" t="s">
        <v>129</v>
      </c>
      <c r="I3" s="137" t="s">
        <v>129</v>
      </c>
      <c r="J3" s="137" t="s">
        <v>129</v>
      </c>
      <c r="K3" s="137" t="s">
        <v>129</v>
      </c>
      <c r="L3" s="137" t="s">
        <v>129</v>
      </c>
      <c r="M3" s="141"/>
      <c r="N3" s="147"/>
    </row>
    <row r="4" hidden="1" outlineLevel="1">
      <c r="A4" s="219" t="s">
        <v>3087</v>
      </c>
      <c r="B4" s="344">
        <v>46048.0</v>
      </c>
      <c r="C4" s="133" t="str">
        <f t="shared" si="1"/>
        <v>Mon</v>
      </c>
      <c r="D4" s="136">
        <f t="shared" si="2"/>
        <v>1</v>
      </c>
      <c r="E4" s="137" t="s">
        <v>129</v>
      </c>
      <c r="F4" s="137" t="s">
        <v>129</v>
      </c>
      <c r="G4" s="137" t="s">
        <v>129</v>
      </c>
      <c r="H4" s="137" t="s">
        <v>129</v>
      </c>
      <c r="I4" s="137" t="s">
        <v>129</v>
      </c>
      <c r="J4" s="137" t="s">
        <v>129</v>
      </c>
      <c r="K4" s="137" t="s">
        <v>129</v>
      </c>
      <c r="L4" s="137" t="s">
        <v>129</v>
      </c>
      <c r="M4" s="141"/>
      <c r="N4" s="147"/>
    </row>
    <row r="5" hidden="1" outlineLevel="1">
      <c r="A5" s="255" t="s">
        <v>3099</v>
      </c>
      <c r="B5" s="344">
        <v>46049.0</v>
      </c>
      <c r="C5" s="133" t="str">
        <f t="shared" si="1"/>
        <v>Tue</v>
      </c>
      <c r="D5" s="136">
        <f t="shared" si="2"/>
        <v>0.5</v>
      </c>
      <c r="E5" s="137" t="s">
        <v>174</v>
      </c>
      <c r="F5" s="15" t="s">
        <v>129</v>
      </c>
      <c r="G5" s="15" t="s">
        <v>129</v>
      </c>
      <c r="H5" s="15" t="s">
        <v>129</v>
      </c>
      <c r="I5" s="15" t="s">
        <v>129</v>
      </c>
      <c r="J5" s="15" t="s">
        <v>129</v>
      </c>
      <c r="K5" s="15" t="s">
        <v>174</v>
      </c>
      <c r="L5" s="15" t="s">
        <v>174</v>
      </c>
      <c r="M5" s="141"/>
      <c r="N5" s="147" t="s">
        <v>3105</v>
      </c>
    </row>
    <row r="6" hidden="1" outlineLevel="1">
      <c r="A6" s="219" t="s">
        <v>3107</v>
      </c>
      <c r="B6" s="344">
        <v>46049.0</v>
      </c>
      <c r="C6" s="133" t="str">
        <f t="shared" si="1"/>
        <v>Tue</v>
      </c>
      <c r="D6" s="136">
        <f t="shared" si="2"/>
        <v>0.55</v>
      </c>
      <c r="E6" s="137" t="s">
        <v>129</v>
      </c>
      <c r="F6" s="137" t="s">
        <v>129</v>
      </c>
      <c r="G6" s="137" t="s">
        <v>129</v>
      </c>
      <c r="H6" s="137" t="s">
        <v>129</v>
      </c>
      <c r="I6" s="137" t="s">
        <v>129</v>
      </c>
      <c r="J6" s="137" t="s">
        <v>129</v>
      </c>
      <c r="K6" s="137" t="s">
        <v>174</v>
      </c>
      <c r="L6" s="137" t="s">
        <v>174</v>
      </c>
      <c r="M6" s="141"/>
      <c r="N6" s="147" t="s">
        <v>3105</v>
      </c>
    </row>
    <row r="7" hidden="1" outlineLevel="1">
      <c r="A7" s="255" t="s">
        <v>3115</v>
      </c>
      <c r="B7" s="344">
        <v>46049.0</v>
      </c>
      <c r="C7" s="133" t="str">
        <f t="shared" si="1"/>
        <v>Tue</v>
      </c>
      <c r="D7" s="136">
        <f t="shared" si="2"/>
        <v>0.65</v>
      </c>
      <c r="E7" s="137" t="s">
        <v>174</v>
      </c>
      <c r="F7" s="15" t="s">
        <v>129</v>
      </c>
      <c r="G7" s="15" t="s">
        <v>129</v>
      </c>
      <c r="H7" s="15" t="s">
        <v>129</v>
      </c>
      <c r="I7" s="15" t="s">
        <v>129</v>
      </c>
      <c r="J7" s="15" t="s">
        <v>129</v>
      </c>
      <c r="K7" s="15" t="s">
        <v>129</v>
      </c>
      <c r="L7" s="15" t="s">
        <v>174</v>
      </c>
      <c r="M7" s="141"/>
      <c r="N7" s="147" t="s">
        <v>3120</v>
      </c>
    </row>
    <row r="8" hidden="1" outlineLevel="1">
      <c r="A8" s="255" t="s">
        <v>3122</v>
      </c>
      <c r="B8" s="344">
        <v>46050.0</v>
      </c>
      <c r="C8" s="133" t="str">
        <f t="shared" si="1"/>
        <v>Wed</v>
      </c>
      <c r="D8" s="136">
        <f t="shared" si="2"/>
        <v>0.95</v>
      </c>
      <c r="E8" s="137" t="s">
        <v>174</v>
      </c>
      <c r="F8" s="137" t="s">
        <v>129</v>
      </c>
      <c r="G8" s="137" t="s">
        <v>129</v>
      </c>
      <c r="H8" s="137" t="s">
        <v>129</v>
      </c>
      <c r="I8" s="137" t="s">
        <v>129</v>
      </c>
      <c r="J8" s="137" t="s">
        <v>129</v>
      </c>
      <c r="K8" s="137" t="s">
        <v>129</v>
      </c>
      <c r="L8" s="137" t="s">
        <v>129</v>
      </c>
      <c r="M8" s="141"/>
      <c r="N8" s="147" t="s">
        <v>3129</v>
      </c>
    </row>
    <row r="9" hidden="1" outlineLevel="1">
      <c r="A9" s="255" t="s">
        <v>3130</v>
      </c>
      <c r="B9" s="344">
        <v>46050.0</v>
      </c>
      <c r="C9" s="133" t="str">
        <f t="shared" si="1"/>
        <v>Wed</v>
      </c>
      <c r="D9" s="136">
        <f t="shared" si="2"/>
        <v>0.45</v>
      </c>
      <c r="E9" s="137" t="s">
        <v>129</v>
      </c>
      <c r="F9" s="137" t="s">
        <v>129</v>
      </c>
      <c r="G9" s="137" t="s">
        <v>129</v>
      </c>
      <c r="H9" s="137" t="s">
        <v>129</v>
      </c>
      <c r="I9" s="137" t="s">
        <v>174</v>
      </c>
      <c r="J9" s="137" t="s">
        <v>174</v>
      </c>
      <c r="K9" s="137" t="s">
        <v>174</v>
      </c>
      <c r="L9" s="137" t="s">
        <v>174</v>
      </c>
      <c r="M9" s="141"/>
      <c r="N9" s="147" t="s">
        <v>3135</v>
      </c>
    </row>
    <row r="10" hidden="1" outlineLevel="1">
      <c r="A10" s="255" t="s">
        <v>3136</v>
      </c>
      <c r="B10" s="344">
        <v>46050.0</v>
      </c>
      <c r="C10" s="133" t="str">
        <f t="shared" si="1"/>
        <v>Wed</v>
      </c>
      <c r="D10" s="136">
        <f t="shared" si="2"/>
        <v>1</v>
      </c>
      <c r="E10" s="137" t="s">
        <v>129</v>
      </c>
      <c r="F10" s="137" t="s">
        <v>129</v>
      </c>
      <c r="G10" s="137" t="s">
        <v>129</v>
      </c>
      <c r="H10" s="137" t="s">
        <v>129</v>
      </c>
      <c r="I10" s="137" t="s">
        <v>129</v>
      </c>
      <c r="J10" s="137" t="s">
        <v>129</v>
      </c>
      <c r="K10" s="137" t="s">
        <v>129</v>
      </c>
      <c r="L10" s="137" t="s">
        <v>129</v>
      </c>
      <c r="M10" s="141"/>
      <c r="N10" s="147"/>
    </row>
    <row r="11" hidden="1" outlineLevel="1">
      <c r="A11" s="219" t="s">
        <v>3142</v>
      </c>
      <c r="B11" s="344">
        <v>46052.0</v>
      </c>
      <c r="C11" s="133" t="str">
        <f t="shared" si="1"/>
        <v>Fri</v>
      </c>
      <c r="D11" s="136">
        <f t="shared" si="2"/>
        <v>0.55</v>
      </c>
      <c r="E11" s="137" t="s">
        <v>129</v>
      </c>
      <c r="F11" s="137" t="s">
        <v>129</v>
      </c>
      <c r="G11" s="137" t="s">
        <v>129</v>
      </c>
      <c r="H11" s="137" t="s">
        <v>129</v>
      </c>
      <c r="I11" s="137" t="s">
        <v>129</v>
      </c>
      <c r="J11" s="137" t="s">
        <v>129</v>
      </c>
      <c r="K11" s="137" t="s">
        <v>174</v>
      </c>
      <c r="L11" s="137" t="s">
        <v>174</v>
      </c>
      <c r="M11" s="141"/>
      <c r="N11" s="147" t="s">
        <v>3147</v>
      </c>
    </row>
    <row r="12" hidden="1" outlineLevel="1">
      <c r="A12" s="219" t="s">
        <v>3149</v>
      </c>
      <c r="B12" s="344">
        <v>46052.0</v>
      </c>
      <c r="C12" s="133" t="str">
        <f t="shared" si="1"/>
        <v>Fri</v>
      </c>
      <c r="D12" s="136">
        <f t="shared" si="2"/>
        <v>0.95</v>
      </c>
      <c r="E12" s="137" t="s">
        <v>174</v>
      </c>
      <c r="F12" s="137" t="s">
        <v>129</v>
      </c>
      <c r="G12" s="137" t="s">
        <v>129</v>
      </c>
      <c r="H12" s="137" t="s">
        <v>129</v>
      </c>
      <c r="I12" s="137" t="s">
        <v>129</v>
      </c>
      <c r="J12" s="137" t="s">
        <v>129</v>
      </c>
      <c r="K12" s="137" t="s">
        <v>129</v>
      </c>
      <c r="L12" s="137" t="s">
        <v>129</v>
      </c>
      <c r="M12" s="141"/>
      <c r="N12" s="147"/>
    </row>
    <row r="13" hidden="1" outlineLevel="1">
      <c r="A13" s="489" t="s">
        <v>3155</v>
      </c>
      <c r="B13" s="344">
        <v>46052.0</v>
      </c>
      <c r="C13" s="133" t="str">
        <f t="shared" si="1"/>
        <v>Fri</v>
      </c>
      <c r="D13" s="136">
        <f t="shared" si="2"/>
        <v>0.9</v>
      </c>
      <c r="E13" s="137" t="s">
        <v>174</v>
      </c>
      <c r="F13" s="137" t="s">
        <v>129</v>
      </c>
      <c r="G13" s="137" t="s">
        <v>129</v>
      </c>
      <c r="H13" s="137" t="s">
        <v>129</v>
      </c>
      <c r="I13" s="137" t="s">
        <v>129</v>
      </c>
      <c r="J13" s="137" t="s">
        <v>174</v>
      </c>
      <c r="K13" s="137" t="s">
        <v>129</v>
      </c>
      <c r="L13" s="137" t="s">
        <v>129</v>
      </c>
      <c r="M13" s="141"/>
      <c r="N13" s="147" t="s">
        <v>3165</v>
      </c>
    </row>
    <row r="14" hidden="1" outlineLevel="1">
      <c r="A14" s="303" t="s">
        <v>3166</v>
      </c>
      <c r="B14" s="344">
        <v>46053.0</v>
      </c>
      <c r="C14" s="186" t="str">
        <f t="shared" si="1"/>
        <v>Sat</v>
      </c>
      <c r="D14" s="136">
        <f t="shared" si="2"/>
        <v>1</v>
      </c>
      <c r="E14" s="137" t="s">
        <v>129</v>
      </c>
      <c r="F14" s="137" t="s">
        <v>129</v>
      </c>
      <c r="G14" s="137" t="s">
        <v>129</v>
      </c>
      <c r="H14" s="137" t="s">
        <v>129</v>
      </c>
      <c r="I14" s="137" t="s">
        <v>129</v>
      </c>
      <c r="J14" s="137" t="s">
        <v>129</v>
      </c>
      <c r="K14" s="137" t="s">
        <v>129</v>
      </c>
      <c r="L14" s="137" t="s">
        <v>129</v>
      </c>
      <c r="M14" s="141"/>
      <c r="N14" s="143"/>
    </row>
    <row r="15" hidden="1" outlineLevel="1">
      <c r="A15" s="303" t="s">
        <v>3172</v>
      </c>
      <c r="B15" s="344">
        <v>46053.0</v>
      </c>
      <c r="C15" s="186" t="str">
        <f t="shared" si="1"/>
        <v>Sat</v>
      </c>
      <c r="D15" s="136">
        <f t="shared" si="2"/>
        <v>1</v>
      </c>
      <c r="E15" s="137" t="s">
        <v>129</v>
      </c>
      <c r="F15" s="137" t="s">
        <v>129</v>
      </c>
      <c r="G15" s="137" t="s">
        <v>129</v>
      </c>
      <c r="H15" s="137" t="s">
        <v>129</v>
      </c>
      <c r="I15" s="137" t="s">
        <v>129</v>
      </c>
      <c r="J15" s="137" t="s">
        <v>129</v>
      </c>
      <c r="K15" s="137" t="s">
        <v>129</v>
      </c>
      <c r="L15" s="137" t="s">
        <v>129</v>
      </c>
      <c r="M15" s="141"/>
      <c r="N15" s="147" t="s">
        <v>3180</v>
      </c>
    </row>
    <row r="16" ht="15.0" hidden="1" customHeight="1" outlineLevel="1">
      <c r="A16" s="303" t="s">
        <v>3181</v>
      </c>
      <c r="B16" s="344">
        <v>46053.0</v>
      </c>
      <c r="C16" s="186" t="str">
        <f t="shared" si="1"/>
        <v>Sat</v>
      </c>
      <c r="D16" s="136">
        <f t="shared" si="2"/>
        <v>1</v>
      </c>
      <c r="E16" s="137" t="s">
        <v>129</v>
      </c>
      <c r="F16" s="137" t="s">
        <v>129</v>
      </c>
      <c r="G16" s="137" t="s">
        <v>129</v>
      </c>
      <c r="H16" s="137" t="s">
        <v>129</v>
      </c>
      <c r="I16" s="137" t="s">
        <v>129</v>
      </c>
      <c r="J16" s="137" t="s">
        <v>129</v>
      </c>
      <c r="K16" s="137" t="s">
        <v>129</v>
      </c>
      <c r="L16" s="137" t="s">
        <v>129</v>
      </c>
      <c r="M16" s="141"/>
      <c r="N16" s="147"/>
    </row>
    <row r="17" hidden="1" outlineLevel="1">
      <c r="B17" s="189"/>
      <c r="C17" s="191" t="s">
        <v>194</v>
      </c>
      <c r="D17" s="204">
        <f>AVERAGE(D2:D16)</f>
        <v>0.8333333333</v>
      </c>
      <c r="E17" s="200"/>
      <c r="L17" s="191" t="s">
        <v>194</v>
      </c>
      <c r="M17" s="204">
        <f>SUM(M2:M16)/75*0.1</f>
        <v>0</v>
      </c>
    </row>
    <row r="18" hidden="1" collapsed="1">
      <c r="A18" s="206" t="s">
        <v>613</v>
      </c>
      <c r="B18" s="207"/>
      <c r="C18" s="207"/>
      <c r="D18" s="385"/>
      <c r="E18" s="109"/>
      <c r="F18" s="109"/>
      <c r="G18" s="110"/>
      <c r="H18" s="110"/>
      <c r="I18" s="110"/>
      <c r="J18" s="110"/>
      <c r="K18" s="110"/>
      <c r="L18" s="110"/>
      <c r="M18" s="111"/>
      <c r="N18" s="113"/>
    </row>
    <row r="19" hidden="1" outlineLevel="1">
      <c r="A19" s="115" t="s">
        <v>98</v>
      </c>
      <c r="B19" s="115" t="s">
        <v>100</v>
      </c>
      <c r="C19" s="115" t="s">
        <v>102</v>
      </c>
      <c r="D19" s="119" t="s">
        <v>103</v>
      </c>
      <c r="E19" s="275" t="s">
        <v>269</v>
      </c>
      <c r="F19" s="275" t="s">
        <v>272</v>
      </c>
      <c r="G19" s="276" t="s">
        <v>328</v>
      </c>
      <c r="H19" s="121" t="s">
        <v>107</v>
      </c>
      <c r="I19" s="121" t="s">
        <v>108</v>
      </c>
      <c r="J19" s="276" t="s">
        <v>329</v>
      </c>
      <c r="K19" s="121" t="s">
        <v>111</v>
      </c>
      <c r="L19" s="276" t="s">
        <v>274</v>
      </c>
      <c r="M19" s="115" t="s">
        <v>114</v>
      </c>
      <c r="N19" s="119" t="s">
        <v>115</v>
      </c>
    </row>
    <row r="20" hidden="1" outlineLevel="1">
      <c r="A20" s="219" t="s">
        <v>3194</v>
      </c>
      <c r="B20" s="344">
        <v>46055.0</v>
      </c>
      <c r="C20" s="133" t="str">
        <f t="shared" ref="C20:C34" si="3">IF(B20="", "", TEXT(B20, "ddd"))</f>
        <v>Mon</v>
      </c>
      <c r="D20" s="381">
        <f t="shared" ref="D20:D34" si="4">IF(E20="Yes",0.05,0)
+IF(F20="Yes",0.1,0)
+IF(G20="Yes",0.15,0)
+IF(H20="Yes",0.15,0)
+IF(I20="Yes",0.05,0)
+IF(J20="Yes",0.05,0)
+IF(K20="Yes",0.15,0)
+IF(L20="Yes",0.3,0)
</f>
        <v>0.85</v>
      </c>
      <c r="E20" s="382" t="s">
        <v>129</v>
      </c>
      <c r="F20" s="137" t="s">
        <v>129</v>
      </c>
      <c r="G20" s="137" t="s">
        <v>129</v>
      </c>
      <c r="H20" s="137" t="s">
        <v>174</v>
      </c>
      <c r="I20" s="137" t="s">
        <v>129</v>
      </c>
      <c r="J20" s="137" t="s">
        <v>129</v>
      </c>
      <c r="K20" s="137" t="s">
        <v>129</v>
      </c>
      <c r="L20" s="137" t="s">
        <v>129</v>
      </c>
      <c r="M20" s="141"/>
      <c r="N20" s="147" t="s">
        <v>3204</v>
      </c>
    </row>
    <row r="21" hidden="1" outlineLevel="1">
      <c r="A21" s="219" t="s">
        <v>3205</v>
      </c>
      <c r="B21" s="344">
        <v>46055.0</v>
      </c>
      <c r="C21" s="133" t="str">
        <f t="shared" si="3"/>
        <v>Mon</v>
      </c>
      <c r="D21" s="383">
        <f t="shared" si="4"/>
        <v>1</v>
      </c>
      <c r="E21" s="147" t="s">
        <v>129</v>
      </c>
      <c r="F21" s="137" t="s">
        <v>129</v>
      </c>
      <c r="G21" s="137" t="s">
        <v>129</v>
      </c>
      <c r="H21" s="137" t="s">
        <v>129</v>
      </c>
      <c r="I21" s="137" t="s">
        <v>129</v>
      </c>
      <c r="J21" s="137" t="s">
        <v>129</v>
      </c>
      <c r="K21" s="137" t="s">
        <v>129</v>
      </c>
      <c r="L21" s="137" t="s">
        <v>129</v>
      </c>
      <c r="M21" s="141"/>
      <c r="N21" s="147"/>
    </row>
    <row r="22" hidden="1" outlineLevel="1">
      <c r="A22" s="219" t="s">
        <v>3210</v>
      </c>
      <c r="B22" s="344">
        <v>46055.0</v>
      </c>
      <c r="C22" s="133" t="str">
        <f t="shared" si="3"/>
        <v>Mon</v>
      </c>
      <c r="D22" s="381">
        <f t="shared" si="4"/>
        <v>1</v>
      </c>
      <c r="E22" s="382" t="s">
        <v>129</v>
      </c>
      <c r="F22" s="137" t="s">
        <v>129</v>
      </c>
      <c r="G22" s="137" t="s">
        <v>129</v>
      </c>
      <c r="H22" s="137" t="s">
        <v>129</v>
      </c>
      <c r="I22" s="137" t="s">
        <v>129</v>
      </c>
      <c r="J22" s="137" t="s">
        <v>129</v>
      </c>
      <c r="K22" s="137" t="s">
        <v>129</v>
      </c>
      <c r="L22" s="137" t="s">
        <v>129</v>
      </c>
      <c r="M22" s="141"/>
      <c r="N22" s="147"/>
    </row>
    <row r="23" hidden="1" outlineLevel="1">
      <c r="A23" s="219" t="s">
        <v>3217</v>
      </c>
      <c r="B23" s="344">
        <v>46056.0</v>
      </c>
      <c r="C23" s="133" t="str">
        <f t="shared" si="3"/>
        <v>Tue</v>
      </c>
      <c r="D23" s="383">
        <f t="shared" si="4"/>
        <v>0.8</v>
      </c>
      <c r="E23" s="147" t="s">
        <v>129</v>
      </c>
      <c r="F23" s="137" t="s">
        <v>129</v>
      </c>
      <c r="G23" s="137" t="s">
        <v>129</v>
      </c>
      <c r="H23" s="137" t="s">
        <v>129</v>
      </c>
      <c r="I23" s="137" t="s">
        <v>129</v>
      </c>
      <c r="J23" s="137" t="s">
        <v>174</v>
      </c>
      <c r="K23" s="137" t="s">
        <v>174</v>
      </c>
      <c r="L23" s="137" t="s">
        <v>129</v>
      </c>
      <c r="M23" s="141"/>
      <c r="N23" s="147" t="s">
        <v>3224</v>
      </c>
    </row>
    <row r="24" hidden="1" outlineLevel="1">
      <c r="A24" s="219" t="s">
        <v>3225</v>
      </c>
      <c r="B24" s="344">
        <v>46056.0</v>
      </c>
      <c r="C24" s="133" t="str">
        <f t="shared" si="3"/>
        <v>Tue</v>
      </c>
      <c r="D24" s="381">
        <f t="shared" si="4"/>
        <v>0.95</v>
      </c>
      <c r="E24" s="382" t="s">
        <v>129</v>
      </c>
      <c r="F24" s="137" t="s">
        <v>129</v>
      </c>
      <c r="G24" s="137" t="s">
        <v>129</v>
      </c>
      <c r="H24" s="137" t="s">
        <v>129</v>
      </c>
      <c r="I24" s="137" t="s">
        <v>129</v>
      </c>
      <c r="J24" s="137" t="s">
        <v>174</v>
      </c>
      <c r="K24" s="137" t="s">
        <v>129</v>
      </c>
      <c r="L24" s="137" t="s">
        <v>129</v>
      </c>
      <c r="M24" s="141"/>
      <c r="N24" s="147" t="s">
        <v>3232</v>
      </c>
    </row>
    <row r="25" hidden="1" outlineLevel="1">
      <c r="A25" s="219" t="s">
        <v>3233</v>
      </c>
      <c r="B25" s="344">
        <v>46056.0</v>
      </c>
      <c r="C25" s="133" t="str">
        <f t="shared" si="3"/>
        <v>Tue</v>
      </c>
      <c r="D25" s="383">
        <f t="shared" si="4"/>
        <v>0.95</v>
      </c>
      <c r="E25" s="147" t="s">
        <v>129</v>
      </c>
      <c r="F25" s="137" t="s">
        <v>129</v>
      </c>
      <c r="G25" s="137" t="s">
        <v>129</v>
      </c>
      <c r="H25" s="137" t="s">
        <v>129</v>
      </c>
      <c r="I25" s="137" t="s">
        <v>129</v>
      </c>
      <c r="J25" s="137" t="s">
        <v>174</v>
      </c>
      <c r="K25" s="137" t="s">
        <v>129</v>
      </c>
      <c r="L25" s="137" t="s">
        <v>129</v>
      </c>
      <c r="M25" s="141"/>
      <c r="N25" s="147" t="s">
        <v>3236</v>
      </c>
    </row>
    <row r="26" hidden="1" outlineLevel="1">
      <c r="A26" s="303" t="s">
        <v>3237</v>
      </c>
      <c r="B26" s="344">
        <v>46057.0</v>
      </c>
      <c r="C26" s="133" t="str">
        <f t="shared" si="3"/>
        <v>Wed</v>
      </c>
      <c r="D26" s="381">
        <f t="shared" si="4"/>
        <v>0.75</v>
      </c>
      <c r="E26" s="382" t="s">
        <v>129</v>
      </c>
      <c r="F26" s="137" t="s">
        <v>129</v>
      </c>
      <c r="G26" s="137" t="s">
        <v>129</v>
      </c>
      <c r="H26" s="137" t="s">
        <v>129</v>
      </c>
      <c r="I26" s="137" t="s">
        <v>174</v>
      </c>
      <c r="J26" s="137" t="s">
        <v>174</v>
      </c>
      <c r="K26" s="137" t="s">
        <v>174</v>
      </c>
      <c r="L26" s="137" t="s">
        <v>129</v>
      </c>
      <c r="M26" s="141"/>
      <c r="N26" s="147" t="s">
        <v>3245</v>
      </c>
    </row>
    <row r="27" hidden="1" outlineLevel="1">
      <c r="A27" s="303" t="s">
        <v>3247</v>
      </c>
      <c r="B27" s="344">
        <v>46057.0</v>
      </c>
      <c r="C27" s="133" t="str">
        <f t="shared" si="3"/>
        <v>Wed</v>
      </c>
      <c r="D27" s="383">
        <f t="shared" si="4"/>
        <v>1</v>
      </c>
      <c r="E27" s="147" t="s">
        <v>129</v>
      </c>
      <c r="F27" s="137" t="s">
        <v>129</v>
      </c>
      <c r="G27" s="137" t="s">
        <v>129</v>
      </c>
      <c r="H27" s="137" t="s">
        <v>129</v>
      </c>
      <c r="I27" s="137" t="s">
        <v>129</v>
      </c>
      <c r="J27" s="137" t="s">
        <v>129</v>
      </c>
      <c r="K27" s="137" t="s">
        <v>129</v>
      </c>
      <c r="L27" s="137" t="s">
        <v>129</v>
      </c>
      <c r="M27" s="141"/>
      <c r="N27" s="147"/>
    </row>
    <row r="28" hidden="1" outlineLevel="1">
      <c r="A28" s="303" t="s">
        <v>3252</v>
      </c>
      <c r="B28" s="344">
        <v>46057.0</v>
      </c>
      <c r="C28" s="133" t="str">
        <f t="shared" si="3"/>
        <v>Wed</v>
      </c>
      <c r="D28" s="381">
        <f t="shared" si="4"/>
        <v>0.95</v>
      </c>
      <c r="E28" s="382" t="s">
        <v>129</v>
      </c>
      <c r="F28" s="137" t="s">
        <v>129</v>
      </c>
      <c r="G28" s="137" t="s">
        <v>129</v>
      </c>
      <c r="H28" s="137" t="s">
        <v>129</v>
      </c>
      <c r="I28" s="137" t="s">
        <v>129</v>
      </c>
      <c r="J28" s="137" t="s">
        <v>174</v>
      </c>
      <c r="K28" s="137" t="s">
        <v>129</v>
      </c>
      <c r="L28" s="137" t="s">
        <v>129</v>
      </c>
      <c r="M28" s="141"/>
      <c r="N28" s="147" t="s">
        <v>3257</v>
      </c>
    </row>
    <row r="29" hidden="1" outlineLevel="1">
      <c r="A29" s="303" t="s">
        <v>3258</v>
      </c>
      <c r="B29" s="344">
        <v>46058.0</v>
      </c>
      <c r="C29" s="133" t="str">
        <f t="shared" si="3"/>
        <v>Thu</v>
      </c>
      <c r="D29" s="383">
        <f t="shared" si="4"/>
        <v>0.8</v>
      </c>
      <c r="E29" s="147" t="s">
        <v>129</v>
      </c>
      <c r="F29" s="137" t="s">
        <v>129</v>
      </c>
      <c r="G29" s="137" t="s">
        <v>129</v>
      </c>
      <c r="H29" s="137" t="s">
        <v>174</v>
      </c>
      <c r="I29" s="137" t="s">
        <v>129</v>
      </c>
      <c r="J29" s="137" t="s">
        <v>174</v>
      </c>
      <c r="K29" s="137" t="s">
        <v>129</v>
      </c>
      <c r="L29" s="137" t="s">
        <v>129</v>
      </c>
      <c r="M29" s="141"/>
      <c r="N29" s="147" t="s">
        <v>3259</v>
      </c>
    </row>
    <row r="30" hidden="1" outlineLevel="1">
      <c r="A30" s="376" t="s">
        <v>3260</v>
      </c>
      <c r="B30" s="344">
        <v>46058.0</v>
      </c>
      <c r="C30" s="133" t="str">
        <f t="shared" si="3"/>
        <v>Thu</v>
      </c>
      <c r="D30" s="381">
        <f t="shared" si="4"/>
        <v>1</v>
      </c>
      <c r="E30" s="382" t="s">
        <v>129</v>
      </c>
      <c r="F30" s="137" t="s">
        <v>129</v>
      </c>
      <c r="G30" s="137" t="s">
        <v>129</v>
      </c>
      <c r="H30" s="137" t="s">
        <v>129</v>
      </c>
      <c r="I30" s="137" t="s">
        <v>129</v>
      </c>
      <c r="J30" s="137" t="s">
        <v>129</v>
      </c>
      <c r="K30" s="137" t="s">
        <v>129</v>
      </c>
      <c r="L30" s="137" t="s">
        <v>129</v>
      </c>
      <c r="M30" s="141"/>
      <c r="N30" s="147"/>
    </row>
    <row r="31" hidden="1" outlineLevel="1">
      <c r="A31" s="303" t="s">
        <v>3262</v>
      </c>
      <c r="B31" s="344">
        <v>46058.0</v>
      </c>
      <c r="C31" s="133" t="str">
        <f t="shared" si="3"/>
        <v>Thu</v>
      </c>
      <c r="D31" s="383">
        <f t="shared" si="4"/>
        <v>1</v>
      </c>
      <c r="E31" s="147" t="s">
        <v>129</v>
      </c>
      <c r="F31" s="137" t="s">
        <v>129</v>
      </c>
      <c r="G31" s="137" t="s">
        <v>129</v>
      </c>
      <c r="H31" s="137" t="s">
        <v>129</v>
      </c>
      <c r="I31" s="137" t="s">
        <v>129</v>
      </c>
      <c r="J31" s="137" t="s">
        <v>129</v>
      </c>
      <c r="K31" s="137" t="s">
        <v>129</v>
      </c>
      <c r="L31" s="137" t="s">
        <v>129</v>
      </c>
      <c r="M31" s="141"/>
      <c r="N31" s="147"/>
    </row>
    <row r="32" hidden="1" outlineLevel="1">
      <c r="A32" s="255" t="s">
        <v>3267</v>
      </c>
      <c r="B32" s="344">
        <v>46059.0</v>
      </c>
      <c r="C32" s="133" t="str">
        <f t="shared" si="3"/>
        <v>Fri</v>
      </c>
      <c r="D32" s="381">
        <f t="shared" si="4"/>
        <v>1</v>
      </c>
      <c r="E32" s="382" t="s">
        <v>129</v>
      </c>
      <c r="F32" s="137" t="s">
        <v>129</v>
      </c>
      <c r="G32" s="137" t="s">
        <v>129</v>
      </c>
      <c r="H32" s="137" t="s">
        <v>129</v>
      </c>
      <c r="I32" s="137" t="s">
        <v>129</v>
      </c>
      <c r="J32" s="137" t="s">
        <v>129</v>
      </c>
      <c r="K32" s="137" t="s">
        <v>129</v>
      </c>
      <c r="L32" s="137" t="s">
        <v>129</v>
      </c>
      <c r="M32" s="141"/>
      <c r="N32" s="143"/>
    </row>
    <row r="33" hidden="1" outlineLevel="1">
      <c r="A33" s="255" t="s">
        <v>3272</v>
      </c>
      <c r="B33" s="344">
        <v>46059.0</v>
      </c>
      <c r="C33" s="133" t="str">
        <f t="shared" si="3"/>
        <v>Fri</v>
      </c>
      <c r="D33" s="383">
        <f t="shared" si="4"/>
        <v>0.95</v>
      </c>
      <c r="E33" s="147" t="s">
        <v>129</v>
      </c>
      <c r="F33" s="137" t="s">
        <v>129</v>
      </c>
      <c r="G33" s="137" t="s">
        <v>129</v>
      </c>
      <c r="H33" s="137" t="s">
        <v>129</v>
      </c>
      <c r="I33" s="137" t="s">
        <v>129</v>
      </c>
      <c r="J33" s="137" t="s">
        <v>174</v>
      </c>
      <c r="K33" s="137" t="s">
        <v>129</v>
      </c>
      <c r="L33" s="137" t="s">
        <v>129</v>
      </c>
      <c r="M33" s="141"/>
      <c r="N33" s="147" t="s">
        <v>3279</v>
      </c>
    </row>
    <row r="34" ht="15.0" hidden="1" customHeight="1" outlineLevel="1">
      <c r="A34" s="255" t="s">
        <v>3280</v>
      </c>
      <c r="B34" s="344">
        <v>46059.0</v>
      </c>
      <c r="C34" s="133" t="str">
        <f t="shared" si="3"/>
        <v>Fri</v>
      </c>
      <c r="D34" s="381">
        <f t="shared" si="4"/>
        <v>1</v>
      </c>
      <c r="E34" s="382" t="s">
        <v>129</v>
      </c>
      <c r="F34" s="137" t="s">
        <v>129</v>
      </c>
      <c r="G34" s="137" t="s">
        <v>129</v>
      </c>
      <c r="H34" s="137" t="s">
        <v>129</v>
      </c>
      <c r="I34" s="137" t="s">
        <v>129</v>
      </c>
      <c r="J34" s="137" t="s">
        <v>129</v>
      </c>
      <c r="K34" s="137" t="s">
        <v>129</v>
      </c>
      <c r="L34" s="137" t="s">
        <v>129</v>
      </c>
      <c r="M34" s="141"/>
      <c r="N34" s="147"/>
    </row>
    <row r="35" hidden="1" outlineLevel="1">
      <c r="B35" s="189"/>
      <c r="C35" s="191" t="s">
        <v>194</v>
      </c>
      <c r="D35" s="204">
        <f>AVERAGE(D20:D34)</f>
        <v>0.9333333333</v>
      </c>
      <c r="E35" s="384"/>
      <c r="L35" s="191" t="s">
        <v>194</v>
      </c>
      <c r="M35" s="204">
        <f>SUM(M20:M34)/75*0.1</f>
        <v>0</v>
      </c>
    </row>
    <row r="36" hidden="1" collapsed="1">
      <c r="A36" s="206" t="s">
        <v>638</v>
      </c>
      <c r="B36" s="207"/>
      <c r="C36" s="207"/>
      <c r="D36" s="385"/>
      <c r="E36" s="109"/>
      <c r="F36" s="109"/>
      <c r="G36" s="110"/>
      <c r="H36" s="110"/>
      <c r="I36" s="110"/>
      <c r="J36" s="110"/>
      <c r="K36" s="110"/>
      <c r="L36" s="110"/>
      <c r="M36" s="111"/>
      <c r="N36" s="113"/>
    </row>
    <row r="37" hidden="1" outlineLevel="1">
      <c r="A37" s="373" t="s">
        <v>98</v>
      </c>
      <c r="B37" s="115" t="s">
        <v>100</v>
      </c>
      <c r="C37" s="115" t="s">
        <v>102</v>
      </c>
      <c r="D37" s="119" t="s">
        <v>103</v>
      </c>
      <c r="E37" s="275" t="s">
        <v>269</v>
      </c>
      <c r="F37" s="275" t="s">
        <v>272</v>
      </c>
      <c r="G37" s="276" t="s">
        <v>328</v>
      </c>
      <c r="H37" s="121" t="s">
        <v>107</v>
      </c>
      <c r="I37" s="121" t="s">
        <v>108</v>
      </c>
      <c r="J37" s="276" t="s">
        <v>329</v>
      </c>
      <c r="K37" s="121" t="s">
        <v>111</v>
      </c>
      <c r="L37" s="276" t="s">
        <v>274</v>
      </c>
      <c r="M37" s="115" t="s">
        <v>114</v>
      </c>
      <c r="N37" s="119" t="s">
        <v>115</v>
      </c>
    </row>
    <row r="38" hidden="1" outlineLevel="1">
      <c r="A38" s="492" t="s">
        <v>3292</v>
      </c>
      <c r="B38" s="368">
        <v>46062.0</v>
      </c>
      <c r="C38" s="133" t="str">
        <f t="shared" ref="C38:C52" si="5">IF(B38="", "", TEXT(B38, "ddd"))</f>
        <v>Mon</v>
      </c>
      <c r="D38" s="381">
        <f t="shared" ref="D38:D52" si="6">IF(E38="Yes",0.05,0)
+IF(F38="Yes",0.1,0)
+IF(G38="Yes",0.15,0)
+IF(H38="Yes",0.15,0)
+IF(I38="Yes",0.05,0)
+IF(J38="Yes",0.05,0)
+IF(K38="Yes",0.15,0)
+IF(L38="Yes",0.3,0)
</f>
        <v>1</v>
      </c>
      <c r="E38" s="474" t="s">
        <v>129</v>
      </c>
      <c r="F38" s="375" t="s">
        <v>129</v>
      </c>
      <c r="G38" s="375" t="s">
        <v>129</v>
      </c>
      <c r="H38" s="375" t="s">
        <v>129</v>
      </c>
      <c r="I38" s="375" t="s">
        <v>129</v>
      </c>
      <c r="J38" s="375" t="s">
        <v>129</v>
      </c>
      <c r="K38" s="375" t="s">
        <v>129</v>
      </c>
      <c r="L38" s="375" t="s">
        <v>129</v>
      </c>
      <c r="M38" s="141"/>
      <c r="N38" s="143"/>
    </row>
    <row r="39" hidden="1" outlineLevel="1">
      <c r="A39" s="492" t="s">
        <v>3309</v>
      </c>
      <c r="B39" s="368">
        <v>46062.0</v>
      </c>
      <c r="C39" s="133" t="str">
        <f t="shared" si="5"/>
        <v>Mon</v>
      </c>
      <c r="D39" s="383">
        <f t="shared" si="6"/>
        <v>1</v>
      </c>
      <c r="E39" s="475" t="s">
        <v>129</v>
      </c>
      <c r="F39" s="375" t="s">
        <v>129</v>
      </c>
      <c r="G39" s="375" t="s">
        <v>129</v>
      </c>
      <c r="H39" s="375" t="s">
        <v>129</v>
      </c>
      <c r="I39" s="375" t="s">
        <v>129</v>
      </c>
      <c r="J39" s="375" t="s">
        <v>129</v>
      </c>
      <c r="K39" s="375" t="s">
        <v>129</v>
      </c>
      <c r="L39" s="375" t="s">
        <v>129</v>
      </c>
      <c r="M39" s="141"/>
      <c r="N39" s="147"/>
    </row>
    <row r="40" hidden="1" outlineLevel="1">
      <c r="A40" s="492" t="s">
        <v>3313</v>
      </c>
      <c r="B40" s="368">
        <v>46062.0</v>
      </c>
      <c r="C40" s="133" t="str">
        <f t="shared" si="5"/>
        <v>Mon</v>
      </c>
      <c r="D40" s="381">
        <f t="shared" si="6"/>
        <v>1</v>
      </c>
      <c r="E40" s="474" t="s">
        <v>129</v>
      </c>
      <c r="F40" s="375" t="s">
        <v>129</v>
      </c>
      <c r="G40" s="375" t="s">
        <v>129</v>
      </c>
      <c r="H40" s="375" t="s">
        <v>129</v>
      </c>
      <c r="I40" s="375" t="s">
        <v>129</v>
      </c>
      <c r="J40" s="375" t="s">
        <v>129</v>
      </c>
      <c r="K40" s="375" t="s">
        <v>129</v>
      </c>
      <c r="L40" s="375" t="s">
        <v>129</v>
      </c>
      <c r="M40" s="141"/>
      <c r="N40" s="147"/>
    </row>
    <row r="41" hidden="1" outlineLevel="1">
      <c r="A41" s="492" t="s">
        <v>3317</v>
      </c>
      <c r="B41" s="368">
        <v>46063.0</v>
      </c>
      <c r="C41" s="133" t="str">
        <f t="shared" si="5"/>
        <v>Tue</v>
      </c>
      <c r="D41" s="383">
        <f t="shared" si="6"/>
        <v>1</v>
      </c>
      <c r="E41" s="475" t="s">
        <v>129</v>
      </c>
      <c r="F41" s="375" t="s">
        <v>129</v>
      </c>
      <c r="G41" s="375" t="s">
        <v>129</v>
      </c>
      <c r="H41" s="375" t="s">
        <v>129</v>
      </c>
      <c r="I41" s="375" t="s">
        <v>129</v>
      </c>
      <c r="J41" s="375" t="s">
        <v>129</v>
      </c>
      <c r="K41" s="375" t="s">
        <v>129</v>
      </c>
      <c r="L41" s="375" t="s">
        <v>129</v>
      </c>
      <c r="M41" s="141"/>
      <c r="N41" s="143"/>
    </row>
    <row r="42" hidden="1" outlineLevel="1">
      <c r="A42" s="492" t="s">
        <v>3321</v>
      </c>
      <c r="B42" s="368">
        <v>46063.0</v>
      </c>
      <c r="C42" s="133" t="str">
        <f t="shared" si="5"/>
        <v>Tue</v>
      </c>
      <c r="D42" s="381">
        <f t="shared" si="6"/>
        <v>1</v>
      </c>
      <c r="E42" s="474" t="s">
        <v>129</v>
      </c>
      <c r="F42" s="375" t="s">
        <v>129</v>
      </c>
      <c r="G42" s="375" t="s">
        <v>129</v>
      </c>
      <c r="H42" s="375" t="s">
        <v>129</v>
      </c>
      <c r="I42" s="375" t="s">
        <v>129</v>
      </c>
      <c r="J42" s="375" t="s">
        <v>129</v>
      </c>
      <c r="K42" s="375" t="s">
        <v>129</v>
      </c>
      <c r="L42" s="375" t="s">
        <v>129</v>
      </c>
      <c r="M42" s="141"/>
      <c r="N42" s="143"/>
    </row>
    <row r="43" hidden="1" outlineLevel="1">
      <c r="A43" s="493" t="s">
        <v>3327</v>
      </c>
      <c r="B43" s="368">
        <v>46063.0</v>
      </c>
      <c r="C43" s="133" t="str">
        <f t="shared" si="5"/>
        <v>Tue</v>
      </c>
      <c r="D43" s="383">
        <f t="shared" si="6"/>
        <v>1</v>
      </c>
      <c r="E43" s="475" t="s">
        <v>129</v>
      </c>
      <c r="F43" s="375" t="s">
        <v>129</v>
      </c>
      <c r="G43" s="375" t="s">
        <v>129</v>
      </c>
      <c r="H43" s="375" t="s">
        <v>129</v>
      </c>
      <c r="I43" s="375" t="s">
        <v>129</v>
      </c>
      <c r="J43" s="375" t="s">
        <v>129</v>
      </c>
      <c r="K43" s="375" t="s">
        <v>129</v>
      </c>
      <c r="L43" s="375" t="s">
        <v>129</v>
      </c>
      <c r="M43" s="141"/>
      <c r="N43" s="143"/>
    </row>
    <row r="44" hidden="1" outlineLevel="1">
      <c r="A44" s="493" t="s">
        <v>3339</v>
      </c>
      <c r="B44" s="368">
        <v>46066.0</v>
      </c>
      <c r="C44" s="133" t="str">
        <f t="shared" si="5"/>
        <v>Fri</v>
      </c>
      <c r="D44" s="381">
        <f t="shared" si="6"/>
        <v>1</v>
      </c>
      <c r="E44" s="382" t="s">
        <v>129</v>
      </c>
      <c r="F44" s="137" t="s">
        <v>129</v>
      </c>
      <c r="G44" s="137" t="s">
        <v>129</v>
      </c>
      <c r="H44" s="137" t="s">
        <v>129</v>
      </c>
      <c r="I44" s="137" t="s">
        <v>129</v>
      </c>
      <c r="J44" s="137" t="s">
        <v>129</v>
      </c>
      <c r="K44" s="137" t="s">
        <v>129</v>
      </c>
      <c r="L44" s="137" t="s">
        <v>129</v>
      </c>
      <c r="M44" s="141"/>
      <c r="N44" s="143"/>
    </row>
    <row r="45" hidden="1" outlineLevel="1">
      <c r="A45" s="493" t="s">
        <v>3344</v>
      </c>
      <c r="B45" s="368">
        <v>46066.0</v>
      </c>
      <c r="C45" s="133" t="str">
        <f t="shared" si="5"/>
        <v>Fri</v>
      </c>
      <c r="D45" s="383">
        <f t="shared" si="6"/>
        <v>1</v>
      </c>
      <c r="E45" s="147" t="s">
        <v>129</v>
      </c>
      <c r="F45" s="137" t="s">
        <v>129</v>
      </c>
      <c r="G45" s="137" t="s">
        <v>129</v>
      </c>
      <c r="H45" s="137" t="s">
        <v>129</v>
      </c>
      <c r="I45" s="137" t="s">
        <v>129</v>
      </c>
      <c r="J45" s="137" t="s">
        <v>129</v>
      </c>
      <c r="K45" s="137" t="s">
        <v>129</v>
      </c>
      <c r="L45" s="137" t="s">
        <v>129</v>
      </c>
      <c r="M45" s="141"/>
      <c r="N45" s="147"/>
    </row>
    <row r="46" hidden="1" outlineLevel="1">
      <c r="A46" s="493" t="s">
        <v>3346</v>
      </c>
      <c r="B46" s="368">
        <v>46066.0</v>
      </c>
      <c r="C46" s="133" t="str">
        <f t="shared" si="5"/>
        <v>Fri</v>
      </c>
      <c r="D46" s="381">
        <f t="shared" si="6"/>
        <v>1</v>
      </c>
      <c r="E46" s="382" t="s">
        <v>129</v>
      </c>
      <c r="F46" s="137" t="s">
        <v>129</v>
      </c>
      <c r="G46" s="137" t="s">
        <v>129</v>
      </c>
      <c r="H46" s="137" t="s">
        <v>129</v>
      </c>
      <c r="I46" s="137" t="s">
        <v>129</v>
      </c>
      <c r="J46" s="137" t="s">
        <v>129</v>
      </c>
      <c r="K46" s="137" t="s">
        <v>129</v>
      </c>
      <c r="L46" s="137" t="s">
        <v>129</v>
      </c>
      <c r="M46" s="141"/>
      <c r="N46" s="143"/>
    </row>
    <row r="47" hidden="1" outlineLevel="1">
      <c r="A47" s="493" t="s">
        <v>3349</v>
      </c>
      <c r="B47" s="368">
        <v>46067.0</v>
      </c>
      <c r="C47" s="133" t="str">
        <f t="shared" si="5"/>
        <v>Sat</v>
      </c>
      <c r="D47" s="383">
        <f t="shared" si="6"/>
        <v>1</v>
      </c>
      <c r="E47" s="147" t="s">
        <v>129</v>
      </c>
      <c r="F47" s="137" t="s">
        <v>129</v>
      </c>
      <c r="G47" s="137" t="s">
        <v>129</v>
      </c>
      <c r="H47" s="137" t="s">
        <v>129</v>
      </c>
      <c r="I47" s="137" t="s">
        <v>129</v>
      </c>
      <c r="J47" s="137" t="s">
        <v>129</v>
      </c>
      <c r="K47" s="137" t="s">
        <v>129</v>
      </c>
      <c r="L47" s="137" t="s">
        <v>129</v>
      </c>
      <c r="M47" s="141"/>
      <c r="N47" s="147"/>
    </row>
    <row r="48" hidden="1" outlineLevel="1">
      <c r="A48" s="494" t="s">
        <v>3355</v>
      </c>
      <c r="B48" s="368">
        <v>46067.0</v>
      </c>
      <c r="C48" s="133" t="str">
        <f t="shared" si="5"/>
        <v>Sat</v>
      </c>
      <c r="D48" s="381">
        <f t="shared" si="6"/>
        <v>1</v>
      </c>
      <c r="E48" s="382" t="s">
        <v>129</v>
      </c>
      <c r="F48" s="137" t="s">
        <v>129</v>
      </c>
      <c r="G48" s="137" t="s">
        <v>129</v>
      </c>
      <c r="H48" s="137" t="s">
        <v>129</v>
      </c>
      <c r="I48" s="137" t="s">
        <v>129</v>
      </c>
      <c r="J48" s="137" t="s">
        <v>129</v>
      </c>
      <c r="K48" s="137" t="s">
        <v>129</v>
      </c>
      <c r="L48" s="137" t="s">
        <v>129</v>
      </c>
      <c r="M48" s="141"/>
      <c r="N48" s="147" t="s">
        <v>3358</v>
      </c>
    </row>
    <row r="49" hidden="1" outlineLevel="1">
      <c r="A49" s="493" t="s">
        <v>3359</v>
      </c>
      <c r="B49" s="368">
        <v>46067.0</v>
      </c>
      <c r="C49" s="133" t="str">
        <f t="shared" si="5"/>
        <v>Sat</v>
      </c>
      <c r="D49" s="383">
        <f t="shared" si="6"/>
        <v>1</v>
      </c>
      <c r="E49" s="147" t="s">
        <v>129</v>
      </c>
      <c r="F49" s="137" t="s">
        <v>129</v>
      </c>
      <c r="G49" s="137" t="s">
        <v>129</v>
      </c>
      <c r="H49" s="137" t="s">
        <v>129</v>
      </c>
      <c r="I49" s="137" t="s">
        <v>129</v>
      </c>
      <c r="J49" s="137" t="s">
        <v>129</v>
      </c>
      <c r="K49" s="137" t="s">
        <v>129</v>
      </c>
      <c r="L49" s="137" t="s">
        <v>129</v>
      </c>
      <c r="M49" s="141"/>
      <c r="N49" s="147"/>
    </row>
    <row r="50" hidden="1" outlineLevel="1">
      <c r="A50" s="493" t="s">
        <v>3361</v>
      </c>
      <c r="B50" s="368">
        <v>46068.0</v>
      </c>
      <c r="C50" s="133" t="str">
        <f t="shared" si="5"/>
        <v>Sun</v>
      </c>
      <c r="D50" s="381">
        <f t="shared" si="6"/>
        <v>1</v>
      </c>
      <c r="E50" s="382" t="s">
        <v>129</v>
      </c>
      <c r="F50" s="137" t="s">
        <v>129</v>
      </c>
      <c r="G50" s="137" t="s">
        <v>129</v>
      </c>
      <c r="H50" s="137" t="s">
        <v>129</v>
      </c>
      <c r="I50" s="137" t="s">
        <v>129</v>
      </c>
      <c r="J50" s="137" t="s">
        <v>129</v>
      </c>
      <c r="K50" s="137" t="s">
        <v>129</v>
      </c>
      <c r="L50" s="137" t="s">
        <v>129</v>
      </c>
      <c r="M50" s="141"/>
      <c r="N50" s="143"/>
    </row>
    <row r="51" hidden="1" outlineLevel="1">
      <c r="A51" s="493" t="s">
        <v>3363</v>
      </c>
      <c r="B51" s="368">
        <v>46068.0</v>
      </c>
      <c r="C51" s="133" t="str">
        <f t="shared" si="5"/>
        <v>Sun</v>
      </c>
      <c r="D51" s="383">
        <f t="shared" si="6"/>
        <v>1</v>
      </c>
      <c r="E51" s="147" t="s">
        <v>129</v>
      </c>
      <c r="F51" s="137" t="s">
        <v>129</v>
      </c>
      <c r="G51" s="137" t="s">
        <v>129</v>
      </c>
      <c r="H51" s="137" t="s">
        <v>129</v>
      </c>
      <c r="I51" s="137" t="s">
        <v>129</v>
      </c>
      <c r="J51" s="137" t="s">
        <v>129</v>
      </c>
      <c r="K51" s="137" t="s">
        <v>129</v>
      </c>
      <c r="L51" s="137" t="s">
        <v>129</v>
      </c>
      <c r="M51" s="141"/>
      <c r="N51" s="143"/>
    </row>
    <row r="52" ht="15.0" hidden="1" customHeight="1" outlineLevel="1">
      <c r="A52" s="493" t="s">
        <v>3365</v>
      </c>
      <c r="B52" s="368">
        <v>46068.0</v>
      </c>
      <c r="C52" s="133" t="str">
        <f t="shared" si="5"/>
        <v>Sun</v>
      </c>
      <c r="D52" s="381">
        <f t="shared" si="6"/>
        <v>1</v>
      </c>
      <c r="E52" s="382" t="s">
        <v>129</v>
      </c>
      <c r="F52" s="137" t="s">
        <v>129</v>
      </c>
      <c r="G52" s="137" t="s">
        <v>129</v>
      </c>
      <c r="H52" s="137" t="s">
        <v>129</v>
      </c>
      <c r="I52" s="137" t="s">
        <v>129</v>
      </c>
      <c r="J52" s="137" t="s">
        <v>129</v>
      </c>
      <c r="K52" s="137" t="s">
        <v>129</v>
      </c>
      <c r="L52" s="137" t="s">
        <v>129</v>
      </c>
      <c r="M52" s="141"/>
      <c r="N52" s="147"/>
    </row>
    <row r="53" hidden="1" outlineLevel="1">
      <c r="B53" s="189"/>
      <c r="C53" s="191" t="s">
        <v>194</v>
      </c>
      <c r="D53" s="204">
        <f>AVERAGE(D38:D52)</f>
        <v>1</v>
      </c>
      <c r="E53" s="384"/>
      <c r="L53" s="191" t="s">
        <v>194</v>
      </c>
      <c r="M53" s="204">
        <f>SUM(M38:M52)/75*0.1</f>
        <v>0</v>
      </c>
    </row>
    <row r="54" hidden="1" collapsed="1">
      <c r="A54" s="206" t="s">
        <v>670</v>
      </c>
      <c r="B54" s="207"/>
      <c r="C54" s="207"/>
      <c r="D54" s="385"/>
      <c r="E54" s="109"/>
      <c r="F54" s="109"/>
      <c r="G54" s="110"/>
      <c r="H54" s="110"/>
      <c r="I54" s="110"/>
      <c r="J54" s="110"/>
      <c r="K54" s="110"/>
      <c r="L54" s="110"/>
      <c r="M54" s="111"/>
      <c r="N54" s="113"/>
    </row>
    <row r="55" hidden="1" outlineLevel="1">
      <c r="A55" s="373" t="s">
        <v>98</v>
      </c>
      <c r="B55" s="115" t="s">
        <v>100</v>
      </c>
      <c r="C55" s="115" t="s">
        <v>102</v>
      </c>
      <c r="D55" s="119" t="s">
        <v>103</v>
      </c>
      <c r="E55" s="275" t="s">
        <v>269</v>
      </c>
      <c r="F55" s="275" t="s">
        <v>272</v>
      </c>
      <c r="G55" s="276" t="s">
        <v>328</v>
      </c>
      <c r="H55" s="121" t="s">
        <v>107</v>
      </c>
      <c r="I55" s="121" t="s">
        <v>108</v>
      </c>
      <c r="J55" s="276" t="s">
        <v>329</v>
      </c>
      <c r="K55" s="121" t="s">
        <v>111</v>
      </c>
      <c r="L55" s="276" t="s">
        <v>274</v>
      </c>
      <c r="M55" s="115" t="s">
        <v>114</v>
      </c>
      <c r="N55" s="119" t="s">
        <v>115</v>
      </c>
    </row>
    <row r="56" hidden="1" outlineLevel="1">
      <c r="A56" s="303" t="s">
        <v>3369</v>
      </c>
      <c r="B56" s="344">
        <v>46069.0</v>
      </c>
      <c r="C56" s="133" t="str">
        <f t="shared" ref="C56:C70" si="7">IF(B56="", "", TEXT(B56, "ddd"))</f>
        <v>Mon</v>
      </c>
      <c r="D56" s="381">
        <f t="shared" ref="D56:D70" si="8">IF(E56="Yes",0.05,0)
+IF(F56="Yes",0.1,0)
+IF(G56="Yes",0.15,0)
+IF(H56="Yes",0.15,0)
+IF(I56="Yes",0.05,0)
+IF(J56="Yes",0.05,0)
+IF(K56="Yes",0.15,0)
+IF(L56="Yes",0.3,0)
</f>
        <v>1</v>
      </c>
      <c r="E56" s="382" t="s">
        <v>129</v>
      </c>
      <c r="F56" s="137" t="s">
        <v>129</v>
      </c>
      <c r="G56" s="137" t="s">
        <v>129</v>
      </c>
      <c r="H56" s="137" t="s">
        <v>129</v>
      </c>
      <c r="I56" s="137" t="s">
        <v>129</v>
      </c>
      <c r="J56" s="137" t="s">
        <v>129</v>
      </c>
      <c r="K56" s="137" t="s">
        <v>129</v>
      </c>
      <c r="L56" s="137" t="s">
        <v>129</v>
      </c>
      <c r="M56" s="141"/>
      <c r="N56" s="143"/>
    </row>
    <row r="57" hidden="1" outlineLevel="1">
      <c r="A57" s="303" t="s">
        <v>3371</v>
      </c>
      <c r="B57" s="344">
        <v>46069.0</v>
      </c>
      <c r="C57" s="133" t="str">
        <f t="shared" si="7"/>
        <v>Mon</v>
      </c>
      <c r="D57" s="383">
        <f t="shared" si="8"/>
        <v>1</v>
      </c>
      <c r="E57" s="147" t="s">
        <v>129</v>
      </c>
      <c r="F57" s="137" t="s">
        <v>129</v>
      </c>
      <c r="G57" s="137" t="s">
        <v>129</v>
      </c>
      <c r="H57" s="137" t="s">
        <v>129</v>
      </c>
      <c r="I57" s="137" t="s">
        <v>129</v>
      </c>
      <c r="J57" s="137" t="s">
        <v>129</v>
      </c>
      <c r="K57" s="137" t="s">
        <v>129</v>
      </c>
      <c r="L57" s="137" t="s">
        <v>129</v>
      </c>
      <c r="M57" s="141"/>
      <c r="N57" s="147"/>
    </row>
    <row r="58" hidden="1" outlineLevel="1">
      <c r="A58" s="303" t="s">
        <v>3372</v>
      </c>
      <c r="B58" s="344">
        <v>46069.0</v>
      </c>
      <c r="C58" s="133" t="str">
        <f t="shared" si="7"/>
        <v>Mon</v>
      </c>
      <c r="D58" s="381">
        <f t="shared" si="8"/>
        <v>0.85</v>
      </c>
      <c r="E58" s="382" t="s">
        <v>129</v>
      </c>
      <c r="F58" s="137" t="s">
        <v>129</v>
      </c>
      <c r="G58" s="137" t="s">
        <v>129</v>
      </c>
      <c r="H58" s="137" t="s">
        <v>129</v>
      </c>
      <c r="I58" s="137" t="s">
        <v>129</v>
      </c>
      <c r="J58" s="137" t="s">
        <v>129</v>
      </c>
      <c r="K58" s="137" t="s">
        <v>174</v>
      </c>
      <c r="L58" s="137" t="s">
        <v>129</v>
      </c>
      <c r="M58" s="141"/>
      <c r="N58" s="147" t="s">
        <v>3374</v>
      </c>
    </row>
    <row r="59" hidden="1" outlineLevel="1">
      <c r="A59" s="303" t="s">
        <v>3375</v>
      </c>
      <c r="B59" s="344">
        <v>46070.0</v>
      </c>
      <c r="C59" s="133" t="str">
        <f t="shared" si="7"/>
        <v>Tue</v>
      </c>
      <c r="D59" s="383">
        <f t="shared" si="8"/>
        <v>1</v>
      </c>
      <c r="E59" s="147" t="s">
        <v>129</v>
      </c>
      <c r="F59" s="137" t="s">
        <v>129</v>
      </c>
      <c r="G59" s="137" t="s">
        <v>129</v>
      </c>
      <c r="H59" s="137" t="s">
        <v>129</v>
      </c>
      <c r="I59" s="137" t="s">
        <v>129</v>
      </c>
      <c r="J59" s="137" t="s">
        <v>129</v>
      </c>
      <c r="K59" s="137" t="s">
        <v>129</v>
      </c>
      <c r="L59" s="137" t="s">
        <v>129</v>
      </c>
      <c r="M59" s="141"/>
      <c r="N59" s="143"/>
    </row>
    <row r="60" hidden="1" outlineLevel="1">
      <c r="A60" s="303" t="s">
        <v>3378</v>
      </c>
      <c r="B60" s="344">
        <v>46070.0</v>
      </c>
      <c r="C60" s="133" t="str">
        <f t="shared" si="7"/>
        <v>Tue</v>
      </c>
      <c r="D60" s="381">
        <f t="shared" si="8"/>
        <v>1</v>
      </c>
      <c r="E60" s="382" t="s">
        <v>129</v>
      </c>
      <c r="F60" s="137" t="s">
        <v>129</v>
      </c>
      <c r="G60" s="137" t="s">
        <v>129</v>
      </c>
      <c r="H60" s="137" t="s">
        <v>129</v>
      </c>
      <c r="I60" s="137" t="s">
        <v>129</v>
      </c>
      <c r="J60" s="137" t="s">
        <v>129</v>
      </c>
      <c r="K60" s="137" t="s">
        <v>129</v>
      </c>
      <c r="L60" s="137" t="s">
        <v>129</v>
      </c>
      <c r="M60" s="141"/>
      <c r="N60" s="143"/>
    </row>
    <row r="61" hidden="1" outlineLevel="1">
      <c r="A61" s="303" t="s">
        <v>3382</v>
      </c>
      <c r="B61" s="344">
        <v>46070.0</v>
      </c>
      <c r="C61" s="133" t="str">
        <f t="shared" si="7"/>
        <v>Tue</v>
      </c>
      <c r="D61" s="383">
        <f t="shared" si="8"/>
        <v>1</v>
      </c>
      <c r="E61" s="147" t="s">
        <v>129</v>
      </c>
      <c r="F61" s="137" t="s">
        <v>129</v>
      </c>
      <c r="G61" s="137" t="s">
        <v>129</v>
      </c>
      <c r="H61" s="137" t="s">
        <v>129</v>
      </c>
      <c r="I61" s="137" t="s">
        <v>129</v>
      </c>
      <c r="J61" s="137" t="s">
        <v>129</v>
      </c>
      <c r="K61" s="137" t="s">
        <v>129</v>
      </c>
      <c r="L61" s="137" t="s">
        <v>129</v>
      </c>
      <c r="M61" s="141"/>
      <c r="N61" s="143"/>
    </row>
    <row r="62" hidden="1" outlineLevel="1">
      <c r="A62" s="303" t="s">
        <v>3396</v>
      </c>
      <c r="B62" s="344">
        <v>46072.0</v>
      </c>
      <c r="C62" s="133" t="str">
        <f t="shared" si="7"/>
        <v>Thu</v>
      </c>
      <c r="D62" s="381">
        <f t="shared" si="8"/>
        <v>1</v>
      </c>
      <c r="E62" s="382" t="s">
        <v>129</v>
      </c>
      <c r="F62" s="137" t="s">
        <v>129</v>
      </c>
      <c r="G62" s="137" t="s">
        <v>129</v>
      </c>
      <c r="H62" s="137" t="s">
        <v>129</v>
      </c>
      <c r="I62" s="137" t="s">
        <v>129</v>
      </c>
      <c r="J62" s="137" t="s">
        <v>129</v>
      </c>
      <c r="K62" s="137" t="s">
        <v>129</v>
      </c>
      <c r="L62" s="137" t="s">
        <v>129</v>
      </c>
      <c r="M62" s="141"/>
      <c r="N62" s="143"/>
    </row>
    <row r="63" hidden="1" outlineLevel="1">
      <c r="A63" s="303" t="s">
        <v>3401</v>
      </c>
      <c r="B63" s="344">
        <v>46072.0</v>
      </c>
      <c r="C63" s="133" t="str">
        <f t="shared" si="7"/>
        <v>Thu</v>
      </c>
      <c r="D63" s="383">
        <f t="shared" si="8"/>
        <v>1</v>
      </c>
      <c r="E63" s="147" t="s">
        <v>129</v>
      </c>
      <c r="F63" s="137" t="s">
        <v>129</v>
      </c>
      <c r="G63" s="137" t="s">
        <v>129</v>
      </c>
      <c r="H63" s="137" t="s">
        <v>129</v>
      </c>
      <c r="I63" s="137" t="s">
        <v>129</v>
      </c>
      <c r="J63" s="137" t="s">
        <v>129</v>
      </c>
      <c r="K63" s="137" t="s">
        <v>129</v>
      </c>
      <c r="L63" s="137" t="s">
        <v>129</v>
      </c>
      <c r="M63" s="141"/>
      <c r="N63" s="147"/>
    </row>
    <row r="64" hidden="1" outlineLevel="1">
      <c r="A64" s="303" t="s">
        <v>3409</v>
      </c>
      <c r="B64" s="344">
        <v>46072.0</v>
      </c>
      <c r="C64" s="133" t="str">
        <f t="shared" si="7"/>
        <v>Thu</v>
      </c>
      <c r="D64" s="381">
        <f t="shared" si="8"/>
        <v>0.75</v>
      </c>
      <c r="E64" s="382" t="s">
        <v>129</v>
      </c>
      <c r="F64" s="137" t="s">
        <v>129</v>
      </c>
      <c r="G64" s="137" t="s">
        <v>129</v>
      </c>
      <c r="H64" s="137" t="s">
        <v>129</v>
      </c>
      <c r="I64" s="137" t="s">
        <v>174</v>
      </c>
      <c r="J64" s="137" t="s">
        <v>174</v>
      </c>
      <c r="K64" s="137" t="s">
        <v>174</v>
      </c>
      <c r="L64" s="137" t="s">
        <v>129</v>
      </c>
      <c r="M64" s="141"/>
      <c r="N64" s="147" t="s">
        <v>3414</v>
      </c>
    </row>
    <row r="65" hidden="1" outlineLevel="1">
      <c r="A65" s="303" t="s">
        <v>3415</v>
      </c>
      <c r="B65" s="344">
        <v>46073.0</v>
      </c>
      <c r="C65" s="133" t="str">
        <f t="shared" si="7"/>
        <v>Fri</v>
      </c>
      <c r="D65" s="383">
        <f t="shared" si="8"/>
        <v>1</v>
      </c>
      <c r="E65" s="147" t="s">
        <v>129</v>
      </c>
      <c r="F65" s="137" t="s">
        <v>129</v>
      </c>
      <c r="G65" s="137" t="s">
        <v>129</v>
      </c>
      <c r="H65" s="137" t="s">
        <v>129</v>
      </c>
      <c r="I65" s="137" t="s">
        <v>129</v>
      </c>
      <c r="J65" s="137" t="s">
        <v>129</v>
      </c>
      <c r="K65" s="137" t="s">
        <v>129</v>
      </c>
      <c r="L65" s="137" t="s">
        <v>129</v>
      </c>
      <c r="M65" s="141"/>
      <c r="N65" s="147"/>
    </row>
    <row r="66" hidden="1" outlineLevel="1">
      <c r="A66" s="303" t="s">
        <v>3421</v>
      </c>
      <c r="B66" s="344">
        <v>46073.0</v>
      </c>
      <c r="C66" s="133" t="str">
        <f t="shared" si="7"/>
        <v>Fri</v>
      </c>
      <c r="D66" s="381">
        <f t="shared" si="8"/>
        <v>1</v>
      </c>
      <c r="E66" s="382" t="s">
        <v>129</v>
      </c>
      <c r="F66" s="137" t="s">
        <v>129</v>
      </c>
      <c r="G66" s="137" t="s">
        <v>129</v>
      </c>
      <c r="H66" s="137" t="s">
        <v>129</v>
      </c>
      <c r="I66" s="137" t="s">
        <v>129</v>
      </c>
      <c r="J66" s="137" t="s">
        <v>129</v>
      </c>
      <c r="K66" s="137" t="s">
        <v>129</v>
      </c>
      <c r="L66" s="137" t="s">
        <v>129</v>
      </c>
      <c r="M66" s="141"/>
      <c r="N66" s="147"/>
    </row>
    <row r="67" hidden="1" outlineLevel="1">
      <c r="A67" s="303" t="s">
        <v>3426</v>
      </c>
      <c r="B67" s="344">
        <v>46073.0</v>
      </c>
      <c r="C67" s="133" t="str">
        <f t="shared" si="7"/>
        <v>Fri</v>
      </c>
      <c r="D67" s="383">
        <f t="shared" si="8"/>
        <v>1</v>
      </c>
      <c r="E67" s="147" t="s">
        <v>129</v>
      </c>
      <c r="F67" s="137" t="s">
        <v>129</v>
      </c>
      <c r="G67" s="137" t="s">
        <v>129</v>
      </c>
      <c r="H67" s="137" t="s">
        <v>129</v>
      </c>
      <c r="I67" s="137" t="s">
        <v>129</v>
      </c>
      <c r="J67" s="137" t="s">
        <v>129</v>
      </c>
      <c r="K67" s="137" t="s">
        <v>129</v>
      </c>
      <c r="L67" s="137" t="s">
        <v>129</v>
      </c>
      <c r="M67" s="141"/>
      <c r="N67" s="147"/>
    </row>
    <row r="68" hidden="1" outlineLevel="1">
      <c r="A68" s="255" t="s">
        <v>3429</v>
      </c>
      <c r="B68" s="344">
        <v>46074.0</v>
      </c>
      <c r="C68" s="133" t="str">
        <f t="shared" si="7"/>
        <v>Sat</v>
      </c>
      <c r="D68" s="381">
        <f t="shared" si="8"/>
        <v>1</v>
      </c>
      <c r="E68" s="474" t="s">
        <v>129</v>
      </c>
      <c r="F68" s="375" t="s">
        <v>129</v>
      </c>
      <c r="G68" s="375" t="s">
        <v>129</v>
      </c>
      <c r="H68" s="375" t="s">
        <v>129</v>
      </c>
      <c r="I68" s="375" t="s">
        <v>129</v>
      </c>
      <c r="J68" s="375" t="s">
        <v>129</v>
      </c>
      <c r="K68" s="375" t="s">
        <v>129</v>
      </c>
      <c r="L68" s="375" t="s">
        <v>129</v>
      </c>
      <c r="M68" s="141"/>
      <c r="N68" s="143"/>
    </row>
    <row r="69" hidden="1" outlineLevel="1">
      <c r="A69" s="255" t="s">
        <v>3441</v>
      </c>
      <c r="B69" s="344">
        <v>46074.0</v>
      </c>
      <c r="C69" s="133" t="str">
        <f t="shared" si="7"/>
        <v>Sat</v>
      </c>
      <c r="D69" s="383">
        <f t="shared" si="8"/>
        <v>1</v>
      </c>
      <c r="E69" s="147" t="s">
        <v>129</v>
      </c>
      <c r="F69" s="137" t="s">
        <v>129</v>
      </c>
      <c r="G69" s="137" t="s">
        <v>129</v>
      </c>
      <c r="H69" s="137" t="s">
        <v>129</v>
      </c>
      <c r="I69" s="137" t="s">
        <v>129</v>
      </c>
      <c r="J69" s="137" t="s">
        <v>129</v>
      </c>
      <c r="K69" s="137" t="s">
        <v>129</v>
      </c>
      <c r="L69" s="137" t="s">
        <v>129</v>
      </c>
      <c r="M69" s="141"/>
      <c r="N69" s="143"/>
    </row>
    <row r="70" ht="15.0" hidden="1" customHeight="1" outlineLevel="1">
      <c r="A70" s="255" t="s">
        <v>3449</v>
      </c>
      <c r="B70" s="344">
        <v>46074.0</v>
      </c>
      <c r="C70" s="133" t="str">
        <f t="shared" si="7"/>
        <v>Sat</v>
      </c>
      <c r="D70" s="381">
        <f t="shared" si="8"/>
        <v>1</v>
      </c>
      <c r="E70" s="382" t="s">
        <v>129</v>
      </c>
      <c r="F70" s="137" t="s">
        <v>129</v>
      </c>
      <c r="G70" s="137" t="s">
        <v>129</v>
      </c>
      <c r="H70" s="137" t="s">
        <v>129</v>
      </c>
      <c r="I70" s="137" t="s">
        <v>129</v>
      </c>
      <c r="J70" s="137" t="s">
        <v>129</v>
      </c>
      <c r="K70" s="137" t="s">
        <v>129</v>
      </c>
      <c r="L70" s="137" t="s">
        <v>129</v>
      </c>
      <c r="M70" s="141"/>
      <c r="N70" s="147"/>
    </row>
    <row r="71" hidden="1" outlineLevel="1">
      <c r="B71" s="189"/>
      <c r="C71" s="191" t="s">
        <v>194</v>
      </c>
      <c r="D71" s="204">
        <f>AVERAGE(D56:D70)</f>
        <v>0.9733333333</v>
      </c>
      <c r="E71" s="384"/>
      <c r="L71" s="191" t="s">
        <v>194</v>
      </c>
      <c r="M71" s="204">
        <f>SUM(M56:M70)/75*0.1</f>
        <v>0</v>
      </c>
    </row>
    <row r="72" hidden="1" collapsed="1">
      <c r="A72" s="206" t="s">
        <v>705</v>
      </c>
      <c r="B72" s="207"/>
      <c r="C72" s="207"/>
      <c r="D72" s="385"/>
      <c r="E72" s="109"/>
      <c r="F72" s="109"/>
      <c r="G72" s="110"/>
      <c r="H72" s="110"/>
      <c r="I72" s="110"/>
      <c r="J72" s="110"/>
      <c r="K72" s="110"/>
      <c r="L72" s="110"/>
      <c r="M72" s="111"/>
      <c r="N72" s="113"/>
    </row>
    <row r="73" hidden="1" outlineLevel="1">
      <c r="A73" s="373" t="s">
        <v>98</v>
      </c>
      <c r="B73" s="115" t="s">
        <v>100</v>
      </c>
      <c r="C73" s="115" t="s">
        <v>102</v>
      </c>
      <c r="D73" s="119" t="s">
        <v>103</v>
      </c>
      <c r="E73" s="275" t="s">
        <v>269</v>
      </c>
      <c r="F73" s="275" t="s">
        <v>272</v>
      </c>
      <c r="G73" s="276" t="s">
        <v>328</v>
      </c>
      <c r="H73" s="121" t="s">
        <v>107</v>
      </c>
      <c r="I73" s="121" t="s">
        <v>108</v>
      </c>
      <c r="J73" s="276" t="s">
        <v>329</v>
      </c>
      <c r="K73" s="121" t="s">
        <v>111</v>
      </c>
      <c r="L73" s="276" t="s">
        <v>274</v>
      </c>
      <c r="M73" s="115" t="s">
        <v>114</v>
      </c>
      <c r="N73" s="119" t="s">
        <v>115</v>
      </c>
    </row>
    <row r="74" hidden="1" outlineLevel="1">
      <c r="A74" s="303" t="s">
        <v>3463</v>
      </c>
      <c r="B74" s="344">
        <v>46076.0</v>
      </c>
      <c r="C74" s="133" t="str">
        <f t="shared" ref="C74:C88" si="9">IF(B74="", "", TEXT(B74, "ddd"))</f>
        <v>Mon</v>
      </c>
      <c r="D74" s="381">
        <f t="shared" ref="D74:D88" si="10">IF(E74="Yes",0.05,0)
+IF(F74="Yes",0.1,0)
+IF(G74="Yes",0.15,0)
+IF(H74="Yes",0.15,0)
+IF(I74="Yes",0.05,0)
+IF(J74="Yes",0.05,0)
+IF(K74="Yes",0.15,0)
+IF(L74="Yes",0.3,0)
</f>
        <v>1</v>
      </c>
      <c r="E74" s="382" t="s">
        <v>129</v>
      </c>
      <c r="F74" s="137" t="s">
        <v>129</v>
      </c>
      <c r="G74" s="137" t="s">
        <v>129</v>
      </c>
      <c r="H74" s="137" t="s">
        <v>129</v>
      </c>
      <c r="I74" s="137" t="s">
        <v>129</v>
      </c>
      <c r="J74" s="137" t="s">
        <v>129</v>
      </c>
      <c r="K74" s="137" t="s">
        <v>129</v>
      </c>
      <c r="L74" s="137" t="s">
        <v>129</v>
      </c>
      <c r="M74" s="141"/>
      <c r="N74" s="143"/>
    </row>
    <row r="75" hidden="1" outlineLevel="1">
      <c r="A75" s="303" t="s">
        <v>3473</v>
      </c>
      <c r="B75" s="344">
        <v>46076.0</v>
      </c>
      <c r="C75" s="133" t="str">
        <f t="shared" si="9"/>
        <v>Mon</v>
      </c>
      <c r="D75" s="383">
        <f t="shared" si="10"/>
        <v>0.5</v>
      </c>
      <c r="E75" s="147" t="s">
        <v>129</v>
      </c>
      <c r="F75" s="137" t="s">
        <v>129</v>
      </c>
      <c r="G75" s="137" t="s">
        <v>129</v>
      </c>
      <c r="H75" s="137" t="s">
        <v>129</v>
      </c>
      <c r="I75" s="137" t="s">
        <v>129</v>
      </c>
      <c r="J75" s="137" t="s">
        <v>174</v>
      </c>
      <c r="K75" s="137" t="s">
        <v>174</v>
      </c>
      <c r="L75" s="137" t="s">
        <v>174</v>
      </c>
      <c r="M75" s="141"/>
      <c r="N75" s="147" t="s">
        <v>3383</v>
      </c>
    </row>
    <row r="76" hidden="1" outlineLevel="1">
      <c r="A76" s="303" t="s">
        <v>3478</v>
      </c>
      <c r="B76" s="344">
        <v>46076.0</v>
      </c>
      <c r="C76" s="133" t="str">
        <f t="shared" si="9"/>
        <v>Mon</v>
      </c>
      <c r="D76" s="381">
        <f t="shared" si="10"/>
        <v>0.3</v>
      </c>
      <c r="E76" s="382" t="s">
        <v>129</v>
      </c>
      <c r="F76" s="137" t="s">
        <v>129</v>
      </c>
      <c r="G76" s="137" t="s">
        <v>129</v>
      </c>
      <c r="H76" s="137" t="s">
        <v>174</v>
      </c>
      <c r="I76" s="137" t="s">
        <v>174</v>
      </c>
      <c r="J76" s="137" t="s">
        <v>174</v>
      </c>
      <c r="K76" s="137" t="s">
        <v>174</v>
      </c>
      <c r="L76" s="137" t="s">
        <v>174</v>
      </c>
      <c r="M76" s="141"/>
      <c r="N76" s="147" t="s">
        <v>3383</v>
      </c>
    </row>
    <row r="77" hidden="1" outlineLevel="1">
      <c r="A77" s="303" t="s">
        <v>3484</v>
      </c>
      <c r="B77" s="344">
        <v>46077.0</v>
      </c>
      <c r="C77" s="133" t="str">
        <f t="shared" si="9"/>
        <v>Tue</v>
      </c>
      <c r="D77" s="383">
        <f t="shared" si="10"/>
        <v>1</v>
      </c>
      <c r="E77" s="147" t="s">
        <v>129</v>
      </c>
      <c r="F77" s="137" t="s">
        <v>129</v>
      </c>
      <c r="G77" s="137" t="s">
        <v>129</v>
      </c>
      <c r="H77" s="137" t="s">
        <v>129</v>
      </c>
      <c r="I77" s="137" t="s">
        <v>129</v>
      </c>
      <c r="J77" s="137" t="s">
        <v>129</v>
      </c>
      <c r="K77" s="137" t="s">
        <v>129</v>
      </c>
      <c r="L77" s="137" t="s">
        <v>129</v>
      </c>
      <c r="M77" s="141"/>
      <c r="N77" s="143"/>
    </row>
    <row r="78" hidden="1" outlineLevel="1">
      <c r="A78" s="303" t="s">
        <v>3489</v>
      </c>
      <c r="B78" s="344">
        <v>46077.0</v>
      </c>
      <c r="C78" s="133" t="str">
        <f t="shared" si="9"/>
        <v>Tue</v>
      </c>
      <c r="D78" s="381">
        <f t="shared" si="10"/>
        <v>1</v>
      </c>
      <c r="E78" s="382" t="s">
        <v>129</v>
      </c>
      <c r="F78" s="137" t="s">
        <v>129</v>
      </c>
      <c r="G78" s="137" t="s">
        <v>129</v>
      </c>
      <c r="H78" s="137" t="s">
        <v>129</v>
      </c>
      <c r="I78" s="137" t="s">
        <v>129</v>
      </c>
      <c r="J78" s="137" t="s">
        <v>129</v>
      </c>
      <c r="K78" s="137" t="s">
        <v>129</v>
      </c>
      <c r="L78" s="137" t="s">
        <v>129</v>
      </c>
      <c r="M78" s="141"/>
      <c r="N78" s="143"/>
    </row>
    <row r="79" hidden="1" outlineLevel="1">
      <c r="A79" s="303" t="s">
        <v>3502</v>
      </c>
      <c r="B79" s="344">
        <v>46077.0</v>
      </c>
      <c r="C79" s="133" t="str">
        <f t="shared" si="9"/>
        <v>Tue</v>
      </c>
      <c r="D79" s="383">
        <f t="shared" si="10"/>
        <v>1</v>
      </c>
      <c r="E79" s="147" t="s">
        <v>129</v>
      </c>
      <c r="F79" s="137" t="s">
        <v>129</v>
      </c>
      <c r="G79" s="137" t="s">
        <v>129</v>
      </c>
      <c r="H79" s="137" t="s">
        <v>129</v>
      </c>
      <c r="I79" s="137" t="s">
        <v>129</v>
      </c>
      <c r="J79" s="137" t="s">
        <v>129</v>
      </c>
      <c r="K79" s="137" t="s">
        <v>129</v>
      </c>
      <c r="L79" s="137" t="s">
        <v>129</v>
      </c>
      <c r="M79" s="141"/>
      <c r="N79" s="143"/>
    </row>
    <row r="80" hidden="1" outlineLevel="1">
      <c r="A80" s="255" t="s">
        <v>3510</v>
      </c>
      <c r="B80" s="344">
        <v>46079.0</v>
      </c>
      <c r="C80" s="133" t="str">
        <f t="shared" si="9"/>
        <v>Thu</v>
      </c>
      <c r="D80" s="381">
        <f t="shared" si="10"/>
        <v>1</v>
      </c>
      <c r="E80" s="382" t="s">
        <v>129</v>
      </c>
      <c r="F80" s="137" t="s">
        <v>129</v>
      </c>
      <c r="G80" s="137" t="s">
        <v>129</v>
      </c>
      <c r="H80" s="137" t="s">
        <v>129</v>
      </c>
      <c r="I80" s="137" t="s">
        <v>129</v>
      </c>
      <c r="J80" s="137" t="s">
        <v>129</v>
      </c>
      <c r="K80" s="137" t="s">
        <v>129</v>
      </c>
      <c r="L80" s="137" t="s">
        <v>129</v>
      </c>
      <c r="M80" s="141"/>
      <c r="N80" s="143"/>
    </row>
    <row r="81" hidden="1" outlineLevel="1">
      <c r="A81" s="255" t="s">
        <v>3515</v>
      </c>
      <c r="B81" s="344">
        <v>46079.0</v>
      </c>
      <c r="C81" s="133" t="str">
        <f t="shared" si="9"/>
        <v>Thu</v>
      </c>
      <c r="D81" s="383">
        <f t="shared" si="10"/>
        <v>1</v>
      </c>
      <c r="E81" s="147" t="s">
        <v>129</v>
      </c>
      <c r="F81" s="137" t="s">
        <v>129</v>
      </c>
      <c r="G81" s="137" t="s">
        <v>129</v>
      </c>
      <c r="H81" s="137" t="s">
        <v>129</v>
      </c>
      <c r="I81" s="137" t="s">
        <v>129</v>
      </c>
      <c r="J81" s="137" t="s">
        <v>129</v>
      </c>
      <c r="K81" s="137" t="s">
        <v>129</v>
      </c>
      <c r="L81" s="137" t="s">
        <v>129</v>
      </c>
      <c r="M81" s="141"/>
      <c r="N81" s="147"/>
    </row>
    <row r="82" hidden="1" outlineLevel="1">
      <c r="A82" s="255" t="s">
        <v>3521</v>
      </c>
      <c r="B82" s="344">
        <v>46079.0</v>
      </c>
      <c r="C82" s="133" t="str">
        <f t="shared" si="9"/>
        <v>Thu</v>
      </c>
      <c r="D82" s="381">
        <f t="shared" si="10"/>
        <v>0.7</v>
      </c>
      <c r="E82" s="382" t="s">
        <v>129</v>
      </c>
      <c r="F82" s="137" t="s">
        <v>129</v>
      </c>
      <c r="G82" s="137" t="s">
        <v>129</v>
      </c>
      <c r="H82" s="137" t="s">
        <v>129</v>
      </c>
      <c r="I82" s="137" t="s">
        <v>129</v>
      </c>
      <c r="J82" s="137" t="s">
        <v>129</v>
      </c>
      <c r="K82" s="137" t="s">
        <v>129</v>
      </c>
      <c r="L82" s="137" t="s">
        <v>174</v>
      </c>
      <c r="M82" s="141"/>
      <c r="N82" s="147" t="s">
        <v>3403</v>
      </c>
    </row>
    <row r="83" hidden="1" outlineLevel="1">
      <c r="A83" s="219" t="s">
        <v>3404</v>
      </c>
      <c r="B83" s="344">
        <v>46080.0</v>
      </c>
      <c r="C83" s="133" t="str">
        <f t="shared" si="9"/>
        <v>Fri</v>
      </c>
      <c r="D83" s="383">
        <f t="shared" si="10"/>
        <v>1</v>
      </c>
      <c r="E83" s="147" t="s">
        <v>129</v>
      </c>
      <c r="F83" s="137" t="s">
        <v>129</v>
      </c>
      <c r="G83" s="137" t="s">
        <v>129</v>
      </c>
      <c r="H83" s="137" t="s">
        <v>129</v>
      </c>
      <c r="I83" s="137" t="s">
        <v>129</v>
      </c>
      <c r="J83" s="137" t="s">
        <v>129</v>
      </c>
      <c r="K83" s="137" t="s">
        <v>129</v>
      </c>
      <c r="L83" s="137" t="s">
        <v>129</v>
      </c>
      <c r="M83" s="141"/>
      <c r="N83" s="147"/>
    </row>
    <row r="84" hidden="1" outlineLevel="1">
      <c r="A84" s="303" t="s">
        <v>3530</v>
      </c>
      <c r="B84" s="344">
        <v>46080.0</v>
      </c>
      <c r="C84" s="133" t="str">
        <f t="shared" si="9"/>
        <v>Fri</v>
      </c>
      <c r="D84" s="381">
        <f t="shared" si="10"/>
        <v>1</v>
      </c>
      <c r="E84" s="382" t="s">
        <v>129</v>
      </c>
      <c r="F84" s="137" t="s">
        <v>129</v>
      </c>
      <c r="G84" s="137" t="s">
        <v>129</v>
      </c>
      <c r="H84" s="137" t="s">
        <v>129</v>
      </c>
      <c r="I84" s="137" t="s">
        <v>129</v>
      </c>
      <c r="J84" s="137" t="s">
        <v>129</v>
      </c>
      <c r="K84" s="137" t="s">
        <v>129</v>
      </c>
      <c r="L84" s="137" t="s">
        <v>129</v>
      </c>
      <c r="M84" s="141"/>
      <c r="N84" s="147"/>
    </row>
    <row r="85" hidden="1" outlineLevel="1">
      <c r="A85" s="303" t="s">
        <v>3534</v>
      </c>
      <c r="B85" s="344">
        <v>46080.0</v>
      </c>
      <c r="C85" s="133" t="str">
        <f t="shared" si="9"/>
        <v>Fri</v>
      </c>
      <c r="D85" s="383">
        <f t="shared" si="10"/>
        <v>1</v>
      </c>
      <c r="E85" s="147" t="s">
        <v>129</v>
      </c>
      <c r="F85" s="137" t="s">
        <v>129</v>
      </c>
      <c r="G85" s="137" t="s">
        <v>129</v>
      </c>
      <c r="H85" s="137" t="s">
        <v>129</v>
      </c>
      <c r="I85" s="137" t="s">
        <v>129</v>
      </c>
      <c r="J85" s="137" t="s">
        <v>129</v>
      </c>
      <c r="K85" s="137" t="s">
        <v>129</v>
      </c>
      <c r="L85" s="137" t="s">
        <v>129</v>
      </c>
      <c r="M85" s="141"/>
      <c r="N85" s="147"/>
    </row>
    <row r="86" hidden="1" outlineLevel="1">
      <c r="A86" s="255" t="s">
        <v>3539</v>
      </c>
      <c r="B86" s="344">
        <v>46081.0</v>
      </c>
      <c r="C86" s="133" t="str">
        <f t="shared" si="9"/>
        <v>Sat</v>
      </c>
      <c r="D86" s="381">
        <f t="shared" si="10"/>
        <v>1</v>
      </c>
      <c r="E86" s="382" t="s">
        <v>129</v>
      </c>
      <c r="F86" s="137" t="s">
        <v>129</v>
      </c>
      <c r="G86" s="137" t="s">
        <v>129</v>
      </c>
      <c r="H86" s="137" t="s">
        <v>129</v>
      </c>
      <c r="I86" s="137" t="s">
        <v>129</v>
      </c>
      <c r="J86" s="137" t="s">
        <v>129</v>
      </c>
      <c r="K86" s="137" t="s">
        <v>129</v>
      </c>
      <c r="L86" s="137" t="s">
        <v>129</v>
      </c>
      <c r="M86" s="141"/>
      <c r="N86" s="143"/>
    </row>
    <row r="87" hidden="1" outlineLevel="1">
      <c r="A87" s="255" t="s">
        <v>3542</v>
      </c>
      <c r="B87" s="344">
        <v>46081.0</v>
      </c>
      <c r="C87" s="133" t="str">
        <f t="shared" si="9"/>
        <v>Sat</v>
      </c>
      <c r="D87" s="383">
        <f t="shared" si="10"/>
        <v>1</v>
      </c>
      <c r="E87" s="147" t="s">
        <v>129</v>
      </c>
      <c r="F87" s="137" t="s">
        <v>129</v>
      </c>
      <c r="G87" s="137" t="s">
        <v>129</v>
      </c>
      <c r="H87" s="137" t="s">
        <v>129</v>
      </c>
      <c r="I87" s="137" t="s">
        <v>129</v>
      </c>
      <c r="J87" s="137" t="s">
        <v>129</v>
      </c>
      <c r="K87" s="137" t="s">
        <v>129</v>
      </c>
      <c r="L87" s="137" t="s">
        <v>129</v>
      </c>
      <c r="M87" s="141"/>
      <c r="N87" s="143"/>
    </row>
    <row r="88" ht="15.0" hidden="1" customHeight="1" outlineLevel="1">
      <c r="A88" s="255" t="s">
        <v>3546</v>
      </c>
      <c r="B88" s="344">
        <v>46081.0</v>
      </c>
      <c r="C88" s="133" t="str">
        <f t="shared" si="9"/>
        <v>Sat</v>
      </c>
      <c r="D88" s="381">
        <f t="shared" si="10"/>
        <v>0.95</v>
      </c>
      <c r="E88" s="382" t="s">
        <v>174</v>
      </c>
      <c r="F88" s="137" t="s">
        <v>129</v>
      </c>
      <c r="G88" s="137" t="s">
        <v>129</v>
      </c>
      <c r="H88" s="137" t="s">
        <v>129</v>
      </c>
      <c r="I88" s="137" t="s">
        <v>129</v>
      </c>
      <c r="J88" s="137" t="s">
        <v>129</v>
      </c>
      <c r="K88" s="137" t="s">
        <v>129</v>
      </c>
      <c r="L88" s="137" t="s">
        <v>129</v>
      </c>
      <c r="M88" s="141"/>
      <c r="N88" s="147" t="s">
        <v>3423</v>
      </c>
    </row>
    <row r="89" hidden="1" outlineLevel="1">
      <c r="B89" s="189"/>
      <c r="C89" s="191" t="s">
        <v>194</v>
      </c>
      <c r="D89" s="204">
        <f>AVERAGE(D74:D88)</f>
        <v>0.8966666667</v>
      </c>
      <c r="E89" s="384"/>
      <c r="L89" s="191" t="s">
        <v>194</v>
      </c>
      <c r="M89" s="204">
        <f>SUM(M74:M88)/75*0.1</f>
        <v>0</v>
      </c>
    </row>
    <row r="90" hidden="1" collapsed="1">
      <c r="A90" s="206" t="s">
        <v>731</v>
      </c>
      <c r="B90" s="207"/>
      <c r="C90" s="207"/>
      <c r="D90" s="208"/>
      <c r="E90" s="109"/>
      <c r="F90" s="109"/>
      <c r="G90" s="110"/>
      <c r="H90" s="110"/>
      <c r="I90" s="110"/>
      <c r="J90" s="110"/>
      <c r="K90" s="110"/>
      <c r="L90" s="110"/>
      <c r="M90" s="111"/>
      <c r="N90" s="113"/>
    </row>
    <row r="91" hidden="1" outlineLevel="1">
      <c r="A91" s="373" t="s">
        <v>98</v>
      </c>
      <c r="B91" s="115" t="s">
        <v>100</v>
      </c>
      <c r="C91" s="115" t="s">
        <v>102</v>
      </c>
      <c r="D91" s="119" t="s">
        <v>103</v>
      </c>
      <c r="E91" s="275" t="s">
        <v>269</v>
      </c>
      <c r="F91" s="275" t="s">
        <v>272</v>
      </c>
      <c r="G91" s="276" t="s">
        <v>328</v>
      </c>
      <c r="H91" s="121" t="s">
        <v>107</v>
      </c>
      <c r="I91" s="121" t="s">
        <v>108</v>
      </c>
      <c r="J91" s="276" t="s">
        <v>329</v>
      </c>
      <c r="K91" s="121" t="s">
        <v>111</v>
      </c>
      <c r="L91" s="276" t="s">
        <v>274</v>
      </c>
      <c r="M91" s="115" t="s">
        <v>114</v>
      </c>
      <c r="N91" s="119" t="s">
        <v>115</v>
      </c>
    </row>
    <row r="92" hidden="1" outlineLevel="1">
      <c r="A92" s="303" t="s">
        <v>3557</v>
      </c>
      <c r="B92" s="344">
        <v>46083.0</v>
      </c>
      <c r="C92" s="133" t="str">
        <f t="shared" ref="C92:C106" si="11">IF(B92="", "", TEXT(B92, "ddd"))</f>
        <v>Mon</v>
      </c>
      <c r="D92" s="381">
        <f t="shared" ref="D92:D106" si="12">IF(E92="Yes",0.05,0)
+IF(F92="Yes",0.1,0)
+IF(G92="Yes",0.15,0)
+IF(H92="Yes",0.15,0)
+IF(I92="Yes",0.05,0)
+IF(J92="Yes",0.05,0)
+IF(K92="Yes",0.15,0)
+IF(L92="Yes",0.3,0)
</f>
        <v>1</v>
      </c>
      <c r="E92" s="382" t="s">
        <v>129</v>
      </c>
      <c r="F92" s="137" t="s">
        <v>129</v>
      </c>
      <c r="G92" s="137" t="s">
        <v>129</v>
      </c>
      <c r="H92" s="137" t="s">
        <v>129</v>
      </c>
      <c r="I92" s="137" t="s">
        <v>129</v>
      </c>
      <c r="J92" s="137" t="s">
        <v>129</v>
      </c>
      <c r="K92" s="137" t="s">
        <v>129</v>
      </c>
      <c r="L92" s="137" t="s">
        <v>129</v>
      </c>
      <c r="M92" s="141"/>
      <c r="N92" s="143"/>
    </row>
    <row r="93" hidden="1" outlineLevel="1">
      <c r="A93" s="303" t="s">
        <v>3565</v>
      </c>
      <c r="B93" s="344">
        <v>46083.0</v>
      </c>
      <c r="C93" s="133" t="str">
        <f t="shared" si="11"/>
        <v>Mon</v>
      </c>
      <c r="D93" s="383">
        <f t="shared" si="12"/>
        <v>1</v>
      </c>
      <c r="E93" s="147" t="s">
        <v>129</v>
      </c>
      <c r="F93" s="137" t="s">
        <v>129</v>
      </c>
      <c r="G93" s="137" t="s">
        <v>129</v>
      </c>
      <c r="H93" s="137" t="s">
        <v>129</v>
      </c>
      <c r="I93" s="137" t="s">
        <v>129</v>
      </c>
      <c r="J93" s="137" t="s">
        <v>129</v>
      </c>
      <c r="K93" s="137" t="s">
        <v>129</v>
      </c>
      <c r="L93" s="137" t="s">
        <v>129</v>
      </c>
      <c r="M93" s="141"/>
      <c r="N93" s="147"/>
    </row>
    <row r="94" hidden="1" outlineLevel="1">
      <c r="A94" s="303" t="s">
        <v>3568</v>
      </c>
      <c r="B94" s="344">
        <v>46083.0</v>
      </c>
      <c r="C94" s="133" t="str">
        <f t="shared" si="11"/>
        <v>Mon</v>
      </c>
      <c r="D94" s="381">
        <f t="shared" si="12"/>
        <v>1</v>
      </c>
      <c r="E94" s="382" t="s">
        <v>129</v>
      </c>
      <c r="F94" s="137" t="s">
        <v>129</v>
      </c>
      <c r="G94" s="137" t="s">
        <v>129</v>
      </c>
      <c r="H94" s="137" t="s">
        <v>129</v>
      </c>
      <c r="I94" s="137" t="s">
        <v>129</v>
      </c>
      <c r="J94" s="137" t="s">
        <v>129</v>
      </c>
      <c r="K94" s="137" t="s">
        <v>129</v>
      </c>
      <c r="L94" s="137" t="s">
        <v>129</v>
      </c>
      <c r="M94" s="141"/>
      <c r="N94" s="147"/>
    </row>
    <row r="95" hidden="1" outlineLevel="1">
      <c r="A95" s="303" t="s">
        <v>3573</v>
      </c>
      <c r="B95" s="344">
        <v>46084.0</v>
      </c>
      <c r="C95" s="133" t="str">
        <f t="shared" si="11"/>
        <v>Tue</v>
      </c>
      <c r="D95" s="383">
        <f t="shared" si="12"/>
        <v>1</v>
      </c>
      <c r="E95" s="147" t="s">
        <v>129</v>
      </c>
      <c r="F95" s="137" t="s">
        <v>129</v>
      </c>
      <c r="G95" s="137" t="s">
        <v>129</v>
      </c>
      <c r="H95" s="137" t="s">
        <v>129</v>
      </c>
      <c r="I95" s="137" t="s">
        <v>129</v>
      </c>
      <c r="J95" s="137" t="s">
        <v>129</v>
      </c>
      <c r="K95" s="137" t="s">
        <v>129</v>
      </c>
      <c r="L95" s="137" t="s">
        <v>129</v>
      </c>
      <c r="M95" s="141"/>
      <c r="N95" s="143"/>
    </row>
    <row r="96" hidden="1" outlineLevel="1">
      <c r="A96" s="433" t="s">
        <v>3579</v>
      </c>
      <c r="B96" s="344">
        <v>46084.0</v>
      </c>
      <c r="C96" s="133" t="str">
        <f t="shared" si="11"/>
        <v>Tue</v>
      </c>
      <c r="D96" s="381">
        <f t="shared" si="12"/>
        <v>1</v>
      </c>
      <c r="E96" s="382" t="s">
        <v>129</v>
      </c>
      <c r="F96" s="137" t="s">
        <v>129</v>
      </c>
      <c r="G96" s="137" t="s">
        <v>129</v>
      </c>
      <c r="H96" s="137" t="s">
        <v>129</v>
      </c>
      <c r="I96" s="137" t="s">
        <v>129</v>
      </c>
      <c r="J96" s="137" t="s">
        <v>129</v>
      </c>
      <c r="K96" s="137" t="s">
        <v>129</v>
      </c>
      <c r="L96" s="137" t="s">
        <v>129</v>
      </c>
      <c r="M96" s="141"/>
      <c r="N96" s="147" t="s">
        <v>3590</v>
      </c>
    </row>
    <row r="97" hidden="1" outlineLevel="1">
      <c r="A97" s="433" t="s">
        <v>3591</v>
      </c>
      <c r="B97" s="344">
        <v>46084.0</v>
      </c>
      <c r="C97" s="133" t="str">
        <f t="shared" si="11"/>
        <v>Tue</v>
      </c>
      <c r="D97" s="383">
        <f t="shared" si="12"/>
        <v>1</v>
      </c>
      <c r="E97" s="147" t="s">
        <v>129</v>
      </c>
      <c r="F97" s="137" t="s">
        <v>129</v>
      </c>
      <c r="G97" s="137" t="s">
        <v>129</v>
      </c>
      <c r="H97" s="137" t="s">
        <v>129</v>
      </c>
      <c r="I97" s="137" t="s">
        <v>129</v>
      </c>
      <c r="J97" s="137" t="s">
        <v>129</v>
      </c>
      <c r="K97" s="137" t="s">
        <v>129</v>
      </c>
      <c r="L97" s="137" t="s">
        <v>129</v>
      </c>
      <c r="M97" s="141"/>
      <c r="N97" s="143"/>
    </row>
    <row r="98" hidden="1" outlineLevel="1">
      <c r="A98" s="303" t="s">
        <v>3594</v>
      </c>
      <c r="B98" s="344">
        <v>46086.0</v>
      </c>
      <c r="C98" s="133" t="str">
        <f t="shared" si="11"/>
        <v>Thu</v>
      </c>
      <c r="D98" s="381">
        <f t="shared" si="12"/>
        <v>1</v>
      </c>
      <c r="E98" s="382" t="s">
        <v>129</v>
      </c>
      <c r="F98" s="137" t="s">
        <v>129</v>
      </c>
      <c r="G98" s="137" t="s">
        <v>129</v>
      </c>
      <c r="H98" s="137" t="s">
        <v>129</v>
      </c>
      <c r="I98" s="137" t="s">
        <v>129</v>
      </c>
      <c r="J98" s="137" t="s">
        <v>129</v>
      </c>
      <c r="K98" s="137" t="s">
        <v>129</v>
      </c>
      <c r="L98" s="137" t="s">
        <v>129</v>
      </c>
      <c r="M98" s="141"/>
      <c r="N98" s="143"/>
    </row>
    <row r="99" hidden="1" outlineLevel="1">
      <c r="A99" s="303" t="s">
        <v>3597</v>
      </c>
      <c r="B99" s="344">
        <v>46086.0</v>
      </c>
      <c r="C99" s="133" t="str">
        <f t="shared" si="11"/>
        <v>Thu</v>
      </c>
      <c r="D99" s="383">
        <f t="shared" si="12"/>
        <v>0.7</v>
      </c>
      <c r="E99" s="147" t="s">
        <v>129</v>
      </c>
      <c r="F99" s="137" t="s">
        <v>129</v>
      </c>
      <c r="G99" s="137" t="s">
        <v>129</v>
      </c>
      <c r="H99" s="137" t="s">
        <v>129</v>
      </c>
      <c r="I99" s="137" t="s">
        <v>129</v>
      </c>
      <c r="J99" s="137" t="s">
        <v>129</v>
      </c>
      <c r="K99" s="137" t="s">
        <v>129</v>
      </c>
      <c r="L99" s="137" t="s">
        <v>174</v>
      </c>
      <c r="M99" s="141"/>
      <c r="N99" s="147" t="s">
        <v>3601</v>
      </c>
    </row>
    <row r="100" hidden="1" outlineLevel="1">
      <c r="A100" s="303" t="s">
        <v>3602</v>
      </c>
      <c r="B100" s="344">
        <v>46086.0</v>
      </c>
      <c r="C100" s="133" t="str">
        <f t="shared" si="11"/>
        <v>Thu</v>
      </c>
      <c r="D100" s="381">
        <f t="shared" si="12"/>
        <v>1</v>
      </c>
      <c r="E100" s="382" t="s">
        <v>129</v>
      </c>
      <c r="F100" s="137" t="s">
        <v>129</v>
      </c>
      <c r="G100" s="137" t="s">
        <v>129</v>
      </c>
      <c r="H100" s="137" t="s">
        <v>129</v>
      </c>
      <c r="I100" s="137" t="s">
        <v>129</v>
      </c>
      <c r="J100" s="137" t="s">
        <v>129</v>
      </c>
      <c r="K100" s="137" t="s">
        <v>129</v>
      </c>
      <c r="L100" s="137" t="s">
        <v>129</v>
      </c>
      <c r="M100" s="141"/>
      <c r="N100" s="143"/>
    </row>
    <row r="101" hidden="1" outlineLevel="1">
      <c r="A101" s="255" t="s">
        <v>3605</v>
      </c>
      <c r="B101" s="344">
        <v>46087.0</v>
      </c>
      <c r="C101" s="133" t="str">
        <f t="shared" si="11"/>
        <v>Fri</v>
      </c>
      <c r="D101" s="383">
        <f t="shared" si="12"/>
        <v>0.7</v>
      </c>
      <c r="E101" s="147" t="s">
        <v>129</v>
      </c>
      <c r="F101" s="137" t="s">
        <v>129</v>
      </c>
      <c r="G101" s="137" t="s">
        <v>129</v>
      </c>
      <c r="H101" s="137" t="s">
        <v>129</v>
      </c>
      <c r="I101" s="137" t="s">
        <v>129</v>
      </c>
      <c r="J101" s="137" t="s">
        <v>129</v>
      </c>
      <c r="K101" s="137" t="s">
        <v>129</v>
      </c>
      <c r="L101" s="137" t="s">
        <v>174</v>
      </c>
      <c r="M101" s="141"/>
      <c r="N101" s="147" t="s">
        <v>3610</v>
      </c>
    </row>
    <row r="102" hidden="1" outlineLevel="1">
      <c r="A102" s="255" t="s">
        <v>3611</v>
      </c>
      <c r="B102" s="344">
        <v>46087.0</v>
      </c>
      <c r="C102" s="133" t="str">
        <f t="shared" si="11"/>
        <v>Fri</v>
      </c>
      <c r="D102" s="381">
        <f t="shared" si="12"/>
        <v>1</v>
      </c>
      <c r="E102" s="382" t="s">
        <v>129</v>
      </c>
      <c r="F102" s="137" t="s">
        <v>129</v>
      </c>
      <c r="G102" s="137" t="s">
        <v>129</v>
      </c>
      <c r="H102" s="137" t="s">
        <v>129</v>
      </c>
      <c r="I102" s="137" t="s">
        <v>129</v>
      </c>
      <c r="J102" s="137" t="s">
        <v>129</v>
      </c>
      <c r="K102" s="137" t="s">
        <v>129</v>
      </c>
      <c r="L102" s="137" t="s">
        <v>129</v>
      </c>
      <c r="M102" s="141"/>
      <c r="N102" s="147"/>
    </row>
    <row r="103" hidden="1" outlineLevel="1">
      <c r="A103" s="255" t="s">
        <v>3615</v>
      </c>
      <c r="B103" s="344">
        <v>46087.0</v>
      </c>
      <c r="C103" s="133" t="str">
        <f t="shared" si="11"/>
        <v>Fri</v>
      </c>
      <c r="D103" s="383">
        <f t="shared" si="12"/>
        <v>1</v>
      </c>
      <c r="E103" s="147" t="s">
        <v>129</v>
      </c>
      <c r="F103" s="137" t="s">
        <v>129</v>
      </c>
      <c r="G103" s="137" t="s">
        <v>129</v>
      </c>
      <c r="H103" s="137" t="s">
        <v>129</v>
      </c>
      <c r="I103" s="137" t="s">
        <v>129</v>
      </c>
      <c r="J103" s="137" t="s">
        <v>129</v>
      </c>
      <c r="K103" s="137" t="s">
        <v>129</v>
      </c>
      <c r="L103" s="137" t="s">
        <v>129</v>
      </c>
      <c r="M103" s="141"/>
      <c r="N103" s="147"/>
    </row>
    <row r="104" hidden="1" outlineLevel="1">
      <c r="A104" s="269" t="s">
        <v>3620</v>
      </c>
      <c r="B104" s="344">
        <v>46088.0</v>
      </c>
      <c r="C104" s="133" t="str">
        <f t="shared" si="11"/>
        <v>Sat</v>
      </c>
      <c r="D104" s="381">
        <f t="shared" si="12"/>
        <v>1</v>
      </c>
      <c r="E104" s="382" t="s">
        <v>129</v>
      </c>
      <c r="F104" s="137" t="s">
        <v>129</v>
      </c>
      <c r="G104" s="137" t="s">
        <v>129</v>
      </c>
      <c r="H104" s="137" t="s">
        <v>129</v>
      </c>
      <c r="I104" s="137" t="s">
        <v>129</v>
      </c>
      <c r="J104" s="137" t="s">
        <v>129</v>
      </c>
      <c r="K104" s="137" t="s">
        <v>129</v>
      </c>
      <c r="L104" s="137" t="s">
        <v>129</v>
      </c>
      <c r="M104" s="141"/>
      <c r="N104" s="143"/>
    </row>
    <row r="105" hidden="1" outlineLevel="1">
      <c r="A105" s="255" t="s">
        <v>3626</v>
      </c>
      <c r="B105" s="344">
        <v>46088.0</v>
      </c>
      <c r="C105" s="133" t="str">
        <f t="shared" si="11"/>
        <v>Sat</v>
      </c>
      <c r="D105" s="383">
        <f t="shared" si="12"/>
        <v>1</v>
      </c>
      <c r="E105" s="147" t="s">
        <v>129</v>
      </c>
      <c r="F105" s="137" t="s">
        <v>129</v>
      </c>
      <c r="G105" s="137" t="s">
        <v>129</v>
      </c>
      <c r="H105" s="137" t="s">
        <v>129</v>
      </c>
      <c r="I105" s="137" t="s">
        <v>129</v>
      </c>
      <c r="J105" s="137" t="s">
        <v>129</v>
      </c>
      <c r="K105" s="137" t="s">
        <v>129</v>
      </c>
      <c r="L105" s="137" t="s">
        <v>129</v>
      </c>
      <c r="M105" s="141"/>
      <c r="N105" s="147" t="s">
        <v>146</v>
      </c>
    </row>
    <row r="106" ht="15.0" hidden="1" customHeight="1" outlineLevel="1">
      <c r="A106" s="255" t="s">
        <v>3631</v>
      </c>
      <c r="B106" s="344">
        <v>46088.0</v>
      </c>
      <c r="C106" s="133" t="str">
        <f t="shared" si="11"/>
        <v>Sat</v>
      </c>
      <c r="D106" s="381">
        <f t="shared" si="12"/>
        <v>1</v>
      </c>
      <c r="E106" s="382" t="s">
        <v>129</v>
      </c>
      <c r="F106" s="137" t="s">
        <v>129</v>
      </c>
      <c r="G106" s="137" t="s">
        <v>129</v>
      </c>
      <c r="H106" s="137" t="s">
        <v>129</v>
      </c>
      <c r="I106" s="137" t="s">
        <v>129</v>
      </c>
      <c r="J106" s="137" t="s">
        <v>129</v>
      </c>
      <c r="K106" s="137" t="s">
        <v>129</v>
      </c>
      <c r="L106" s="137" t="s">
        <v>129</v>
      </c>
      <c r="M106" s="141"/>
      <c r="N106" s="147"/>
    </row>
    <row r="107" hidden="1" outlineLevel="1">
      <c r="B107" s="189"/>
      <c r="C107" s="191" t="s">
        <v>194</v>
      </c>
      <c r="D107" s="204">
        <f>AVERAGE(D92:D106)</f>
        <v>0.96</v>
      </c>
      <c r="E107" s="384"/>
      <c r="L107" s="191" t="s">
        <v>194</v>
      </c>
      <c r="M107" s="204">
        <f>SUM(M92:M106)/75*0.1</f>
        <v>0</v>
      </c>
    </row>
    <row r="108" hidden="1" collapsed="1">
      <c r="A108" s="206" t="s">
        <v>766</v>
      </c>
      <c r="B108" s="207"/>
      <c r="C108" s="207"/>
      <c r="D108" s="385"/>
      <c r="E108" s="109"/>
      <c r="F108" s="109"/>
      <c r="G108" s="110"/>
      <c r="H108" s="110"/>
      <c r="I108" s="110"/>
      <c r="J108" s="110"/>
      <c r="K108" s="110"/>
      <c r="L108" s="110"/>
      <c r="M108" s="111"/>
      <c r="N108" s="113"/>
    </row>
    <row r="109" hidden="1" outlineLevel="1">
      <c r="A109" s="373" t="s">
        <v>98</v>
      </c>
      <c r="B109" s="115" t="s">
        <v>100</v>
      </c>
      <c r="C109" s="115" t="s">
        <v>102</v>
      </c>
      <c r="D109" s="119" t="s">
        <v>103</v>
      </c>
      <c r="E109" s="275" t="s">
        <v>269</v>
      </c>
      <c r="F109" s="275" t="s">
        <v>272</v>
      </c>
      <c r="G109" s="276" t="s">
        <v>328</v>
      </c>
      <c r="H109" s="121" t="s">
        <v>107</v>
      </c>
      <c r="I109" s="121" t="s">
        <v>108</v>
      </c>
      <c r="J109" s="276" t="s">
        <v>329</v>
      </c>
      <c r="K109" s="121" t="s">
        <v>111</v>
      </c>
      <c r="L109" s="276" t="s">
        <v>274</v>
      </c>
      <c r="M109" s="115" t="s">
        <v>114</v>
      </c>
      <c r="N109" s="119" t="s">
        <v>115</v>
      </c>
    </row>
    <row r="110" hidden="1" outlineLevel="1">
      <c r="A110" s="255" t="s">
        <v>3639</v>
      </c>
      <c r="B110" s="344">
        <v>46090.0</v>
      </c>
      <c r="C110" s="133" t="str">
        <f t="shared" ref="C110:C124" si="13">IF(B110="", "", TEXT(B110, "ddd"))</f>
        <v>Mon</v>
      </c>
      <c r="D110" s="381">
        <f t="shared" ref="D110:D124" si="14">IF(E110="Yes",0.05,0)
+IF(F110="Yes",0.1,0)
+IF(G110="Yes",0.15,0)
+IF(H110="Yes",0.15,0)
+IF(I110="Yes",0.05,0)
+IF(J110="Yes",0.05,0)
+IF(K110="Yes",0.15,0)
+IF(L110="Yes",0.3,0)
</f>
        <v>1</v>
      </c>
      <c r="E110" s="382" t="s">
        <v>129</v>
      </c>
      <c r="F110" s="137" t="s">
        <v>129</v>
      </c>
      <c r="G110" s="137" t="s">
        <v>129</v>
      </c>
      <c r="H110" s="137" t="s">
        <v>129</v>
      </c>
      <c r="I110" s="137" t="s">
        <v>129</v>
      </c>
      <c r="J110" s="137" t="s">
        <v>129</v>
      </c>
      <c r="K110" s="137" t="s">
        <v>129</v>
      </c>
      <c r="L110" s="137" t="s">
        <v>129</v>
      </c>
      <c r="M110" s="141"/>
      <c r="N110" s="143"/>
    </row>
    <row r="111" hidden="1" outlineLevel="1">
      <c r="A111" s="255" t="s">
        <v>3645</v>
      </c>
      <c r="B111" s="344">
        <v>46090.0</v>
      </c>
      <c r="C111" s="133" t="str">
        <f t="shared" si="13"/>
        <v>Mon</v>
      </c>
      <c r="D111" s="383">
        <f t="shared" si="14"/>
        <v>1</v>
      </c>
      <c r="E111" s="147" t="s">
        <v>129</v>
      </c>
      <c r="F111" s="137" t="s">
        <v>129</v>
      </c>
      <c r="G111" s="137" t="s">
        <v>129</v>
      </c>
      <c r="H111" s="137" t="s">
        <v>129</v>
      </c>
      <c r="I111" s="137" t="s">
        <v>129</v>
      </c>
      <c r="J111" s="137" t="s">
        <v>129</v>
      </c>
      <c r="K111" s="137" t="s">
        <v>129</v>
      </c>
      <c r="L111" s="137" t="s">
        <v>129</v>
      </c>
      <c r="M111" s="141"/>
      <c r="N111" s="147"/>
    </row>
    <row r="112" hidden="1" outlineLevel="1">
      <c r="A112" s="255" t="s">
        <v>3648</v>
      </c>
      <c r="B112" s="344">
        <v>46090.0</v>
      </c>
      <c r="C112" s="133" t="str">
        <f t="shared" si="13"/>
        <v>Mon</v>
      </c>
      <c r="D112" s="381">
        <f t="shared" si="14"/>
        <v>1</v>
      </c>
      <c r="E112" s="382" t="s">
        <v>129</v>
      </c>
      <c r="F112" s="137" t="s">
        <v>129</v>
      </c>
      <c r="G112" s="137" t="s">
        <v>129</v>
      </c>
      <c r="H112" s="137" t="s">
        <v>129</v>
      </c>
      <c r="I112" s="137" t="s">
        <v>129</v>
      </c>
      <c r="J112" s="137" t="s">
        <v>129</v>
      </c>
      <c r="K112" s="137" t="s">
        <v>129</v>
      </c>
      <c r="L112" s="137" t="s">
        <v>129</v>
      </c>
      <c r="M112" s="141"/>
      <c r="N112" s="147"/>
    </row>
    <row r="113" hidden="1" outlineLevel="1">
      <c r="A113" s="219" t="s">
        <v>3651</v>
      </c>
      <c r="B113" s="344">
        <v>46091.0</v>
      </c>
      <c r="C113" s="133" t="str">
        <f t="shared" si="13"/>
        <v>Tue</v>
      </c>
      <c r="D113" s="383">
        <f t="shared" si="14"/>
        <v>1</v>
      </c>
      <c r="E113" s="147" t="s">
        <v>129</v>
      </c>
      <c r="F113" s="137" t="s">
        <v>129</v>
      </c>
      <c r="G113" s="137" t="s">
        <v>129</v>
      </c>
      <c r="H113" s="137" t="s">
        <v>129</v>
      </c>
      <c r="I113" s="137" t="s">
        <v>129</v>
      </c>
      <c r="J113" s="137" t="s">
        <v>129</v>
      </c>
      <c r="K113" s="137" t="s">
        <v>129</v>
      </c>
      <c r="L113" s="137" t="s">
        <v>129</v>
      </c>
      <c r="M113" s="141"/>
      <c r="N113" s="143"/>
    </row>
    <row r="114" hidden="1" outlineLevel="1">
      <c r="A114" s="219" t="s">
        <v>3659</v>
      </c>
      <c r="B114" s="344">
        <v>46091.0</v>
      </c>
      <c r="C114" s="133" t="str">
        <f t="shared" si="13"/>
        <v>Tue</v>
      </c>
      <c r="D114" s="381">
        <f t="shared" si="14"/>
        <v>1</v>
      </c>
      <c r="E114" s="382" t="s">
        <v>129</v>
      </c>
      <c r="F114" s="137" t="s">
        <v>129</v>
      </c>
      <c r="G114" s="137" t="s">
        <v>129</v>
      </c>
      <c r="H114" s="137" t="s">
        <v>129</v>
      </c>
      <c r="I114" s="137" t="s">
        <v>129</v>
      </c>
      <c r="J114" s="137" t="s">
        <v>129</v>
      </c>
      <c r="K114" s="137" t="s">
        <v>129</v>
      </c>
      <c r="L114" s="137" t="s">
        <v>129</v>
      </c>
      <c r="M114" s="141"/>
      <c r="N114" s="143"/>
    </row>
    <row r="115" hidden="1" outlineLevel="1">
      <c r="A115" s="219" t="s">
        <v>3663</v>
      </c>
      <c r="B115" s="344">
        <v>46091.0</v>
      </c>
      <c r="C115" s="133" t="str">
        <f t="shared" si="13"/>
        <v>Tue</v>
      </c>
      <c r="D115" s="383">
        <f t="shared" si="14"/>
        <v>1</v>
      </c>
      <c r="E115" s="147" t="s">
        <v>129</v>
      </c>
      <c r="F115" s="137" t="s">
        <v>129</v>
      </c>
      <c r="G115" s="137" t="s">
        <v>129</v>
      </c>
      <c r="H115" s="137" t="s">
        <v>129</v>
      </c>
      <c r="I115" s="137" t="s">
        <v>129</v>
      </c>
      <c r="J115" s="137" t="s">
        <v>129</v>
      </c>
      <c r="K115" s="137" t="s">
        <v>129</v>
      </c>
      <c r="L115" s="137" t="s">
        <v>129</v>
      </c>
      <c r="M115" s="141"/>
      <c r="N115" s="143"/>
    </row>
    <row r="116" hidden="1" outlineLevel="1">
      <c r="A116" s="255" t="s">
        <v>3665</v>
      </c>
      <c r="B116" s="344">
        <v>46093.0</v>
      </c>
      <c r="C116" s="133" t="str">
        <f t="shared" si="13"/>
        <v>Thu</v>
      </c>
      <c r="D116" s="381">
        <f t="shared" si="14"/>
        <v>1</v>
      </c>
      <c r="E116" s="382" t="s">
        <v>129</v>
      </c>
      <c r="F116" s="137" t="s">
        <v>129</v>
      </c>
      <c r="G116" s="137" t="s">
        <v>129</v>
      </c>
      <c r="H116" s="137" t="s">
        <v>129</v>
      </c>
      <c r="I116" s="137" t="s">
        <v>129</v>
      </c>
      <c r="J116" s="137" t="s">
        <v>129</v>
      </c>
      <c r="K116" s="137" t="s">
        <v>129</v>
      </c>
      <c r="L116" s="137" t="s">
        <v>129</v>
      </c>
      <c r="M116" s="141"/>
      <c r="N116" s="143"/>
    </row>
    <row r="117" hidden="1" outlineLevel="1">
      <c r="A117" s="255" t="s">
        <v>3668</v>
      </c>
      <c r="B117" s="344">
        <v>46093.0</v>
      </c>
      <c r="C117" s="133" t="str">
        <f t="shared" si="13"/>
        <v>Thu</v>
      </c>
      <c r="D117" s="383">
        <f t="shared" si="14"/>
        <v>1</v>
      </c>
      <c r="E117" s="147" t="s">
        <v>129</v>
      </c>
      <c r="F117" s="137" t="s">
        <v>129</v>
      </c>
      <c r="G117" s="137" t="s">
        <v>129</v>
      </c>
      <c r="H117" s="137" t="s">
        <v>129</v>
      </c>
      <c r="I117" s="137" t="s">
        <v>129</v>
      </c>
      <c r="J117" s="137" t="s">
        <v>129</v>
      </c>
      <c r="K117" s="137" t="s">
        <v>129</v>
      </c>
      <c r="L117" s="137" t="s">
        <v>129</v>
      </c>
      <c r="M117" s="141"/>
      <c r="N117" s="147"/>
    </row>
    <row r="118" hidden="1" outlineLevel="1">
      <c r="A118" s="255" t="s">
        <v>3672</v>
      </c>
      <c r="B118" s="344">
        <v>46093.0</v>
      </c>
      <c r="C118" s="133" t="str">
        <f t="shared" si="13"/>
        <v>Thu</v>
      </c>
      <c r="D118" s="381">
        <f t="shared" si="14"/>
        <v>1</v>
      </c>
      <c r="E118" s="382" t="s">
        <v>129</v>
      </c>
      <c r="F118" s="137" t="s">
        <v>129</v>
      </c>
      <c r="G118" s="137" t="s">
        <v>129</v>
      </c>
      <c r="H118" s="137" t="s">
        <v>129</v>
      </c>
      <c r="I118" s="137" t="s">
        <v>129</v>
      </c>
      <c r="J118" s="137" t="s">
        <v>129</v>
      </c>
      <c r="K118" s="137" t="s">
        <v>129</v>
      </c>
      <c r="L118" s="137" t="s">
        <v>129</v>
      </c>
      <c r="M118" s="141"/>
      <c r="N118" s="143"/>
    </row>
    <row r="119" hidden="1" outlineLevel="1">
      <c r="A119" s="219" t="s">
        <v>3677</v>
      </c>
      <c r="B119" s="344">
        <v>46094.0</v>
      </c>
      <c r="C119" s="133" t="str">
        <f t="shared" si="13"/>
        <v>Fri</v>
      </c>
      <c r="D119" s="383">
        <f t="shared" si="14"/>
        <v>1</v>
      </c>
      <c r="E119" s="147" t="s">
        <v>129</v>
      </c>
      <c r="F119" s="137" t="s">
        <v>129</v>
      </c>
      <c r="G119" s="137" t="s">
        <v>129</v>
      </c>
      <c r="H119" s="137" t="s">
        <v>129</v>
      </c>
      <c r="I119" s="137" t="s">
        <v>129</v>
      </c>
      <c r="J119" s="137" t="s">
        <v>129</v>
      </c>
      <c r="K119" s="137" t="s">
        <v>129</v>
      </c>
      <c r="L119" s="137" t="s">
        <v>129</v>
      </c>
      <c r="M119" s="141"/>
      <c r="N119" s="147"/>
    </row>
    <row r="120" hidden="1" outlineLevel="1">
      <c r="A120" s="219" t="s">
        <v>3679</v>
      </c>
      <c r="B120" s="344">
        <v>46094.0</v>
      </c>
      <c r="C120" s="133" t="str">
        <f t="shared" si="13"/>
        <v>Fri</v>
      </c>
      <c r="D120" s="381">
        <f t="shared" si="14"/>
        <v>1</v>
      </c>
      <c r="E120" s="382" t="s">
        <v>129</v>
      </c>
      <c r="F120" s="137" t="s">
        <v>129</v>
      </c>
      <c r="G120" s="137" t="s">
        <v>129</v>
      </c>
      <c r="H120" s="137" t="s">
        <v>129</v>
      </c>
      <c r="I120" s="137" t="s">
        <v>129</v>
      </c>
      <c r="J120" s="137" t="s">
        <v>129</v>
      </c>
      <c r="K120" s="137" t="s">
        <v>129</v>
      </c>
      <c r="L120" s="137" t="s">
        <v>129</v>
      </c>
      <c r="M120" s="141"/>
      <c r="N120" s="147"/>
    </row>
    <row r="121" hidden="1" outlineLevel="1">
      <c r="A121" s="219" t="s">
        <v>3682</v>
      </c>
      <c r="B121" s="344">
        <v>46094.0</v>
      </c>
      <c r="C121" s="133" t="str">
        <f t="shared" si="13"/>
        <v>Fri</v>
      </c>
      <c r="D121" s="383">
        <f t="shared" si="14"/>
        <v>1</v>
      </c>
      <c r="E121" s="147" t="s">
        <v>129</v>
      </c>
      <c r="F121" s="137" t="s">
        <v>129</v>
      </c>
      <c r="G121" s="137" t="s">
        <v>129</v>
      </c>
      <c r="H121" s="137" t="s">
        <v>129</v>
      </c>
      <c r="I121" s="137" t="s">
        <v>129</v>
      </c>
      <c r="J121" s="137" t="s">
        <v>129</v>
      </c>
      <c r="K121" s="137" t="s">
        <v>129</v>
      </c>
      <c r="L121" s="137" t="s">
        <v>129</v>
      </c>
      <c r="M121" s="141"/>
      <c r="N121" s="147"/>
    </row>
    <row r="122" hidden="1" outlineLevel="1">
      <c r="A122" s="255" t="s">
        <v>3686</v>
      </c>
      <c r="B122" s="344">
        <v>46095.0</v>
      </c>
      <c r="C122" s="133" t="str">
        <f t="shared" si="13"/>
        <v>Sat</v>
      </c>
      <c r="D122" s="381">
        <f t="shared" si="14"/>
        <v>1</v>
      </c>
      <c r="E122" s="382" t="s">
        <v>129</v>
      </c>
      <c r="F122" s="137" t="s">
        <v>129</v>
      </c>
      <c r="G122" s="137" t="s">
        <v>129</v>
      </c>
      <c r="H122" s="137" t="s">
        <v>129</v>
      </c>
      <c r="I122" s="137" t="s">
        <v>129</v>
      </c>
      <c r="J122" s="137" t="s">
        <v>129</v>
      </c>
      <c r="K122" s="137" t="s">
        <v>129</v>
      </c>
      <c r="L122" s="137" t="s">
        <v>129</v>
      </c>
      <c r="M122" s="141"/>
      <c r="N122" s="143"/>
    </row>
    <row r="123" hidden="1" outlineLevel="1">
      <c r="A123" s="255" t="s">
        <v>3695</v>
      </c>
      <c r="B123" s="344">
        <v>46095.0</v>
      </c>
      <c r="C123" s="133" t="str">
        <f t="shared" si="13"/>
        <v>Sat</v>
      </c>
      <c r="D123" s="383">
        <f t="shared" si="14"/>
        <v>1</v>
      </c>
      <c r="E123" s="147" t="s">
        <v>129</v>
      </c>
      <c r="F123" s="137" t="s">
        <v>129</v>
      </c>
      <c r="G123" s="137" t="s">
        <v>129</v>
      </c>
      <c r="H123" s="137" t="s">
        <v>129</v>
      </c>
      <c r="I123" s="137" t="s">
        <v>129</v>
      </c>
      <c r="J123" s="137" t="s">
        <v>129</v>
      </c>
      <c r="K123" s="137" t="s">
        <v>129</v>
      </c>
      <c r="L123" s="137" t="s">
        <v>129</v>
      </c>
      <c r="M123" s="141"/>
      <c r="N123" s="143"/>
    </row>
    <row r="124" ht="15.0" hidden="1" customHeight="1" outlineLevel="1">
      <c r="A124" s="255" t="s">
        <v>3699</v>
      </c>
      <c r="B124" s="344">
        <v>46095.0</v>
      </c>
      <c r="C124" s="133" t="str">
        <f t="shared" si="13"/>
        <v>Sat</v>
      </c>
      <c r="D124" s="381">
        <f t="shared" si="14"/>
        <v>1</v>
      </c>
      <c r="E124" s="382" t="s">
        <v>129</v>
      </c>
      <c r="F124" s="137" t="s">
        <v>129</v>
      </c>
      <c r="G124" s="137" t="s">
        <v>129</v>
      </c>
      <c r="H124" s="137" t="s">
        <v>129</v>
      </c>
      <c r="I124" s="137" t="s">
        <v>129</v>
      </c>
      <c r="J124" s="137" t="s">
        <v>129</v>
      </c>
      <c r="K124" s="137" t="s">
        <v>129</v>
      </c>
      <c r="L124" s="137" t="s">
        <v>129</v>
      </c>
      <c r="M124" s="141"/>
      <c r="N124" s="147"/>
    </row>
    <row r="125" hidden="1" outlineLevel="1">
      <c r="B125" s="189"/>
      <c r="C125" s="191" t="s">
        <v>194</v>
      </c>
      <c r="D125" s="204">
        <f>AVERAGE(D110:D124)</f>
        <v>1</v>
      </c>
      <c r="E125" s="384"/>
      <c r="L125" s="191" t="s">
        <v>194</v>
      </c>
      <c r="M125" s="204">
        <f>SUM(M110:M124)/75*0.1</f>
        <v>0</v>
      </c>
    </row>
    <row r="126" hidden="1" collapsed="1">
      <c r="A126" s="206" t="s">
        <v>792</v>
      </c>
      <c r="B126" s="207"/>
      <c r="C126" s="207"/>
      <c r="D126" s="385"/>
      <c r="E126" s="109"/>
      <c r="F126" s="109"/>
      <c r="G126" s="110"/>
      <c r="H126" s="110"/>
      <c r="I126" s="110"/>
      <c r="J126" s="110"/>
      <c r="K126" s="110"/>
      <c r="L126" s="110"/>
      <c r="M126" s="111"/>
      <c r="N126" s="113"/>
    </row>
    <row r="127" hidden="1" outlineLevel="1">
      <c r="A127" s="373" t="s">
        <v>98</v>
      </c>
      <c r="B127" s="115" t="s">
        <v>100</v>
      </c>
      <c r="C127" s="115" t="s">
        <v>102</v>
      </c>
      <c r="D127" s="119" t="s">
        <v>103</v>
      </c>
      <c r="E127" s="275" t="s">
        <v>269</v>
      </c>
      <c r="F127" s="275" t="s">
        <v>272</v>
      </c>
      <c r="G127" s="276" t="s">
        <v>328</v>
      </c>
      <c r="H127" s="121" t="s">
        <v>107</v>
      </c>
      <c r="I127" s="121" t="s">
        <v>108</v>
      </c>
      <c r="J127" s="276" t="s">
        <v>329</v>
      </c>
      <c r="K127" s="121" t="s">
        <v>111</v>
      </c>
      <c r="L127" s="276" t="s">
        <v>274</v>
      </c>
      <c r="M127" s="115" t="s">
        <v>114</v>
      </c>
      <c r="N127" s="119" t="s">
        <v>115</v>
      </c>
    </row>
    <row r="128" hidden="1" outlineLevel="1">
      <c r="A128" s="433" t="s">
        <v>3707</v>
      </c>
      <c r="B128" s="344">
        <v>46097.0</v>
      </c>
      <c r="C128" s="133" t="str">
        <f t="shared" ref="C128:C142" si="15">IF(B128="", "", TEXT(B128, "ddd"))</f>
        <v>Mon</v>
      </c>
      <c r="D128" s="381">
        <f t="shared" ref="D128:D142" si="16">IF(E128="Yes",0.05,0)
+IF(F128="Yes",0.1,0)
+IF(G128="Yes",0.15,0)
+IF(H128="Yes",0.15,0)
+IF(I128="Yes",0.05,0)
+IF(J128="Yes",0.05,0)
+IF(K128="Yes",0.15,0)
+IF(L128="Yes",0.3,0)
</f>
        <v>1</v>
      </c>
      <c r="E128" s="382" t="s">
        <v>129</v>
      </c>
      <c r="F128" s="137" t="s">
        <v>129</v>
      </c>
      <c r="G128" s="137" t="s">
        <v>129</v>
      </c>
      <c r="H128" s="137" t="s">
        <v>129</v>
      </c>
      <c r="I128" s="137" t="s">
        <v>129</v>
      </c>
      <c r="J128" s="137" t="s">
        <v>129</v>
      </c>
      <c r="K128" s="137" t="s">
        <v>129</v>
      </c>
      <c r="L128" s="137" t="s">
        <v>129</v>
      </c>
      <c r="M128" s="141"/>
      <c r="N128" s="143"/>
    </row>
    <row r="129" hidden="1" outlineLevel="1">
      <c r="A129" s="433" t="s">
        <v>3712</v>
      </c>
      <c r="B129" s="344">
        <v>46097.0</v>
      </c>
      <c r="C129" s="133" t="str">
        <f t="shared" si="15"/>
        <v>Mon</v>
      </c>
      <c r="D129" s="383">
        <f t="shared" si="16"/>
        <v>1</v>
      </c>
      <c r="E129" s="147" t="s">
        <v>129</v>
      </c>
      <c r="F129" s="137" t="s">
        <v>129</v>
      </c>
      <c r="G129" s="137" t="s">
        <v>129</v>
      </c>
      <c r="H129" s="137" t="s">
        <v>129</v>
      </c>
      <c r="I129" s="137" t="s">
        <v>129</v>
      </c>
      <c r="J129" s="137" t="s">
        <v>129</v>
      </c>
      <c r="K129" s="137" t="s">
        <v>129</v>
      </c>
      <c r="L129" s="137" t="s">
        <v>129</v>
      </c>
      <c r="M129" s="141"/>
      <c r="N129" s="147"/>
    </row>
    <row r="130" hidden="1" outlineLevel="1">
      <c r="A130" s="433" t="s">
        <v>3714</v>
      </c>
      <c r="B130" s="344">
        <v>46097.0</v>
      </c>
      <c r="C130" s="133" t="str">
        <f t="shared" si="15"/>
        <v>Mon</v>
      </c>
      <c r="D130" s="381">
        <f t="shared" si="16"/>
        <v>1</v>
      </c>
      <c r="E130" s="382" t="s">
        <v>129</v>
      </c>
      <c r="F130" s="137" t="s">
        <v>129</v>
      </c>
      <c r="G130" s="137" t="s">
        <v>129</v>
      </c>
      <c r="H130" s="137" t="s">
        <v>129</v>
      </c>
      <c r="I130" s="137" t="s">
        <v>129</v>
      </c>
      <c r="J130" s="137" t="s">
        <v>129</v>
      </c>
      <c r="K130" s="137" t="s">
        <v>129</v>
      </c>
      <c r="L130" s="137" t="s">
        <v>129</v>
      </c>
      <c r="M130" s="141"/>
      <c r="N130" s="147"/>
    </row>
    <row r="131" hidden="1" outlineLevel="1">
      <c r="A131" s="219" t="s">
        <v>3719</v>
      </c>
      <c r="B131" s="344">
        <v>46098.0</v>
      </c>
      <c r="C131" s="133" t="str">
        <f t="shared" si="15"/>
        <v>Tue</v>
      </c>
      <c r="D131" s="383">
        <f t="shared" si="16"/>
        <v>1</v>
      </c>
      <c r="E131" s="147" t="s">
        <v>129</v>
      </c>
      <c r="F131" s="137" t="s">
        <v>129</v>
      </c>
      <c r="G131" s="137" t="s">
        <v>129</v>
      </c>
      <c r="H131" s="137" t="s">
        <v>129</v>
      </c>
      <c r="I131" s="137" t="s">
        <v>129</v>
      </c>
      <c r="J131" s="137" t="s">
        <v>129</v>
      </c>
      <c r="K131" s="137" t="s">
        <v>129</v>
      </c>
      <c r="L131" s="137" t="s">
        <v>129</v>
      </c>
      <c r="M131" s="141"/>
      <c r="N131" s="143"/>
    </row>
    <row r="132" hidden="1" outlineLevel="1">
      <c r="A132" s="219" t="s">
        <v>3723</v>
      </c>
      <c r="B132" s="344">
        <v>46098.0</v>
      </c>
      <c r="C132" s="133" t="str">
        <f t="shared" si="15"/>
        <v>Tue</v>
      </c>
      <c r="D132" s="381">
        <f t="shared" si="16"/>
        <v>1</v>
      </c>
      <c r="E132" s="382" t="s">
        <v>129</v>
      </c>
      <c r="F132" s="137" t="s">
        <v>129</v>
      </c>
      <c r="G132" s="137" t="s">
        <v>129</v>
      </c>
      <c r="H132" s="137" t="s">
        <v>129</v>
      </c>
      <c r="I132" s="137" t="s">
        <v>129</v>
      </c>
      <c r="J132" s="137" t="s">
        <v>129</v>
      </c>
      <c r="K132" s="137" t="s">
        <v>129</v>
      </c>
      <c r="L132" s="137" t="s">
        <v>129</v>
      </c>
      <c r="M132" s="141"/>
      <c r="N132" s="143"/>
    </row>
    <row r="133" hidden="1" outlineLevel="1">
      <c r="A133" s="219" t="s">
        <v>3727</v>
      </c>
      <c r="B133" s="344">
        <v>46098.0</v>
      </c>
      <c r="C133" s="133" t="str">
        <f t="shared" si="15"/>
        <v>Tue</v>
      </c>
      <c r="D133" s="383">
        <f t="shared" si="16"/>
        <v>1</v>
      </c>
      <c r="E133" s="147" t="s">
        <v>129</v>
      </c>
      <c r="F133" s="137" t="s">
        <v>129</v>
      </c>
      <c r="G133" s="137" t="s">
        <v>129</v>
      </c>
      <c r="H133" s="137" t="s">
        <v>129</v>
      </c>
      <c r="I133" s="137" t="s">
        <v>129</v>
      </c>
      <c r="J133" s="137" t="s">
        <v>129</v>
      </c>
      <c r="K133" s="137" t="s">
        <v>129</v>
      </c>
      <c r="L133" s="137" t="s">
        <v>129</v>
      </c>
      <c r="M133" s="141"/>
      <c r="N133" s="143"/>
    </row>
    <row r="134" hidden="1" outlineLevel="1">
      <c r="A134" s="433" t="s">
        <v>3730</v>
      </c>
      <c r="B134" s="344">
        <v>46100.0</v>
      </c>
      <c r="C134" s="133" t="str">
        <f t="shared" si="15"/>
        <v>Thu</v>
      </c>
      <c r="D134" s="381">
        <f t="shared" si="16"/>
        <v>1</v>
      </c>
      <c r="E134" s="382" t="s">
        <v>129</v>
      </c>
      <c r="F134" s="137" t="s">
        <v>129</v>
      </c>
      <c r="G134" s="137" t="s">
        <v>129</v>
      </c>
      <c r="H134" s="137" t="s">
        <v>129</v>
      </c>
      <c r="I134" s="137" t="s">
        <v>129</v>
      </c>
      <c r="J134" s="137" t="s">
        <v>129</v>
      </c>
      <c r="K134" s="137" t="s">
        <v>129</v>
      </c>
      <c r="L134" s="137" t="s">
        <v>129</v>
      </c>
      <c r="M134" s="141"/>
      <c r="N134" s="143"/>
    </row>
    <row r="135" hidden="1" outlineLevel="1">
      <c r="A135" s="433" t="s">
        <v>3734</v>
      </c>
      <c r="B135" s="344">
        <v>46100.0</v>
      </c>
      <c r="C135" s="133" t="str">
        <f t="shared" si="15"/>
        <v>Thu</v>
      </c>
      <c r="D135" s="383">
        <f t="shared" si="16"/>
        <v>1</v>
      </c>
      <c r="E135" s="147" t="s">
        <v>129</v>
      </c>
      <c r="F135" s="137" t="s">
        <v>129</v>
      </c>
      <c r="G135" s="137" t="s">
        <v>129</v>
      </c>
      <c r="H135" s="137" t="s">
        <v>129</v>
      </c>
      <c r="I135" s="137" t="s">
        <v>129</v>
      </c>
      <c r="J135" s="137" t="s">
        <v>129</v>
      </c>
      <c r="K135" s="137" t="s">
        <v>129</v>
      </c>
      <c r="L135" s="137" t="s">
        <v>129</v>
      </c>
      <c r="M135" s="141"/>
      <c r="N135" s="147"/>
    </row>
    <row r="136" hidden="1" outlineLevel="1">
      <c r="A136" s="433" t="s">
        <v>3739</v>
      </c>
      <c r="B136" s="344">
        <v>46100.0</v>
      </c>
      <c r="C136" s="133" t="str">
        <f t="shared" si="15"/>
        <v>Thu</v>
      </c>
      <c r="D136" s="381">
        <f t="shared" si="16"/>
        <v>1</v>
      </c>
      <c r="E136" s="382" t="s">
        <v>129</v>
      </c>
      <c r="F136" s="137" t="s">
        <v>129</v>
      </c>
      <c r="G136" s="137" t="s">
        <v>129</v>
      </c>
      <c r="H136" s="137" t="s">
        <v>129</v>
      </c>
      <c r="I136" s="137" t="s">
        <v>129</v>
      </c>
      <c r="J136" s="137" t="s">
        <v>129</v>
      </c>
      <c r="K136" s="137" t="s">
        <v>129</v>
      </c>
      <c r="L136" s="137" t="s">
        <v>129</v>
      </c>
      <c r="M136" s="141"/>
      <c r="N136" s="143"/>
    </row>
    <row r="137" hidden="1" outlineLevel="1">
      <c r="A137" s="367" t="s">
        <v>3743</v>
      </c>
      <c r="B137" s="344">
        <v>46101.0</v>
      </c>
      <c r="C137" s="133" t="str">
        <f t="shared" si="15"/>
        <v>Fri</v>
      </c>
      <c r="D137" s="383">
        <f t="shared" si="16"/>
        <v>1</v>
      </c>
      <c r="E137" s="147" t="s">
        <v>129</v>
      </c>
      <c r="F137" s="137" t="s">
        <v>129</v>
      </c>
      <c r="G137" s="137" t="s">
        <v>129</v>
      </c>
      <c r="H137" s="137" t="s">
        <v>129</v>
      </c>
      <c r="I137" s="137" t="s">
        <v>129</v>
      </c>
      <c r="J137" s="137" t="s">
        <v>129</v>
      </c>
      <c r="K137" s="137" t="s">
        <v>129</v>
      </c>
      <c r="L137" s="137" t="s">
        <v>129</v>
      </c>
      <c r="M137" s="141"/>
      <c r="N137" s="147"/>
    </row>
    <row r="138" hidden="1" outlineLevel="1">
      <c r="A138" s="367" t="s">
        <v>3747</v>
      </c>
      <c r="B138" s="344">
        <v>46101.0</v>
      </c>
      <c r="C138" s="133" t="str">
        <f t="shared" si="15"/>
        <v>Fri</v>
      </c>
      <c r="D138" s="381">
        <f t="shared" si="16"/>
        <v>1</v>
      </c>
      <c r="E138" s="382" t="s">
        <v>129</v>
      </c>
      <c r="F138" s="137" t="s">
        <v>129</v>
      </c>
      <c r="G138" s="137" t="s">
        <v>129</v>
      </c>
      <c r="H138" s="137" t="s">
        <v>129</v>
      </c>
      <c r="I138" s="137" t="s">
        <v>129</v>
      </c>
      <c r="J138" s="137" t="s">
        <v>129</v>
      </c>
      <c r="K138" s="137" t="s">
        <v>129</v>
      </c>
      <c r="L138" s="137" t="s">
        <v>129</v>
      </c>
      <c r="M138" s="141"/>
      <c r="N138" s="147"/>
    </row>
    <row r="139" hidden="1" outlineLevel="1">
      <c r="A139" s="367" t="s">
        <v>3751</v>
      </c>
      <c r="B139" s="344">
        <v>46101.0</v>
      </c>
      <c r="C139" s="133" t="str">
        <f t="shared" si="15"/>
        <v>Fri</v>
      </c>
      <c r="D139" s="383">
        <f t="shared" si="16"/>
        <v>1</v>
      </c>
      <c r="E139" s="147" t="s">
        <v>129</v>
      </c>
      <c r="F139" s="137" t="s">
        <v>129</v>
      </c>
      <c r="G139" s="137" t="s">
        <v>129</v>
      </c>
      <c r="H139" s="137" t="s">
        <v>129</v>
      </c>
      <c r="I139" s="137" t="s">
        <v>129</v>
      </c>
      <c r="J139" s="137" t="s">
        <v>129</v>
      </c>
      <c r="K139" s="137" t="s">
        <v>129</v>
      </c>
      <c r="L139" s="137" t="s">
        <v>129</v>
      </c>
      <c r="M139" s="141"/>
      <c r="N139" s="147"/>
    </row>
    <row r="140" hidden="1" outlineLevel="1">
      <c r="A140" s="433" t="s">
        <v>3755</v>
      </c>
      <c r="B140" s="344">
        <v>46102.0</v>
      </c>
      <c r="C140" s="133" t="str">
        <f t="shared" si="15"/>
        <v>Sat</v>
      </c>
      <c r="D140" s="381">
        <f t="shared" si="16"/>
        <v>1</v>
      </c>
      <c r="E140" s="382" t="s">
        <v>129</v>
      </c>
      <c r="F140" s="137" t="s">
        <v>129</v>
      </c>
      <c r="G140" s="137" t="s">
        <v>129</v>
      </c>
      <c r="H140" s="137" t="s">
        <v>129</v>
      </c>
      <c r="I140" s="137" t="s">
        <v>129</v>
      </c>
      <c r="J140" s="137" t="s">
        <v>129</v>
      </c>
      <c r="K140" s="137" t="s">
        <v>129</v>
      </c>
      <c r="L140" s="137" t="s">
        <v>129</v>
      </c>
      <c r="M140" s="141"/>
      <c r="N140" s="143"/>
    </row>
    <row r="141" hidden="1" outlineLevel="1">
      <c r="A141" s="433" t="s">
        <v>3758</v>
      </c>
      <c r="B141" s="344">
        <v>46102.0</v>
      </c>
      <c r="C141" s="133" t="str">
        <f t="shared" si="15"/>
        <v>Sat</v>
      </c>
      <c r="D141" s="383">
        <f t="shared" si="16"/>
        <v>1</v>
      </c>
      <c r="E141" s="147" t="s">
        <v>129</v>
      </c>
      <c r="F141" s="137" t="s">
        <v>129</v>
      </c>
      <c r="G141" s="137" t="s">
        <v>129</v>
      </c>
      <c r="H141" s="137" t="s">
        <v>129</v>
      </c>
      <c r="I141" s="137" t="s">
        <v>129</v>
      </c>
      <c r="J141" s="137" t="s">
        <v>129</v>
      </c>
      <c r="K141" s="137" t="s">
        <v>129</v>
      </c>
      <c r="L141" s="137" t="s">
        <v>129</v>
      </c>
      <c r="M141" s="141"/>
      <c r="N141" s="143"/>
    </row>
    <row r="142" ht="15.0" hidden="1" customHeight="1" outlineLevel="1">
      <c r="A142" s="433" t="s">
        <v>3761</v>
      </c>
      <c r="B142" s="344">
        <v>46102.0</v>
      </c>
      <c r="C142" s="133" t="str">
        <f t="shared" si="15"/>
        <v>Sat</v>
      </c>
      <c r="D142" s="381">
        <f t="shared" si="16"/>
        <v>1</v>
      </c>
      <c r="E142" s="382" t="s">
        <v>129</v>
      </c>
      <c r="F142" s="137" t="s">
        <v>129</v>
      </c>
      <c r="G142" s="137" t="s">
        <v>129</v>
      </c>
      <c r="H142" s="137" t="s">
        <v>129</v>
      </c>
      <c r="I142" s="137" t="s">
        <v>129</v>
      </c>
      <c r="J142" s="137" t="s">
        <v>129</v>
      </c>
      <c r="K142" s="137" t="s">
        <v>129</v>
      </c>
      <c r="L142" s="137" t="s">
        <v>129</v>
      </c>
      <c r="M142" s="141"/>
      <c r="N142" s="147"/>
    </row>
    <row r="143" hidden="1" outlineLevel="1">
      <c r="B143" s="189"/>
      <c r="C143" s="191" t="s">
        <v>194</v>
      </c>
      <c r="D143" s="204">
        <f>AVERAGE(D128:D142)</f>
        <v>1</v>
      </c>
      <c r="E143" s="384"/>
      <c r="L143" s="191" t="s">
        <v>194</v>
      </c>
      <c r="M143" s="204">
        <f>SUM(M128:M142)/75*0.1</f>
        <v>0</v>
      </c>
    </row>
    <row r="144" hidden="1" collapsed="1">
      <c r="A144" s="206" t="s">
        <v>831</v>
      </c>
      <c r="B144" s="207"/>
      <c r="C144" s="207"/>
      <c r="D144" s="385"/>
      <c r="E144" s="109"/>
      <c r="F144" s="109"/>
      <c r="G144" s="110"/>
      <c r="H144" s="110"/>
      <c r="I144" s="110"/>
      <c r="J144" s="110"/>
      <c r="K144" s="110"/>
      <c r="L144" s="110"/>
      <c r="M144" s="111"/>
      <c r="N144" s="113"/>
    </row>
    <row r="145" hidden="1" outlineLevel="1">
      <c r="A145" s="373" t="s">
        <v>98</v>
      </c>
      <c r="B145" s="115" t="s">
        <v>100</v>
      </c>
      <c r="C145" s="115" t="s">
        <v>102</v>
      </c>
      <c r="D145" s="119" t="s">
        <v>103</v>
      </c>
      <c r="E145" s="275" t="s">
        <v>269</v>
      </c>
      <c r="F145" s="275" t="s">
        <v>272</v>
      </c>
      <c r="G145" s="276" t="s">
        <v>328</v>
      </c>
      <c r="H145" s="121" t="s">
        <v>107</v>
      </c>
      <c r="I145" s="121" t="s">
        <v>108</v>
      </c>
      <c r="J145" s="276" t="s">
        <v>329</v>
      </c>
      <c r="K145" s="121" t="s">
        <v>111</v>
      </c>
      <c r="L145" s="276" t="s">
        <v>274</v>
      </c>
      <c r="M145" s="115" t="s">
        <v>114</v>
      </c>
      <c r="N145" s="119" t="s">
        <v>115</v>
      </c>
    </row>
    <row r="146" hidden="1" outlineLevel="1">
      <c r="A146" s="433" t="s">
        <v>3775</v>
      </c>
      <c r="B146" s="344">
        <v>46104.0</v>
      </c>
      <c r="C146" s="133" t="str">
        <f t="shared" ref="C146:C160" si="17">IF(B146="", "", TEXT(B146, "ddd"))</f>
        <v>Mon</v>
      </c>
      <c r="D146" s="381">
        <f t="shared" ref="D146:D160" si="18">IF(E146="Yes",0.05,0)
+IF(F146="Yes",0.1,0)
+IF(G146="Yes",0.15,0)
+IF(H146="Yes",0.15,0)
+IF(I146="Yes",0.05,0)
+IF(J146="Yes",0.05,0)
+IF(K146="Yes",0.15,0)
+IF(L146="Yes",0.3,0)
</f>
        <v>1</v>
      </c>
      <c r="E146" s="382" t="s">
        <v>129</v>
      </c>
      <c r="F146" s="137" t="s">
        <v>129</v>
      </c>
      <c r="G146" s="137" t="s">
        <v>129</v>
      </c>
      <c r="H146" s="137" t="s">
        <v>129</v>
      </c>
      <c r="I146" s="137" t="s">
        <v>129</v>
      </c>
      <c r="J146" s="137" t="s">
        <v>129</v>
      </c>
      <c r="K146" s="137" t="s">
        <v>129</v>
      </c>
      <c r="L146" s="137" t="s">
        <v>129</v>
      </c>
      <c r="M146" s="141"/>
      <c r="N146" s="143"/>
    </row>
    <row r="147" hidden="1" outlineLevel="1">
      <c r="A147" s="433" t="s">
        <v>3778</v>
      </c>
      <c r="B147" s="344">
        <v>46104.0</v>
      </c>
      <c r="C147" s="133" t="str">
        <f t="shared" si="17"/>
        <v>Mon</v>
      </c>
      <c r="D147" s="383">
        <f t="shared" si="18"/>
        <v>1</v>
      </c>
      <c r="E147" s="147" t="s">
        <v>129</v>
      </c>
      <c r="F147" s="137" t="s">
        <v>129</v>
      </c>
      <c r="G147" s="137" t="s">
        <v>129</v>
      </c>
      <c r="H147" s="137" t="s">
        <v>129</v>
      </c>
      <c r="I147" s="137" t="s">
        <v>129</v>
      </c>
      <c r="J147" s="137" t="s">
        <v>129</v>
      </c>
      <c r="K147" s="137" t="s">
        <v>129</v>
      </c>
      <c r="L147" s="137" t="s">
        <v>129</v>
      </c>
      <c r="M147" s="141"/>
      <c r="N147" s="147"/>
    </row>
    <row r="148" hidden="1" outlineLevel="1">
      <c r="A148" s="433" t="s">
        <v>3781</v>
      </c>
      <c r="B148" s="344">
        <v>46104.0</v>
      </c>
      <c r="C148" s="133" t="str">
        <f t="shared" si="17"/>
        <v>Mon</v>
      </c>
      <c r="D148" s="381">
        <f t="shared" si="18"/>
        <v>1</v>
      </c>
      <c r="E148" s="382" t="s">
        <v>129</v>
      </c>
      <c r="F148" s="137" t="s">
        <v>129</v>
      </c>
      <c r="G148" s="137" t="s">
        <v>129</v>
      </c>
      <c r="H148" s="137" t="s">
        <v>129</v>
      </c>
      <c r="I148" s="137" t="s">
        <v>129</v>
      </c>
      <c r="J148" s="137" t="s">
        <v>129</v>
      </c>
      <c r="K148" s="137" t="s">
        <v>129</v>
      </c>
      <c r="L148" s="137" t="s">
        <v>129</v>
      </c>
      <c r="M148" s="141"/>
      <c r="N148" s="147"/>
    </row>
    <row r="149" hidden="1" outlineLevel="1">
      <c r="A149" s="219" t="s">
        <v>3783</v>
      </c>
      <c r="B149" s="344">
        <v>46105.0</v>
      </c>
      <c r="C149" s="133" t="str">
        <f t="shared" si="17"/>
        <v>Tue</v>
      </c>
      <c r="D149" s="383">
        <f t="shared" si="18"/>
        <v>1</v>
      </c>
      <c r="E149" s="147" t="s">
        <v>129</v>
      </c>
      <c r="F149" s="137" t="s">
        <v>129</v>
      </c>
      <c r="G149" s="137" t="s">
        <v>129</v>
      </c>
      <c r="H149" s="137" t="s">
        <v>129</v>
      </c>
      <c r="I149" s="137" t="s">
        <v>129</v>
      </c>
      <c r="J149" s="137" t="s">
        <v>129</v>
      </c>
      <c r="K149" s="137" t="s">
        <v>129</v>
      </c>
      <c r="L149" s="137" t="s">
        <v>129</v>
      </c>
      <c r="M149" s="141"/>
      <c r="N149" s="143"/>
    </row>
    <row r="150" hidden="1" outlineLevel="1">
      <c r="A150" s="219" t="s">
        <v>3787</v>
      </c>
      <c r="B150" s="344">
        <v>46105.0</v>
      </c>
      <c r="C150" s="133" t="str">
        <f t="shared" si="17"/>
        <v>Tue</v>
      </c>
      <c r="D150" s="381">
        <f t="shared" si="18"/>
        <v>1</v>
      </c>
      <c r="E150" s="382" t="s">
        <v>129</v>
      </c>
      <c r="F150" s="137" t="s">
        <v>129</v>
      </c>
      <c r="G150" s="137" t="s">
        <v>129</v>
      </c>
      <c r="H150" s="137" t="s">
        <v>129</v>
      </c>
      <c r="I150" s="137" t="s">
        <v>129</v>
      </c>
      <c r="J150" s="137" t="s">
        <v>129</v>
      </c>
      <c r="K150" s="137" t="s">
        <v>129</v>
      </c>
      <c r="L150" s="137" t="s">
        <v>129</v>
      </c>
      <c r="M150" s="141"/>
      <c r="N150" s="143"/>
    </row>
    <row r="151" hidden="1" outlineLevel="1">
      <c r="A151" s="219" t="s">
        <v>3792</v>
      </c>
      <c r="B151" s="344">
        <v>46105.0</v>
      </c>
      <c r="C151" s="133" t="str">
        <f t="shared" si="17"/>
        <v>Tue</v>
      </c>
      <c r="D151" s="383">
        <f t="shared" si="18"/>
        <v>1</v>
      </c>
      <c r="E151" s="147" t="s">
        <v>129</v>
      </c>
      <c r="F151" s="137" t="s">
        <v>129</v>
      </c>
      <c r="G151" s="137" t="s">
        <v>129</v>
      </c>
      <c r="H151" s="137" t="s">
        <v>129</v>
      </c>
      <c r="I151" s="137" t="s">
        <v>129</v>
      </c>
      <c r="J151" s="137" t="s">
        <v>129</v>
      </c>
      <c r="K151" s="137" t="s">
        <v>129</v>
      </c>
      <c r="L151" s="137" t="s">
        <v>129</v>
      </c>
      <c r="M151" s="141"/>
      <c r="N151" s="143"/>
    </row>
    <row r="152" hidden="1" outlineLevel="1">
      <c r="A152" s="433" t="s">
        <v>3799</v>
      </c>
      <c r="B152" s="344">
        <v>46107.0</v>
      </c>
      <c r="C152" s="133" t="str">
        <f t="shared" si="17"/>
        <v>Thu</v>
      </c>
      <c r="D152" s="381">
        <f t="shared" si="18"/>
        <v>1</v>
      </c>
      <c r="E152" s="382" t="s">
        <v>129</v>
      </c>
      <c r="F152" s="137" t="s">
        <v>129</v>
      </c>
      <c r="G152" s="137" t="s">
        <v>129</v>
      </c>
      <c r="H152" s="137" t="s">
        <v>129</v>
      </c>
      <c r="I152" s="137" t="s">
        <v>129</v>
      </c>
      <c r="J152" s="137" t="s">
        <v>129</v>
      </c>
      <c r="K152" s="137" t="s">
        <v>129</v>
      </c>
      <c r="L152" s="137" t="s">
        <v>129</v>
      </c>
      <c r="M152" s="141"/>
      <c r="N152" s="143"/>
    </row>
    <row r="153" hidden="1" outlineLevel="1">
      <c r="A153" s="433" t="s">
        <v>3802</v>
      </c>
      <c r="B153" s="344">
        <v>46107.0</v>
      </c>
      <c r="C153" s="133" t="str">
        <f t="shared" si="17"/>
        <v>Thu</v>
      </c>
      <c r="D153" s="383">
        <f t="shared" si="18"/>
        <v>1</v>
      </c>
      <c r="E153" s="147" t="s">
        <v>129</v>
      </c>
      <c r="F153" s="137" t="s">
        <v>129</v>
      </c>
      <c r="G153" s="137" t="s">
        <v>129</v>
      </c>
      <c r="H153" s="137" t="s">
        <v>129</v>
      </c>
      <c r="I153" s="137" t="s">
        <v>129</v>
      </c>
      <c r="J153" s="137" t="s">
        <v>129</v>
      </c>
      <c r="K153" s="137" t="s">
        <v>129</v>
      </c>
      <c r="L153" s="137" t="s">
        <v>129</v>
      </c>
      <c r="M153" s="141"/>
      <c r="N153" s="147"/>
    </row>
    <row r="154" hidden="1" outlineLevel="1">
      <c r="A154" s="433" t="s">
        <v>3804</v>
      </c>
      <c r="B154" s="344">
        <v>46107.0</v>
      </c>
      <c r="C154" s="133" t="str">
        <f t="shared" si="17"/>
        <v>Thu</v>
      </c>
      <c r="D154" s="381">
        <f t="shared" si="18"/>
        <v>1</v>
      </c>
      <c r="E154" s="382" t="s">
        <v>129</v>
      </c>
      <c r="F154" s="137" t="s">
        <v>129</v>
      </c>
      <c r="G154" s="137" t="s">
        <v>129</v>
      </c>
      <c r="H154" s="137" t="s">
        <v>129</v>
      </c>
      <c r="I154" s="137" t="s">
        <v>129</v>
      </c>
      <c r="J154" s="137" t="s">
        <v>129</v>
      </c>
      <c r="K154" s="137" t="s">
        <v>129</v>
      </c>
      <c r="L154" s="137" t="s">
        <v>129</v>
      </c>
      <c r="M154" s="141"/>
      <c r="N154" s="143"/>
    </row>
    <row r="155" hidden="1" outlineLevel="1">
      <c r="A155" s="219" t="s">
        <v>664</v>
      </c>
      <c r="B155" s="344">
        <v>46108.0</v>
      </c>
      <c r="C155" s="133" t="str">
        <f t="shared" si="17"/>
        <v>Fri</v>
      </c>
      <c r="D155" s="383">
        <f t="shared" si="18"/>
        <v>1</v>
      </c>
      <c r="E155" s="147" t="s">
        <v>129</v>
      </c>
      <c r="F155" s="137" t="s">
        <v>129</v>
      </c>
      <c r="G155" s="137" t="s">
        <v>129</v>
      </c>
      <c r="H155" s="137" t="s">
        <v>129</v>
      </c>
      <c r="I155" s="137" t="s">
        <v>129</v>
      </c>
      <c r="J155" s="137" t="s">
        <v>129</v>
      </c>
      <c r="K155" s="137" t="s">
        <v>129</v>
      </c>
      <c r="L155" s="137" t="s">
        <v>129</v>
      </c>
      <c r="M155" s="141"/>
      <c r="N155" s="147"/>
    </row>
    <row r="156" hidden="1" outlineLevel="1">
      <c r="A156" s="219" t="s">
        <v>664</v>
      </c>
      <c r="B156" s="344">
        <v>46108.0</v>
      </c>
      <c r="C156" s="133" t="str">
        <f t="shared" si="17"/>
        <v>Fri</v>
      </c>
      <c r="D156" s="381">
        <f t="shared" si="18"/>
        <v>1</v>
      </c>
      <c r="E156" s="382" t="s">
        <v>129</v>
      </c>
      <c r="F156" s="137" t="s">
        <v>129</v>
      </c>
      <c r="G156" s="137" t="s">
        <v>129</v>
      </c>
      <c r="H156" s="137" t="s">
        <v>129</v>
      </c>
      <c r="I156" s="137" t="s">
        <v>129</v>
      </c>
      <c r="J156" s="137" t="s">
        <v>129</v>
      </c>
      <c r="K156" s="137" t="s">
        <v>129</v>
      </c>
      <c r="L156" s="137" t="s">
        <v>129</v>
      </c>
      <c r="M156" s="141"/>
      <c r="N156" s="147"/>
    </row>
    <row r="157" hidden="1" outlineLevel="1">
      <c r="A157" s="219" t="s">
        <v>664</v>
      </c>
      <c r="B157" s="344">
        <v>46108.0</v>
      </c>
      <c r="C157" s="133" t="str">
        <f t="shared" si="17"/>
        <v>Fri</v>
      </c>
      <c r="D157" s="383">
        <f t="shared" si="18"/>
        <v>1</v>
      </c>
      <c r="E157" s="147" t="s">
        <v>129</v>
      </c>
      <c r="F157" s="137" t="s">
        <v>129</v>
      </c>
      <c r="G157" s="137" t="s">
        <v>129</v>
      </c>
      <c r="H157" s="137" t="s">
        <v>129</v>
      </c>
      <c r="I157" s="137" t="s">
        <v>129</v>
      </c>
      <c r="J157" s="137" t="s">
        <v>129</v>
      </c>
      <c r="K157" s="137" t="s">
        <v>129</v>
      </c>
      <c r="L157" s="137" t="s">
        <v>129</v>
      </c>
      <c r="M157" s="141"/>
      <c r="N157" s="147"/>
    </row>
    <row r="158" hidden="1" outlineLevel="1">
      <c r="A158" s="433" t="s">
        <v>3831</v>
      </c>
      <c r="B158" s="344">
        <v>46110.0</v>
      </c>
      <c r="C158" s="133" t="str">
        <f t="shared" si="17"/>
        <v>Sun</v>
      </c>
      <c r="D158" s="381">
        <f t="shared" si="18"/>
        <v>1</v>
      </c>
      <c r="E158" s="382" t="s">
        <v>129</v>
      </c>
      <c r="F158" s="137" t="s">
        <v>129</v>
      </c>
      <c r="G158" s="137" t="s">
        <v>129</v>
      </c>
      <c r="H158" s="137" t="s">
        <v>129</v>
      </c>
      <c r="I158" s="137" t="s">
        <v>129</v>
      </c>
      <c r="J158" s="137" t="s">
        <v>129</v>
      </c>
      <c r="K158" s="137" t="s">
        <v>129</v>
      </c>
      <c r="L158" s="137" t="s">
        <v>129</v>
      </c>
      <c r="M158" s="141"/>
      <c r="N158" s="143"/>
    </row>
    <row r="159" hidden="1" outlineLevel="1">
      <c r="A159" s="433" t="s">
        <v>3852</v>
      </c>
      <c r="B159" s="344">
        <v>46110.0</v>
      </c>
      <c r="C159" s="133" t="str">
        <f t="shared" si="17"/>
        <v>Sun</v>
      </c>
      <c r="D159" s="383">
        <f t="shared" si="18"/>
        <v>1</v>
      </c>
      <c r="E159" s="147" t="s">
        <v>129</v>
      </c>
      <c r="F159" s="137" t="s">
        <v>129</v>
      </c>
      <c r="G159" s="137" t="s">
        <v>129</v>
      </c>
      <c r="H159" s="137" t="s">
        <v>129</v>
      </c>
      <c r="I159" s="137" t="s">
        <v>129</v>
      </c>
      <c r="J159" s="137" t="s">
        <v>129</v>
      </c>
      <c r="K159" s="137" t="s">
        <v>129</v>
      </c>
      <c r="L159" s="137" t="s">
        <v>129</v>
      </c>
      <c r="M159" s="141"/>
      <c r="N159" s="143"/>
    </row>
    <row r="160" ht="15.0" hidden="1" customHeight="1" outlineLevel="1">
      <c r="A160" s="433" t="s">
        <v>3854</v>
      </c>
      <c r="B160" s="344">
        <v>46110.0</v>
      </c>
      <c r="C160" s="133" t="str">
        <f t="shared" si="17"/>
        <v>Sun</v>
      </c>
      <c r="D160" s="381">
        <f t="shared" si="18"/>
        <v>1</v>
      </c>
      <c r="E160" s="382" t="s">
        <v>129</v>
      </c>
      <c r="F160" s="137" t="s">
        <v>129</v>
      </c>
      <c r="G160" s="137" t="s">
        <v>129</v>
      </c>
      <c r="H160" s="137" t="s">
        <v>129</v>
      </c>
      <c r="I160" s="137" t="s">
        <v>129</v>
      </c>
      <c r="J160" s="137" t="s">
        <v>129</v>
      </c>
      <c r="K160" s="137" t="s">
        <v>129</v>
      </c>
      <c r="L160" s="137" t="s">
        <v>129</v>
      </c>
      <c r="M160" s="141"/>
      <c r="N160" s="147"/>
    </row>
    <row r="161" hidden="1" outlineLevel="1">
      <c r="B161" s="189"/>
      <c r="C161" s="191" t="s">
        <v>194</v>
      </c>
      <c r="D161" s="204">
        <f>AVERAGE(D146:D160)</f>
        <v>1</v>
      </c>
      <c r="E161" s="384"/>
      <c r="L161" s="191" t="s">
        <v>194</v>
      </c>
      <c r="M161" s="204">
        <f>SUM(M146:M160)/75*0.1</f>
        <v>0</v>
      </c>
    </row>
    <row r="162" hidden="1" collapsed="1">
      <c r="A162" s="206" t="s">
        <v>858</v>
      </c>
      <c r="B162" s="207"/>
      <c r="C162" s="207"/>
      <c r="D162" s="385"/>
      <c r="E162" s="109"/>
      <c r="F162" s="109"/>
      <c r="G162" s="110"/>
      <c r="H162" s="110"/>
      <c r="I162" s="110"/>
      <c r="J162" s="110"/>
      <c r="K162" s="110"/>
      <c r="L162" s="110"/>
      <c r="M162" s="111"/>
      <c r="N162" s="113"/>
    </row>
    <row r="163" hidden="1" outlineLevel="1">
      <c r="A163" s="373" t="s">
        <v>98</v>
      </c>
      <c r="B163" s="115" t="s">
        <v>100</v>
      </c>
      <c r="C163" s="115" t="s">
        <v>102</v>
      </c>
      <c r="D163" s="119" t="s">
        <v>103</v>
      </c>
      <c r="E163" s="275" t="s">
        <v>269</v>
      </c>
      <c r="F163" s="275" t="s">
        <v>272</v>
      </c>
      <c r="G163" s="276" t="s">
        <v>328</v>
      </c>
      <c r="H163" s="121" t="s">
        <v>107</v>
      </c>
      <c r="I163" s="121" t="s">
        <v>108</v>
      </c>
      <c r="J163" s="276" t="s">
        <v>329</v>
      </c>
      <c r="K163" s="121" t="s">
        <v>111</v>
      </c>
      <c r="L163" s="276" t="s">
        <v>274</v>
      </c>
      <c r="M163" s="115" t="s">
        <v>114</v>
      </c>
      <c r="N163" s="119" t="s">
        <v>115</v>
      </c>
    </row>
    <row r="164" hidden="1" outlineLevel="1">
      <c r="A164" s="433" t="s">
        <v>3861</v>
      </c>
      <c r="B164" s="344">
        <v>46111.0</v>
      </c>
      <c r="C164" s="133" t="str">
        <f t="shared" ref="C164:C178" si="19">IF(B164="", "", TEXT(B164, "ddd"))</f>
        <v>Mon</v>
      </c>
      <c r="D164" s="381">
        <f t="shared" ref="D164:D178" si="20">IF(E164="Yes",0.05,0)
+IF(F164="Yes",0.1,0)
+IF(G164="Yes",0.15,0)
+IF(H164="Yes",0.15,0)
+IF(I164="Yes",0.05,0)
+IF(J164="Yes",0.05,0)
+IF(K164="Yes",0.15,0)
+IF(L164="Yes",0.3,0)
</f>
        <v>1</v>
      </c>
      <c r="E164" s="382" t="s">
        <v>129</v>
      </c>
      <c r="F164" s="137" t="s">
        <v>129</v>
      </c>
      <c r="G164" s="137" t="s">
        <v>129</v>
      </c>
      <c r="H164" s="137" t="s">
        <v>129</v>
      </c>
      <c r="I164" s="137" t="s">
        <v>129</v>
      </c>
      <c r="J164" s="137" t="s">
        <v>129</v>
      </c>
      <c r="K164" s="137" t="s">
        <v>129</v>
      </c>
      <c r="L164" s="137" t="s">
        <v>129</v>
      </c>
      <c r="M164" s="141"/>
      <c r="N164" s="143"/>
    </row>
    <row r="165" hidden="1" outlineLevel="1">
      <c r="A165" s="433" t="s">
        <v>3865</v>
      </c>
      <c r="B165" s="344">
        <v>46111.0</v>
      </c>
      <c r="C165" s="133" t="str">
        <f t="shared" si="19"/>
        <v>Mon</v>
      </c>
      <c r="D165" s="383">
        <f t="shared" si="20"/>
        <v>1</v>
      </c>
      <c r="E165" s="147" t="s">
        <v>129</v>
      </c>
      <c r="F165" s="137" t="s">
        <v>129</v>
      </c>
      <c r="G165" s="137" t="s">
        <v>129</v>
      </c>
      <c r="H165" s="137" t="s">
        <v>129</v>
      </c>
      <c r="I165" s="137" t="s">
        <v>129</v>
      </c>
      <c r="J165" s="137" t="s">
        <v>129</v>
      </c>
      <c r="K165" s="137" t="s">
        <v>129</v>
      </c>
      <c r="L165" s="137" t="s">
        <v>129</v>
      </c>
      <c r="M165" s="141"/>
      <c r="N165" s="147"/>
    </row>
    <row r="166" hidden="1" outlineLevel="1">
      <c r="A166" s="433" t="s">
        <v>3867</v>
      </c>
      <c r="B166" s="344">
        <v>46111.0</v>
      </c>
      <c r="C166" s="133" t="str">
        <f t="shared" si="19"/>
        <v>Mon</v>
      </c>
      <c r="D166" s="381">
        <f t="shared" si="20"/>
        <v>1</v>
      </c>
      <c r="E166" s="382" t="s">
        <v>129</v>
      </c>
      <c r="F166" s="137" t="s">
        <v>129</v>
      </c>
      <c r="G166" s="137" t="s">
        <v>129</v>
      </c>
      <c r="H166" s="137" t="s">
        <v>129</v>
      </c>
      <c r="I166" s="137" t="s">
        <v>129</v>
      </c>
      <c r="J166" s="137" t="s">
        <v>129</v>
      </c>
      <c r="K166" s="137" t="s">
        <v>129</v>
      </c>
      <c r="L166" s="137" t="s">
        <v>129</v>
      </c>
      <c r="M166" s="141"/>
      <c r="N166" s="147"/>
    </row>
    <row r="167" hidden="1" outlineLevel="1">
      <c r="A167" s="367" t="s">
        <v>3870</v>
      </c>
      <c r="B167" s="344">
        <v>46112.0</v>
      </c>
      <c r="C167" s="133" t="str">
        <f t="shared" si="19"/>
        <v>Tue</v>
      </c>
      <c r="D167" s="383">
        <f t="shared" si="20"/>
        <v>1</v>
      </c>
      <c r="E167" s="147" t="s">
        <v>129</v>
      </c>
      <c r="F167" s="137" t="s">
        <v>129</v>
      </c>
      <c r="G167" s="137" t="s">
        <v>129</v>
      </c>
      <c r="H167" s="137" t="s">
        <v>129</v>
      </c>
      <c r="I167" s="137" t="s">
        <v>129</v>
      </c>
      <c r="J167" s="137" t="s">
        <v>129</v>
      </c>
      <c r="K167" s="137" t="s">
        <v>129</v>
      </c>
      <c r="L167" s="137" t="s">
        <v>129</v>
      </c>
      <c r="M167" s="141"/>
      <c r="N167" s="143"/>
    </row>
    <row r="168" hidden="1" outlineLevel="1">
      <c r="A168" s="367" t="s">
        <v>3874</v>
      </c>
      <c r="B168" s="344">
        <v>46112.0</v>
      </c>
      <c r="C168" s="133" t="str">
        <f t="shared" si="19"/>
        <v>Tue</v>
      </c>
      <c r="D168" s="381">
        <f t="shared" si="20"/>
        <v>1</v>
      </c>
      <c r="E168" s="382" t="s">
        <v>129</v>
      </c>
      <c r="F168" s="137" t="s">
        <v>129</v>
      </c>
      <c r="G168" s="137" t="s">
        <v>129</v>
      </c>
      <c r="H168" s="137" t="s">
        <v>129</v>
      </c>
      <c r="I168" s="137" t="s">
        <v>129</v>
      </c>
      <c r="J168" s="137" t="s">
        <v>129</v>
      </c>
      <c r="K168" s="137" t="s">
        <v>129</v>
      </c>
      <c r="L168" s="137" t="s">
        <v>129</v>
      </c>
      <c r="M168" s="141"/>
      <c r="N168" s="143"/>
    </row>
    <row r="169" hidden="1" outlineLevel="1">
      <c r="A169" s="367" t="s">
        <v>3879</v>
      </c>
      <c r="B169" s="344">
        <v>46112.0</v>
      </c>
      <c r="C169" s="133" t="str">
        <f t="shared" si="19"/>
        <v>Tue</v>
      </c>
      <c r="D169" s="383">
        <f t="shared" si="20"/>
        <v>1</v>
      </c>
      <c r="E169" s="147" t="s">
        <v>129</v>
      </c>
      <c r="F169" s="137" t="s">
        <v>129</v>
      </c>
      <c r="G169" s="137" t="s">
        <v>129</v>
      </c>
      <c r="H169" s="137" t="s">
        <v>129</v>
      </c>
      <c r="I169" s="137" t="s">
        <v>129</v>
      </c>
      <c r="J169" s="137" t="s">
        <v>129</v>
      </c>
      <c r="K169" s="137" t="s">
        <v>129</v>
      </c>
      <c r="L169" s="137" t="s">
        <v>129</v>
      </c>
      <c r="M169" s="141"/>
      <c r="N169" s="143"/>
    </row>
    <row r="170" hidden="1" outlineLevel="1">
      <c r="A170" s="255" t="s">
        <v>3882</v>
      </c>
      <c r="B170" s="344">
        <v>46115.0</v>
      </c>
      <c r="C170" s="133" t="str">
        <f t="shared" si="19"/>
        <v>Fri</v>
      </c>
      <c r="D170" s="381">
        <f t="shared" si="20"/>
        <v>1</v>
      </c>
      <c r="E170" s="382" t="s">
        <v>129</v>
      </c>
      <c r="F170" s="137" t="s">
        <v>129</v>
      </c>
      <c r="G170" s="137" t="s">
        <v>129</v>
      </c>
      <c r="H170" s="137" t="s">
        <v>129</v>
      </c>
      <c r="I170" s="137" t="s">
        <v>129</v>
      </c>
      <c r="J170" s="137" t="s">
        <v>129</v>
      </c>
      <c r="K170" s="137" t="s">
        <v>129</v>
      </c>
      <c r="L170" s="137" t="s">
        <v>129</v>
      </c>
      <c r="M170" s="141"/>
      <c r="N170" s="143"/>
    </row>
    <row r="171" hidden="1" outlineLevel="1">
      <c r="A171" s="255" t="s">
        <v>3886</v>
      </c>
      <c r="B171" s="344">
        <v>46115.0</v>
      </c>
      <c r="C171" s="133" t="str">
        <f t="shared" si="19"/>
        <v>Fri</v>
      </c>
      <c r="D171" s="383">
        <f t="shared" si="20"/>
        <v>1</v>
      </c>
      <c r="E171" s="147" t="s">
        <v>129</v>
      </c>
      <c r="F171" s="137" t="s">
        <v>129</v>
      </c>
      <c r="G171" s="137" t="s">
        <v>129</v>
      </c>
      <c r="H171" s="137" t="s">
        <v>129</v>
      </c>
      <c r="I171" s="137" t="s">
        <v>129</v>
      </c>
      <c r="J171" s="137" t="s">
        <v>129</v>
      </c>
      <c r="K171" s="137" t="s">
        <v>129</v>
      </c>
      <c r="L171" s="137" t="s">
        <v>129</v>
      </c>
      <c r="M171" s="141"/>
      <c r="N171" s="147"/>
    </row>
    <row r="172" hidden="1" outlineLevel="1">
      <c r="A172" s="255" t="s">
        <v>3889</v>
      </c>
      <c r="B172" s="344">
        <v>46115.0</v>
      </c>
      <c r="C172" s="133" t="str">
        <f t="shared" si="19"/>
        <v>Fri</v>
      </c>
      <c r="D172" s="381">
        <f t="shared" si="20"/>
        <v>1</v>
      </c>
      <c r="E172" s="382" t="s">
        <v>129</v>
      </c>
      <c r="F172" s="137" t="s">
        <v>129</v>
      </c>
      <c r="G172" s="137" t="s">
        <v>129</v>
      </c>
      <c r="H172" s="137" t="s">
        <v>129</v>
      </c>
      <c r="I172" s="137" t="s">
        <v>129</v>
      </c>
      <c r="J172" s="137" t="s">
        <v>129</v>
      </c>
      <c r="K172" s="137" t="s">
        <v>129</v>
      </c>
      <c r="L172" s="137" t="s">
        <v>129</v>
      </c>
      <c r="M172" s="141"/>
      <c r="N172" s="143"/>
    </row>
    <row r="173" hidden="1" outlineLevel="1">
      <c r="A173" s="367" t="s">
        <v>3891</v>
      </c>
      <c r="B173" s="344">
        <v>46116.0</v>
      </c>
      <c r="C173" s="133" t="str">
        <f t="shared" si="19"/>
        <v>Sat</v>
      </c>
      <c r="D173" s="383">
        <f t="shared" si="20"/>
        <v>1</v>
      </c>
      <c r="E173" s="147" t="s">
        <v>129</v>
      </c>
      <c r="F173" s="137" t="s">
        <v>129</v>
      </c>
      <c r="G173" s="137" t="s">
        <v>129</v>
      </c>
      <c r="H173" s="137" t="s">
        <v>129</v>
      </c>
      <c r="I173" s="137" t="s">
        <v>129</v>
      </c>
      <c r="J173" s="137" t="s">
        <v>129</v>
      </c>
      <c r="K173" s="137" t="s">
        <v>129</v>
      </c>
      <c r="L173" s="137" t="s">
        <v>129</v>
      </c>
      <c r="M173" s="141"/>
      <c r="N173" s="147"/>
    </row>
    <row r="174" hidden="1" outlineLevel="1">
      <c r="A174" s="367" t="s">
        <v>3902</v>
      </c>
      <c r="B174" s="344">
        <v>46116.0</v>
      </c>
      <c r="C174" s="133" t="str">
        <f t="shared" si="19"/>
        <v>Sat</v>
      </c>
      <c r="D174" s="381">
        <f t="shared" si="20"/>
        <v>1</v>
      </c>
      <c r="E174" s="382" t="s">
        <v>129</v>
      </c>
      <c r="F174" s="137" t="s">
        <v>129</v>
      </c>
      <c r="G174" s="137" t="s">
        <v>129</v>
      </c>
      <c r="H174" s="137" t="s">
        <v>129</v>
      </c>
      <c r="I174" s="137" t="s">
        <v>129</v>
      </c>
      <c r="J174" s="137" t="s">
        <v>129</v>
      </c>
      <c r="K174" s="137" t="s">
        <v>129</v>
      </c>
      <c r="L174" s="137" t="s">
        <v>129</v>
      </c>
      <c r="M174" s="141"/>
      <c r="N174" s="147"/>
    </row>
    <row r="175" hidden="1" outlineLevel="1">
      <c r="A175" s="367" t="s">
        <v>3904</v>
      </c>
      <c r="B175" s="344">
        <v>46116.0</v>
      </c>
      <c r="C175" s="133" t="str">
        <f t="shared" si="19"/>
        <v>Sat</v>
      </c>
      <c r="D175" s="383">
        <f t="shared" si="20"/>
        <v>1</v>
      </c>
      <c r="E175" s="147" t="s">
        <v>129</v>
      </c>
      <c r="F175" s="137" t="s">
        <v>129</v>
      </c>
      <c r="G175" s="137" t="s">
        <v>129</v>
      </c>
      <c r="H175" s="137" t="s">
        <v>129</v>
      </c>
      <c r="I175" s="137" t="s">
        <v>129</v>
      </c>
      <c r="J175" s="137" t="s">
        <v>129</v>
      </c>
      <c r="K175" s="137" t="s">
        <v>129</v>
      </c>
      <c r="L175" s="137" t="s">
        <v>129</v>
      </c>
      <c r="M175" s="141"/>
      <c r="N175" s="147"/>
    </row>
    <row r="176" hidden="1" outlineLevel="1">
      <c r="A176" s="367" t="s">
        <v>3907</v>
      </c>
      <c r="B176" s="344">
        <v>46117.0</v>
      </c>
      <c r="C176" s="133" t="str">
        <f t="shared" si="19"/>
        <v>Sun</v>
      </c>
      <c r="D176" s="381">
        <f t="shared" si="20"/>
        <v>1</v>
      </c>
      <c r="E176" s="382" t="s">
        <v>129</v>
      </c>
      <c r="F176" s="137" t="s">
        <v>129</v>
      </c>
      <c r="G176" s="137" t="s">
        <v>129</v>
      </c>
      <c r="H176" s="137" t="s">
        <v>129</v>
      </c>
      <c r="I176" s="137" t="s">
        <v>129</v>
      </c>
      <c r="J176" s="137" t="s">
        <v>129</v>
      </c>
      <c r="K176" s="137" t="s">
        <v>129</v>
      </c>
      <c r="L176" s="137" t="s">
        <v>129</v>
      </c>
      <c r="M176" s="141"/>
      <c r="N176" s="143"/>
    </row>
    <row r="177" hidden="1" outlineLevel="1">
      <c r="A177" s="367" t="s">
        <v>3910</v>
      </c>
      <c r="B177" s="344">
        <v>46117.0</v>
      </c>
      <c r="C177" s="133" t="str">
        <f t="shared" si="19"/>
        <v>Sun</v>
      </c>
      <c r="D177" s="383">
        <f t="shared" si="20"/>
        <v>1</v>
      </c>
      <c r="E177" s="147" t="s">
        <v>129</v>
      </c>
      <c r="F177" s="137" t="s">
        <v>129</v>
      </c>
      <c r="G177" s="137" t="s">
        <v>129</v>
      </c>
      <c r="H177" s="137" t="s">
        <v>129</v>
      </c>
      <c r="I177" s="137" t="s">
        <v>129</v>
      </c>
      <c r="J177" s="137" t="s">
        <v>129</v>
      </c>
      <c r="K177" s="137" t="s">
        <v>129</v>
      </c>
      <c r="L177" s="137" t="s">
        <v>129</v>
      </c>
      <c r="M177" s="141"/>
      <c r="N177" s="143"/>
    </row>
    <row r="178" ht="15.0" hidden="1" customHeight="1" outlineLevel="1">
      <c r="A178" s="367" t="s">
        <v>3913</v>
      </c>
      <c r="B178" s="344">
        <v>46117.0</v>
      </c>
      <c r="C178" s="133" t="str">
        <f t="shared" si="19"/>
        <v>Sun</v>
      </c>
      <c r="D178" s="381">
        <f t="shared" si="20"/>
        <v>1</v>
      </c>
      <c r="E178" s="382" t="s">
        <v>129</v>
      </c>
      <c r="F178" s="137" t="s">
        <v>129</v>
      </c>
      <c r="G178" s="137" t="s">
        <v>129</v>
      </c>
      <c r="H178" s="137" t="s">
        <v>129</v>
      </c>
      <c r="I178" s="137" t="s">
        <v>129</v>
      </c>
      <c r="J178" s="137" t="s">
        <v>129</v>
      </c>
      <c r="K178" s="137" t="s">
        <v>129</v>
      </c>
      <c r="L178" s="137" t="s">
        <v>129</v>
      </c>
      <c r="M178" s="141"/>
      <c r="N178" s="147"/>
    </row>
    <row r="179" hidden="1" outlineLevel="1">
      <c r="B179" s="189"/>
      <c r="C179" s="191" t="s">
        <v>194</v>
      </c>
      <c r="D179" s="204">
        <f>AVERAGE(D164:D178)</f>
        <v>1</v>
      </c>
      <c r="E179" s="384"/>
      <c r="L179" s="191" t="s">
        <v>194</v>
      </c>
      <c r="M179" s="204">
        <f>SUM(M164:M178)/75*0.1</f>
        <v>0</v>
      </c>
    </row>
    <row r="180" hidden="1" collapsed="1">
      <c r="A180" s="206" t="s">
        <v>886</v>
      </c>
      <c r="B180" s="207"/>
      <c r="C180" s="207"/>
      <c r="D180" s="385"/>
      <c r="E180" s="109"/>
      <c r="F180" s="109"/>
      <c r="G180" s="110"/>
      <c r="H180" s="110"/>
      <c r="I180" s="110"/>
      <c r="J180" s="110"/>
      <c r="K180" s="110"/>
      <c r="L180" s="110"/>
      <c r="M180" s="111"/>
      <c r="N180" s="113"/>
    </row>
    <row r="181" hidden="1" outlineLevel="1">
      <c r="A181" s="373" t="s">
        <v>98</v>
      </c>
      <c r="B181" s="115" t="s">
        <v>100</v>
      </c>
      <c r="C181" s="115" t="s">
        <v>102</v>
      </c>
      <c r="D181" s="119" t="s">
        <v>103</v>
      </c>
      <c r="E181" s="275" t="s">
        <v>269</v>
      </c>
      <c r="F181" s="275" t="s">
        <v>272</v>
      </c>
      <c r="G181" s="276" t="s">
        <v>328</v>
      </c>
      <c r="H181" s="121" t="s">
        <v>107</v>
      </c>
      <c r="I181" s="121" t="s">
        <v>108</v>
      </c>
      <c r="J181" s="276" t="s">
        <v>329</v>
      </c>
      <c r="K181" s="121" t="s">
        <v>111</v>
      </c>
      <c r="L181" s="276" t="s">
        <v>274</v>
      </c>
      <c r="M181" s="115" t="s">
        <v>114</v>
      </c>
      <c r="N181" s="119" t="s">
        <v>115</v>
      </c>
    </row>
    <row r="182" hidden="1" outlineLevel="1">
      <c r="A182" s="433" t="s">
        <v>3921</v>
      </c>
      <c r="B182" s="344">
        <v>46118.0</v>
      </c>
      <c r="C182" s="133" t="str">
        <f t="shared" ref="C182:C196" si="21">IF(B182="", "", TEXT(B182, "ddd"))</f>
        <v>Mon</v>
      </c>
      <c r="D182" s="381">
        <f t="shared" ref="D182:D196" si="22">IF(E182="Yes",0.05,0)
+IF(F182="Yes",0.1,0)
+IF(G182="Yes",0.15,0)
+IF(H182="Yes",0.15,0)
+IF(I182="Yes",0.05,0)
+IF(J182="Yes",0.05,0)
+IF(K182="Yes",0.15,0)
+IF(L182="Yes",0.3,0)
</f>
        <v>1</v>
      </c>
      <c r="E182" s="382" t="s">
        <v>129</v>
      </c>
      <c r="F182" s="137" t="s">
        <v>129</v>
      </c>
      <c r="G182" s="137" t="s">
        <v>129</v>
      </c>
      <c r="H182" s="137" t="s">
        <v>129</v>
      </c>
      <c r="I182" s="137" t="s">
        <v>129</v>
      </c>
      <c r="J182" s="137" t="s">
        <v>129</v>
      </c>
      <c r="K182" s="137" t="s">
        <v>129</v>
      </c>
      <c r="L182" s="137" t="s">
        <v>129</v>
      </c>
      <c r="M182" s="141"/>
      <c r="N182" s="143"/>
    </row>
    <row r="183" hidden="1" outlineLevel="1">
      <c r="A183" s="433" t="s">
        <v>3933</v>
      </c>
      <c r="B183" s="344">
        <v>46118.0</v>
      </c>
      <c r="C183" s="133" t="str">
        <f t="shared" si="21"/>
        <v>Mon</v>
      </c>
      <c r="D183" s="383">
        <f t="shared" si="22"/>
        <v>1</v>
      </c>
      <c r="E183" s="147" t="s">
        <v>129</v>
      </c>
      <c r="F183" s="137" t="s">
        <v>129</v>
      </c>
      <c r="G183" s="137" t="s">
        <v>129</v>
      </c>
      <c r="H183" s="137" t="s">
        <v>129</v>
      </c>
      <c r="I183" s="137" t="s">
        <v>129</v>
      </c>
      <c r="J183" s="137" t="s">
        <v>129</v>
      </c>
      <c r="K183" s="137" t="s">
        <v>129</v>
      </c>
      <c r="L183" s="137" t="s">
        <v>129</v>
      </c>
      <c r="M183" s="141"/>
      <c r="N183" s="147"/>
    </row>
    <row r="184" hidden="1" outlineLevel="1">
      <c r="A184" s="433" t="s">
        <v>3936</v>
      </c>
      <c r="B184" s="344">
        <v>46118.0</v>
      </c>
      <c r="C184" s="133" t="str">
        <f t="shared" si="21"/>
        <v>Mon</v>
      </c>
      <c r="D184" s="381">
        <f t="shared" si="22"/>
        <v>1</v>
      </c>
      <c r="E184" s="382" t="s">
        <v>129</v>
      </c>
      <c r="F184" s="137" t="s">
        <v>129</v>
      </c>
      <c r="G184" s="137" t="s">
        <v>129</v>
      </c>
      <c r="H184" s="137" t="s">
        <v>129</v>
      </c>
      <c r="I184" s="137" t="s">
        <v>129</v>
      </c>
      <c r="J184" s="137" t="s">
        <v>129</v>
      </c>
      <c r="K184" s="137" t="s">
        <v>129</v>
      </c>
      <c r="L184" s="137" t="s">
        <v>129</v>
      </c>
      <c r="M184" s="141"/>
      <c r="N184" s="147"/>
    </row>
    <row r="185" hidden="1" outlineLevel="1">
      <c r="A185" s="433" t="s">
        <v>3938</v>
      </c>
      <c r="B185" s="344">
        <v>46121.0</v>
      </c>
      <c r="C185" s="133" t="str">
        <f t="shared" si="21"/>
        <v>Thu</v>
      </c>
      <c r="D185" s="383">
        <f t="shared" si="22"/>
        <v>1</v>
      </c>
      <c r="E185" s="147" t="s">
        <v>129</v>
      </c>
      <c r="F185" s="137" t="s">
        <v>129</v>
      </c>
      <c r="G185" s="137" t="s">
        <v>129</v>
      </c>
      <c r="H185" s="137" t="s">
        <v>129</v>
      </c>
      <c r="I185" s="137" t="s">
        <v>129</v>
      </c>
      <c r="J185" s="137" t="s">
        <v>129</v>
      </c>
      <c r="K185" s="137" t="s">
        <v>129</v>
      </c>
      <c r="L185" s="137" t="s">
        <v>129</v>
      </c>
      <c r="M185" s="141"/>
      <c r="N185" s="143"/>
    </row>
    <row r="186" hidden="1" outlineLevel="1">
      <c r="A186" s="433" t="s">
        <v>3939</v>
      </c>
      <c r="B186" s="344">
        <v>46121.0</v>
      </c>
      <c r="C186" s="133" t="str">
        <f t="shared" si="21"/>
        <v>Thu</v>
      </c>
      <c r="D186" s="381">
        <f t="shared" si="22"/>
        <v>1</v>
      </c>
      <c r="E186" s="382" t="s">
        <v>129</v>
      </c>
      <c r="F186" s="137" t="s">
        <v>129</v>
      </c>
      <c r="G186" s="137" t="s">
        <v>129</v>
      </c>
      <c r="H186" s="137" t="s">
        <v>129</v>
      </c>
      <c r="I186" s="137" t="s">
        <v>129</v>
      </c>
      <c r="J186" s="137" t="s">
        <v>129</v>
      </c>
      <c r="K186" s="137" t="s">
        <v>129</v>
      </c>
      <c r="L186" s="137" t="s">
        <v>129</v>
      </c>
      <c r="M186" s="141"/>
      <c r="N186" s="143"/>
    </row>
    <row r="187" hidden="1" outlineLevel="1">
      <c r="A187" s="433" t="s">
        <v>3942</v>
      </c>
      <c r="B187" s="344">
        <v>46121.0</v>
      </c>
      <c r="C187" s="133" t="str">
        <f t="shared" si="21"/>
        <v>Thu</v>
      </c>
      <c r="D187" s="383">
        <f t="shared" si="22"/>
        <v>1</v>
      </c>
      <c r="E187" s="147" t="s">
        <v>129</v>
      </c>
      <c r="F187" s="137" t="s">
        <v>129</v>
      </c>
      <c r="G187" s="137" t="s">
        <v>129</v>
      </c>
      <c r="H187" s="137" t="s">
        <v>129</v>
      </c>
      <c r="I187" s="137" t="s">
        <v>129</v>
      </c>
      <c r="J187" s="137" t="s">
        <v>129</v>
      </c>
      <c r="K187" s="137" t="s">
        <v>129</v>
      </c>
      <c r="L187" s="137" t="s">
        <v>129</v>
      </c>
      <c r="M187" s="141"/>
      <c r="N187" s="143"/>
    </row>
    <row r="188" hidden="1" outlineLevel="1">
      <c r="A188" s="433" t="s">
        <v>3945</v>
      </c>
      <c r="B188" s="344">
        <v>46122.0</v>
      </c>
      <c r="C188" s="133" t="str">
        <f t="shared" si="21"/>
        <v>Fri</v>
      </c>
      <c r="D188" s="381">
        <f t="shared" si="22"/>
        <v>1</v>
      </c>
      <c r="E188" s="382" t="s">
        <v>129</v>
      </c>
      <c r="F188" s="137" t="s">
        <v>129</v>
      </c>
      <c r="G188" s="137" t="s">
        <v>129</v>
      </c>
      <c r="H188" s="137" t="s">
        <v>129</v>
      </c>
      <c r="I188" s="137" t="s">
        <v>129</v>
      </c>
      <c r="J188" s="137" t="s">
        <v>129</v>
      </c>
      <c r="K188" s="137" t="s">
        <v>129</v>
      </c>
      <c r="L188" s="137" t="s">
        <v>129</v>
      </c>
      <c r="M188" s="141"/>
      <c r="N188" s="143"/>
    </row>
    <row r="189" hidden="1" outlineLevel="1">
      <c r="A189" s="433" t="s">
        <v>3948</v>
      </c>
      <c r="B189" s="344">
        <v>46122.0</v>
      </c>
      <c r="C189" s="133" t="str">
        <f t="shared" si="21"/>
        <v>Fri</v>
      </c>
      <c r="D189" s="383">
        <f t="shared" si="22"/>
        <v>1</v>
      </c>
      <c r="E189" s="147" t="s">
        <v>129</v>
      </c>
      <c r="F189" s="137" t="s">
        <v>129</v>
      </c>
      <c r="G189" s="137" t="s">
        <v>129</v>
      </c>
      <c r="H189" s="137" t="s">
        <v>129</v>
      </c>
      <c r="I189" s="137" t="s">
        <v>129</v>
      </c>
      <c r="J189" s="137" t="s">
        <v>129</v>
      </c>
      <c r="K189" s="137" t="s">
        <v>129</v>
      </c>
      <c r="L189" s="137" t="s">
        <v>129</v>
      </c>
      <c r="M189" s="141"/>
      <c r="N189" s="147"/>
    </row>
    <row r="190" hidden="1" outlineLevel="1">
      <c r="A190" s="433" t="s">
        <v>3953</v>
      </c>
      <c r="B190" s="344">
        <v>46122.0</v>
      </c>
      <c r="C190" s="133" t="str">
        <f t="shared" si="21"/>
        <v>Fri</v>
      </c>
      <c r="D190" s="381">
        <f t="shared" si="22"/>
        <v>1</v>
      </c>
      <c r="E190" s="382" t="s">
        <v>129</v>
      </c>
      <c r="F190" s="137" t="s">
        <v>129</v>
      </c>
      <c r="G190" s="137" t="s">
        <v>129</v>
      </c>
      <c r="H190" s="137" t="s">
        <v>129</v>
      </c>
      <c r="I190" s="137" t="s">
        <v>129</v>
      </c>
      <c r="J190" s="137" t="s">
        <v>129</v>
      </c>
      <c r="K190" s="137" t="s">
        <v>129</v>
      </c>
      <c r="L190" s="137" t="s">
        <v>129</v>
      </c>
      <c r="M190" s="141"/>
      <c r="N190" s="143"/>
    </row>
    <row r="191" hidden="1" outlineLevel="1">
      <c r="A191" s="433" t="s">
        <v>3957</v>
      </c>
      <c r="B191" s="344">
        <v>46123.0</v>
      </c>
      <c r="C191" s="133" t="str">
        <f t="shared" si="21"/>
        <v>Sat</v>
      </c>
      <c r="D191" s="383">
        <f t="shared" si="22"/>
        <v>1</v>
      </c>
      <c r="E191" s="147" t="s">
        <v>129</v>
      </c>
      <c r="F191" s="137" t="s">
        <v>129</v>
      </c>
      <c r="G191" s="137" t="s">
        <v>129</v>
      </c>
      <c r="H191" s="137" t="s">
        <v>129</v>
      </c>
      <c r="I191" s="137" t="s">
        <v>129</v>
      </c>
      <c r="J191" s="137" t="s">
        <v>129</v>
      </c>
      <c r="K191" s="137" t="s">
        <v>129</v>
      </c>
      <c r="L191" s="137" t="s">
        <v>129</v>
      </c>
      <c r="M191" s="141"/>
      <c r="N191" s="147"/>
    </row>
    <row r="192" hidden="1" outlineLevel="1">
      <c r="A192" s="303" t="s">
        <v>3959</v>
      </c>
      <c r="B192" s="344">
        <v>46123.0</v>
      </c>
      <c r="C192" s="133" t="str">
        <f t="shared" si="21"/>
        <v>Sat</v>
      </c>
      <c r="D192" s="381">
        <f t="shared" si="22"/>
        <v>1</v>
      </c>
      <c r="E192" s="382" t="s">
        <v>129</v>
      </c>
      <c r="F192" s="137" t="s">
        <v>129</v>
      </c>
      <c r="G192" s="137" t="s">
        <v>129</v>
      </c>
      <c r="H192" s="137" t="s">
        <v>129</v>
      </c>
      <c r="I192" s="137" t="s">
        <v>129</v>
      </c>
      <c r="J192" s="137" t="s">
        <v>129</v>
      </c>
      <c r="K192" s="137" t="s">
        <v>129</v>
      </c>
      <c r="L192" s="137" t="s">
        <v>129</v>
      </c>
      <c r="M192" s="141"/>
      <c r="N192" s="147"/>
    </row>
    <row r="193" hidden="1" outlineLevel="1">
      <c r="A193" s="433" t="s">
        <v>3962</v>
      </c>
      <c r="B193" s="344">
        <v>46123.0</v>
      </c>
      <c r="C193" s="133" t="str">
        <f t="shared" si="21"/>
        <v>Sat</v>
      </c>
      <c r="D193" s="383">
        <f t="shared" si="22"/>
        <v>1</v>
      </c>
      <c r="E193" s="147" t="s">
        <v>129</v>
      </c>
      <c r="F193" s="137" t="s">
        <v>129</v>
      </c>
      <c r="G193" s="137" t="s">
        <v>129</v>
      </c>
      <c r="H193" s="137" t="s">
        <v>129</v>
      </c>
      <c r="I193" s="137" t="s">
        <v>129</v>
      </c>
      <c r="J193" s="137" t="s">
        <v>129</v>
      </c>
      <c r="K193" s="137" t="s">
        <v>129</v>
      </c>
      <c r="L193" s="137" t="s">
        <v>129</v>
      </c>
      <c r="M193" s="141"/>
      <c r="N193" s="147"/>
    </row>
    <row r="194" hidden="1" outlineLevel="1">
      <c r="A194" s="303" t="s">
        <v>3965</v>
      </c>
      <c r="B194" s="344">
        <v>46124.0</v>
      </c>
      <c r="C194" s="133" t="str">
        <f t="shared" si="21"/>
        <v>Sun</v>
      </c>
      <c r="D194" s="381">
        <f t="shared" si="22"/>
        <v>1</v>
      </c>
      <c r="E194" s="382" t="s">
        <v>129</v>
      </c>
      <c r="F194" s="137" t="s">
        <v>129</v>
      </c>
      <c r="G194" s="137" t="s">
        <v>129</v>
      </c>
      <c r="H194" s="137" t="s">
        <v>129</v>
      </c>
      <c r="I194" s="137" t="s">
        <v>129</v>
      </c>
      <c r="J194" s="137" t="s">
        <v>129</v>
      </c>
      <c r="K194" s="137" t="s">
        <v>129</v>
      </c>
      <c r="L194" s="137" t="s">
        <v>129</v>
      </c>
      <c r="M194" s="141"/>
      <c r="N194" s="143"/>
    </row>
    <row r="195" hidden="1" outlineLevel="1">
      <c r="A195" s="303" t="s">
        <v>3968</v>
      </c>
      <c r="B195" s="344">
        <v>46124.0</v>
      </c>
      <c r="C195" s="133" t="str">
        <f t="shared" si="21"/>
        <v>Sun</v>
      </c>
      <c r="D195" s="383">
        <f t="shared" si="22"/>
        <v>1</v>
      </c>
      <c r="E195" s="147" t="s">
        <v>129</v>
      </c>
      <c r="F195" s="137" t="s">
        <v>129</v>
      </c>
      <c r="G195" s="137" t="s">
        <v>129</v>
      </c>
      <c r="H195" s="137" t="s">
        <v>129</v>
      </c>
      <c r="I195" s="137" t="s">
        <v>129</v>
      </c>
      <c r="J195" s="137" t="s">
        <v>129</v>
      </c>
      <c r="K195" s="137" t="s">
        <v>129</v>
      </c>
      <c r="L195" s="137" t="s">
        <v>129</v>
      </c>
      <c r="M195" s="141"/>
      <c r="N195" s="143"/>
    </row>
    <row r="196" ht="17.25" hidden="1" customHeight="1" outlineLevel="1">
      <c r="A196" s="303" t="s">
        <v>3974</v>
      </c>
      <c r="B196" s="344">
        <v>46124.0</v>
      </c>
      <c r="C196" s="133" t="str">
        <f t="shared" si="21"/>
        <v>Sun</v>
      </c>
      <c r="D196" s="381">
        <f t="shared" si="22"/>
        <v>1</v>
      </c>
      <c r="E196" s="382" t="s">
        <v>129</v>
      </c>
      <c r="F196" s="137" t="s">
        <v>129</v>
      </c>
      <c r="G196" s="137" t="s">
        <v>129</v>
      </c>
      <c r="H196" s="137" t="s">
        <v>129</v>
      </c>
      <c r="I196" s="137" t="s">
        <v>129</v>
      </c>
      <c r="J196" s="137" t="s">
        <v>129</v>
      </c>
      <c r="K196" s="137" t="s">
        <v>129</v>
      </c>
      <c r="L196" s="137" t="s">
        <v>129</v>
      </c>
      <c r="M196" s="141"/>
      <c r="N196" s="147"/>
    </row>
    <row r="197" hidden="1" outlineLevel="1">
      <c r="B197" s="189"/>
      <c r="C197" s="191" t="s">
        <v>194</v>
      </c>
      <c r="D197" s="204">
        <f>AVERAGE(D182:D196)</f>
        <v>1</v>
      </c>
      <c r="E197" s="384"/>
      <c r="L197" s="191" t="s">
        <v>194</v>
      </c>
      <c r="M197" s="204">
        <f>SUM(M182:M196)/75*0.1</f>
        <v>0</v>
      </c>
    </row>
    <row r="198" hidden="1" collapsed="1">
      <c r="A198" s="206" t="s">
        <v>917</v>
      </c>
      <c r="B198" s="207"/>
      <c r="C198" s="207"/>
      <c r="D198" s="385"/>
      <c r="E198" s="109"/>
      <c r="F198" s="109"/>
      <c r="G198" s="110"/>
      <c r="H198" s="110"/>
      <c r="I198" s="110"/>
      <c r="J198" s="110"/>
      <c r="K198" s="110"/>
      <c r="L198" s="110"/>
      <c r="M198" s="111"/>
      <c r="N198" s="113"/>
    </row>
    <row r="199" hidden="1" outlineLevel="1">
      <c r="A199" s="373" t="s">
        <v>98</v>
      </c>
      <c r="B199" s="115" t="s">
        <v>100</v>
      </c>
      <c r="C199" s="115" t="s">
        <v>102</v>
      </c>
      <c r="D199" s="119" t="s">
        <v>103</v>
      </c>
      <c r="E199" s="275" t="s">
        <v>269</v>
      </c>
      <c r="F199" s="275" t="s">
        <v>272</v>
      </c>
      <c r="G199" s="276" t="s">
        <v>328</v>
      </c>
      <c r="H199" s="121" t="s">
        <v>107</v>
      </c>
      <c r="I199" s="121" t="s">
        <v>108</v>
      </c>
      <c r="J199" s="276" t="s">
        <v>329</v>
      </c>
      <c r="K199" s="121" t="s">
        <v>111</v>
      </c>
      <c r="L199" s="276" t="s">
        <v>274</v>
      </c>
      <c r="M199" s="115" t="s">
        <v>114</v>
      </c>
      <c r="N199" s="119" t="s">
        <v>115</v>
      </c>
    </row>
    <row r="200" hidden="1" outlineLevel="1">
      <c r="A200" s="367" t="s">
        <v>3980</v>
      </c>
      <c r="B200" s="344">
        <v>46125.0</v>
      </c>
      <c r="C200" s="133" t="str">
        <f t="shared" ref="C200:C214" si="23">IF(B200="", "", TEXT(B200, "ddd"))</f>
        <v>Mon</v>
      </c>
      <c r="D200" s="381">
        <f t="shared" ref="D200:D214" si="24">IF(E200="Yes",0.05,0)
+IF(F200="Yes",0.1,0)
+IF(G200="Yes",0.15,0)
+IF(H200="Yes",0.15,0)
+IF(I200="Yes",0.05,0)
+IF(J200="Yes",0.05,0)
+IF(K200="Yes",0.15,0)
+IF(L200="Yes",0.3,0)
</f>
        <v>1</v>
      </c>
      <c r="E200" s="382" t="s">
        <v>129</v>
      </c>
      <c r="F200" s="137" t="s">
        <v>129</v>
      </c>
      <c r="G200" s="137" t="s">
        <v>129</v>
      </c>
      <c r="H200" s="137" t="s">
        <v>129</v>
      </c>
      <c r="I200" s="137" t="s">
        <v>129</v>
      </c>
      <c r="J200" s="137" t="s">
        <v>129</v>
      </c>
      <c r="K200" s="137" t="s">
        <v>129</v>
      </c>
      <c r="L200" s="137" t="s">
        <v>129</v>
      </c>
      <c r="M200" s="141"/>
      <c r="N200" s="143"/>
    </row>
    <row r="201" hidden="1" outlineLevel="1">
      <c r="A201" s="367" t="s">
        <v>3985</v>
      </c>
      <c r="B201" s="344">
        <v>46125.0</v>
      </c>
      <c r="C201" s="133" t="str">
        <f t="shared" si="23"/>
        <v>Mon</v>
      </c>
      <c r="D201" s="383">
        <f t="shared" si="24"/>
        <v>1</v>
      </c>
      <c r="E201" s="147" t="s">
        <v>129</v>
      </c>
      <c r="F201" s="137" t="s">
        <v>129</v>
      </c>
      <c r="G201" s="137" t="s">
        <v>129</v>
      </c>
      <c r="H201" s="137" t="s">
        <v>129</v>
      </c>
      <c r="I201" s="137" t="s">
        <v>129</v>
      </c>
      <c r="J201" s="137" t="s">
        <v>129</v>
      </c>
      <c r="K201" s="137" t="s">
        <v>129</v>
      </c>
      <c r="L201" s="137" t="s">
        <v>129</v>
      </c>
      <c r="M201" s="141"/>
      <c r="N201" s="147"/>
    </row>
    <row r="202" hidden="1" outlineLevel="1">
      <c r="A202" s="367" t="s">
        <v>3988</v>
      </c>
      <c r="B202" s="344">
        <v>46125.0</v>
      </c>
      <c r="C202" s="133" t="str">
        <f t="shared" si="23"/>
        <v>Mon</v>
      </c>
      <c r="D202" s="381">
        <f t="shared" si="24"/>
        <v>1</v>
      </c>
      <c r="E202" s="382" t="s">
        <v>129</v>
      </c>
      <c r="F202" s="137" t="s">
        <v>129</v>
      </c>
      <c r="G202" s="137" t="s">
        <v>129</v>
      </c>
      <c r="H202" s="137" t="s">
        <v>129</v>
      </c>
      <c r="I202" s="137" t="s">
        <v>129</v>
      </c>
      <c r="J202" s="137" t="s">
        <v>129</v>
      </c>
      <c r="K202" s="137" t="s">
        <v>129</v>
      </c>
      <c r="L202" s="137" t="s">
        <v>129</v>
      </c>
      <c r="M202" s="141"/>
      <c r="N202" s="147"/>
    </row>
    <row r="203" hidden="1" outlineLevel="1">
      <c r="A203" s="367" t="s">
        <v>3995</v>
      </c>
      <c r="B203" s="344">
        <v>46128.0</v>
      </c>
      <c r="C203" s="133" t="str">
        <f t="shared" si="23"/>
        <v>Thu</v>
      </c>
      <c r="D203" s="383">
        <f t="shared" si="24"/>
        <v>1</v>
      </c>
      <c r="E203" s="147" t="s">
        <v>129</v>
      </c>
      <c r="F203" s="137" t="s">
        <v>129</v>
      </c>
      <c r="G203" s="137" t="s">
        <v>129</v>
      </c>
      <c r="H203" s="137" t="s">
        <v>129</v>
      </c>
      <c r="I203" s="137" t="s">
        <v>129</v>
      </c>
      <c r="J203" s="137" t="s">
        <v>129</v>
      </c>
      <c r="K203" s="137" t="s">
        <v>129</v>
      </c>
      <c r="L203" s="137" t="s">
        <v>129</v>
      </c>
      <c r="M203" s="141"/>
      <c r="N203" s="143"/>
    </row>
    <row r="204" hidden="1" outlineLevel="1">
      <c r="A204" s="367" t="s">
        <v>3999</v>
      </c>
      <c r="B204" s="344">
        <v>46128.0</v>
      </c>
      <c r="C204" s="133" t="str">
        <f t="shared" si="23"/>
        <v>Thu</v>
      </c>
      <c r="D204" s="381">
        <f t="shared" si="24"/>
        <v>1</v>
      </c>
      <c r="E204" s="382" t="s">
        <v>129</v>
      </c>
      <c r="F204" s="137" t="s">
        <v>129</v>
      </c>
      <c r="G204" s="137" t="s">
        <v>129</v>
      </c>
      <c r="H204" s="137" t="s">
        <v>129</v>
      </c>
      <c r="I204" s="137" t="s">
        <v>129</v>
      </c>
      <c r="J204" s="137" t="s">
        <v>129</v>
      </c>
      <c r="K204" s="137" t="s">
        <v>129</v>
      </c>
      <c r="L204" s="137" t="s">
        <v>129</v>
      </c>
      <c r="M204" s="141"/>
      <c r="N204" s="143"/>
    </row>
    <row r="205" hidden="1" outlineLevel="1">
      <c r="A205" s="367" t="s">
        <v>4001</v>
      </c>
      <c r="B205" s="344">
        <v>46128.0</v>
      </c>
      <c r="C205" s="133" t="str">
        <f t="shared" si="23"/>
        <v>Thu</v>
      </c>
      <c r="D205" s="383">
        <f t="shared" si="24"/>
        <v>1</v>
      </c>
      <c r="E205" s="147" t="s">
        <v>129</v>
      </c>
      <c r="F205" s="137" t="s">
        <v>129</v>
      </c>
      <c r="G205" s="137" t="s">
        <v>129</v>
      </c>
      <c r="H205" s="137" t="s">
        <v>129</v>
      </c>
      <c r="I205" s="137" t="s">
        <v>129</v>
      </c>
      <c r="J205" s="137" t="s">
        <v>129</v>
      </c>
      <c r="K205" s="137" t="s">
        <v>129</v>
      </c>
      <c r="L205" s="137" t="s">
        <v>129</v>
      </c>
      <c r="M205" s="141"/>
      <c r="N205" s="143"/>
    </row>
    <row r="206" hidden="1" outlineLevel="1">
      <c r="A206" s="387" t="s">
        <v>4003</v>
      </c>
      <c r="B206" s="344">
        <v>46129.0</v>
      </c>
      <c r="C206" s="133" t="str">
        <f t="shared" si="23"/>
        <v>Fri</v>
      </c>
      <c r="D206" s="381">
        <f t="shared" si="24"/>
        <v>1</v>
      </c>
      <c r="E206" s="382" t="s">
        <v>129</v>
      </c>
      <c r="F206" s="137" t="s">
        <v>129</v>
      </c>
      <c r="G206" s="137" t="s">
        <v>129</v>
      </c>
      <c r="H206" s="137" t="s">
        <v>129</v>
      </c>
      <c r="I206" s="137" t="s">
        <v>129</v>
      </c>
      <c r="J206" s="137" t="s">
        <v>129</v>
      </c>
      <c r="K206" s="137" t="s">
        <v>129</v>
      </c>
      <c r="L206" s="137" t="s">
        <v>129</v>
      </c>
      <c r="M206" s="141"/>
      <c r="N206" s="143"/>
    </row>
    <row r="207" hidden="1" outlineLevel="1">
      <c r="A207" s="557" t="s">
        <v>4007</v>
      </c>
      <c r="B207" s="344">
        <v>46129.0</v>
      </c>
      <c r="C207" s="133" t="str">
        <f t="shared" si="23"/>
        <v>Fri</v>
      </c>
      <c r="D207" s="383">
        <f t="shared" si="24"/>
        <v>1</v>
      </c>
      <c r="E207" s="147" t="s">
        <v>129</v>
      </c>
      <c r="F207" s="137" t="s">
        <v>129</v>
      </c>
      <c r="G207" s="137" t="s">
        <v>129</v>
      </c>
      <c r="H207" s="137" t="s">
        <v>129</v>
      </c>
      <c r="I207" s="137" t="s">
        <v>129</v>
      </c>
      <c r="J207" s="137" t="s">
        <v>129</v>
      </c>
      <c r="K207" s="137" t="s">
        <v>129</v>
      </c>
      <c r="L207" s="137" t="s">
        <v>129</v>
      </c>
      <c r="M207" s="141"/>
      <c r="N207" s="147"/>
    </row>
    <row r="208" hidden="1" outlineLevel="1">
      <c r="A208" s="367" t="s">
        <v>4009</v>
      </c>
      <c r="B208" s="344">
        <v>46129.0</v>
      </c>
      <c r="C208" s="133" t="str">
        <f t="shared" si="23"/>
        <v>Fri</v>
      </c>
      <c r="D208" s="381">
        <f t="shared" si="24"/>
        <v>1</v>
      </c>
      <c r="E208" s="382" t="s">
        <v>129</v>
      </c>
      <c r="F208" s="137" t="s">
        <v>129</v>
      </c>
      <c r="G208" s="137" t="s">
        <v>129</v>
      </c>
      <c r="H208" s="137" t="s">
        <v>129</v>
      </c>
      <c r="I208" s="137" t="s">
        <v>129</v>
      </c>
      <c r="J208" s="137" t="s">
        <v>129</v>
      </c>
      <c r="K208" s="137" t="s">
        <v>129</v>
      </c>
      <c r="L208" s="137" t="s">
        <v>129</v>
      </c>
      <c r="M208" s="141"/>
      <c r="N208" s="143"/>
    </row>
    <row r="209" hidden="1" outlineLevel="1">
      <c r="A209" s="367" t="s">
        <v>4016</v>
      </c>
      <c r="B209" s="344">
        <v>46130.0</v>
      </c>
      <c r="C209" s="133" t="str">
        <f t="shared" si="23"/>
        <v>Sat</v>
      </c>
      <c r="D209" s="383">
        <f t="shared" si="24"/>
        <v>1</v>
      </c>
      <c r="E209" s="147" t="s">
        <v>129</v>
      </c>
      <c r="F209" s="137" t="s">
        <v>129</v>
      </c>
      <c r="G209" s="137" t="s">
        <v>129</v>
      </c>
      <c r="H209" s="137" t="s">
        <v>129</v>
      </c>
      <c r="I209" s="137" t="s">
        <v>129</v>
      </c>
      <c r="J209" s="137" t="s">
        <v>129</v>
      </c>
      <c r="K209" s="137" t="s">
        <v>129</v>
      </c>
      <c r="L209" s="137" t="s">
        <v>129</v>
      </c>
      <c r="M209" s="141"/>
      <c r="N209" s="147"/>
    </row>
    <row r="210" hidden="1" outlineLevel="1">
      <c r="A210" s="367" t="s">
        <v>4020</v>
      </c>
      <c r="B210" s="344">
        <v>46130.0</v>
      </c>
      <c r="C210" s="133" t="str">
        <f t="shared" si="23"/>
        <v>Sat</v>
      </c>
      <c r="D210" s="381">
        <f t="shared" si="24"/>
        <v>1</v>
      </c>
      <c r="E210" s="382" t="s">
        <v>129</v>
      </c>
      <c r="F210" s="137" t="s">
        <v>129</v>
      </c>
      <c r="G210" s="137" t="s">
        <v>129</v>
      </c>
      <c r="H210" s="137" t="s">
        <v>129</v>
      </c>
      <c r="I210" s="137" t="s">
        <v>129</v>
      </c>
      <c r="J210" s="137" t="s">
        <v>129</v>
      </c>
      <c r="K210" s="137" t="s">
        <v>129</v>
      </c>
      <c r="L210" s="137" t="s">
        <v>129</v>
      </c>
      <c r="M210" s="141"/>
      <c r="N210" s="147"/>
    </row>
    <row r="211" hidden="1" outlineLevel="1">
      <c r="A211" s="367" t="s">
        <v>4024</v>
      </c>
      <c r="B211" s="344">
        <v>46130.0</v>
      </c>
      <c r="C211" s="133" t="str">
        <f t="shared" si="23"/>
        <v>Sat</v>
      </c>
      <c r="D211" s="383">
        <f t="shared" si="24"/>
        <v>1</v>
      </c>
      <c r="E211" s="147" t="s">
        <v>129</v>
      </c>
      <c r="F211" s="137" t="s">
        <v>129</v>
      </c>
      <c r="G211" s="137" t="s">
        <v>129</v>
      </c>
      <c r="H211" s="137" t="s">
        <v>129</v>
      </c>
      <c r="I211" s="137" t="s">
        <v>129</v>
      </c>
      <c r="J211" s="137" t="s">
        <v>129</v>
      </c>
      <c r="K211" s="137" t="s">
        <v>129</v>
      </c>
      <c r="L211" s="137" t="s">
        <v>129</v>
      </c>
      <c r="M211" s="141"/>
      <c r="N211" s="147"/>
    </row>
    <row r="212" hidden="1" outlineLevel="1">
      <c r="A212" s="367" t="s">
        <v>4026</v>
      </c>
      <c r="B212" s="344">
        <v>46131.0</v>
      </c>
      <c r="C212" s="133" t="str">
        <f t="shared" si="23"/>
        <v>Sun</v>
      </c>
      <c r="D212" s="381">
        <f t="shared" si="24"/>
        <v>1</v>
      </c>
      <c r="E212" s="382" t="s">
        <v>129</v>
      </c>
      <c r="F212" s="137" t="s">
        <v>129</v>
      </c>
      <c r="G212" s="137" t="s">
        <v>129</v>
      </c>
      <c r="H212" s="137" t="s">
        <v>129</v>
      </c>
      <c r="I212" s="137" t="s">
        <v>129</v>
      </c>
      <c r="J212" s="137" t="s">
        <v>129</v>
      </c>
      <c r="K212" s="137" t="s">
        <v>129</v>
      </c>
      <c r="L212" s="137" t="s">
        <v>129</v>
      </c>
      <c r="M212" s="141"/>
      <c r="N212" s="143"/>
    </row>
    <row r="213" hidden="1" outlineLevel="1">
      <c r="A213" s="367" t="s">
        <v>4028</v>
      </c>
      <c r="B213" s="344">
        <v>46131.0</v>
      </c>
      <c r="C213" s="133" t="str">
        <f t="shared" si="23"/>
        <v>Sun</v>
      </c>
      <c r="D213" s="383">
        <f t="shared" si="24"/>
        <v>1</v>
      </c>
      <c r="E213" s="147" t="s">
        <v>129</v>
      </c>
      <c r="F213" s="137" t="s">
        <v>129</v>
      </c>
      <c r="G213" s="137" t="s">
        <v>129</v>
      </c>
      <c r="H213" s="137" t="s">
        <v>129</v>
      </c>
      <c r="I213" s="137" t="s">
        <v>129</v>
      </c>
      <c r="J213" s="137" t="s">
        <v>129</v>
      </c>
      <c r="K213" s="137" t="s">
        <v>129</v>
      </c>
      <c r="L213" s="137" t="s">
        <v>129</v>
      </c>
      <c r="M213" s="141"/>
      <c r="N213" s="143"/>
    </row>
    <row r="214" ht="15.0" hidden="1" customHeight="1" outlineLevel="1">
      <c r="A214" s="367" t="s">
        <v>4032</v>
      </c>
      <c r="B214" s="344">
        <v>46131.0</v>
      </c>
      <c r="C214" s="133" t="str">
        <f t="shared" si="23"/>
        <v>Sun</v>
      </c>
      <c r="D214" s="381">
        <f t="shared" si="24"/>
        <v>1</v>
      </c>
      <c r="E214" s="382" t="s">
        <v>129</v>
      </c>
      <c r="F214" s="137" t="s">
        <v>129</v>
      </c>
      <c r="G214" s="137" t="s">
        <v>129</v>
      </c>
      <c r="H214" s="137" t="s">
        <v>129</v>
      </c>
      <c r="I214" s="137" t="s">
        <v>129</v>
      </c>
      <c r="J214" s="137" t="s">
        <v>129</v>
      </c>
      <c r="K214" s="137" t="s">
        <v>129</v>
      </c>
      <c r="L214" s="137" t="s">
        <v>129</v>
      </c>
      <c r="M214" s="141"/>
      <c r="N214" s="147"/>
    </row>
    <row r="215" hidden="1" outlineLevel="1">
      <c r="B215" s="189"/>
      <c r="C215" s="191" t="s">
        <v>194</v>
      </c>
      <c r="D215" s="204">
        <f>AVERAGE(D200:D214)</f>
        <v>1</v>
      </c>
      <c r="E215" s="384"/>
      <c r="L215" s="191" t="s">
        <v>194</v>
      </c>
      <c r="M215" s="204">
        <f>SUM(M200:M214)/75*0.1</f>
        <v>0</v>
      </c>
    </row>
    <row r="216" hidden="1" collapsed="1">
      <c r="A216" s="206" t="s">
        <v>946</v>
      </c>
      <c r="B216" s="207"/>
      <c r="C216" s="207"/>
      <c r="D216" s="385"/>
      <c r="E216" s="109"/>
      <c r="F216" s="109"/>
      <c r="G216" s="110"/>
      <c r="H216" s="110"/>
      <c r="I216" s="110"/>
      <c r="J216" s="110"/>
      <c r="K216" s="110"/>
      <c r="L216" s="110"/>
      <c r="M216" s="111"/>
      <c r="N216" s="113"/>
    </row>
    <row r="217" hidden="1" outlineLevel="1">
      <c r="A217" s="373" t="s">
        <v>98</v>
      </c>
      <c r="B217" s="115" t="s">
        <v>100</v>
      </c>
      <c r="C217" s="115" t="s">
        <v>102</v>
      </c>
      <c r="D217" s="119" t="s">
        <v>103</v>
      </c>
      <c r="E217" s="275" t="s">
        <v>269</v>
      </c>
      <c r="F217" s="275" t="s">
        <v>272</v>
      </c>
      <c r="G217" s="276" t="s">
        <v>328</v>
      </c>
      <c r="H217" s="121" t="s">
        <v>107</v>
      </c>
      <c r="I217" s="121" t="s">
        <v>108</v>
      </c>
      <c r="J217" s="276" t="s">
        <v>329</v>
      </c>
      <c r="K217" s="121" t="s">
        <v>111</v>
      </c>
      <c r="L217" s="276" t="s">
        <v>274</v>
      </c>
      <c r="M217" s="115" t="s">
        <v>114</v>
      </c>
      <c r="N217" s="119" t="s">
        <v>115</v>
      </c>
    </row>
    <row r="218" hidden="1" outlineLevel="1">
      <c r="A218" s="483" t="s">
        <v>4040</v>
      </c>
      <c r="B218" s="344">
        <v>46132.0</v>
      </c>
      <c r="C218" s="133" t="str">
        <f t="shared" ref="C218:C232" si="25">IF(B218="", "", TEXT(B218, "ddd"))</f>
        <v>Mon</v>
      </c>
      <c r="D218" s="381">
        <f t="shared" ref="D218:D232" si="26">IF(E218="Yes",0.05,0)
+IF(F218="Yes",0.1,0)
+IF(G218="Yes",0.15,0)
+IF(H218="Yes",0.15,0)
+IF(I218="Yes",0.05,0)
+IF(J218="Yes",0.05,0)
+IF(K218="Yes",0.15,0)
+IF(L218="Yes",0.3,0)
</f>
        <v>1</v>
      </c>
      <c r="E218" s="382" t="s">
        <v>129</v>
      </c>
      <c r="F218" s="137" t="s">
        <v>129</v>
      </c>
      <c r="G218" s="137" t="s">
        <v>129</v>
      </c>
      <c r="H218" s="137" t="s">
        <v>129</v>
      </c>
      <c r="I218" s="137" t="s">
        <v>129</v>
      </c>
      <c r="J218" s="137" t="s">
        <v>129</v>
      </c>
      <c r="K218" s="137" t="s">
        <v>129</v>
      </c>
      <c r="L218" s="137" t="s">
        <v>129</v>
      </c>
      <c r="M218" s="141"/>
      <c r="N218" s="143"/>
    </row>
    <row r="219" hidden="1" outlineLevel="1">
      <c r="A219" s="483" t="s">
        <v>4041</v>
      </c>
      <c r="B219" s="344">
        <v>46132.0</v>
      </c>
      <c r="C219" s="133" t="str">
        <f t="shared" si="25"/>
        <v>Mon</v>
      </c>
      <c r="D219" s="383">
        <f t="shared" si="26"/>
        <v>1</v>
      </c>
      <c r="E219" s="147" t="s">
        <v>129</v>
      </c>
      <c r="F219" s="137" t="s">
        <v>129</v>
      </c>
      <c r="G219" s="137" t="s">
        <v>129</v>
      </c>
      <c r="H219" s="137" t="s">
        <v>129</v>
      </c>
      <c r="I219" s="137" t="s">
        <v>129</v>
      </c>
      <c r="J219" s="137" t="s">
        <v>129</v>
      </c>
      <c r="K219" s="137" t="s">
        <v>129</v>
      </c>
      <c r="L219" s="137" t="s">
        <v>129</v>
      </c>
      <c r="M219" s="141"/>
      <c r="N219" s="147"/>
    </row>
    <row r="220" hidden="1" outlineLevel="1">
      <c r="A220" s="483" t="s">
        <v>4042</v>
      </c>
      <c r="B220" s="344">
        <v>46132.0</v>
      </c>
      <c r="C220" s="133" t="str">
        <f t="shared" si="25"/>
        <v>Mon</v>
      </c>
      <c r="D220" s="381">
        <f t="shared" si="26"/>
        <v>1</v>
      </c>
      <c r="E220" s="382" t="s">
        <v>129</v>
      </c>
      <c r="F220" s="137" t="s">
        <v>129</v>
      </c>
      <c r="G220" s="137" t="s">
        <v>129</v>
      </c>
      <c r="H220" s="137" t="s">
        <v>129</v>
      </c>
      <c r="I220" s="137" t="s">
        <v>129</v>
      </c>
      <c r="J220" s="137" t="s">
        <v>129</v>
      </c>
      <c r="K220" s="137" t="s">
        <v>129</v>
      </c>
      <c r="L220" s="137" t="s">
        <v>129</v>
      </c>
      <c r="M220" s="141"/>
      <c r="N220" s="147"/>
    </row>
    <row r="221" hidden="1" outlineLevel="1">
      <c r="A221" s="219" t="s">
        <v>145</v>
      </c>
      <c r="B221" s="344">
        <v>46135.0</v>
      </c>
      <c r="C221" s="133" t="str">
        <f t="shared" si="25"/>
        <v>Thu</v>
      </c>
      <c r="D221" s="383">
        <f t="shared" si="26"/>
        <v>1</v>
      </c>
      <c r="E221" s="147" t="s">
        <v>129</v>
      </c>
      <c r="F221" s="137" t="s">
        <v>129</v>
      </c>
      <c r="G221" s="137" t="s">
        <v>129</v>
      </c>
      <c r="H221" s="137" t="s">
        <v>129</v>
      </c>
      <c r="I221" s="137" t="s">
        <v>129</v>
      </c>
      <c r="J221" s="137" t="s">
        <v>129</v>
      </c>
      <c r="K221" s="137" t="s">
        <v>129</v>
      </c>
      <c r="L221" s="137" t="s">
        <v>129</v>
      </c>
      <c r="M221" s="141"/>
      <c r="N221" s="143"/>
    </row>
    <row r="222" hidden="1" outlineLevel="1">
      <c r="A222" s="219" t="s">
        <v>145</v>
      </c>
      <c r="B222" s="344">
        <v>46135.0</v>
      </c>
      <c r="C222" s="133" t="str">
        <f t="shared" si="25"/>
        <v>Thu</v>
      </c>
      <c r="D222" s="381">
        <f t="shared" si="26"/>
        <v>1</v>
      </c>
      <c r="E222" s="382" t="s">
        <v>129</v>
      </c>
      <c r="F222" s="137" t="s">
        <v>129</v>
      </c>
      <c r="G222" s="137" t="s">
        <v>129</v>
      </c>
      <c r="H222" s="137" t="s">
        <v>129</v>
      </c>
      <c r="I222" s="137" t="s">
        <v>129</v>
      </c>
      <c r="J222" s="137" t="s">
        <v>129</v>
      </c>
      <c r="K222" s="137" t="s">
        <v>129</v>
      </c>
      <c r="L222" s="137" t="s">
        <v>129</v>
      </c>
      <c r="M222" s="141"/>
      <c r="N222" s="143"/>
    </row>
    <row r="223" hidden="1" outlineLevel="1">
      <c r="A223" s="219" t="s">
        <v>145</v>
      </c>
      <c r="B223" s="344">
        <v>46135.0</v>
      </c>
      <c r="C223" s="133" t="str">
        <f t="shared" si="25"/>
        <v>Thu</v>
      </c>
      <c r="D223" s="383">
        <f t="shared" si="26"/>
        <v>1</v>
      </c>
      <c r="E223" s="147" t="s">
        <v>129</v>
      </c>
      <c r="F223" s="137" t="s">
        <v>129</v>
      </c>
      <c r="G223" s="137" t="s">
        <v>129</v>
      </c>
      <c r="H223" s="137" t="s">
        <v>129</v>
      </c>
      <c r="I223" s="137" t="s">
        <v>129</v>
      </c>
      <c r="J223" s="137" t="s">
        <v>129</v>
      </c>
      <c r="K223" s="137" t="s">
        <v>129</v>
      </c>
      <c r="L223" s="137" t="s">
        <v>129</v>
      </c>
      <c r="M223" s="141"/>
      <c r="N223" s="143"/>
    </row>
    <row r="224" hidden="1" outlineLevel="1">
      <c r="A224" s="433" t="s">
        <v>4043</v>
      </c>
      <c r="B224" s="344">
        <v>46136.0</v>
      </c>
      <c r="C224" s="133" t="str">
        <f t="shared" si="25"/>
        <v>Fri</v>
      </c>
      <c r="D224" s="381">
        <f t="shared" si="26"/>
        <v>1</v>
      </c>
      <c r="E224" s="382" t="s">
        <v>129</v>
      </c>
      <c r="F224" s="137" t="s">
        <v>129</v>
      </c>
      <c r="G224" s="137" t="s">
        <v>129</v>
      </c>
      <c r="H224" s="137" t="s">
        <v>129</v>
      </c>
      <c r="I224" s="137" t="s">
        <v>129</v>
      </c>
      <c r="J224" s="137" t="s">
        <v>129</v>
      </c>
      <c r="K224" s="137" t="s">
        <v>129</v>
      </c>
      <c r="L224" s="137" t="s">
        <v>129</v>
      </c>
      <c r="M224" s="141"/>
      <c r="N224" s="143"/>
    </row>
    <row r="225" hidden="1" outlineLevel="1">
      <c r="A225" s="303" t="s">
        <v>4044</v>
      </c>
      <c r="B225" s="344">
        <v>46136.0</v>
      </c>
      <c r="C225" s="133" t="str">
        <f t="shared" si="25"/>
        <v>Fri</v>
      </c>
      <c r="D225" s="383">
        <f t="shared" si="26"/>
        <v>1</v>
      </c>
      <c r="E225" s="147" t="s">
        <v>129</v>
      </c>
      <c r="F225" s="137" t="s">
        <v>129</v>
      </c>
      <c r="G225" s="137" t="s">
        <v>129</v>
      </c>
      <c r="H225" s="137" t="s">
        <v>129</v>
      </c>
      <c r="I225" s="137" t="s">
        <v>129</v>
      </c>
      <c r="J225" s="137" t="s">
        <v>129</v>
      </c>
      <c r="K225" s="137" t="s">
        <v>129</v>
      </c>
      <c r="L225" s="137" t="s">
        <v>129</v>
      </c>
      <c r="M225" s="141"/>
      <c r="N225" s="147"/>
    </row>
    <row r="226" hidden="1" outlineLevel="1">
      <c r="A226" s="433" t="s">
        <v>4046</v>
      </c>
      <c r="B226" s="344">
        <v>46136.0</v>
      </c>
      <c r="C226" s="133" t="str">
        <f t="shared" si="25"/>
        <v>Fri</v>
      </c>
      <c r="D226" s="381">
        <f t="shared" si="26"/>
        <v>1</v>
      </c>
      <c r="E226" s="382" t="s">
        <v>129</v>
      </c>
      <c r="F226" s="137" t="s">
        <v>129</v>
      </c>
      <c r="G226" s="137" t="s">
        <v>129</v>
      </c>
      <c r="H226" s="137" t="s">
        <v>129</v>
      </c>
      <c r="I226" s="137" t="s">
        <v>129</v>
      </c>
      <c r="J226" s="137" t="s">
        <v>129</v>
      </c>
      <c r="K226" s="137" t="s">
        <v>129</v>
      </c>
      <c r="L226" s="137" t="s">
        <v>129</v>
      </c>
      <c r="M226" s="141"/>
      <c r="N226" s="143"/>
    </row>
    <row r="227" hidden="1" outlineLevel="1">
      <c r="A227" s="479" t="s">
        <v>4048</v>
      </c>
      <c r="B227" s="344">
        <v>46137.0</v>
      </c>
      <c r="C227" s="133" t="str">
        <f t="shared" si="25"/>
        <v>Sat</v>
      </c>
      <c r="D227" s="383">
        <f t="shared" si="26"/>
        <v>1</v>
      </c>
      <c r="E227" s="147" t="s">
        <v>129</v>
      </c>
      <c r="F227" s="137" t="s">
        <v>129</v>
      </c>
      <c r="G227" s="137" t="s">
        <v>129</v>
      </c>
      <c r="H227" s="137" t="s">
        <v>129</v>
      </c>
      <c r="I227" s="137" t="s">
        <v>129</v>
      </c>
      <c r="J227" s="137" t="s">
        <v>129</v>
      </c>
      <c r="K227" s="137" t="s">
        <v>129</v>
      </c>
      <c r="L227" s="137" t="s">
        <v>129</v>
      </c>
      <c r="M227" s="141"/>
      <c r="N227" s="147"/>
    </row>
    <row r="228" hidden="1" outlineLevel="1">
      <c r="A228" s="433" t="s">
        <v>4050</v>
      </c>
      <c r="B228" s="344">
        <v>46137.0</v>
      </c>
      <c r="C228" s="133" t="str">
        <f t="shared" si="25"/>
        <v>Sat</v>
      </c>
      <c r="D228" s="381">
        <f t="shared" si="26"/>
        <v>1</v>
      </c>
      <c r="E228" s="382" t="s">
        <v>129</v>
      </c>
      <c r="F228" s="137" t="s">
        <v>129</v>
      </c>
      <c r="G228" s="137" t="s">
        <v>129</v>
      </c>
      <c r="H228" s="137" t="s">
        <v>129</v>
      </c>
      <c r="I228" s="137" t="s">
        <v>129</v>
      </c>
      <c r="J228" s="137" t="s">
        <v>129</v>
      </c>
      <c r="K228" s="137" t="s">
        <v>129</v>
      </c>
      <c r="L228" s="137" t="s">
        <v>129</v>
      </c>
      <c r="M228" s="141"/>
      <c r="N228" s="147"/>
    </row>
    <row r="229" hidden="1" outlineLevel="1">
      <c r="A229" s="433" t="s">
        <v>4053</v>
      </c>
      <c r="B229" s="344">
        <v>46137.0</v>
      </c>
      <c r="C229" s="133" t="str">
        <f t="shared" si="25"/>
        <v>Sat</v>
      </c>
      <c r="D229" s="383">
        <f t="shared" si="26"/>
        <v>1</v>
      </c>
      <c r="E229" s="147" t="s">
        <v>129</v>
      </c>
      <c r="F229" s="137" t="s">
        <v>129</v>
      </c>
      <c r="G229" s="137" t="s">
        <v>129</v>
      </c>
      <c r="H229" s="137" t="s">
        <v>129</v>
      </c>
      <c r="I229" s="137" t="s">
        <v>129</v>
      </c>
      <c r="J229" s="137" t="s">
        <v>129</v>
      </c>
      <c r="K229" s="137" t="s">
        <v>129</v>
      </c>
      <c r="L229" s="137" t="s">
        <v>129</v>
      </c>
      <c r="M229" s="141"/>
      <c r="N229" s="147"/>
    </row>
    <row r="230" hidden="1" outlineLevel="1">
      <c r="A230" s="433" t="s">
        <v>4055</v>
      </c>
      <c r="B230" s="344">
        <v>46138.0</v>
      </c>
      <c r="C230" s="133" t="str">
        <f t="shared" si="25"/>
        <v>Sun</v>
      </c>
      <c r="D230" s="381">
        <f t="shared" si="26"/>
        <v>1</v>
      </c>
      <c r="E230" s="382" t="s">
        <v>129</v>
      </c>
      <c r="F230" s="137" t="s">
        <v>129</v>
      </c>
      <c r="G230" s="137" t="s">
        <v>129</v>
      </c>
      <c r="H230" s="137" t="s">
        <v>129</v>
      </c>
      <c r="I230" s="137" t="s">
        <v>129</v>
      </c>
      <c r="J230" s="137" t="s">
        <v>129</v>
      </c>
      <c r="K230" s="137" t="s">
        <v>129</v>
      </c>
      <c r="L230" s="137" t="s">
        <v>129</v>
      </c>
      <c r="M230" s="141"/>
      <c r="N230" s="143"/>
    </row>
    <row r="231" hidden="1" outlineLevel="1">
      <c r="A231" s="433" t="s">
        <v>4062</v>
      </c>
      <c r="B231" s="344">
        <v>46138.0</v>
      </c>
      <c r="C231" s="133" t="str">
        <f t="shared" si="25"/>
        <v>Sun</v>
      </c>
      <c r="D231" s="383">
        <f t="shared" si="26"/>
        <v>1</v>
      </c>
      <c r="E231" s="147" t="s">
        <v>129</v>
      </c>
      <c r="F231" s="137" t="s">
        <v>129</v>
      </c>
      <c r="G231" s="137" t="s">
        <v>129</v>
      </c>
      <c r="H231" s="137" t="s">
        <v>129</v>
      </c>
      <c r="I231" s="137" t="s">
        <v>129</v>
      </c>
      <c r="J231" s="137" t="s">
        <v>129</v>
      </c>
      <c r="K231" s="137" t="s">
        <v>129</v>
      </c>
      <c r="L231" s="137" t="s">
        <v>129</v>
      </c>
      <c r="M231" s="141"/>
      <c r="N231" s="143"/>
    </row>
    <row r="232" ht="15.0" hidden="1" customHeight="1" outlineLevel="1">
      <c r="A232" s="433" t="s">
        <v>4065</v>
      </c>
      <c r="B232" s="344">
        <v>46138.0</v>
      </c>
      <c r="C232" s="133" t="str">
        <f t="shared" si="25"/>
        <v>Sun</v>
      </c>
      <c r="D232" s="381">
        <f t="shared" si="26"/>
        <v>1</v>
      </c>
      <c r="E232" s="382" t="s">
        <v>129</v>
      </c>
      <c r="F232" s="137" t="s">
        <v>129</v>
      </c>
      <c r="G232" s="137" t="s">
        <v>129</v>
      </c>
      <c r="H232" s="137" t="s">
        <v>129</v>
      </c>
      <c r="I232" s="137" t="s">
        <v>129</v>
      </c>
      <c r="J232" s="137" t="s">
        <v>129</v>
      </c>
      <c r="K232" s="137" t="s">
        <v>129</v>
      </c>
      <c r="L232" s="137" t="s">
        <v>129</v>
      </c>
      <c r="M232" s="141"/>
      <c r="N232" s="147"/>
    </row>
    <row r="233" hidden="1" outlineLevel="1">
      <c r="B233" s="189"/>
      <c r="C233" s="191" t="s">
        <v>194</v>
      </c>
      <c r="D233" s="204">
        <f>AVERAGE(D218:D232)</f>
        <v>1</v>
      </c>
      <c r="E233" s="384"/>
      <c r="L233" s="191" t="s">
        <v>194</v>
      </c>
      <c r="M233" s="204">
        <f>SUM(M218:M232)/75*0.1</f>
        <v>0</v>
      </c>
    </row>
    <row r="234" hidden="1" collapsed="1">
      <c r="A234" s="206" t="s">
        <v>978</v>
      </c>
      <c r="B234" s="207"/>
      <c r="C234" s="207"/>
      <c r="D234" s="385"/>
      <c r="E234" s="109"/>
      <c r="F234" s="109"/>
      <c r="G234" s="110"/>
      <c r="H234" s="110"/>
      <c r="I234" s="110"/>
      <c r="J234" s="110"/>
      <c r="K234" s="110"/>
      <c r="L234" s="110"/>
      <c r="M234" s="111"/>
      <c r="N234" s="113"/>
    </row>
    <row r="235" hidden="1" outlineLevel="1">
      <c r="A235" s="373" t="s">
        <v>98</v>
      </c>
      <c r="B235" s="115" t="s">
        <v>100</v>
      </c>
      <c r="C235" s="115" t="s">
        <v>102</v>
      </c>
      <c r="D235" s="119" t="s">
        <v>103</v>
      </c>
      <c r="E235" s="275" t="s">
        <v>269</v>
      </c>
      <c r="F235" s="275" t="s">
        <v>272</v>
      </c>
      <c r="G235" s="276" t="s">
        <v>328</v>
      </c>
      <c r="H235" s="121" t="s">
        <v>107</v>
      </c>
      <c r="I235" s="121" t="s">
        <v>108</v>
      </c>
      <c r="J235" s="276" t="s">
        <v>329</v>
      </c>
      <c r="K235" s="121" t="s">
        <v>111</v>
      </c>
      <c r="L235" s="276" t="s">
        <v>274</v>
      </c>
      <c r="M235" s="115" t="s">
        <v>114</v>
      </c>
      <c r="N235" s="119" t="s">
        <v>115</v>
      </c>
    </row>
    <row r="236" hidden="1" outlineLevel="1">
      <c r="A236" s="433" t="s">
        <v>4067</v>
      </c>
      <c r="B236" s="344">
        <v>46139.0</v>
      </c>
      <c r="C236" s="133" t="str">
        <f t="shared" ref="C236:C250" si="27">IF(B236="", "", TEXT(B236, "ddd"))</f>
        <v>Mon</v>
      </c>
      <c r="D236" s="381">
        <f t="shared" ref="D236:D250" si="28">IF(E236="Yes",0.05,0)
+IF(F236="Yes",0.1,0)
+IF(G236="Yes",0.15,0)
+IF(H236="Yes",0.15,0)
+IF(I236="Yes",0.05,0)
+IF(J236="Yes",0.05,0)
+IF(K236="Yes",0.15,0)
+IF(L236="Yes",0.3,0)
</f>
        <v>1</v>
      </c>
      <c r="E236" s="382" t="s">
        <v>129</v>
      </c>
      <c r="F236" s="137" t="s">
        <v>129</v>
      </c>
      <c r="G236" s="137" t="s">
        <v>129</v>
      </c>
      <c r="H236" s="137" t="s">
        <v>129</v>
      </c>
      <c r="I236" s="137" t="s">
        <v>129</v>
      </c>
      <c r="J236" s="137" t="s">
        <v>129</v>
      </c>
      <c r="K236" s="137" t="s">
        <v>129</v>
      </c>
      <c r="L236" s="137" t="s">
        <v>129</v>
      </c>
      <c r="M236" s="141"/>
      <c r="N236" s="143"/>
    </row>
    <row r="237" hidden="1" outlineLevel="1">
      <c r="A237" s="367" t="s">
        <v>4069</v>
      </c>
      <c r="B237" s="344">
        <v>46139.0</v>
      </c>
      <c r="C237" s="133" t="str">
        <f t="shared" si="27"/>
        <v>Mon</v>
      </c>
      <c r="D237" s="383">
        <f t="shared" si="28"/>
        <v>1</v>
      </c>
      <c r="E237" s="147" t="s">
        <v>129</v>
      </c>
      <c r="F237" s="137" t="s">
        <v>129</v>
      </c>
      <c r="G237" s="137" t="s">
        <v>129</v>
      </c>
      <c r="H237" s="137" t="s">
        <v>129</v>
      </c>
      <c r="I237" s="137" t="s">
        <v>129</v>
      </c>
      <c r="J237" s="137" t="s">
        <v>129</v>
      </c>
      <c r="K237" s="137" t="s">
        <v>129</v>
      </c>
      <c r="L237" s="137" t="s">
        <v>129</v>
      </c>
      <c r="M237" s="141"/>
      <c r="N237" s="147"/>
    </row>
    <row r="238" hidden="1" outlineLevel="1">
      <c r="A238" s="367" t="s">
        <v>4073</v>
      </c>
      <c r="B238" s="344">
        <v>46139.0</v>
      </c>
      <c r="C238" s="133" t="str">
        <f t="shared" si="27"/>
        <v>Mon</v>
      </c>
      <c r="D238" s="381">
        <f t="shared" si="28"/>
        <v>1</v>
      </c>
      <c r="E238" s="382" t="s">
        <v>129</v>
      </c>
      <c r="F238" s="137" t="s">
        <v>129</v>
      </c>
      <c r="G238" s="137" t="s">
        <v>129</v>
      </c>
      <c r="H238" s="137" t="s">
        <v>129</v>
      </c>
      <c r="I238" s="137" t="s">
        <v>129</v>
      </c>
      <c r="J238" s="137" t="s">
        <v>129</v>
      </c>
      <c r="K238" s="137" t="s">
        <v>129</v>
      </c>
      <c r="L238" s="137" t="s">
        <v>129</v>
      </c>
      <c r="M238" s="141"/>
      <c r="N238" s="147"/>
    </row>
    <row r="239" hidden="1" outlineLevel="1">
      <c r="A239" s="390" t="s">
        <v>4075</v>
      </c>
      <c r="B239" s="344">
        <v>46142.0</v>
      </c>
      <c r="C239" s="133" t="str">
        <f t="shared" si="27"/>
        <v>Thu</v>
      </c>
      <c r="D239" s="383">
        <f t="shared" si="28"/>
        <v>1</v>
      </c>
      <c r="E239" s="147" t="s">
        <v>129</v>
      </c>
      <c r="F239" s="137" t="s">
        <v>129</v>
      </c>
      <c r="G239" s="137" t="s">
        <v>129</v>
      </c>
      <c r="H239" s="137" t="s">
        <v>129</v>
      </c>
      <c r="I239" s="137" t="s">
        <v>129</v>
      </c>
      <c r="J239" s="137" t="s">
        <v>129</v>
      </c>
      <c r="K239" s="137" t="s">
        <v>129</v>
      </c>
      <c r="L239" s="137" t="s">
        <v>129</v>
      </c>
      <c r="M239" s="141"/>
      <c r="N239" s="143"/>
    </row>
    <row r="240" hidden="1" outlineLevel="1">
      <c r="A240" s="391" t="s">
        <v>4077</v>
      </c>
      <c r="B240" s="344">
        <v>46142.0</v>
      </c>
      <c r="C240" s="133" t="str">
        <f t="shared" si="27"/>
        <v>Thu</v>
      </c>
      <c r="D240" s="381">
        <f t="shared" si="28"/>
        <v>1</v>
      </c>
      <c r="E240" s="382" t="s">
        <v>129</v>
      </c>
      <c r="F240" s="137" t="s">
        <v>129</v>
      </c>
      <c r="G240" s="137" t="s">
        <v>129</v>
      </c>
      <c r="H240" s="137" t="s">
        <v>129</v>
      </c>
      <c r="I240" s="137" t="s">
        <v>129</v>
      </c>
      <c r="J240" s="137" t="s">
        <v>129</v>
      </c>
      <c r="K240" s="137" t="s">
        <v>129</v>
      </c>
      <c r="L240" s="137" t="s">
        <v>129</v>
      </c>
      <c r="M240" s="141"/>
      <c r="N240" s="143"/>
    </row>
    <row r="241" hidden="1" outlineLevel="1">
      <c r="A241" s="391" t="s">
        <v>4080</v>
      </c>
      <c r="B241" s="344">
        <v>46142.0</v>
      </c>
      <c r="C241" s="133" t="str">
        <f t="shared" si="27"/>
        <v>Thu</v>
      </c>
      <c r="D241" s="383">
        <f t="shared" si="28"/>
        <v>1</v>
      </c>
      <c r="E241" s="147" t="s">
        <v>129</v>
      </c>
      <c r="F241" s="137" t="s">
        <v>129</v>
      </c>
      <c r="G241" s="137" t="s">
        <v>129</v>
      </c>
      <c r="H241" s="137" t="s">
        <v>129</v>
      </c>
      <c r="I241" s="137" t="s">
        <v>129</v>
      </c>
      <c r="J241" s="137" t="s">
        <v>129</v>
      </c>
      <c r="K241" s="137" t="s">
        <v>129</v>
      </c>
      <c r="L241" s="137" t="s">
        <v>129</v>
      </c>
      <c r="M241" s="141"/>
      <c r="N241" s="143"/>
    </row>
    <row r="242" hidden="1" outlineLevel="1">
      <c r="A242" s="390" t="s">
        <v>4081</v>
      </c>
      <c r="B242" s="344">
        <v>46143.0</v>
      </c>
      <c r="C242" s="133" t="str">
        <f t="shared" si="27"/>
        <v>Fri</v>
      </c>
      <c r="D242" s="381">
        <f t="shared" si="28"/>
        <v>1</v>
      </c>
      <c r="E242" s="382" t="s">
        <v>129</v>
      </c>
      <c r="F242" s="137" t="s">
        <v>129</v>
      </c>
      <c r="G242" s="137" t="s">
        <v>129</v>
      </c>
      <c r="H242" s="137" t="s">
        <v>129</v>
      </c>
      <c r="I242" s="137" t="s">
        <v>129</v>
      </c>
      <c r="J242" s="137" t="s">
        <v>129</v>
      </c>
      <c r="K242" s="137" t="s">
        <v>129</v>
      </c>
      <c r="L242" s="137" t="s">
        <v>129</v>
      </c>
      <c r="M242" s="141"/>
      <c r="N242" s="143"/>
    </row>
    <row r="243" hidden="1" outlineLevel="1">
      <c r="A243" s="391" t="s">
        <v>4083</v>
      </c>
      <c r="B243" s="344">
        <v>46143.0</v>
      </c>
      <c r="C243" s="133" t="str">
        <f t="shared" si="27"/>
        <v>Fri</v>
      </c>
      <c r="D243" s="383">
        <f t="shared" si="28"/>
        <v>1</v>
      </c>
      <c r="E243" s="147" t="s">
        <v>129</v>
      </c>
      <c r="F243" s="137" t="s">
        <v>129</v>
      </c>
      <c r="G243" s="137" t="s">
        <v>129</v>
      </c>
      <c r="H243" s="137" t="s">
        <v>129</v>
      </c>
      <c r="I243" s="137" t="s">
        <v>129</v>
      </c>
      <c r="J243" s="137" t="s">
        <v>129</v>
      </c>
      <c r="K243" s="137" t="s">
        <v>129</v>
      </c>
      <c r="L243" s="137" t="s">
        <v>129</v>
      </c>
      <c r="M243" s="141"/>
      <c r="N243" s="147"/>
    </row>
    <row r="244" hidden="1" outlineLevel="1">
      <c r="A244" s="390" t="s">
        <v>4085</v>
      </c>
      <c r="B244" s="344">
        <v>46143.0</v>
      </c>
      <c r="C244" s="133" t="str">
        <f t="shared" si="27"/>
        <v>Fri</v>
      </c>
      <c r="D244" s="381">
        <f t="shared" si="28"/>
        <v>1</v>
      </c>
      <c r="E244" s="382" t="s">
        <v>129</v>
      </c>
      <c r="F244" s="137" t="s">
        <v>129</v>
      </c>
      <c r="G244" s="137" t="s">
        <v>129</v>
      </c>
      <c r="H244" s="137" t="s">
        <v>129</v>
      </c>
      <c r="I244" s="137" t="s">
        <v>129</v>
      </c>
      <c r="J244" s="137" t="s">
        <v>129</v>
      </c>
      <c r="K244" s="137" t="s">
        <v>129</v>
      </c>
      <c r="L244" s="137" t="s">
        <v>129</v>
      </c>
      <c r="M244" s="141"/>
      <c r="N244" s="143"/>
    </row>
    <row r="245" hidden="1" outlineLevel="1">
      <c r="A245" s="558"/>
      <c r="B245" s="344"/>
      <c r="C245" s="133" t="str">
        <f t="shared" si="27"/>
        <v/>
      </c>
      <c r="D245" s="383">
        <f t="shared" si="28"/>
        <v>1</v>
      </c>
      <c r="E245" s="147" t="s">
        <v>129</v>
      </c>
      <c r="F245" s="137" t="s">
        <v>129</v>
      </c>
      <c r="G245" s="137" t="s">
        <v>129</v>
      </c>
      <c r="H245" s="137" t="s">
        <v>129</v>
      </c>
      <c r="I245" s="137" t="s">
        <v>129</v>
      </c>
      <c r="J245" s="137" t="s">
        <v>129</v>
      </c>
      <c r="K245" s="137" t="s">
        <v>129</v>
      </c>
      <c r="L245" s="137" t="s">
        <v>129</v>
      </c>
      <c r="M245" s="141"/>
      <c r="N245" s="147"/>
    </row>
    <row r="246" hidden="1" outlineLevel="1">
      <c r="A246" s="415"/>
      <c r="B246" s="344"/>
      <c r="C246" s="133" t="str">
        <f t="shared" si="27"/>
        <v/>
      </c>
      <c r="D246" s="381">
        <f t="shared" si="28"/>
        <v>1</v>
      </c>
      <c r="E246" s="382" t="s">
        <v>129</v>
      </c>
      <c r="F246" s="137" t="s">
        <v>129</v>
      </c>
      <c r="G246" s="137" t="s">
        <v>129</v>
      </c>
      <c r="H246" s="137" t="s">
        <v>129</v>
      </c>
      <c r="I246" s="137" t="s">
        <v>129</v>
      </c>
      <c r="J246" s="137" t="s">
        <v>129</v>
      </c>
      <c r="K246" s="137" t="s">
        <v>129</v>
      </c>
      <c r="L246" s="137" t="s">
        <v>129</v>
      </c>
      <c r="M246" s="141"/>
      <c r="N246" s="147"/>
    </row>
    <row r="247" hidden="1" outlineLevel="1">
      <c r="A247" s="415"/>
      <c r="B247" s="344"/>
      <c r="C247" s="133" t="str">
        <f t="shared" si="27"/>
        <v/>
      </c>
      <c r="D247" s="383">
        <f t="shared" si="28"/>
        <v>1</v>
      </c>
      <c r="E247" s="147" t="s">
        <v>129</v>
      </c>
      <c r="F247" s="137" t="s">
        <v>129</v>
      </c>
      <c r="G247" s="137" t="s">
        <v>129</v>
      </c>
      <c r="H247" s="137" t="s">
        <v>129</v>
      </c>
      <c r="I247" s="137" t="s">
        <v>129</v>
      </c>
      <c r="J247" s="137" t="s">
        <v>129</v>
      </c>
      <c r="K247" s="137" t="s">
        <v>129</v>
      </c>
      <c r="L247" s="137" t="s">
        <v>129</v>
      </c>
      <c r="M247" s="141"/>
      <c r="N247" s="147"/>
    </row>
    <row r="248" hidden="1" outlineLevel="1">
      <c r="A248" s="255"/>
      <c r="B248" s="344"/>
      <c r="C248" s="133" t="str">
        <f t="shared" si="27"/>
        <v/>
      </c>
      <c r="D248" s="381">
        <f t="shared" si="28"/>
        <v>1</v>
      </c>
      <c r="E248" s="382" t="s">
        <v>129</v>
      </c>
      <c r="F248" s="137" t="s">
        <v>129</v>
      </c>
      <c r="G248" s="137" t="s">
        <v>129</v>
      </c>
      <c r="H248" s="137" t="s">
        <v>129</v>
      </c>
      <c r="I248" s="137" t="s">
        <v>129</v>
      </c>
      <c r="J248" s="137" t="s">
        <v>129</v>
      </c>
      <c r="K248" s="137" t="s">
        <v>129</v>
      </c>
      <c r="L248" s="137" t="s">
        <v>129</v>
      </c>
      <c r="M248" s="141"/>
      <c r="N248" s="143"/>
    </row>
    <row r="249" hidden="1" outlineLevel="1">
      <c r="A249" s="255"/>
      <c r="B249" s="344"/>
      <c r="C249" s="133" t="str">
        <f t="shared" si="27"/>
        <v/>
      </c>
      <c r="D249" s="383">
        <f t="shared" si="28"/>
        <v>1</v>
      </c>
      <c r="E249" s="147" t="s">
        <v>129</v>
      </c>
      <c r="F249" s="137" t="s">
        <v>129</v>
      </c>
      <c r="G249" s="137" t="s">
        <v>129</v>
      </c>
      <c r="H249" s="137" t="s">
        <v>129</v>
      </c>
      <c r="I249" s="137" t="s">
        <v>129</v>
      </c>
      <c r="J249" s="137" t="s">
        <v>129</v>
      </c>
      <c r="K249" s="137" t="s">
        <v>129</v>
      </c>
      <c r="L249" s="137" t="s">
        <v>129</v>
      </c>
      <c r="M249" s="141"/>
      <c r="N249" s="143"/>
    </row>
    <row r="250" ht="15.0" hidden="1" customHeight="1" outlineLevel="1">
      <c r="A250" s="255"/>
      <c r="B250" s="344"/>
      <c r="C250" s="133" t="str">
        <f t="shared" si="27"/>
        <v/>
      </c>
      <c r="D250" s="381">
        <f t="shared" si="28"/>
        <v>1</v>
      </c>
      <c r="E250" s="382" t="s">
        <v>129</v>
      </c>
      <c r="F250" s="137" t="s">
        <v>129</v>
      </c>
      <c r="G250" s="137" t="s">
        <v>129</v>
      </c>
      <c r="H250" s="137" t="s">
        <v>129</v>
      </c>
      <c r="I250" s="137" t="s">
        <v>129</v>
      </c>
      <c r="J250" s="137" t="s">
        <v>129</v>
      </c>
      <c r="K250" s="137" t="s">
        <v>129</v>
      </c>
      <c r="L250" s="137" t="s">
        <v>129</v>
      </c>
      <c r="M250" s="141"/>
      <c r="N250" s="147"/>
    </row>
    <row r="251" hidden="1" outlineLevel="1">
      <c r="B251" s="189"/>
      <c r="C251" s="191" t="s">
        <v>194</v>
      </c>
      <c r="D251" s="204">
        <f>AVERAGE(D236:D250)</f>
        <v>1</v>
      </c>
      <c r="E251" s="384"/>
      <c r="L251" s="191" t="s">
        <v>194</v>
      </c>
      <c r="M251" s="204">
        <f>SUM(M236:M250)/75*0.1</f>
        <v>0</v>
      </c>
    </row>
    <row r="252" hidden="1" collapsed="1">
      <c r="A252" s="206" t="s">
        <v>1006</v>
      </c>
      <c r="B252" s="207"/>
      <c r="C252" s="207"/>
      <c r="D252" s="385"/>
      <c r="E252" s="109"/>
      <c r="F252" s="109"/>
      <c r="G252" s="110"/>
      <c r="H252" s="110"/>
      <c r="I252" s="110"/>
      <c r="J252" s="110"/>
      <c r="K252" s="110"/>
      <c r="L252" s="110"/>
      <c r="M252" s="111"/>
      <c r="N252" s="113"/>
    </row>
    <row r="253" hidden="1" outlineLevel="1">
      <c r="A253" s="373" t="s">
        <v>98</v>
      </c>
      <c r="B253" s="115" t="s">
        <v>100</v>
      </c>
      <c r="C253" s="115" t="s">
        <v>102</v>
      </c>
      <c r="D253" s="119" t="s">
        <v>103</v>
      </c>
      <c r="E253" s="275" t="s">
        <v>269</v>
      </c>
      <c r="F253" s="275" t="s">
        <v>272</v>
      </c>
      <c r="G253" s="276" t="s">
        <v>328</v>
      </c>
      <c r="H253" s="121" t="s">
        <v>107</v>
      </c>
      <c r="I253" s="121" t="s">
        <v>108</v>
      </c>
      <c r="J253" s="276" t="s">
        <v>329</v>
      </c>
      <c r="K253" s="121" t="s">
        <v>111</v>
      </c>
      <c r="L253" s="276" t="s">
        <v>274</v>
      </c>
      <c r="M253" s="115" t="s">
        <v>114</v>
      </c>
      <c r="N253" s="119" t="s">
        <v>115</v>
      </c>
    </row>
    <row r="254" hidden="1" outlineLevel="1">
      <c r="A254" s="390" t="s">
        <v>4093</v>
      </c>
      <c r="B254" s="344">
        <v>46148.0</v>
      </c>
      <c r="C254" s="133" t="str">
        <f t="shared" ref="C254:C268" si="29">IF(B254="", "", TEXT(B254, "ddd"))</f>
        <v>Wed</v>
      </c>
      <c r="D254" s="381">
        <f t="shared" ref="D254:D268" si="30">IF(E254="Yes",0.05,0)
+IF(F254="Yes",0.1,0)
+IF(G254="Yes",0.15,0)
+IF(H254="Yes",0.15,0)
+IF(I254="Yes",0.05,0)
+IF(J254="Yes",0.05,0)
+IF(K254="Yes",0.15,0)
+IF(L254="Yes",0.3,0)
</f>
        <v>1</v>
      </c>
      <c r="E254" s="382" t="s">
        <v>129</v>
      </c>
      <c r="F254" s="137" t="s">
        <v>129</v>
      </c>
      <c r="G254" s="137" t="s">
        <v>129</v>
      </c>
      <c r="H254" s="137" t="s">
        <v>129</v>
      </c>
      <c r="I254" s="137" t="s">
        <v>129</v>
      </c>
      <c r="J254" s="137" t="s">
        <v>129</v>
      </c>
      <c r="K254" s="137" t="s">
        <v>129</v>
      </c>
      <c r="L254" s="137" t="s">
        <v>129</v>
      </c>
      <c r="M254" s="141"/>
      <c r="N254" s="143"/>
    </row>
    <row r="255" hidden="1" outlineLevel="1">
      <c r="A255" s="391" t="s">
        <v>4096</v>
      </c>
      <c r="B255" s="344">
        <v>46148.0</v>
      </c>
      <c r="C255" s="133" t="str">
        <f t="shared" si="29"/>
        <v>Wed</v>
      </c>
      <c r="D255" s="383">
        <f t="shared" si="30"/>
        <v>1</v>
      </c>
      <c r="E255" s="147" t="s">
        <v>129</v>
      </c>
      <c r="F255" s="137" t="s">
        <v>129</v>
      </c>
      <c r="G255" s="137" t="s">
        <v>129</v>
      </c>
      <c r="H255" s="137" t="s">
        <v>129</v>
      </c>
      <c r="I255" s="137" t="s">
        <v>129</v>
      </c>
      <c r="J255" s="137" t="s">
        <v>129</v>
      </c>
      <c r="K255" s="137" t="s">
        <v>129</v>
      </c>
      <c r="L255" s="137" t="s">
        <v>129</v>
      </c>
      <c r="M255" s="141"/>
      <c r="N255" s="147"/>
    </row>
    <row r="256" hidden="1" outlineLevel="1">
      <c r="A256" s="391" t="s">
        <v>4098</v>
      </c>
      <c r="B256" s="344">
        <v>46148.0</v>
      </c>
      <c r="C256" s="133" t="str">
        <f t="shared" si="29"/>
        <v>Wed</v>
      </c>
      <c r="D256" s="381">
        <f t="shared" si="30"/>
        <v>1</v>
      </c>
      <c r="E256" s="382" t="s">
        <v>129</v>
      </c>
      <c r="F256" s="137" t="s">
        <v>129</v>
      </c>
      <c r="G256" s="137" t="s">
        <v>129</v>
      </c>
      <c r="H256" s="137" t="s">
        <v>129</v>
      </c>
      <c r="I256" s="137" t="s">
        <v>129</v>
      </c>
      <c r="J256" s="137" t="s">
        <v>129</v>
      </c>
      <c r="K256" s="137" t="s">
        <v>129</v>
      </c>
      <c r="L256" s="137" t="s">
        <v>129</v>
      </c>
      <c r="M256" s="141"/>
      <c r="N256" s="147"/>
    </row>
    <row r="257" hidden="1" outlineLevel="1">
      <c r="A257" s="390" t="s">
        <v>4102</v>
      </c>
      <c r="B257" s="344">
        <v>46149.0</v>
      </c>
      <c r="C257" s="133" t="str">
        <f t="shared" si="29"/>
        <v>Thu</v>
      </c>
      <c r="D257" s="383">
        <f t="shared" si="30"/>
        <v>1</v>
      </c>
      <c r="E257" s="147" t="s">
        <v>129</v>
      </c>
      <c r="F257" s="137" t="s">
        <v>129</v>
      </c>
      <c r="G257" s="137" t="s">
        <v>129</v>
      </c>
      <c r="H257" s="137" t="s">
        <v>129</v>
      </c>
      <c r="I257" s="137" t="s">
        <v>129</v>
      </c>
      <c r="J257" s="137" t="s">
        <v>129</v>
      </c>
      <c r="K257" s="137" t="s">
        <v>129</v>
      </c>
      <c r="L257" s="137" t="s">
        <v>129</v>
      </c>
      <c r="M257" s="141"/>
      <c r="N257" s="143"/>
    </row>
    <row r="258" hidden="1" outlineLevel="1">
      <c r="A258" s="390" t="s">
        <v>4104</v>
      </c>
      <c r="B258" s="344">
        <v>46149.0</v>
      </c>
      <c r="C258" s="133" t="str">
        <f t="shared" si="29"/>
        <v>Thu</v>
      </c>
      <c r="D258" s="381">
        <f t="shared" si="30"/>
        <v>1</v>
      </c>
      <c r="E258" s="382" t="s">
        <v>129</v>
      </c>
      <c r="F258" s="137" t="s">
        <v>129</v>
      </c>
      <c r="G258" s="137" t="s">
        <v>129</v>
      </c>
      <c r="H258" s="137" t="s">
        <v>129</v>
      </c>
      <c r="I258" s="137" t="s">
        <v>129</v>
      </c>
      <c r="J258" s="137" t="s">
        <v>129</v>
      </c>
      <c r="K258" s="137" t="s">
        <v>129</v>
      </c>
      <c r="L258" s="137" t="s">
        <v>129</v>
      </c>
      <c r="M258" s="141"/>
      <c r="N258" s="143"/>
    </row>
    <row r="259" hidden="1" outlineLevel="1">
      <c r="A259" s="391" t="s">
        <v>4106</v>
      </c>
      <c r="B259" s="344">
        <v>46149.0</v>
      </c>
      <c r="C259" s="133" t="str">
        <f t="shared" si="29"/>
        <v>Thu</v>
      </c>
      <c r="D259" s="383">
        <f t="shared" si="30"/>
        <v>1</v>
      </c>
      <c r="E259" s="147" t="s">
        <v>129</v>
      </c>
      <c r="F259" s="137" t="s">
        <v>129</v>
      </c>
      <c r="G259" s="137" t="s">
        <v>129</v>
      </c>
      <c r="H259" s="137" t="s">
        <v>129</v>
      </c>
      <c r="I259" s="137" t="s">
        <v>129</v>
      </c>
      <c r="J259" s="137" t="s">
        <v>129</v>
      </c>
      <c r="K259" s="137" t="s">
        <v>129</v>
      </c>
      <c r="L259" s="137" t="s">
        <v>129</v>
      </c>
      <c r="M259" s="141"/>
      <c r="N259" s="143"/>
    </row>
    <row r="260" hidden="1" outlineLevel="1">
      <c r="A260" s="390" t="s">
        <v>4108</v>
      </c>
      <c r="B260" s="344">
        <v>46150.0</v>
      </c>
      <c r="C260" s="133" t="str">
        <f t="shared" si="29"/>
        <v>Fri</v>
      </c>
      <c r="D260" s="381">
        <f t="shared" si="30"/>
        <v>1</v>
      </c>
      <c r="E260" s="382" t="s">
        <v>129</v>
      </c>
      <c r="F260" s="137" t="s">
        <v>129</v>
      </c>
      <c r="G260" s="137" t="s">
        <v>129</v>
      </c>
      <c r="H260" s="137" t="s">
        <v>129</v>
      </c>
      <c r="I260" s="137" t="s">
        <v>129</v>
      </c>
      <c r="J260" s="137" t="s">
        <v>129</v>
      </c>
      <c r="K260" s="137" t="s">
        <v>129</v>
      </c>
      <c r="L260" s="137" t="s">
        <v>129</v>
      </c>
      <c r="M260" s="141"/>
      <c r="N260" s="143"/>
    </row>
    <row r="261" hidden="1" outlineLevel="1">
      <c r="A261" s="391" t="s">
        <v>4110</v>
      </c>
      <c r="B261" s="344">
        <v>46150.0</v>
      </c>
      <c r="C261" s="133" t="str">
        <f t="shared" si="29"/>
        <v>Fri</v>
      </c>
      <c r="D261" s="383">
        <f t="shared" si="30"/>
        <v>1</v>
      </c>
      <c r="E261" s="147" t="s">
        <v>129</v>
      </c>
      <c r="F261" s="137" t="s">
        <v>129</v>
      </c>
      <c r="G261" s="137" t="s">
        <v>129</v>
      </c>
      <c r="H261" s="137" t="s">
        <v>129</v>
      </c>
      <c r="I261" s="137" t="s">
        <v>129</v>
      </c>
      <c r="J261" s="137" t="s">
        <v>129</v>
      </c>
      <c r="K261" s="137" t="s">
        <v>129</v>
      </c>
      <c r="L261" s="137" t="s">
        <v>129</v>
      </c>
      <c r="M261" s="141"/>
      <c r="N261" s="147"/>
    </row>
    <row r="262" hidden="1" outlineLevel="1">
      <c r="A262" s="390" t="s">
        <v>4111</v>
      </c>
      <c r="B262" s="344">
        <v>46150.0</v>
      </c>
      <c r="C262" s="133" t="str">
        <f t="shared" si="29"/>
        <v>Fri</v>
      </c>
      <c r="D262" s="381">
        <f t="shared" si="30"/>
        <v>1</v>
      </c>
      <c r="E262" s="382" t="s">
        <v>129</v>
      </c>
      <c r="F262" s="137" t="s">
        <v>129</v>
      </c>
      <c r="G262" s="137" t="s">
        <v>129</v>
      </c>
      <c r="H262" s="137" t="s">
        <v>129</v>
      </c>
      <c r="I262" s="137" t="s">
        <v>129</v>
      </c>
      <c r="J262" s="137" t="s">
        <v>129</v>
      </c>
      <c r="K262" s="137" t="s">
        <v>129</v>
      </c>
      <c r="L262" s="137" t="s">
        <v>129</v>
      </c>
      <c r="M262" s="141"/>
      <c r="N262" s="143"/>
    </row>
    <row r="263" hidden="1" outlineLevel="1">
      <c r="A263" s="391" t="s">
        <v>4112</v>
      </c>
      <c r="B263" s="344">
        <v>46151.0</v>
      </c>
      <c r="C263" s="133" t="str">
        <f t="shared" si="29"/>
        <v>Sat</v>
      </c>
      <c r="D263" s="383">
        <f t="shared" si="30"/>
        <v>1</v>
      </c>
      <c r="E263" s="147" t="s">
        <v>129</v>
      </c>
      <c r="F263" s="137" t="s">
        <v>129</v>
      </c>
      <c r="G263" s="137" t="s">
        <v>129</v>
      </c>
      <c r="H263" s="137" t="s">
        <v>129</v>
      </c>
      <c r="I263" s="137" t="s">
        <v>129</v>
      </c>
      <c r="J263" s="137" t="s">
        <v>129</v>
      </c>
      <c r="K263" s="137" t="s">
        <v>129</v>
      </c>
      <c r="L263" s="137" t="s">
        <v>129</v>
      </c>
      <c r="M263" s="141"/>
      <c r="N263" s="147"/>
    </row>
    <row r="264" hidden="1" outlineLevel="1">
      <c r="A264" s="390" t="s">
        <v>4113</v>
      </c>
      <c r="B264" s="344">
        <v>46151.0</v>
      </c>
      <c r="C264" s="133" t="str">
        <f t="shared" si="29"/>
        <v>Sat</v>
      </c>
      <c r="D264" s="381">
        <f t="shared" si="30"/>
        <v>1</v>
      </c>
      <c r="E264" s="382" t="s">
        <v>129</v>
      </c>
      <c r="F264" s="137" t="s">
        <v>129</v>
      </c>
      <c r="G264" s="137" t="s">
        <v>129</v>
      </c>
      <c r="H264" s="137" t="s">
        <v>129</v>
      </c>
      <c r="I264" s="137" t="s">
        <v>129</v>
      </c>
      <c r="J264" s="137" t="s">
        <v>129</v>
      </c>
      <c r="K264" s="137" t="s">
        <v>129</v>
      </c>
      <c r="L264" s="137" t="s">
        <v>129</v>
      </c>
      <c r="M264" s="141"/>
      <c r="N264" s="147"/>
    </row>
    <row r="265" hidden="1" outlineLevel="1">
      <c r="A265" s="390" t="s">
        <v>4114</v>
      </c>
      <c r="B265" s="344">
        <v>46151.0</v>
      </c>
      <c r="C265" s="133" t="str">
        <f t="shared" si="29"/>
        <v>Sat</v>
      </c>
      <c r="D265" s="383">
        <f t="shared" si="30"/>
        <v>1</v>
      </c>
      <c r="E265" s="147" t="s">
        <v>129</v>
      </c>
      <c r="F265" s="137" t="s">
        <v>129</v>
      </c>
      <c r="G265" s="137" t="s">
        <v>129</v>
      </c>
      <c r="H265" s="137" t="s">
        <v>129</v>
      </c>
      <c r="I265" s="137" t="s">
        <v>129</v>
      </c>
      <c r="J265" s="137" t="s">
        <v>129</v>
      </c>
      <c r="K265" s="137" t="s">
        <v>129</v>
      </c>
      <c r="L265" s="137" t="s">
        <v>129</v>
      </c>
      <c r="M265" s="141"/>
      <c r="N265" s="147"/>
    </row>
    <row r="266" hidden="1" outlineLevel="1">
      <c r="A266" s="391" t="s">
        <v>4116</v>
      </c>
      <c r="B266" s="344">
        <v>46152.0</v>
      </c>
      <c r="C266" s="133" t="str">
        <f t="shared" si="29"/>
        <v>Sun</v>
      </c>
      <c r="D266" s="381">
        <f t="shared" si="30"/>
        <v>1</v>
      </c>
      <c r="E266" s="382" t="s">
        <v>129</v>
      </c>
      <c r="F266" s="137" t="s">
        <v>129</v>
      </c>
      <c r="G266" s="137" t="s">
        <v>129</v>
      </c>
      <c r="H266" s="137" t="s">
        <v>129</v>
      </c>
      <c r="I266" s="137" t="s">
        <v>129</v>
      </c>
      <c r="J266" s="137" t="s">
        <v>129</v>
      </c>
      <c r="K266" s="137" t="s">
        <v>129</v>
      </c>
      <c r="L266" s="137" t="s">
        <v>129</v>
      </c>
      <c r="M266" s="141"/>
      <c r="N266" s="143"/>
    </row>
    <row r="267" hidden="1" outlineLevel="1">
      <c r="A267" s="391" t="s">
        <v>4117</v>
      </c>
      <c r="B267" s="344">
        <v>46152.0</v>
      </c>
      <c r="C267" s="133" t="str">
        <f t="shared" si="29"/>
        <v>Sun</v>
      </c>
      <c r="D267" s="383">
        <f t="shared" si="30"/>
        <v>1</v>
      </c>
      <c r="E267" s="147" t="s">
        <v>129</v>
      </c>
      <c r="F267" s="137" t="s">
        <v>129</v>
      </c>
      <c r="G267" s="137" t="s">
        <v>129</v>
      </c>
      <c r="H267" s="137" t="s">
        <v>129</v>
      </c>
      <c r="I267" s="137" t="s">
        <v>129</v>
      </c>
      <c r="J267" s="137" t="s">
        <v>129</v>
      </c>
      <c r="K267" s="137" t="s">
        <v>129</v>
      </c>
      <c r="L267" s="137" t="s">
        <v>129</v>
      </c>
      <c r="M267" s="141"/>
      <c r="N267" s="143"/>
    </row>
    <row r="268" ht="15.0" hidden="1" customHeight="1" outlineLevel="1">
      <c r="A268" s="391" t="s">
        <v>4119</v>
      </c>
      <c r="B268" s="344">
        <v>46152.0</v>
      </c>
      <c r="C268" s="133" t="str">
        <f t="shared" si="29"/>
        <v>Sun</v>
      </c>
      <c r="D268" s="381">
        <f t="shared" si="30"/>
        <v>1</v>
      </c>
      <c r="E268" s="382" t="s">
        <v>129</v>
      </c>
      <c r="F268" s="137" t="s">
        <v>129</v>
      </c>
      <c r="G268" s="137" t="s">
        <v>129</v>
      </c>
      <c r="H268" s="137" t="s">
        <v>129</v>
      </c>
      <c r="I268" s="137" t="s">
        <v>129</v>
      </c>
      <c r="J268" s="137" t="s">
        <v>129</v>
      </c>
      <c r="K268" s="137" t="s">
        <v>129</v>
      </c>
      <c r="L268" s="137" t="s">
        <v>129</v>
      </c>
      <c r="M268" s="141"/>
      <c r="N268" s="147"/>
    </row>
    <row r="269" hidden="1" outlineLevel="1">
      <c r="B269" s="189"/>
      <c r="C269" s="191" t="s">
        <v>194</v>
      </c>
      <c r="D269" s="204">
        <f>AVERAGE(D254:D268)</f>
        <v>1</v>
      </c>
      <c r="E269" s="384"/>
      <c r="L269" s="191" t="s">
        <v>194</v>
      </c>
      <c r="M269" s="204">
        <f>SUM(M254:M268)/75*0.1</f>
        <v>0</v>
      </c>
    </row>
    <row r="270" hidden="1" collapsed="1">
      <c r="A270" s="206" t="s">
        <v>1036</v>
      </c>
      <c r="B270" s="207"/>
      <c r="C270" s="207"/>
      <c r="D270" s="385"/>
      <c r="E270" s="109"/>
      <c r="F270" s="109"/>
      <c r="G270" s="110"/>
      <c r="H270" s="110"/>
      <c r="I270" s="110"/>
      <c r="J270" s="110"/>
      <c r="K270" s="110"/>
      <c r="L270" s="110"/>
      <c r="M270" s="111"/>
      <c r="N270" s="113"/>
    </row>
    <row r="271" hidden="1" outlineLevel="1">
      <c r="A271" s="373" t="s">
        <v>98</v>
      </c>
      <c r="B271" s="115" t="s">
        <v>100</v>
      </c>
      <c r="C271" s="115" t="s">
        <v>102</v>
      </c>
      <c r="D271" s="119" t="s">
        <v>103</v>
      </c>
      <c r="E271" s="275" t="s">
        <v>269</v>
      </c>
      <c r="F271" s="275" t="s">
        <v>272</v>
      </c>
      <c r="G271" s="276" t="s">
        <v>328</v>
      </c>
      <c r="H271" s="121" t="s">
        <v>107</v>
      </c>
      <c r="I271" s="121" t="s">
        <v>108</v>
      </c>
      <c r="J271" s="276" t="s">
        <v>329</v>
      </c>
      <c r="K271" s="121" t="s">
        <v>111</v>
      </c>
      <c r="L271" s="276" t="s">
        <v>274</v>
      </c>
      <c r="M271" s="115" t="s">
        <v>114</v>
      </c>
      <c r="N271" s="119" t="s">
        <v>115</v>
      </c>
    </row>
    <row r="272" hidden="1" outlineLevel="1">
      <c r="A272" s="559" t="s">
        <v>4123</v>
      </c>
      <c r="B272" s="344">
        <v>46153.0</v>
      </c>
      <c r="C272" s="133" t="str">
        <f t="shared" ref="C272:C286" si="31">IF(B272="", "", TEXT(B272, "ddd"))</f>
        <v>Mon</v>
      </c>
      <c r="D272" s="381">
        <f t="shared" ref="D272:D286" si="32">IF(E272="Yes",0.05,0)
+IF(F272="Yes",0.1,0)
+IF(G272="Yes",0.15,0)
+IF(H272="Yes",0.15,0)
+IF(I272="Yes",0.05,0)
+IF(J272="Yes",0.05,0)
+IF(K272="Yes",0.15,0)
+IF(L272="Yes",0.3,0)
</f>
        <v>1</v>
      </c>
      <c r="E272" s="382" t="s">
        <v>129</v>
      </c>
      <c r="F272" s="137" t="s">
        <v>129</v>
      </c>
      <c r="G272" s="137" t="s">
        <v>129</v>
      </c>
      <c r="H272" s="137" t="s">
        <v>129</v>
      </c>
      <c r="I272" s="137" t="s">
        <v>129</v>
      </c>
      <c r="J272" s="137" t="s">
        <v>129</v>
      </c>
      <c r="K272" s="137" t="s">
        <v>129</v>
      </c>
      <c r="L272" s="137" t="s">
        <v>129</v>
      </c>
      <c r="M272" s="141"/>
      <c r="N272" s="143"/>
    </row>
    <row r="273" hidden="1" outlineLevel="1">
      <c r="A273" s="390" t="s">
        <v>4126</v>
      </c>
      <c r="B273" s="344">
        <v>46153.0</v>
      </c>
      <c r="C273" s="133" t="str">
        <f t="shared" si="31"/>
        <v>Mon</v>
      </c>
      <c r="D273" s="383">
        <f t="shared" si="32"/>
        <v>1</v>
      </c>
      <c r="E273" s="147" t="s">
        <v>129</v>
      </c>
      <c r="F273" s="137" t="s">
        <v>129</v>
      </c>
      <c r="G273" s="137" t="s">
        <v>129</v>
      </c>
      <c r="H273" s="137" t="s">
        <v>129</v>
      </c>
      <c r="I273" s="137" t="s">
        <v>129</v>
      </c>
      <c r="J273" s="137" t="s">
        <v>129</v>
      </c>
      <c r="K273" s="137" t="s">
        <v>129</v>
      </c>
      <c r="L273" s="137" t="s">
        <v>129</v>
      </c>
      <c r="M273" s="141"/>
      <c r="N273" s="147"/>
    </row>
    <row r="274" hidden="1" outlineLevel="1">
      <c r="A274" s="391" t="s">
        <v>4128</v>
      </c>
      <c r="B274" s="344">
        <v>46153.0</v>
      </c>
      <c r="C274" s="133" t="str">
        <f t="shared" si="31"/>
        <v>Mon</v>
      </c>
      <c r="D274" s="381">
        <f t="shared" si="32"/>
        <v>1</v>
      </c>
      <c r="E274" s="382" t="s">
        <v>129</v>
      </c>
      <c r="F274" s="137" t="s">
        <v>129</v>
      </c>
      <c r="G274" s="137" t="s">
        <v>129</v>
      </c>
      <c r="H274" s="137" t="s">
        <v>129</v>
      </c>
      <c r="I274" s="137" t="s">
        <v>129</v>
      </c>
      <c r="J274" s="137" t="s">
        <v>129</v>
      </c>
      <c r="K274" s="137" t="s">
        <v>129</v>
      </c>
      <c r="L274" s="137" t="s">
        <v>129</v>
      </c>
      <c r="M274" s="141"/>
      <c r="N274" s="147"/>
    </row>
    <row r="275" hidden="1" outlineLevel="1">
      <c r="A275" s="390" t="s">
        <v>4130</v>
      </c>
      <c r="B275" s="344">
        <v>46156.0</v>
      </c>
      <c r="C275" s="133" t="str">
        <f t="shared" si="31"/>
        <v>Thu</v>
      </c>
      <c r="D275" s="383">
        <f t="shared" si="32"/>
        <v>1</v>
      </c>
      <c r="E275" s="147" t="s">
        <v>129</v>
      </c>
      <c r="F275" s="137" t="s">
        <v>129</v>
      </c>
      <c r="G275" s="137" t="s">
        <v>129</v>
      </c>
      <c r="H275" s="137" t="s">
        <v>129</v>
      </c>
      <c r="I275" s="137" t="s">
        <v>129</v>
      </c>
      <c r="J275" s="137" t="s">
        <v>129</v>
      </c>
      <c r="K275" s="137" t="s">
        <v>129</v>
      </c>
      <c r="L275" s="137" t="s">
        <v>129</v>
      </c>
      <c r="M275" s="141"/>
      <c r="N275" s="143"/>
    </row>
    <row r="276" hidden="1" outlineLevel="1">
      <c r="A276" s="390" t="s">
        <v>4134</v>
      </c>
      <c r="B276" s="344">
        <v>46156.0</v>
      </c>
      <c r="C276" s="133" t="str">
        <f t="shared" si="31"/>
        <v>Thu</v>
      </c>
      <c r="D276" s="381">
        <f t="shared" si="32"/>
        <v>1</v>
      </c>
      <c r="E276" s="382" t="s">
        <v>129</v>
      </c>
      <c r="F276" s="137" t="s">
        <v>129</v>
      </c>
      <c r="G276" s="137" t="s">
        <v>129</v>
      </c>
      <c r="H276" s="137" t="s">
        <v>129</v>
      </c>
      <c r="I276" s="137" t="s">
        <v>129</v>
      </c>
      <c r="J276" s="137" t="s">
        <v>129</v>
      </c>
      <c r="K276" s="137" t="s">
        <v>129</v>
      </c>
      <c r="L276" s="137" t="s">
        <v>129</v>
      </c>
      <c r="M276" s="141"/>
      <c r="N276" s="143"/>
    </row>
    <row r="277" hidden="1" outlineLevel="1">
      <c r="A277" s="390" t="s">
        <v>4135</v>
      </c>
      <c r="B277" s="344">
        <v>46156.0</v>
      </c>
      <c r="C277" s="133" t="str">
        <f t="shared" si="31"/>
        <v>Thu</v>
      </c>
      <c r="D277" s="383">
        <f t="shared" si="32"/>
        <v>1</v>
      </c>
      <c r="E277" s="147" t="s">
        <v>129</v>
      </c>
      <c r="F277" s="137" t="s">
        <v>129</v>
      </c>
      <c r="G277" s="137" t="s">
        <v>129</v>
      </c>
      <c r="H277" s="137" t="s">
        <v>129</v>
      </c>
      <c r="I277" s="137" t="s">
        <v>129</v>
      </c>
      <c r="J277" s="137" t="s">
        <v>129</v>
      </c>
      <c r="K277" s="137" t="s">
        <v>129</v>
      </c>
      <c r="L277" s="137" t="s">
        <v>129</v>
      </c>
      <c r="M277" s="141"/>
      <c r="N277" s="143"/>
    </row>
    <row r="278" hidden="1" outlineLevel="1">
      <c r="A278" s="391" t="s">
        <v>4136</v>
      </c>
      <c r="B278" s="344">
        <v>46157.0</v>
      </c>
      <c r="C278" s="133" t="str">
        <f t="shared" si="31"/>
        <v>Fri</v>
      </c>
      <c r="D278" s="381">
        <f t="shared" si="32"/>
        <v>1</v>
      </c>
      <c r="E278" s="382" t="s">
        <v>129</v>
      </c>
      <c r="F278" s="137" t="s">
        <v>129</v>
      </c>
      <c r="G278" s="137" t="s">
        <v>129</v>
      </c>
      <c r="H278" s="137" t="s">
        <v>129</v>
      </c>
      <c r="I278" s="137" t="s">
        <v>129</v>
      </c>
      <c r="J278" s="137" t="s">
        <v>129</v>
      </c>
      <c r="K278" s="137" t="s">
        <v>129</v>
      </c>
      <c r="L278" s="137" t="s">
        <v>129</v>
      </c>
      <c r="M278" s="141"/>
      <c r="N278" s="143"/>
    </row>
    <row r="279" hidden="1" outlineLevel="1">
      <c r="A279" s="390" t="s">
        <v>4138</v>
      </c>
      <c r="B279" s="344">
        <v>46157.0</v>
      </c>
      <c r="C279" s="133" t="str">
        <f t="shared" si="31"/>
        <v>Fri</v>
      </c>
      <c r="D279" s="383">
        <f t="shared" si="32"/>
        <v>1</v>
      </c>
      <c r="E279" s="147" t="s">
        <v>129</v>
      </c>
      <c r="F279" s="137" t="s">
        <v>129</v>
      </c>
      <c r="G279" s="137" t="s">
        <v>129</v>
      </c>
      <c r="H279" s="137" t="s">
        <v>129</v>
      </c>
      <c r="I279" s="137" t="s">
        <v>129</v>
      </c>
      <c r="J279" s="137" t="s">
        <v>129</v>
      </c>
      <c r="K279" s="137" t="s">
        <v>129</v>
      </c>
      <c r="L279" s="137" t="s">
        <v>129</v>
      </c>
      <c r="M279" s="141"/>
      <c r="N279" s="147"/>
    </row>
    <row r="280" hidden="1" outlineLevel="1">
      <c r="A280" s="391" t="s">
        <v>4139</v>
      </c>
      <c r="B280" s="344">
        <v>46157.0</v>
      </c>
      <c r="C280" s="133" t="str">
        <f t="shared" si="31"/>
        <v>Fri</v>
      </c>
      <c r="D280" s="381">
        <f t="shared" si="32"/>
        <v>1</v>
      </c>
      <c r="E280" s="382" t="s">
        <v>129</v>
      </c>
      <c r="F280" s="137" t="s">
        <v>129</v>
      </c>
      <c r="G280" s="137" t="s">
        <v>129</v>
      </c>
      <c r="H280" s="137" t="s">
        <v>129</v>
      </c>
      <c r="I280" s="137" t="s">
        <v>129</v>
      </c>
      <c r="J280" s="137" t="s">
        <v>129</v>
      </c>
      <c r="K280" s="137" t="s">
        <v>129</v>
      </c>
      <c r="L280" s="137" t="s">
        <v>129</v>
      </c>
      <c r="M280" s="141"/>
      <c r="N280" s="143"/>
    </row>
    <row r="281" hidden="1" outlineLevel="1">
      <c r="A281" s="393" t="s">
        <v>4140</v>
      </c>
      <c r="B281" s="344">
        <v>46159.0</v>
      </c>
      <c r="C281" s="133" t="str">
        <f t="shared" si="31"/>
        <v>Sun</v>
      </c>
      <c r="D281" s="383">
        <f t="shared" si="32"/>
        <v>1</v>
      </c>
      <c r="E281" s="147" t="s">
        <v>129</v>
      </c>
      <c r="F281" s="137" t="s">
        <v>129</v>
      </c>
      <c r="G281" s="137" t="s">
        <v>129</v>
      </c>
      <c r="H281" s="137" t="s">
        <v>129</v>
      </c>
      <c r="I281" s="137" t="s">
        <v>129</v>
      </c>
      <c r="J281" s="137" t="s">
        <v>129</v>
      </c>
      <c r="K281" s="137" t="s">
        <v>129</v>
      </c>
      <c r="L281" s="137" t="s">
        <v>129</v>
      </c>
      <c r="M281" s="141"/>
      <c r="N281" s="147"/>
    </row>
    <row r="282" hidden="1" outlineLevel="1">
      <c r="A282" s="394" t="s">
        <v>4142</v>
      </c>
      <c r="B282" s="344">
        <v>46159.0</v>
      </c>
      <c r="C282" s="133" t="str">
        <f t="shared" si="31"/>
        <v>Sun</v>
      </c>
      <c r="D282" s="381">
        <f t="shared" si="32"/>
        <v>1</v>
      </c>
      <c r="E282" s="382" t="s">
        <v>129</v>
      </c>
      <c r="F282" s="137" t="s">
        <v>129</v>
      </c>
      <c r="G282" s="137" t="s">
        <v>129</v>
      </c>
      <c r="H282" s="137" t="s">
        <v>129</v>
      </c>
      <c r="I282" s="137" t="s">
        <v>129</v>
      </c>
      <c r="J282" s="137" t="s">
        <v>129</v>
      </c>
      <c r="K282" s="137" t="s">
        <v>129</v>
      </c>
      <c r="L282" s="137" t="s">
        <v>129</v>
      </c>
      <c r="M282" s="141"/>
      <c r="N282" s="147"/>
    </row>
    <row r="283" hidden="1" outlineLevel="1">
      <c r="A283" s="393" t="s">
        <v>4144</v>
      </c>
      <c r="B283" s="344">
        <v>46159.0</v>
      </c>
      <c r="C283" s="133" t="str">
        <f t="shared" si="31"/>
        <v>Sun</v>
      </c>
      <c r="D283" s="383">
        <f t="shared" si="32"/>
        <v>1</v>
      </c>
      <c r="E283" s="147" t="s">
        <v>129</v>
      </c>
      <c r="F283" s="137" t="s">
        <v>129</v>
      </c>
      <c r="G283" s="137" t="s">
        <v>129</v>
      </c>
      <c r="H283" s="137" t="s">
        <v>129</v>
      </c>
      <c r="I283" s="137" t="s">
        <v>129</v>
      </c>
      <c r="J283" s="137" t="s">
        <v>129</v>
      </c>
      <c r="K283" s="137" t="s">
        <v>129</v>
      </c>
      <c r="L283" s="137" t="s">
        <v>129</v>
      </c>
      <c r="M283" s="141"/>
      <c r="N283" s="147"/>
    </row>
    <row r="284" hidden="1" outlineLevel="1">
      <c r="A284" s="411" t="s">
        <v>664</v>
      </c>
      <c r="B284" s="344">
        <v>46159.0</v>
      </c>
      <c r="C284" s="133" t="str">
        <f t="shared" si="31"/>
        <v>Sun</v>
      </c>
      <c r="D284" s="381">
        <f t="shared" si="32"/>
        <v>0</v>
      </c>
      <c r="E284" s="382" t="s">
        <v>174</v>
      </c>
      <c r="F284" s="137" t="s">
        <v>174</v>
      </c>
      <c r="G284" s="137" t="s">
        <v>174</v>
      </c>
      <c r="H284" s="137" t="s">
        <v>174</v>
      </c>
      <c r="I284" s="137" t="s">
        <v>174</v>
      </c>
      <c r="J284" s="137" t="s">
        <v>174</v>
      </c>
      <c r="K284" s="137" t="s">
        <v>174</v>
      </c>
      <c r="L284" s="137" t="s">
        <v>174</v>
      </c>
      <c r="M284" s="141"/>
      <c r="N284" s="143"/>
    </row>
    <row r="285" hidden="1" outlineLevel="1">
      <c r="A285" s="411" t="s">
        <v>664</v>
      </c>
      <c r="B285" s="344">
        <v>46159.0</v>
      </c>
      <c r="C285" s="133" t="str">
        <f t="shared" si="31"/>
        <v>Sun</v>
      </c>
      <c r="D285" s="383">
        <f t="shared" si="32"/>
        <v>0</v>
      </c>
      <c r="E285" s="147" t="s">
        <v>174</v>
      </c>
      <c r="F285" s="137" t="s">
        <v>174</v>
      </c>
      <c r="G285" s="137" t="s">
        <v>174</v>
      </c>
      <c r="H285" s="137" t="s">
        <v>174</v>
      </c>
      <c r="I285" s="137" t="s">
        <v>174</v>
      </c>
      <c r="J285" s="137" t="s">
        <v>174</v>
      </c>
      <c r="K285" s="137" t="s">
        <v>174</v>
      </c>
      <c r="L285" s="137" t="s">
        <v>174</v>
      </c>
      <c r="M285" s="141"/>
      <c r="N285" s="143"/>
    </row>
    <row r="286" ht="15.0" hidden="1" customHeight="1" outlineLevel="1">
      <c r="A286" s="411" t="s">
        <v>664</v>
      </c>
      <c r="B286" s="344">
        <v>46159.0</v>
      </c>
      <c r="C286" s="133" t="str">
        <f t="shared" si="31"/>
        <v>Sun</v>
      </c>
      <c r="D286" s="381">
        <f t="shared" si="32"/>
        <v>0</v>
      </c>
      <c r="E286" s="382" t="s">
        <v>174</v>
      </c>
      <c r="F286" s="137" t="s">
        <v>174</v>
      </c>
      <c r="G286" s="137" t="s">
        <v>174</v>
      </c>
      <c r="H286" s="137" t="s">
        <v>174</v>
      </c>
      <c r="I286" s="137" t="s">
        <v>174</v>
      </c>
      <c r="J286" s="137" t="s">
        <v>174</v>
      </c>
      <c r="K286" s="137" t="s">
        <v>174</v>
      </c>
      <c r="L286" s="137" t="s">
        <v>174</v>
      </c>
      <c r="M286" s="141"/>
      <c r="N286" s="147"/>
    </row>
    <row r="287" hidden="1" outlineLevel="1">
      <c r="B287" s="189"/>
      <c r="C287" s="191" t="s">
        <v>194</v>
      </c>
      <c r="D287" s="204">
        <f>AVERAGE(D272:D286)</f>
        <v>0.8</v>
      </c>
      <c r="E287" s="384"/>
      <c r="L287" s="191" t="s">
        <v>194</v>
      </c>
      <c r="M287" s="204">
        <f>SUM(M272:M286)/75*0.1</f>
        <v>0</v>
      </c>
    </row>
    <row r="288" hidden="1" collapsed="1">
      <c r="A288" s="206" t="s">
        <v>1057</v>
      </c>
      <c r="B288" s="207"/>
      <c r="C288" s="207"/>
      <c r="D288" s="385"/>
      <c r="E288" s="109"/>
      <c r="F288" s="109"/>
      <c r="G288" s="110"/>
      <c r="H288" s="110"/>
      <c r="I288" s="110"/>
      <c r="J288" s="110"/>
      <c r="K288" s="110"/>
      <c r="L288" s="110"/>
      <c r="M288" s="111"/>
      <c r="N288" s="113"/>
    </row>
    <row r="289" hidden="1" outlineLevel="1">
      <c r="A289" s="373" t="s">
        <v>98</v>
      </c>
      <c r="B289" s="115" t="s">
        <v>100</v>
      </c>
      <c r="C289" s="115" t="s">
        <v>102</v>
      </c>
      <c r="D289" s="119" t="s">
        <v>103</v>
      </c>
      <c r="E289" s="275" t="s">
        <v>269</v>
      </c>
      <c r="F289" s="275" t="s">
        <v>272</v>
      </c>
      <c r="G289" s="276" t="s">
        <v>328</v>
      </c>
      <c r="H289" s="121" t="s">
        <v>107</v>
      </c>
      <c r="I289" s="121" t="s">
        <v>108</v>
      </c>
      <c r="J289" s="276" t="s">
        <v>329</v>
      </c>
      <c r="K289" s="121" t="s">
        <v>111</v>
      </c>
      <c r="L289" s="276" t="s">
        <v>274</v>
      </c>
      <c r="M289" s="115" t="s">
        <v>114</v>
      </c>
      <c r="N289" s="119" t="s">
        <v>115</v>
      </c>
    </row>
    <row r="290" hidden="1" outlineLevel="1">
      <c r="A290" s="390" t="s">
        <v>4151</v>
      </c>
      <c r="B290" s="344">
        <v>46160.0</v>
      </c>
      <c r="C290" s="133" t="str">
        <f t="shared" ref="C290:C304" si="33">IF(B290="", "", TEXT(B290, "ddd"))</f>
        <v>Mon</v>
      </c>
      <c r="D290" s="381">
        <f t="shared" ref="D290:D304" si="34">IF(E290="Yes",0.05,0)
+IF(F290="Yes",0.1,0)
+IF(G290="Yes",0.15,0)
+IF(H290="Yes",0.15,0)
+IF(I290="Yes",0.05,0)
+IF(J290="Yes",0.05,0)
+IF(K290="Yes",0.15,0)
+IF(L290="Yes",0.3,0)
</f>
        <v>1</v>
      </c>
      <c r="E290" s="382" t="s">
        <v>129</v>
      </c>
      <c r="F290" s="137" t="s">
        <v>129</v>
      </c>
      <c r="G290" s="137" t="s">
        <v>129</v>
      </c>
      <c r="H290" s="137" t="s">
        <v>129</v>
      </c>
      <c r="I290" s="137" t="s">
        <v>129</v>
      </c>
      <c r="J290" s="137" t="s">
        <v>129</v>
      </c>
      <c r="K290" s="137" t="s">
        <v>129</v>
      </c>
      <c r="L290" s="137" t="s">
        <v>129</v>
      </c>
      <c r="M290" s="141"/>
      <c r="N290" s="143"/>
    </row>
    <row r="291" hidden="1" outlineLevel="1">
      <c r="A291" s="391" t="s">
        <v>4154</v>
      </c>
      <c r="B291" s="344">
        <v>46160.0</v>
      </c>
      <c r="C291" s="133" t="str">
        <f t="shared" si="33"/>
        <v>Mon</v>
      </c>
      <c r="D291" s="383">
        <f t="shared" si="34"/>
        <v>1</v>
      </c>
      <c r="E291" s="147" t="s">
        <v>129</v>
      </c>
      <c r="F291" s="137" t="s">
        <v>129</v>
      </c>
      <c r="G291" s="137" t="s">
        <v>129</v>
      </c>
      <c r="H291" s="137" t="s">
        <v>129</v>
      </c>
      <c r="I291" s="137" t="s">
        <v>129</v>
      </c>
      <c r="J291" s="137" t="s">
        <v>129</v>
      </c>
      <c r="K291" s="137" t="s">
        <v>129</v>
      </c>
      <c r="L291" s="137" t="s">
        <v>129</v>
      </c>
      <c r="M291" s="141"/>
      <c r="N291" s="147"/>
    </row>
    <row r="292" hidden="1" outlineLevel="1">
      <c r="A292" s="391" t="s">
        <v>4155</v>
      </c>
      <c r="B292" s="344">
        <v>46160.0</v>
      </c>
      <c r="C292" s="133" t="str">
        <f t="shared" si="33"/>
        <v>Mon</v>
      </c>
      <c r="D292" s="381">
        <f t="shared" si="34"/>
        <v>1</v>
      </c>
      <c r="E292" s="382" t="s">
        <v>129</v>
      </c>
      <c r="F292" s="137" t="s">
        <v>129</v>
      </c>
      <c r="G292" s="137" t="s">
        <v>129</v>
      </c>
      <c r="H292" s="137" t="s">
        <v>129</v>
      </c>
      <c r="I292" s="137" t="s">
        <v>129</v>
      </c>
      <c r="J292" s="137" t="s">
        <v>129</v>
      </c>
      <c r="K292" s="137" t="s">
        <v>129</v>
      </c>
      <c r="L292" s="137" t="s">
        <v>129</v>
      </c>
      <c r="M292" s="141"/>
      <c r="N292" s="147"/>
    </row>
    <row r="293" hidden="1" outlineLevel="1">
      <c r="A293" s="390" t="s">
        <v>4158</v>
      </c>
      <c r="B293" s="344">
        <v>46161.0</v>
      </c>
      <c r="C293" s="133" t="str">
        <f t="shared" si="33"/>
        <v>Tue</v>
      </c>
      <c r="D293" s="383">
        <f t="shared" si="34"/>
        <v>1</v>
      </c>
      <c r="E293" s="147" t="s">
        <v>129</v>
      </c>
      <c r="F293" s="137" t="s">
        <v>129</v>
      </c>
      <c r="G293" s="137" t="s">
        <v>129</v>
      </c>
      <c r="H293" s="137" t="s">
        <v>129</v>
      </c>
      <c r="I293" s="137" t="s">
        <v>129</v>
      </c>
      <c r="J293" s="137" t="s">
        <v>129</v>
      </c>
      <c r="K293" s="137" t="s">
        <v>129</v>
      </c>
      <c r="L293" s="137" t="s">
        <v>129</v>
      </c>
      <c r="M293" s="141"/>
      <c r="N293" s="143"/>
    </row>
    <row r="294" hidden="1" outlineLevel="1">
      <c r="A294" s="390" t="s">
        <v>4161</v>
      </c>
      <c r="B294" s="344">
        <v>46161.0</v>
      </c>
      <c r="C294" s="133" t="str">
        <f t="shared" si="33"/>
        <v>Tue</v>
      </c>
      <c r="D294" s="381">
        <f t="shared" si="34"/>
        <v>1</v>
      </c>
      <c r="E294" s="382" t="s">
        <v>129</v>
      </c>
      <c r="F294" s="137" t="s">
        <v>129</v>
      </c>
      <c r="G294" s="137" t="s">
        <v>129</v>
      </c>
      <c r="H294" s="137" t="s">
        <v>129</v>
      </c>
      <c r="I294" s="137" t="s">
        <v>129</v>
      </c>
      <c r="J294" s="137" t="s">
        <v>129</v>
      </c>
      <c r="K294" s="137" t="s">
        <v>129</v>
      </c>
      <c r="L294" s="137" t="s">
        <v>129</v>
      </c>
      <c r="M294" s="141"/>
      <c r="N294" s="143"/>
    </row>
    <row r="295" hidden="1" outlineLevel="1">
      <c r="A295" s="490" t="s">
        <v>4162</v>
      </c>
      <c r="B295" s="344">
        <v>46161.0</v>
      </c>
      <c r="C295" s="133" t="str">
        <f t="shared" si="33"/>
        <v>Tue</v>
      </c>
      <c r="D295" s="383">
        <f t="shared" si="34"/>
        <v>1</v>
      </c>
      <c r="E295" s="147" t="s">
        <v>129</v>
      </c>
      <c r="F295" s="137" t="s">
        <v>129</v>
      </c>
      <c r="G295" s="137" t="s">
        <v>129</v>
      </c>
      <c r="H295" s="137" t="s">
        <v>129</v>
      </c>
      <c r="I295" s="137" t="s">
        <v>129</v>
      </c>
      <c r="J295" s="137" t="s">
        <v>129</v>
      </c>
      <c r="K295" s="137" t="s">
        <v>129</v>
      </c>
      <c r="L295" s="137" t="s">
        <v>129</v>
      </c>
      <c r="M295" s="141"/>
      <c r="N295" s="143"/>
    </row>
    <row r="296" hidden="1" outlineLevel="1">
      <c r="A296" s="255" t="s">
        <v>4163</v>
      </c>
      <c r="B296" s="344">
        <v>46162.0</v>
      </c>
      <c r="C296" s="133" t="str">
        <f t="shared" si="33"/>
        <v>Wed</v>
      </c>
      <c r="D296" s="381">
        <f t="shared" si="34"/>
        <v>1</v>
      </c>
      <c r="E296" s="382" t="s">
        <v>129</v>
      </c>
      <c r="F296" s="137" t="s">
        <v>129</v>
      </c>
      <c r="G296" s="137" t="s">
        <v>129</v>
      </c>
      <c r="H296" s="137" t="s">
        <v>129</v>
      </c>
      <c r="I296" s="137" t="s">
        <v>129</v>
      </c>
      <c r="J296" s="137" t="s">
        <v>129</v>
      </c>
      <c r="K296" s="137" t="s">
        <v>129</v>
      </c>
      <c r="L296" s="137" t="s">
        <v>129</v>
      </c>
      <c r="M296" s="141"/>
      <c r="N296" s="143"/>
    </row>
    <row r="297" hidden="1" outlineLevel="1">
      <c r="A297" s="255" t="s">
        <v>4165</v>
      </c>
      <c r="B297" s="344">
        <v>46162.0</v>
      </c>
      <c r="C297" s="133" t="str">
        <f t="shared" si="33"/>
        <v>Wed</v>
      </c>
      <c r="D297" s="383">
        <f t="shared" si="34"/>
        <v>1</v>
      </c>
      <c r="E297" s="147" t="s">
        <v>129</v>
      </c>
      <c r="F297" s="137" t="s">
        <v>129</v>
      </c>
      <c r="G297" s="137" t="s">
        <v>129</v>
      </c>
      <c r="H297" s="137" t="s">
        <v>129</v>
      </c>
      <c r="I297" s="137" t="s">
        <v>129</v>
      </c>
      <c r="J297" s="137" t="s">
        <v>129</v>
      </c>
      <c r="K297" s="137" t="s">
        <v>129</v>
      </c>
      <c r="L297" s="137" t="s">
        <v>129</v>
      </c>
      <c r="M297" s="141"/>
      <c r="N297" s="147"/>
    </row>
    <row r="298" hidden="1" outlineLevel="1">
      <c r="A298" s="255" t="s">
        <v>4167</v>
      </c>
      <c r="B298" s="344">
        <v>46162.0</v>
      </c>
      <c r="C298" s="133" t="str">
        <f t="shared" si="33"/>
        <v>Wed</v>
      </c>
      <c r="D298" s="381">
        <f t="shared" si="34"/>
        <v>1</v>
      </c>
      <c r="E298" s="382" t="s">
        <v>129</v>
      </c>
      <c r="F298" s="137" t="s">
        <v>129</v>
      </c>
      <c r="G298" s="137" t="s">
        <v>129</v>
      </c>
      <c r="H298" s="137" t="s">
        <v>129</v>
      </c>
      <c r="I298" s="137" t="s">
        <v>129</v>
      </c>
      <c r="J298" s="137" t="s">
        <v>129</v>
      </c>
      <c r="K298" s="137" t="s">
        <v>129</v>
      </c>
      <c r="L298" s="137" t="s">
        <v>129</v>
      </c>
      <c r="M298" s="141"/>
      <c r="N298" s="143"/>
    </row>
    <row r="299" hidden="1" outlineLevel="1">
      <c r="A299" s="479" t="s">
        <v>4170</v>
      </c>
      <c r="B299" s="344">
        <v>46165.0</v>
      </c>
      <c r="C299" s="133" t="str">
        <f t="shared" si="33"/>
        <v>Sat</v>
      </c>
      <c r="D299" s="383">
        <f t="shared" si="34"/>
        <v>1</v>
      </c>
      <c r="E299" s="147" t="s">
        <v>129</v>
      </c>
      <c r="F299" s="137" t="s">
        <v>129</v>
      </c>
      <c r="G299" s="137" t="s">
        <v>129</v>
      </c>
      <c r="H299" s="137" t="s">
        <v>129</v>
      </c>
      <c r="I299" s="137" t="s">
        <v>129</v>
      </c>
      <c r="J299" s="137" t="s">
        <v>129</v>
      </c>
      <c r="K299" s="137" t="s">
        <v>129</v>
      </c>
      <c r="L299" s="137" t="s">
        <v>129</v>
      </c>
      <c r="M299" s="141"/>
      <c r="N299" s="147"/>
    </row>
    <row r="300" hidden="1" outlineLevel="1">
      <c r="A300" s="479" t="s">
        <v>4172</v>
      </c>
      <c r="B300" s="344">
        <v>46165.0</v>
      </c>
      <c r="C300" s="133" t="str">
        <f t="shared" si="33"/>
        <v>Sat</v>
      </c>
      <c r="D300" s="381">
        <f t="shared" si="34"/>
        <v>1</v>
      </c>
      <c r="E300" s="382" t="s">
        <v>129</v>
      </c>
      <c r="F300" s="137" t="s">
        <v>129</v>
      </c>
      <c r="G300" s="137" t="s">
        <v>129</v>
      </c>
      <c r="H300" s="137" t="s">
        <v>129</v>
      </c>
      <c r="I300" s="137" t="s">
        <v>129</v>
      </c>
      <c r="J300" s="137" t="s">
        <v>129</v>
      </c>
      <c r="K300" s="137" t="s">
        <v>129</v>
      </c>
      <c r="L300" s="137" t="s">
        <v>129</v>
      </c>
      <c r="M300" s="141"/>
      <c r="N300" s="147"/>
    </row>
    <row r="301" hidden="1" outlineLevel="1">
      <c r="A301" s="303" t="s">
        <v>4174</v>
      </c>
      <c r="B301" s="344">
        <v>46165.0</v>
      </c>
      <c r="C301" s="133" t="str">
        <f t="shared" si="33"/>
        <v>Sat</v>
      </c>
      <c r="D301" s="383">
        <f t="shared" si="34"/>
        <v>1</v>
      </c>
      <c r="E301" s="147" t="s">
        <v>129</v>
      </c>
      <c r="F301" s="137" t="s">
        <v>129</v>
      </c>
      <c r="G301" s="137" t="s">
        <v>129</v>
      </c>
      <c r="H301" s="137" t="s">
        <v>129</v>
      </c>
      <c r="I301" s="137" t="s">
        <v>129</v>
      </c>
      <c r="J301" s="137" t="s">
        <v>129</v>
      </c>
      <c r="K301" s="137" t="s">
        <v>129</v>
      </c>
      <c r="L301" s="137" t="s">
        <v>129</v>
      </c>
      <c r="M301" s="141"/>
      <c r="N301" s="147"/>
    </row>
    <row r="302" hidden="1" outlineLevel="1">
      <c r="A302" s="390"/>
      <c r="B302" s="344"/>
      <c r="C302" s="133" t="str">
        <f t="shared" si="33"/>
        <v/>
      </c>
      <c r="D302" s="381">
        <f t="shared" si="34"/>
        <v>1</v>
      </c>
      <c r="E302" s="382" t="s">
        <v>129</v>
      </c>
      <c r="F302" s="137" t="s">
        <v>129</v>
      </c>
      <c r="G302" s="137" t="s">
        <v>129</v>
      </c>
      <c r="H302" s="137" t="s">
        <v>129</v>
      </c>
      <c r="I302" s="137" t="s">
        <v>129</v>
      </c>
      <c r="J302" s="137" t="s">
        <v>129</v>
      </c>
      <c r="K302" s="137" t="s">
        <v>129</v>
      </c>
      <c r="L302" s="137" t="s">
        <v>129</v>
      </c>
      <c r="M302" s="141"/>
      <c r="N302" s="143"/>
    </row>
    <row r="303" hidden="1" outlineLevel="1">
      <c r="A303" s="391"/>
      <c r="B303" s="344"/>
      <c r="C303" s="133" t="str">
        <f t="shared" si="33"/>
        <v/>
      </c>
      <c r="D303" s="383">
        <f t="shared" si="34"/>
        <v>1</v>
      </c>
      <c r="E303" s="147" t="s">
        <v>129</v>
      </c>
      <c r="F303" s="137" t="s">
        <v>129</v>
      </c>
      <c r="G303" s="137" t="s">
        <v>129</v>
      </c>
      <c r="H303" s="137" t="s">
        <v>129</v>
      </c>
      <c r="I303" s="137" t="s">
        <v>129</v>
      </c>
      <c r="J303" s="137" t="s">
        <v>129</v>
      </c>
      <c r="K303" s="137" t="s">
        <v>129</v>
      </c>
      <c r="L303" s="137" t="s">
        <v>129</v>
      </c>
      <c r="M303" s="141"/>
      <c r="N303" s="143"/>
    </row>
    <row r="304" ht="15.0" hidden="1" customHeight="1" outlineLevel="1">
      <c r="A304" s="391"/>
      <c r="B304" s="344"/>
      <c r="C304" s="133" t="str">
        <f t="shared" si="33"/>
        <v/>
      </c>
      <c r="D304" s="381">
        <f t="shared" si="34"/>
        <v>1</v>
      </c>
      <c r="E304" s="382" t="s">
        <v>129</v>
      </c>
      <c r="F304" s="137" t="s">
        <v>129</v>
      </c>
      <c r="G304" s="137" t="s">
        <v>129</v>
      </c>
      <c r="H304" s="137" t="s">
        <v>129</v>
      </c>
      <c r="I304" s="137" t="s">
        <v>129</v>
      </c>
      <c r="J304" s="137" t="s">
        <v>129</v>
      </c>
      <c r="K304" s="137" t="s">
        <v>129</v>
      </c>
      <c r="L304" s="137" t="s">
        <v>129</v>
      </c>
      <c r="M304" s="141"/>
      <c r="N304" s="147"/>
    </row>
    <row r="305" hidden="1" outlineLevel="1">
      <c r="B305" s="189"/>
      <c r="C305" s="191" t="s">
        <v>194</v>
      </c>
      <c r="D305" s="204">
        <f>AVERAGE(D290:D304)</f>
        <v>1</v>
      </c>
      <c r="E305" s="384"/>
      <c r="L305" s="191" t="s">
        <v>194</v>
      </c>
      <c r="M305" s="204">
        <f>SUM(M290:M304)/75*0.1</f>
        <v>0</v>
      </c>
    </row>
    <row r="306" hidden="1" collapsed="1">
      <c r="A306" s="206" t="s">
        <v>1084</v>
      </c>
      <c r="B306" s="207"/>
      <c r="C306" s="207"/>
      <c r="D306" s="385"/>
      <c r="E306" s="109"/>
      <c r="F306" s="109"/>
      <c r="G306" s="110"/>
      <c r="H306" s="110"/>
      <c r="I306" s="110"/>
      <c r="J306" s="110"/>
      <c r="K306" s="110"/>
      <c r="L306" s="110"/>
      <c r="M306" s="111"/>
      <c r="N306" s="113"/>
    </row>
    <row r="307" hidden="1" outlineLevel="1">
      <c r="A307" s="373" t="s">
        <v>98</v>
      </c>
      <c r="B307" s="115" t="s">
        <v>100</v>
      </c>
      <c r="C307" s="115" t="s">
        <v>102</v>
      </c>
      <c r="D307" s="119" t="s">
        <v>103</v>
      </c>
      <c r="E307" s="275" t="s">
        <v>269</v>
      </c>
      <c r="F307" s="275" t="s">
        <v>272</v>
      </c>
      <c r="G307" s="276" t="s">
        <v>328</v>
      </c>
      <c r="H307" s="121" t="s">
        <v>107</v>
      </c>
      <c r="I307" s="121" t="s">
        <v>108</v>
      </c>
      <c r="J307" s="276" t="s">
        <v>329</v>
      </c>
      <c r="K307" s="121" t="s">
        <v>111</v>
      </c>
      <c r="L307" s="276" t="s">
        <v>274</v>
      </c>
      <c r="M307" s="115" t="s">
        <v>114</v>
      </c>
      <c r="N307" s="119" t="s">
        <v>115</v>
      </c>
    </row>
    <row r="308" hidden="1" outlineLevel="1">
      <c r="A308" s="479" t="s">
        <v>4179</v>
      </c>
      <c r="B308" s="344">
        <v>46167.0</v>
      </c>
      <c r="C308" s="133" t="str">
        <f t="shared" ref="C308:C322" si="35">IF(B308="", "", TEXT(B308, "ddd"))</f>
        <v>Mon</v>
      </c>
      <c r="D308" s="381">
        <f t="shared" ref="D308:D322" si="36">IF(E308="Yes",0.05,0)
+IF(F308="Yes",0.1,0)
+IF(G308="Yes",0.15,0)
+IF(H308="Yes",0.15,0)
+IF(I308="Yes",0.05,0)
+IF(J308="Yes",0.05,0)
+IF(K308="Yes",0.15,0)
+IF(L308="Yes",0.3,0)
</f>
        <v>1</v>
      </c>
      <c r="E308" s="382" t="s">
        <v>129</v>
      </c>
      <c r="F308" s="137" t="s">
        <v>129</v>
      </c>
      <c r="G308" s="137" t="s">
        <v>129</v>
      </c>
      <c r="H308" s="137" t="s">
        <v>129</v>
      </c>
      <c r="I308" s="137" t="s">
        <v>129</v>
      </c>
      <c r="J308" s="137" t="s">
        <v>129</v>
      </c>
      <c r="K308" s="137" t="s">
        <v>129</v>
      </c>
      <c r="L308" s="137" t="s">
        <v>129</v>
      </c>
      <c r="M308" s="141"/>
      <c r="N308" s="143"/>
    </row>
    <row r="309" hidden="1" outlineLevel="1">
      <c r="A309" s="479" t="s">
        <v>4181</v>
      </c>
      <c r="B309" s="344">
        <v>46167.0</v>
      </c>
      <c r="C309" s="133" t="str">
        <f t="shared" si="35"/>
        <v>Mon</v>
      </c>
      <c r="D309" s="383">
        <f t="shared" si="36"/>
        <v>1</v>
      </c>
      <c r="E309" s="147" t="s">
        <v>129</v>
      </c>
      <c r="F309" s="137" t="s">
        <v>129</v>
      </c>
      <c r="G309" s="137" t="s">
        <v>129</v>
      </c>
      <c r="H309" s="137" t="s">
        <v>129</v>
      </c>
      <c r="I309" s="137" t="s">
        <v>129</v>
      </c>
      <c r="J309" s="137" t="s">
        <v>129</v>
      </c>
      <c r="K309" s="137" t="s">
        <v>129</v>
      </c>
      <c r="L309" s="137" t="s">
        <v>129</v>
      </c>
      <c r="M309" s="141"/>
      <c r="N309" s="147"/>
    </row>
    <row r="310" hidden="1" outlineLevel="1">
      <c r="A310" s="479" t="s">
        <v>4183</v>
      </c>
      <c r="B310" s="344">
        <v>46167.0</v>
      </c>
      <c r="C310" s="133" t="str">
        <f t="shared" si="35"/>
        <v>Mon</v>
      </c>
      <c r="D310" s="381">
        <f t="shared" si="36"/>
        <v>1</v>
      </c>
      <c r="E310" s="382" t="s">
        <v>129</v>
      </c>
      <c r="F310" s="137" t="s">
        <v>129</v>
      </c>
      <c r="G310" s="137" t="s">
        <v>129</v>
      </c>
      <c r="H310" s="137" t="s">
        <v>129</v>
      </c>
      <c r="I310" s="137" t="s">
        <v>129</v>
      </c>
      <c r="J310" s="137" t="s">
        <v>129</v>
      </c>
      <c r="K310" s="137" t="s">
        <v>129</v>
      </c>
      <c r="L310" s="137" t="s">
        <v>129</v>
      </c>
      <c r="M310" s="141"/>
      <c r="N310" s="147"/>
    </row>
    <row r="311" hidden="1" outlineLevel="1">
      <c r="A311" s="479" t="s">
        <v>4186</v>
      </c>
      <c r="B311" s="344">
        <v>46168.0</v>
      </c>
      <c r="C311" s="133" t="str">
        <f t="shared" si="35"/>
        <v>Tue</v>
      </c>
      <c r="D311" s="383">
        <f t="shared" si="36"/>
        <v>1</v>
      </c>
      <c r="E311" s="147" t="s">
        <v>129</v>
      </c>
      <c r="F311" s="137" t="s">
        <v>129</v>
      </c>
      <c r="G311" s="137" t="s">
        <v>129</v>
      </c>
      <c r="H311" s="137" t="s">
        <v>129</v>
      </c>
      <c r="I311" s="137" t="s">
        <v>129</v>
      </c>
      <c r="J311" s="137" t="s">
        <v>129</v>
      </c>
      <c r="K311" s="137" t="s">
        <v>129</v>
      </c>
      <c r="L311" s="137" t="s">
        <v>129</v>
      </c>
      <c r="M311" s="141"/>
      <c r="N311" s="143"/>
    </row>
    <row r="312" hidden="1" outlineLevel="1">
      <c r="A312" s="479" t="s">
        <v>4188</v>
      </c>
      <c r="B312" s="344">
        <v>46168.0</v>
      </c>
      <c r="C312" s="133" t="str">
        <f t="shared" si="35"/>
        <v>Tue</v>
      </c>
      <c r="D312" s="381">
        <f t="shared" si="36"/>
        <v>1</v>
      </c>
      <c r="E312" s="382" t="s">
        <v>129</v>
      </c>
      <c r="F312" s="137" t="s">
        <v>129</v>
      </c>
      <c r="G312" s="137" t="s">
        <v>129</v>
      </c>
      <c r="H312" s="137" t="s">
        <v>129</v>
      </c>
      <c r="I312" s="137" t="s">
        <v>129</v>
      </c>
      <c r="J312" s="137" t="s">
        <v>129</v>
      </c>
      <c r="K312" s="137" t="s">
        <v>129</v>
      </c>
      <c r="L312" s="137" t="s">
        <v>129</v>
      </c>
      <c r="M312" s="141"/>
      <c r="N312" s="143"/>
    </row>
    <row r="313" hidden="1" outlineLevel="1">
      <c r="A313" s="560" t="s">
        <v>4190</v>
      </c>
      <c r="B313" s="344">
        <v>46168.0</v>
      </c>
      <c r="C313" s="133" t="str">
        <f t="shared" si="35"/>
        <v>Tue</v>
      </c>
      <c r="D313" s="383">
        <f t="shared" si="36"/>
        <v>1</v>
      </c>
      <c r="E313" s="147" t="s">
        <v>129</v>
      </c>
      <c r="F313" s="137" t="s">
        <v>129</v>
      </c>
      <c r="G313" s="137" t="s">
        <v>129</v>
      </c>
      <c r="H313" s="137" t="s">
        <v>129</v>
      </c>
      <c r="I313" s="137" t="s">
        <v>129</v>
      </c>
      <c r="J313" s="137" t="s">
        <v>129</v>
      </c>
      <c r="K313" s="137" t="s">
        <v>129</v>
      </c>
      <c r="L313" s="137" t="s">
        <v>129</v>
      </c>
      <c r="M313" s="141"/>
      <c r="N313" s="143"/>
    </row>
    <row r="314" hidden="1" outlineLevel="1">
      <c r="A314" s="479" t="s">
        <v>4191</v>
      </c>
      <c r="B314" s="344">
        <v>46169.0</v>
      </c>
      <c r="C314" s="133" t="str">
        <f t="shared" si="35"/>
        <v>Wed</v>
      </c>
      <c r="D314" s="381">
        <f t="shared" si="36"/>
        <v>1</v>
      </c>
      <c r="E314" s="382" t="s">
        <v>129</v>
      </c>
      <c r="F314" s="137" t="s">
        <v>129</v>
      </c>
      <c r="G314" s="137" t="s">
        <v>129</v>
      </c>
      <c r="H314" s="137" t="s">
        <v>129</v>
      </c>
      <c r="I314" s="137" t="s">
        <v>129</v>
      </c>
      <c r="J314" s="137" t="s">
        <v>129</v>
      </c>
      <c r="K314" s="137" t="s">
        <v>129</v>
      </c>
      <c r="L314" s="137" t="s">
        <v>129</v>
      </c>
      <c r="M314" s="141"/>
      <c r="N314" s="143"/>
    </row>
    <row r="315" hidden="1" outlineLevel="1">
      <c r="A315" s="479" t="s">
        <v>4193</v>
      </c>
      <c r="B315" s="344">
        <v>46169.0</v>
      </c>
      <c r="C315" s="133" t="str">
        <f t="shared" si="35"/>
        <v>Wed</v>
      </c>
      <c r="D315" s="383">
        <f t="shared" si="36"/>
        <v>1</v>
      </c>
      <c r="E315" s="147" t="s">
        <v>129</v>
      </c>
      <c r="F315" s="137" t="s">
        <v>129</v>
      </c>
      <c r="G315" s="137" t="s">
        <v>129</v>
      </c>
      <c r="H315" s="137" t="s">
        <v>129</v>
      </c>
      <c r="I315" s="137" t="s">
        <v>129</v>
      </c>
      <c r="J315" s="137" t="s">
        <v>129</v>
      </c>
      <c r="K315" s="137" t="s">
        <v>129</v>
      </c>
      <c r="L315" s="137" t="s">
        <v>129</v>
      </c>
      <c r="M315" s="141"/>
      <c r="N315" s="147"/>
    </row>
    <row r="316" hidden="1" outlineLevel="1">
      <c r="A316" s="479" t="s">
        <v>4195</v>
      </c>
      <c r="B316" s="344">
        <v>46169.0</v>
      </c>
      <c r="C316" s="133" t="str">
        <f t="shared" si="35"/>
        <v>Wed</v>
      </c>
      <c r="D316" s="381">
        <f t="shared" si="36"/>
        <v>1</v>
      </c>
      <c r="E316" s="382" t="s">
        <v>129</v>
      </c>
      <c r="F316" s="137" t="s">
        <v>129</v>
      </c>
      <c r="G316" s="137" t="s">
        <v>129</v>
      </c>
      <c r="H316" s="137" t="s">
        <v>129</v>
      </c>
      <c r="I316" s="137" t="s">
        <v>129</v>
      </c>
      <c r="J316" s="137" t="s">
        <v>129</v>
      </c>
      <c r="K316" s="137" t="s">
        <v>129</v>
      </c>
      <c r="L316" s="137" t="s">
        <v>129</v>
      </c>
      <c r="M316" s="141"/>
      <c r="N316" s="143"/>
    </row>
    <row r="317" hidden="1" outlineLevel="1">
      <c r="A317" s="303" t="s">
        <v>4197</v>
      </c>
      <c r="B317" s="344">
        <v>46170.0</v>
      </c>
      <c r="C317" s="133" t="str">
        <f t="shared" si="35"/>
        <v>Thu</v>
      </c>
      <c r="D317" s="383">
        <f t="shared" si="36"/>
        <v>1</v>
      </c>
      <c r="E317" s="147" t="s">
        <v>129</v>
      </c>
      <c r="F317" s="137" t="s">
        <v>129</v>
      </c>
      <c r="G317" s="137" t="s">
        <v>129</v>
      </c>
      <c r="H317" s="137" t="s">
        <v>129</v>
      </c>
      <c r="I317" s="137" t="s">
        <v>129</v>
      </c>
      <c r="J317" s="137" t="s">
        <v>129</v>
      </c>
      <c r="K317" s="137" t="s">
        <v>129</v>
      </c>
      <c r="L317" s="137" t="s">
        <v>129</v>
      </c>
      <c r="M317" s="141"/>
      <c r="N317" s="147"/>
    </row>
    <row r="318" hidden="1" outlineLevel="1">
      <c r="A318" s="303" t="s">
        <v>4199</v>
      </c>
      <c r="B318" s="344">
        <v>46170.0</v>
      </c>
      <c r="C318" s="133" t="str">
        <f t="shared" si="35"/>
        <v>Thu</v>
      </c>
      <c r="D318" s="381">
        <f t="shared" si="36"/>
        <v>1</v>
      </c>
      <c r="E318" s="382" t="s">
        <v>129</v>
      </c>
      <c r="F318" s="137" t="s">
        <v>129</v>
      </c>
      <c r="G318" s="137" t="s">
        <v>129</v>
      </c>
      <c r="H318" s="137" t="s">
        <v>129</v>
      </c>
      <c r="I318" s="137" t="s">
        <v>129</v>
      </c>
      <c r="J318" s="137" t="s">
        <v>129</v>
      </c>
      <c r="K318" s="137" t="s">
        <v>129</v>
      </c>
      <c r="L318" s="137" t="s">
        <v>129</v>
      </c>
      <c r="M318" s="141"/>
      <c r="N318" s="147"/>
    </row>
    <row r="319" hidden="1" outlineLevel="1">
      <c r="A319" s="303" t="s">
        <v>4200</v>
      </c>
      <c r="B319" s="344">
        <v>46170.0</v>
      </c>
      <c r="C319" s="133" t="str">
        <f t="shared" si="35"/>
        <v>Thu</v>
      </c>
      <c r="D319" s="383">
        <f t="shared" si="36"/>
        <v>1</v>
      </c>
      <c r="E319" s="147" t="s">
        <v>129</v>
      </c>
      <c r="F319" s="137" t="s">
        <v>129</v>
      </c>
      <c r="G319" s="137" t="s">
        <v>129</v>
      </c>
      <c r="H319" s="137" t="s">
        <v>129</v>
      </c>
      <c r="I319" s="137" t="s">
        <v>129</v>
      </c>
      <c r="J319" s="137" t="s">
        <v>129</v>
      </c>
      <c r="K319" s="137" t="s">
        <v>129</v>
      </c>
      <c r="L319" s="137" t="s">
        <v>129</v>
      </c>
      <c r="M319" s="141"/>
      <c r="N319" s="147"/>
    </row>
    <row r="320" hidden="1" outlineLevel="1">
      <c r="A320" s="479" t="s">
        <v>4201</v>
      </c>
      <c r="B320" s="344">
        <v>46171.0</v>
      </c>
      <c r="C320" s="133" t="str">
        <f t="shared" si="35"/>
        <v>Fri</v>
      </c>
      <c r="D320" s="381">
        <f t="shared" si="36"/>
        <v>1</v>
      </c>
      <c r="E320" s="382" t="s">
        <v>129</v>
      </c>
      <c r="F320" s="137" t="s">
        <v>129</v>
      </c>
      <c r="G320" s="137" t="s">
        <v>129</v>
      </c>
      <c r="H320" s="137" t="s">
        <v>129</v>
      </c>
      <c r="I320" s="137" t="s">
        <v>129</v>
      </c>
      <c r="J320" s="137" t="s">
        <v>129</v>
      </c>
      <c r="K320" s="137" t="s">
        <v>129</v>
      </c>
      <c r="L320" s="137" t="s">
        <v>129</v>
      </c>
      <c r="M320" s="141"/>
      <c r="N320" s="143"/>
    </row>
    <row r="321" hidden="1" outlineLevel="1">
      <c r="A321" s="479" t="s">
        <v>4203</v>
      </c>
      <c r="B321" s="344">
        <v>46171.0</v>
      </c>
      <c r="C321" s="133" t="str">
        <f t="shared" si="35"/>
        <v>Fri</v>
      </c>
      <c r="D321" s="383">
        <f t="shared" si="36"/>
        <v>1</v>
      </c>
      <c r="E321" s="147" t="s">
        <v>129</v>
      </c>
      <c r="F321" s="137" t="s">
        <v>129</v>
      </c>
      <c r="G321" s="137" t="s">
        <v>129</v>
      </c>
      <c r="H321" s="137" t="s">
        <v>129</v>
      </c>
      <c r="I321" s="137" t="s">
        <v>129</v>
      </c>
      <c r="J321" s="137" t="s">
        <v>129</v>
      </c>
      <c r="K321" s="137" t="s">
        <v>129</v>
      </c>
      <c r="L321" s="137" t="s">
        <v>129</v>
      </c>
      <c r="M321" s="141"/>
      <c r="N321" s="143"/>
    </row>
    <row r="322" ht="15.0" hidden="1" customHeight="1" outlineLevel="1">
      <c r="A322" s="479" t="s">
        <v>4205</v>
      </c>
      <c r="B322" s="344">
        <v>46171.0</v>
      </c>
      <c r="C322" s="133" t="str">
        <f t="shared" si="35"/>
        <v>Fri</v>
      </c>
      <c r="D322" s="381">
        <f t="shared" si="36"/>
        <v>1</v>
      </c>
      <c r="E322" s="382" t="s">
        <v>129</v>
      </c>
      <c r="F322" s="137" t="s">
        <v>129</v>
      </c>
      <c r="G322" s="137" t="s">
        <v>129</v>
      </c>
      <c r="H322" s="137" t="s">
        <v>129</v>
      </c>
      <c r="I322" s="137" t="s">
        <v>129</v>
      </c>
      <c r="J322" s="137" t="s">
        <v>129</v>
      </c>
      <c r="K322" s="137" t="s">
        <v>129</v>
      </c>
      <c r="L322" s="137" t="s">
        <v>129</v>
      </c>
      <c r="M322" s="141"/>
      <c r="N322" s="147"/>
    </row>
    <row r="323" hidden="1" outlineLevel="1">
      <c r="B323" s="189"/>
      <c r="C323" s="191" t="s">
        <v>194</v>
      </c>
      <c r="D323" s="204">
        <f>AVERAGE(D308:D322)</f>
        <v>1</v>
      </c>
      <c r="E323" s="384"/>
      <c r="L323" s="191" t="s">
        <v>194</v>
      </c>
      <c r="M323" s="204">
        <f>SUM(M308:M322)/75*0.1</f>
        <v>0</v>
      </c>
    </row>
    <row r="324" hidden="1" collapsed="1">
      <c r="A324" s="206" t="s">
        <v>1109</v>
      </c>
      <c r="B324" s="207"/>
      <c r="C324" s="207"/>
      <c r="D324" s="385"/>
      <c r="E324" s="109"/>
      <c r="F324" s="109"/>
      <c r="G324" s="110"/>
      <c r="H324" s="110"/>
      <c r="I324" s="110"/>
      <c r="J324" s="110"/>
      <c r="K324" s="110"/>
      <c r="L324" s="110"/>
      <c r="M324" s="111"/>
      <c r="N324" s="113"/>
    </row>
    <row r="325" hidden="1" outlineLevel="1">
      <c r="A325" s="373" t="s">
        <v>98</v>
      </c>
      <c r="B325" s="115" t="s">
        <v>100</v>
      </c>
      <c r="C325" s="115" t="s">
        <v>102</v>
      </c>
      <c r="D325" s="119" t="s">
        <v>103</v>
      </c>
      <c r="E325" s="275" t="s">
        <v>269</v>
      </c>
      <c r="F325" s="275" t="s">
        <v>272</v>
      </c>
      <c r="G325" s="276" t="s">
        <v>328</v>
      </c>
      <c r="H325" s="121" t="s">
        <v>107</v>
      </c>
      <c r="I325" s="121" t="s">
        <v>108</v>
      </c>
      <c r="J325" s="276" t="s">
        <v>329</v>
      </c>
      <c r="K325" s="121" t="s">
        <v>111</v>
      </c>
      <c r="L325" s="276" t="s">
        <v>274</v>
      </c>
      <c r="M325" s="115" t="s">
        <v>114</v>
      </c>
      <c r="N325" s="119" t="s">
        <v>115</v>
      </c>
    </row>
    <row r="326" hidden="1" outlineLevel="1">
      <c r="A326" s="557" t="s">
        <v>4210</v>
      </c>
      <c r="B326" s="344">
        <v>46174.0</v>
      </c>
      <c r="C326" s="133" t="str">
        <f t="shared" ref="C326:C340" si="37">IF(B326="", "", TEXT(B326, "ddd"))</f>
        <v>Mon</v>
      </c>
      <c r="D326" s="381">
        <f t="shared" ref="D326:D340" si="38">IF(E326="Yes",0.05,0)
+IF(F326="Yes",0.1,0)
+IF(G326="Yes",0.15,0)
+IF(H326="Yes",0.15,0)
+IF(I326="Yes",0.05,0)
+IF(J326="Yes",0.05,0)
+IF(K326="Yes",0.15,0)
+IF(L326="Yes",0.3,0)
</f>
        <v>1</v>
      </c>
      <c r="E326" s="382" t="s">
        <v>129</v>
      </c>
      <c r="F326" s="137" t="s">
        <v>129</v>
      </c>
      <c r="G326" s="137" t="s">
        <v>129</v>
      </c>
      <c r="H326" s="137" t="s">
        <v>129</v>
      </c>
      <c r="I326" s="137" t="s">
        <v>129</v>
      </c>
      <c r="J326" s="137" t="s">
        <v>129</v>
      </c>
      <c r="K326" s="137" t="s">
        <v>129</v>
      </c>
      <c r="L326" s="137" t="s">
        <v>129</v>
      </c>
      <c r="M326" s="141"/>
      <c r="N326" s="143"/>
    </row>
    <row r="327" hidden="1" outlineLevel="1">
      <c r="A327" s="561" t="s">
        <v>4212</v>
      </c>
      <c r="B327" s="344">
        <v>46174.0</v>
      </c>
      <c r="C327" s="133" t="str">
        <f t="shared" si="37"/>
        <v>Mon</v>
      </c>
      <c r="D327" s="383">
        <f t="shared" si="38"/>
        <v>0.65</v>
      </c>
      <c r="E327" s="147" t="s">
        <v>129</v>
      </c>
      <c r="F327" s="137" t="s">
        <v>129</v>
      </c>
      <c r="G327" s="137" t="s">
        <v>129</v>
      </c>
      <c r="H327" s="137" t="s">
        <v>129</v>
      </c>
      <c r="I327" s="137" t="s">
        <v>174</v>
      </c>
      <c r="J327" s="137" t="s">
        <v>129</v>
      </c>
      <c r="K327" s="137" t="s">
        <v>129</v>
      </c>
      <c r="L327" s="137" t="s">
        <v>174</v>
      </c>
      <c r="M327" s="141"/>
      <c r="N327" s="147" t="s">
        <v>4213</v>
      </c>
    </row>
    <row r="328" hidden="1" outlineLevel="1">
      <c r="A328" s="557" t="s">
        <v>4214</v>
      </c>
      <c r="B328" s="344">
        <v>46174.0</v>
      </c>
      <c r="C328" s="133" t="str">
        <f t="shared" si="37"/>
        <v>Mon</v>
      </c>
      <c r="D328" s="381">
        <f t="shared" si="38"/>
        <v>1</v>
      </c>
      <c r="E328" s="382" t="s">
        <v>129</v>
      </c>
      <c r="F328" s="137" t="s">
        <v>129</v>
      </c>
      <c r="G328" s="137" t="s">
        <v>129</v>
      </c>
      <c r="H328" s="137" t="s">
        <v>129</v>
      </c>
      <c r="I328" s="137" t="s">
        <v>129</v>
      </c>
      <c r="J328" s="137" t="s">
        <v>129</v>
      </c>
      <c r="K328" s="137" t="s">
        <v>129</v>
      </c>
      <c r="L328" s="137" t="s">
        <v>129</v>
      </c>
      <c r="M328" s="141"/>
      <c r="N328" s="147"/>
    </row>
    <row r="329" hidden="1" outlineLevel="1">
      <c r="A329" s="557" t="s">
        <v>4215</v>
      </c>
      <c r="B329" s="344">
        <v>46175.0</v>
      </c>
      <c r="C329" s="133" t="str">
        <f t="shared" si="37"/>
        <v>Tue</v>
      </c>
      <c r="D329" s="383">
        <f t="shared" si="38"/>
        <v>1</v>
      </c>
      <c r="E329" s="147" t="s">
        <v>129</v>
      </c>
      <c r="F329" s="137" t="s">
        <v>129</v>
      </c>
      <c r="G329" s="137" t="s">
        <v>129</v>
      </c>
      <c r="H329" s="137" t="s">
        <v>129</v>
      </c>
      <c r="I329" s="137" t="s">
        <v>129</v>
      </c>
      <c r="J329" s="137" t="s">
        <v>129</v>
      </c>
      <c r="K329" s="137" t="s">
        <v>129</v>
      </c>
      <c r="L329" s="137" t="s">
        <v>129</v>
      </c>
      <c r="M329" s="141"/>
      <c r="N329" s="143"/>
    </row>
    <row r="330" hidden="1" outlineLevel="1">
      <c r="A330" s="557" t="s">
        <v>4216</v>
      </c>
      <c r="B330" s="344">
        <v>46175.0</v>
      </c>
      <c r="C330" s="133" t="str">
        <f t="shared" si="37"/>
        <v>Tue</v>
      </c>
      <c r="D330" s="381">
        <f t="shared" si="38"/>
        <v>1</v>
      </c>
      <c r="E330" s="382" t="s">
        <v>129</v>
      </c>
      <c r="F330" s="137" t="s">
        <v>129</v>
      </c>
      <c r="G330" s="137" t="s">
        <v>129</v>
      </c>
      <c r="H330" s="137" t="s">
        <v>129</v>
      </c>
      <c r="I330" s="137" t="s">
        <v>129</v>
      </c>
      <c r="J330" s="137" t="s">
        <v>129</v>
      </c>
      <c r="K330" s="137" t="s">
        <v>129</v>
      </c>
      <c r="L330" s="137" t="s">
        <v>129</v>
      </c>
      <c r="M330" s="141"/>
      <c r="N330" s="143"/>
    </row>
    <row r="331" hidden="1" outlineLevel="1">
      <c r="A331" s="557" t="s">
        <v>4217</v>
      </c>
      <c r="B331" s="344">
        <v>46175.0</v>
      </c>
      <c r="C331" s="133" t="str">
        <f t="shared" si="37"/>
        <v>Tue</v>
      </c>
      <c r="D331" s="383">
        <f t="shared" si="38"/>
        <v>1</v>
      </c>
      <c r="E331" s="147" t="s">
        <v>129</v>
      </c>
      <c r="F331" s="137" t="s">
        <v>129</v>
      </c>
      <c r="G331" s="137" t="s">
        <v>129</v>
      </c>
      <c r="H331" s="137" t="s">
        <v>129</v>
      </c>
      <c r="I331" s="137" t="s">
        <v>129</v>
      </c>
      <c r="J331" s="137" t="s">
        <v>129</v>
      </c>
      <c r="K331" s="137" t="s">
        <v>129</v>
      </c>
      <c r="L331" s="137" t="s">
        <v>129</v>
      </c>
      <c r="M331" s="141"/>
      <c r="N331" s="143"/>
    </row>
    <row r="332" hidden="1" outlineLevel="1">
      <c r="A332" s="557" t="s">
        <v>4218</v>
      </c>
      <c r="B332" s="344">
        <v>46176.0</v>
      </c>
      <c r="C332" s="133" t="str">
        <f t="shared" si="37"/>
        <v>Wed</v>
      </c>
      <c r="D332" s="381">
        <f t="shared" si="38"/>
        <v>1</v>
      </c>
      <c r="E332" s="382" t="s">
        <v>129</v>
      </c>
      <c r="F332" s="137" t="s">
        <v>129</v>
      </c>
      <c r="G332" s="137" t="s">
        <v>129</v>
      </c>
      <c r="H332" s="137" t="s">
        <v>129</v>
      </c>
      <c r="I332" s="137" t="s">
        <v>129</v>
      </c>
      <c r="J332" s="137" t="s">
        <v>129</v>
      </c>
      <c r="K332" s="137" t="s">
        <v>129</v>
      </c>
      <c r="L332" s="137" t="s">
        <v>129</v>
      </c>
      <c r="M332" s="141"/>
      <c r="N332" s="143"/>
    </row>
    <row r="333" hidden="1" outlineLevel="1">
      <c r="A333" s="557" t="s">
        <v>4219</v>
      </c>
      <c r="B333" s="344">
        <v>46176.0</v>
      </c>
      <c r="C333" s="133" t="str">
        <f t="shared" si="37"/>
        <v>Wed</v>
      </c>
      <c r="D333" s="383">
        <f t="shared" si="38"/>
        <v>1</v>
      </c>
      <c r="E333" s="147" t="s">
        <v>129</v>
      </c>
      <c r="F333" s="137" t="s">
        <v>129</v>
      </c>
      <c r="G333" s="137" t="s">
        <v>129</v>
      </c>
      <c r="H333" s="137" t="s">
        <v>129</v>
      </c>
      <c r="I333" s="137" t="s">
        <v>129</v>
      </c>
      <c r="J333" s="137" t="s">
        <v>129</v>
      </c>
      <c r="K333" s="137" t="s">
        <v>129</v>
      </c>
      <c r="L333" s="137" t="s">
        <v>129</v>
      </c>
      <c r="M333" s="141"/>
      <c r="N333" s="147"/>
    </row>
    <row r="334" hidden="1" outlineLevel="1">
      <c r="A334" s="557" t="s">
        <v>4220</v>
      </c>
      <c r="B334" s="344">
        <v>46176.0</v>
      </c>
      <c r="C334" s="133" t="str">
        <f t="shared" si="37"/>
        <v>Wed</v>
      </c>
      <c r="D334" s="381">
        <f t="shared" si="38"/>
        <v>1</v>
      </c>
      <c r="E334" s="382" t="s">
        <v>129</v>
      </c>
      <c r="F334" s="137" t="s">
        <v>129</v>
      </c>
      <c r="G334" s="137" t="s">
        <v>129</v>
      </c>
      <c r="H334" s="137" t="s">
        <v>129</v>
      </c>
      <c r="I334" s="137" t="s">
        <v>129</v>
      </c>
      <c r="J334" s="137" t="s">
        <v>129</v>
      </c>
      <c r="K334" s="137" t="s">
        <v>129</v>
      </c>
      <c r="L334" s="137" t="s">
        <v>129</v>
      </c>
      <c r="M334" s="141"/>
      <c r="N334" s="143"/>
    </row>
    <row r="335" hidden="1" outlineLevel="1">
      <c r="A335" s="557" t="s">
        <v>4221</v>
      </c>
      <c r="B335" s="344">
        <v>46177.0</v>
      </c>
      <c r="C335" s="133" t="str">
        <f t="shared" si="37"/>
        <v>Thu</v>
      </c>
      <c r="D335" s="383">
        <f t="shared" si="38"/>
        <v>1</v>
      </c>
      <c r="E335" s="147" t="s">
        <v>129</v>
      </c>
      <c r="F335" s="137" t="s">
        <v>129</v>
      </c>
      <c r="G335" s="137" t="s">
        <v>129</v>
      </c>
      <c r="H335" s="137" t="s">
        <v>129</v>
      </c>
      <c r="I335" s="137" t="s">
        <v>129</v>
      </c>
      <c r="J335" s="137" t="s">
        <v>129</v>
      </c>
      <c r="K335" s="137" t="s">
        <v>129</v>
      </c>
      <c r="L335" s="137" t="s">
        <v>129</v>
      </c>
      <c r="M335" s="141"/>
      <c r="N335" s="147"/>
    </row>
    <row r="336" hidden="1" outlineLevel="1">
      <c r="A336" s="557" t="s">
        <v>4222</v>
      </c>
      <c r="B336" s="344">
        <v>46177.0</v>
      </c>
      <c r="C336" s="133" t="str">
        <f t="shared" si="37"/>
        <v>Thu</v>
      </c>
      <c r="D336" s="381">
        <f t="shared" si="38"/>
        <v>1</v>
      </c>
      <c r="E336" s="382" t="s">
        <v>129</v>
      </c>
      <c r="F336" s="137" t="s">
        <v>129</v>
      </c>
      <c r="G336" s="137" t="s">
        <v>129</v>
      </c>
      <c r="H336" s="137" t="s">
        <v>129</v>
      </c>
      <c r="I336" s="137" t="s">
        <v>129</v>
      </c>
      <c r="J336" s="137" t="s">
        <v>129</v>
      </c>
      <c r="K336" s="137" t="s">
        <v>129</v>
      </c>
      <c r="L336" s="137" t="s">
        <v>129</v>
      </c>
      <c r="M336" s="141"/>
      <c r="N336" s="147"/>
    </row>
    <row r="337" hidden="1" outlineLevel="1">
      <c r="A337" s="557" t="s">
        <v>4223</v>
      </c>
      <c r="B337" s="344">
        <v>46177.0</v>
      </c>
      <c r="C337" s="133" t="str">
        <f t="shared" si="37"/>
        <v>Thu</v>
      </c>
      <c r="D337" s="383">
        <f t="shared" si="38"/>
        <v>1</v>
      </c>
      <c r="E337" s="147" t="s">
        <v>129</v>
      </c>
      <c r="F337" s="137" t="s">
        <v>129</v>
      </c>
      <c r="G337" s="137" t="s">
        <v>129</v>
      </c>
      <c r="H337" s="137" t="s">
        <v>129</v>
      </c>
      <c r="I337" s="137" t="s">
        <v>129</v>
      </c>
      <c r="J337" s="137" t="s">
        <v>129</v>
      </c>
      <c r="K337" s="137" t="s">
        <v>129</v>
      </c>
      <c r="L337" s="137" t="s">
        <v>129</v>
      </c>
      <c r="M337" s="141"/>
      <c r="N337" s="147"/>
    </row>
    <row r="338" hidden="1" outlineLevel="1">
      <c r="A338" s="479" t="s">
        <v>4224</v>
      </c>
      <c r="B338" s="344">
        <v>46178.0</v>
      </c>
      <c r="C338" s="133" t="str">
        <f t="shared" si="37"/>
        <v>Fri</v>
      </c>
      <c r="D338" s="381">
        <f t="shared" si="38"/>
        <v>1</v>
      </c>
      <c r="E338" s="382" t="s">
        <v>129</v>
      </c>
      <c r="F338" s="137" t="s">
        <v>129</v>
      </c>
      <c r="G338" s="137" t="s">
        <v>129</v>
      </c>
      <c r="H338" s="137" t="s">
        <v>129</v>
      </c>
      <c r="I338" s="137" t="s">
        <v>129</v>
      </c>
      <c r="J338" s="137" t="s">
        <v>129</v>
      </c>
      <c r="K338" s="137" t="s">
        <v>129</v>
      </c>
      <c r="L338" s="137" t="s">
        <v>129</v>
      </c>
      <c r="M338" s="141"/>
      <c r="N338" s="143"/>
    </row>
    <row r="339" hidden="1" outlineLevel="1">
      <c r="A339" s="479" t="s">
        <v>4225</v>
      </c>
      <c r="B339" s="344">
        <v>46178.0</v>
      </c>
      <c r="C339" s="133" t="str">
        <f t="shared" si="37"/>
        <v>Fri</v>
      </c>
      <c r="D339" s="383">
        <f t="shared" si="38"/>
        <v>1</v>
      </c>
      <c r="E339" s="147" t="s">
        <v>129</v>
      </c>
      <c r="F339" s="137" t="s">
        <v>129</v>
      </c>
      <c r="G339" s="137" t="s">
        <v>129</v>
      </c>
      <c r="H339" s="137" t="s">
        <v>129</v>
      </c>
      <c r="I339" s="137" t="s">
        <v>129</v>
      </c>
      <c r="J339" s="137" t="s">
        <v>129</v>
      </c>
      <c r="K339" s="137" t="s">
        <v>129</v>
      </c>
      <c r="L339" s="137" t="s">
        <v>129</v>
      </c>
      <c r="M339" s="141"/>
      <c r="N339" s="143"/>
    </row>
    <row r="340" ht="15.0" hidden="1" customHeight="1" outlineLevel="1">
      <c r="A340" s="479" t="s">
        <v>4226</v>
      </c>
      <c r="B340" s="344">
        <v>46178.0</v>
      </c>
      <c r="C340" s="133" t="str">
        <f t="shared" si="37"/>
        <v>Fri</v>
      </c>
      <c r="D340" s="381">
        <f t="shared" si="38"/>
        <v>1</v>
      </c>
      <c r="E340" s="382" t="s">
        <v>129</v>
      </c>
      <c r="F340" s="137" t="s">
        <v>129</v>
      </c>
      <c r="G340" s="137" t="s">
        <v>129</v>
      </c>
      <c r="H340" s="137" t="s">
        <v>129</v>
      </c>
      <c r="I340" s="137" t="s">
        <v>129</v>
      </c>
      <c r="J340" s="137" t="s">
        <v>129</v>
      </c>
      <c r="K340" s="137" t="s">
        <v>129</v>
      </c>
      <c r="L340" s="137" t="s">
        <v>129</v>
      </c>
      <c r="M340" s="141"/>
      <c r="N340" s="147"/>
    </row>
    <row r="341" hidden="1" outlineLevel="1">
      <c r="B341" s="189"/>
      <c r="C341" s="191" t="s">
        <v>194</v>
      </c>
      <c r="D341" s="204">
        <f>AVERAGE(D326:D340)</f>
        <v>0.9766666667</v>
      </c>
      <c r="E341" s="384"/>
      <c r="L341" s="191" t="s">
        <v>194</v>
      </c>
      <c r="M341" s="204">
        <f>SUM(M326:M340)/75*0.1</f>
        <v>0</v>
      </c>
    </row>
    <row r="342" hidden="1" collapsed="1">
      <c r="A342" s="206" t="s">
        <v>1138</v>
      </c>
      <c r="B342" s="207"/>
      <c r="C342" s="207"/>
      <c r="D342" s="385"/>
      <c r="E342" s="109"/>
      <c r="F342" s="109"/>
      <c r="G342" s="110"/>
      <c r="H342" s="110"/>
      <c r="I342" s="110"/>
      <c r="J342" s="110"/>
      <c r="K342" s="110"/>
      <c r="L342" s="110"/>
      <c r="M342" s="111"/>
      <c r="N342" s="113"/>
    </row>
    <row r="343" hidden="1" outlineLevel="1">
      <c r="A343" s="373" t="s">
        <v>98</v>
      </c>
      <c r="B343" s="115" t="s">
        <v>100</v>
      </c>
      <c r="C343" s="115" t="s">
        <v>102</v>
      </c>
      <c r="D343" s="119" t="s">
        <v>103</v>
      </c>
      <c r="E343" s="275" t="s">
        <v>269</v>
      </c>
      <c r="F343" s="275" t="s">
        <v>272</v>
      </c>
      <c r="G343" s="276" t="s">
        <v>328</v>
      </c>
      <c r="H343" s="121" t="s">
        <v>107</v>
      </c>
      <c r="I343" s="121" t="s">
        <v>108</v>
      </c>
      <c r="J343" s="276" t="s">
        <v>329</v>
      </c>
      <c r="K343" s="121" t="s">
        <v>111</v>
      </c>
      <c r="L343" s="276" t="s">
        <v>274</v>
      </c>
      <c r="M343" s="115" t="s">
        <v>114</v>
      </c>
      <c r="N343" s="119" t="s">
        <v>115</v>
      </c>
    </row>
    <row r="344" hidden="1" outlineLevel="1">
      <c r="A344" s="479" t="s">
        <v>4227</v>
      </c>
      <c r="B344" s="344">
        <v>46181.0</v>
      </c>
      <c r="C344" s="133" t="str">
        <f t="shared" ref="C344:C358" si="39">IF(B344="", "", TEXT(B344, "ddd"))</f>
        <v>Mon</v>
      </c>
      <c r="D344" s="381">
        <f t="shared" ref="D344:D358" si="40">IF(E344="Yes",0.05,0)
+IF(F344="Yes",0.1,0)
+IF(G344="Yes",0.15,0)
+IF(H344="Yes",0.15,0)
+IF(I344="Yes",0.05,0)
+IF(J344="Yes",0.05,0)
+IF(K344="Yes",0.15,0)
+IF(L344="Yes",0.3,0)
</f>
        <v>1</v>
      </c>
      <c r="E344" s="382" t="s">
        <v>129</v>
      </c>
      <c r="F344" s="137" t="s">
        <v>129</v>
      </c>
      <c r="G344" s="137" t="s">
        <v>129</v>
      </c>
      <c r="H344" s="137" t="s">
        <v>129</v>
      </c>
      <c r="I344" s="137" t="s">
        <v>129</v>
      </c>
      <c r="J344" s="137" t="s">
        <v>129</v>
      </c>
      <c r="K344" s="137" t="s">
        <v>129</v>
      </c>
      <c r="L344" s="137" t="s">
        <v>129</v>
      </c>
      <c r="M344" s="141"/>
      <c r="N344" s="143"/>
    </row>
    <row r="345" hidden="1" outlineLevel="1">
      <c r="A345" s="479" t="s">
        <v>4228</v>
      </c>
      <c r="B345" s="344">
        <v>46181.0</v>
      </c>
      <c r="C345" s="133" t="str">
        <f t="shared" si="39"/>
        <v>Mon</v>
      </c>
      <c r="D345" s="383">
        <f t="shared" si="40"/>
        <v>1</v>
      </c>
      <c r="E345" s="147" t="s">
        <v>129</v>
      </c>
      <c r="F345" s="137" t="s">
        <v>129</v>
      </c>
      <c r="G345" s="137" t="s">
        <v>129</v>
      </c>
      <c r="H345" s="137" t="s">
        <v>129</v>
      </c>
      <c r="I345" s="137" t="s">
        <v>129</v>
      </c>
      <c r="J345" s="137" t="s">
        <v>129</v>
      </c>
      <c r="K345" s="137" t="s">
        <v>129</v>
      </c>
      <c r="L345" s="137" t="s">
        <v>129</v>
      </c>
      <c r="M345" s="141"/>
      <c r="N345" s="147"/>
    </row>
    <row r="346" hidden="1" outlineLevel="1">
      <c r="A346" s="479" t="s">
        <v>4229</v>
      </c>
      <c r="B346" s="344">
        <v>46181.0</v>
      </c>
      <c r="C346" s="133" t="str">
        <f t="shared" si="39"/>
        <v>Mon</v>
      </c>
      <c r="D346" s="381">
        <f t="shared" si="40"/>
        <v>1</v>
      </c>
      <c r="E346" s="382" t="s">
        <v>129</v>
      </c>
      <c r="F346" s="137" t="s">
        <v>129</v>
      </c>
      <c r="G346" s="137" t="s">
        <v>129</v>
      </c>
      <c r="H346" s="137" t="s">
        <v>129</v>
      </c>
      <c r="I346" s="137" t="s">
        <v>129</v>
      </c>
      <c r="J346" s="137" t="s">
        <v>129</v>
      </c>
      <c r="K346" s="137" t="s">
        <v>129</v>
      </c>
      <c r="L346" s="137" t="s">
        <v>129</v>
      </c>
      <c r="M346" s="141"/>
      <c r="N346" s="147"/>
    </row>
    <row r="347" hidden="1" outlineLevel="1">
      <c r="A347" s="479" t="s">
        <v>4230</v>
      </c>
      <c r="B347" s="344">
        <v>46182.0</v>
      </c>
      <c r="C347" s="133" t="str">
        <f t="shared" si="39"/>
        <v>Tue</v>
      </c>
      <c r="D347" s="383">
        <f t="shared" si="40"/>
        <v>1</v>
      </c>
      <c r="E347" s="147" t="s">
        <v>129</v>
      </c>
      <c r="F347" s="137" t="s">
        <v>129</v>
      </c>
      <c r="G347" s="137" t="s">
        <v>129</v>
      </c>
      <c r="H347" s="137" t="s">
        <v>129</v>
      </c>
      <c r="I347" s="137" t="s">
        <v>129</v>
      </c>
      <c r="J347" s="137" t="s">
        <v>129</v>
      </c>
      <c r="K347" s="137" t="s">
        <v>129</v>
      </c>
      <c r="L347" s="137" t="s">
        <v>129</v>
      </c>
      <c r="M347" s="141"/>
      <c r="N347" s="143"/>
    </row>
    <row r="348" hidden="1" outlineLevel="1">
      <c r="A348" s="479" t="s">
        <v>4231</v>
      </c>
      <c r="B348" s="344">
        <v>46182.0</v>
      </c>
      <c r="C348" s="133" t="str">
        <f t="shared" si="39"/>
        <v>Tue</v>
      </c>
      <c r="D348" s="381">
        <f t="shared" si="40"/>
        <v>1</v>
      </c>
      <c r="E348" s="382" t="s">
        <v>129</v>
      </c>
      <c r="F348" s="137" t="s">
        <v>129</v>
      </c>
      <c r="G348" s="137" t="s">
        <v>129</v>
      </c>
      <c r="H348" s="137" t="s">
        <v>129</v>
      </c>
      <c r="I348" s="137" t="s">
        <v>129</v>
      </c>
      <c r="J348" s="137" t="s">
        <v>129</v>
      </c>
      <c r="K348" s="137" t="s">
        <v>129</v>
      </c>
      <c r="L348" s="137" t="s">
        <v>129</v>
      </c>
      <c r="M348" s="141"/>
      <c r="N348" s="143"/>
    </row>
    <row r="349" hidden="1" outlineLevel="1">
      <c r="A349" s="479" t="s">
        <v>4232</v>
      </c>
      <c r="B349" s="344">
        <v>46182.0</v>
      </c>
      <c r="C349" s="133" t="str">
        <f t="shared" si="39"/>
        <v>Tue</v>
      </c>
      <c r="D349" s="383">
        <f t="shared" si="40"/>
        <v>1</v>
      </c>
      <c r="E349" s="147" t="s">
        <v>129</v>
      </c>
      <c r="F349" s="137" t="s">
        <v>129</v>
      </c>
      <c r="G349" s="137" t="s">
        <v>129</v>
      </c>
      <c r="H349" s="137" t="s">
        <v>129</v>
      </c>
      <c r="I349" s="137" t="s">
        <v>129</v>
      </c>
      <c r="J349" s="137" t="s">
        <v>129</v>
      </c>
      <c r="K349" s="137" t="s">
        <v>129</v>
      </c>
      <c r="L349" s="137" t="s">
        <v>129</v>
      </c>
      <c r="M349" s="141"/>
      <c r="N349" s="143"/>
    </row>
    <row r="350" hidden="1" outlineLevel="1">
      <c r="A350" s="557" t="s">
        <v>4233</v>
      </c>
      <c r="B350" s="344">
        <v>46183.0</v>
      </c>
      <c r="C350" s="133" t="str">
        <f t="shared" si="39"/>
        <v>Wed</v>
      </c>
      <c r="D350" s="381">
        <f t="shared" si="40"/>
        <v>1</v>
      </c>
      <c r="E350" s="382" t="s">
        <v>129</v>
      </c>
      <c r="F350" s="137" t="s">
        <v>129</v>
      </c>
      <c r="G350" s="137" t="s">
        <v>129</v>
      </c>
      <c r="H350" s="137" t="s">
        <v>129</v>
      </c>
      <c r="I350" s="137" t="s">
        <v>129</v>
      </c>
      <c r="J350" s="137" t="s">
        <v>129</v>
      </c>
      <c r="K350" s="137" t="s">
        <v>129</v>
      </c>
      <c r="L350" s="137" t="s">
        <v>129</v>
      </c>
      <c r="M350" s="141"/>
      <c r="N350" s="143"/>
    </row>
    <row r="351" hidden="1" outlineLevel="1">
      <c r="A351" s="557" t="s">
        <v>4234</v>
      </c>
      <c r="B351" s="344">
        <v>46183.0</v>
      </c>
      <c r="C351" s="133" t="str">
        <f t="shared" si="39"/>
        <v>Wed</v>
      </c>
      <c r="D351" s="383">
        <f t="shared" si="40"/>
        <v>1</v>
      </c>
      <c r="E351" s="147" t="s">
        <v>129</v>
      </c>
      <c r="F351" s="137" t="s">
        <v>129</v>
      </c>
      <c r="G351" s="137" t="s">
        <v>129</v>
      </c>
      <c r="H351" s="137" t="s">
        <v>129</v>
      </c>
      <c r="I351" s="137" t="s">
        <v>129</v>
      </c>
      <c r="J351" s="137" t="s">
        <v>129</v>
      </c>
      <c r="K351" s="137" t="s">
        <v>129</v>
      </c>
      <c r="L351" s="137" t="s">
        <v>129</v>
      </c>
      <c r="M351" s="141"/>
      <c r="N351" s="147"/>
    </row>
    <row r="352" hidden="1" outlineLevel="1">
      <c r="A352" s="557" t="s">
        <v>4235</v>
      </c>
      <c r="B352" s="344">
        <v>46183.0</v>
      </c>
      <c r="C352" s="133" t="str">
        <f t="shared" si="39"/>
        <v>Wed</v>
      </c>
      <c r="D352" s="381">
        <f t="shared" si="40"/>
        <v>1</v>
      </c>
      <c r="E352" s="382" t="s">
        <v>129</v>
      </c>
      <c r="F352" s="137" t="s">
        <v>129</v>
      </c>
      <c r="G352" s="137" t="s">
        <v>129</v>
      </c>
      <c r="H352" s="137" t="s">
        <v>129</v>
      </c>
      <c r="I352" s="137" t="s">
        <v>129</v>
      </c>
      <c r="J352" s="137" t="s">
        <v>129</v>
      </c>
      <c r="K352" s="137" t="s">
        <v>129</v>
      </c>
      <c r="L352" s="137" t="s">
        <v>129</v>
      </c>
      <c r="M352" s="141"/>
      <c r="N352" s="143"/>
    </row>
    <row r="353" hidden="1" outlineLevel="1">
      <c r="A353" s="557" t="s">
        <v>4236</v>
      </c>
      <c r="B353" s="344">
        <v>46184.0</v>
      </c>
      <c r="C353" s="133" t="str">
        <f t="shared" si="39"/>
        <v>Thu</v>
      </c>
      <c r="D353" s="383">
        <f t="shared" si="40"/>
        <v>1</v>
      </c>
      <c r="E353" s="147" t="s">
        <v>129</v>
      </c>
      <c r="F353" s="137" t="s">
        <v>129</v>
      </c>
      <c r="G353" s="137" t="s">
        <v>129</v>
      </c>
      <c r="H353" s="137" t="s">
        <v>129</v>
      </c>
      <c r="I353" s="137" t="s">
        <v>129</v>
      </c>
      <c r="J353" s="137" t="s">
        <v>129</v>
      </c>
      <c r="K353" s="137" t="s">
        <v>129</v>
      </c>
      <c r="L353" s="137" t="s">
        <v>129</v>
      </c>
      <c r="M353" s="141"/>
      <c r="N353" s="147"/>
    </row>
    <row r="354" hidden="1" outlineLevel="1">
      <c r="A354" s="557" t="s">
        <v>4237</v>
      </c>
      <c r="B354" s="344">
        <v>46184.0</v>
      </c>
      <c r="C354" s="133" t="str">
        <f t="shared" si="39"/>
        <v>Thu</v>
      </c>
      <c r="D354" s="381">
        <f t="shared" si="40"/>
        <v>1</v>
      </c>
      <c r="E354" s="382" t="s">
        <v>129</v>
      </c>
      <c r="F354" s="137" t="s">
        <v>129</v>
      </c>
      <c r="G354" s="137" t="s">
        <v>129</v>
      </c>
      <c r="H354" s="137" t="s">
        <v>129</v>
      </c>
      <c r="I354" s="137" t="s">
        <v>129</v>
      </c>
      <c r="J354" s="137" t="s">
        <v>129</v>
      </c>
      <c r="K354" s="137" t="s">
        <v>129</v>
      </c>
      <c r="L354" s="137" t="s">
        <v>129</v>
      </c>
      <c r="M354" s="141"/>
      <c r="N354" s="147"/>
    </row>
    <row r="355" hidden="1" outlineLevel="1">
      <c r="A355" s="557" t="s">
        <v>4238</v>
      </c>
      <c r="B355" s="344">
        <v>46184.0</v>
      </c>
      <c r="C355" s="133" t="str">
        <f t="shared" si="39"/>
        <v>Thu</v>
      </c>
      <c r="D355" s="383">
        <f t="shared" si="40"/>
        <v>1</v>
      </c>
      <c r="E355" s="147" t="s">
        <v>129</v>
      </c>
      <c r="F355" s="137" t="s">
        <v>129</v>
      </c>
      <c r="G355" s="137" t="s">
        <v>129</v>
      </c>
      <c r="H355" s="137" t="s">
        <v>129</v>
      </c>
      <c r="I355" s="137" t="s">
        <v>129</v>
      </c>
      <c r="J355" s="137" t="s">
        <v>129</v>
      </c>
      <c r="K355" s="137" t="s">
        <v>129</v>
      </c>
      <c r="L355" s="137" t="s">
        <v>129</v>
      </c>
      <c r="M355" s="141"/>
      <c r="N355" s="147"/>
    </row>
    <row r="356" hidden="1" outlineLevel="1">
      <c r="A356" s="557" t="s">
        <v>4239</v>
      </c>
      <c r="B356" s="344">
        <v>46185.0</v>
      </c>
      <c r="C356" s="133" t="str">
        <f t="shared" si="39"/>
        <v>Fri</v>
      </c>
      <c r="D356" s="381">
        <f t="shared" si="40"/>
        <v>1</v>
      </c>
      <c r="E356" s="382" t="s">
        <v>129</v>
      </c>
      <c r="F356" s="137" t="s">
        <v>129</v>
      </c>
      <c r="G356" s="137" t="s">
        <v>129</v>
      </c>
      <c r="H356" s="137" t="s">
        <v>129</v>
      </c>
      <c r="I356" s="137" t="s">
        <v>129</v>
      </c>
      <c r="J356" s="137" t="s">
        <v>129</v>
      </c>
      <c r="K356" s="137" t="s">
        <v>129</v>
      </c>
      <c r="L356" s="137" t="s">
        <v>129</v>
      </c>
      <c r="M356" s="141"/>
      <c r="N356" s="143"/>
    </row>
    <row r="357" hidden="1" outlineLevel="1">
      <c r="A357" s="557" t="s">
        <v>4240</v>
      </c>
      <c r="B357" s="344">
        <v>46185.0</v>
      </c>
      <c r="C357" s="133" t="str">
        <f t="shared" si="39"/>
        <v>Fri</v>
      </c>
      <c r="D357" s="383">
        <f t="shared" si="40"/>
        <v>1</v>
      </c>
      <c r="E357" s="147" t="s">
        <v>129</v>
      </c>
      <c r="F357" s="137" t="s">
        <v>129</v>
      </c>
      <c r="G357" s="137" t="s">
        <v>129</v>
      </c>
      <c r="H357" s="137" t="s">
        <v>129</v>
      </c>
      <c r="I357" s="137" t="s">
        <v>129</v>
      </c>
      <c r="J357" s="137" t="s">
        <v>129</v>
      </c>
      <c r="K357" s="137" t="s">
        <v>129</v>
      </c>
      <c r="L357" s="137" t="s">
        <v>129</v>
      </c>
      <c r="M357" s="141"/>
      <c r="N357" s="143"/>
    </row>
    <row r="358" ht="15.0" hidden="1" customHeight="1" outlineLevel="1">
      <c r="A358" s="557" t="s">
        <v>4241</v>
      </c>
      <c r="B358" s="344">
        <v>46185.0</v>
      </c>
      <c r="C358" s="133" t="str">
        <f t="shared" si="39"/>
        <v>Fri</v>
      </c>
      <c r="D358" s="381">
        <f t="shared" si="40"/>
        <v>1</v>
      </c>
      <c r="E358" s="382" t="s">
        <v>129</v>
      </c>
      <c r="F358" s="137" t="s">
        <v>129</v>
      </c>
      <c r="G358" s="137" t="s">
        <v>129</v>
      </c>
      <c r="H358" s="137" t="s">
        <v>129</v>
      </c>
      <c r="I358" s="137" t="s">
        <v>129</v>
      </c>
      <c r="J358" s="137" t="s">
        <v>129</v>
      </c>
      <c r="K358" s="137" t="s">
        <v>129</v>
      </c>
      <c r="L358" s="137" t="s">
        <v>129</v>
      </c>
      <c r="M358" s="141"/>
      <c r="N358" s="147"/>
    </row>
    <row r="359" hidden="1" outlineLevel="1">
      <c r="B359" s="189"/>
      <c r="C359" s="191" t="s">
        <v>194</v>
      </c>
      <c r="D359" s="204">
        <f>AVERAGE(D344:D358)</f>
        <v>1</v>
      </c>
      <c r="E359" s="384"/>
      <c r="L359" s="191" t="s">
        <v>194</v>
      </c>
      <c r="M359" s="204">
        <f>SUM(M344:M358)/75*0.1</f>
        <v>0</v>
      </c>
    </row>
    <row r="360" hidden="1" collapsed="1">
      <c r="A360" s="206" t="s">
        <v>1161</v>
      </c>
      <c r="B360" s="207"/>
      <c r="C360" s="207"/>
      <c r="D360" s="385"/>
      <c r="E360" s="109"/>
      <c r="F360" s="109"/>
      <c r="G360" s="110"/>
      <c r="H360" s="110"/>
      <c r="I360" s="110"/>
      <c r="J360" s="110"/>
      <c r="K360" s="110"/>
      <c r="L360" s="110"/>
      <c r="M360" s="111"/>
      <c r="N360" s="113"/>
    </row>
    <row r="361" hidden="1" outlineLevel="1">
      <c r="A361" s="373" t="s">
        <v>98</v>
      </c>
      <c r="B361" s="115" t="s">
        <v>100</v>
      </c>
      <c r="C361" s="115" t="s">
        <v>102</v>
      </c>
      <c r="D361" s="119" t="s">
        <v>103</v>
      </c>
      <c r="E361" s="275" t="s">
        <v>269</v>
      </c>
      <c r="F361" s="275" t="s">
        <v>272</v>
      </c>
      <c r="G361" s="276" t="s">
        <v>328</v>
      </c>
      <c r="H361" s="121" t="s">
        <v>107</v>
      </c>
      <c r="I361" s="121" t="s">
        <v>108</v>
      </c>
      <c r="J361" s="276" t="s">
        <v>329</v>
      </c>
      <c r="K361" s="121" t="s">
        <v>111</v>
      </c>
      <c r="L361" s="276" t="s">
        <v>274</v>
      </c>
      <c r="M361" s="115" t="s">
        <v>114</v>
      </c>
      <c r="N361" s="119" t="s">
        <v>115</v>
      </c>
    </row>
    <row r="362" hidden="1" outlineLevel="1">
      <c r="A362" s="412" t="s">
        <v>1162</v>
      </c>
      <c r="B362" s="344"/>
      <c r="C362" s="133" t="str">
        <f t="shared" ref="C362:C376" si="41">IF(B362="", "", TEXT(B362, "ddd"))</f>
        <v/>
      </c>
      <c r="D362" s="381">
        <f t="shared" ref="D362:D376" si="42">IF(E362="Yes",0.05,0)
+IF(F362="Yes",0.1,0)
+IF(G362="Yes",0.15,0)
+IF(H362="Yes",0.15,0)
+IF(I362="Yes",0.05,0)
+IF(J362="Yes",0.05,0)
+IF(K362="Yes",0.15,0)
+IF(L362="Yes",0.3,0)
</f>
        <v>1</v>
      </c>
      <c r="E362" s="382" t="s">
        <v>129</v>
      </c>
      <c r="F362" s="137" t="s">
        <v>129</v>
      </c>
      <c r="G362" s="137" t="s">
        <v>129</v>
      </c>
      <c r="H362" s="137" t="s">
        <v>129</v>
      </c>
      <c r="I362" s="137" t="s">
        <v>129</v>
      </c>
      <c r="J362" s="137" t="s">
        <v>129</v>
      </c>
      <c r="K362" s="137" t="s">
        <v>129</v>
      </c>
      <c r="L362" s="137" t="s">
        <v>129</v>
      </c>
      <c r="M362" s="141"/>
      <c r="N362" s="143"/>
    </row>
    <row r="363" hidden="1" outlineLevel="1">
      <c r="A363" s="412" t="s">
        <v>1162</v>
      </c>
      <c r="B363" s="344"/>
      <c r="C363" s="133" t="str">
        <f t="shared" si="41"/>
        <v/>
      </c>
      <c r="D363" s="383">
        <f t="shared" si="42"/>
        <v>1</v>
      </c>
      <c r="E363" s="147" t="s">
        <v>129</v>
      </c>
      <c r="F363" s="137" t="s">
        <v>129</v>
      </c>
      <c r="G363" s="137" t="s">
        <v>129</v>
      </c>
      <c r="H363" s="137" t="s">
        <v>129</v>
      </c>
      <c r="I363" s="137" t="s">
        <v>129</v>
      </c>
      <c r="J363" s="137" t="s">
        <v>129</v>
      </c>
      <c r="K363" s="137" t="s">
        <v>129</v>
      </c>
      <c r="L363" s="137" t="s">
        <v>129</v>
      </c>
      <c r="M363" s="141"/>
      <c r="N363" s="147"/>
    </row>
    <row r="364" hidden="1" outlineLevel="1">
      <c r="A364" s="412" t="s">
        <v>1162</v>
      </c>
      <c r="B364" s="344"/>
      <c r="C364" s="133" t="str">
        <f t="shared" si="41"/>
        <v/>
      </c>
      <c r="D364" s="381">
        <f t="shared" si="42"/>
        <v>1</v>
      </c>
      <c r="E364" s="382" t="s">
        <v>129</v>
      </c>
      <c r="F364" s="137" t="s">
        <v>129</v>
      </c>
      <c r="G364" s="137" t="s">
        <v>129</v>
      </c>
      <c r="H364" s="137" t="s">
        <v>129</v>
      </c>
      <c r="I364" s="137" t="s">
        <v>129</v>
      </c>
      <c r="J364" s="137" t="s">
        <v>129</v>
      </c>
      <c r="K364" s="137" t="s">
        <v>129</v>
      </c>
      <c r="L364" s="137" t="s">
        <v>129</v>
      </c>
      <c r="M364" s="141"/>
      <c r="N364" s="147"/>
    </row>
    <row r="365" hidden="1" outlineLevel="1">
      <c r="A365" s="412" t="s">
        <v>1162</v>
      </c>
      <c r="B365" s="344"/>
      <c r="C365" s="133" t="str">
        <f t="shared" si="41"/>
        <v/>
      </c>
      <c r="D365" s="383">
        <f t="shared" si="42"/>
        <v>1</v>
      </c>
      <c r="E365" s="147" t="s">
        <v>129</v>
      </c>
      <c r="F365" s="137" t="s">
        <v>129</v>
      </c>
      <c r="G365" s="137" t="s">
        <v>129</v>
      </c>
      <c r="H365" s="137" t="s">
        <v>129</v>
      </c>
      <c r="I365" s="137" t="s">
        <v>129</v>
      </c>
      <c r="J365" s="137" t="s">
        <v>129</v>
      </c>
      <c r="K365" s="137" t="s">
        <v>129</v>
      </c>
      <c r="L365" s="137" t="s">
        <v>129</v>
      </c>
      <c r="M365" s="141"/>
      <c r="N365" s="143"/>
    </row>
    <row r="366" hidden="1" outlineLevel="1">
      <c r="A366" s="412" t="s">
        <v>1162</v>
      </c>
      <c r="B366" s="344"/>
      <c r="C366" s="133" t="str">
        <f t="shared" si="41"/>
        <v/>
      </c>
      <c r="D366" s="381">
        <f t="shared" si="42"/>
        <v>1</v>
      </c>
      <c r="E366" s="382" t="s">
        <v>129</v>
      </c>
      <c r="F366" s="137" t="s">
        <v>129</v>
      </c>
      <c r="G366" s="137" t="s">
        <v>129</v>
      </c>
      <c r="H366" s="137" t="s">
        <v>129</v>
      </c>
      <c r="I366" s="137" t="s">
        <v>129</v>
      </c>
      <c r="J366" s="137" t="s">
        <v>129</v>
      </c>
      <c r="K366" s="137" t="s">
        <v>129</v>
      </c>
      <c r="L366" s="137" t="s">
        <v>129</v>
      </c>
      <c r="M366" s="141"/>
      <c r="N366" s="143"/>
    </row>
    <row r="367" hidden="1" outlineLevel="1">
      <c r="A367" s="412" t="s">
        <v>1162</v>
      </c>
      <c r="B367" s="344"/>
      <c r="C367" s="133" t="str">
        <f t="shared" si="41"/>
        <v/>
      </c>
      <c r="D367" s="383">
        <f t="shared" si="42"/>
        <v>1</v>
      </c>
      <c r="E367" s="147" t="s">
        <v>129</v>
      </c>
      <c r="F367" s="137" t="s">
        <v>129</v>
      </c>
      <c r="G367" s="137" t="s">
        <v>129</v>
      </c>
      <c r="H367" s="137" t="s">
        <v>129</v>
      </c>
      <c r="I367" s="137" t="s">
        <v>129</v>
      </c>
      <c r="J367" s="137" t="s">
        <v>129</v>
      </c>
      <c r="K367" s="137" t="s">
        <v>129</v>
      </c>
      <c r="L367" s="137" t="s">
        <v>129</v>
      </c>
      <c r="M367" s="141"/>
      <c r="N367" s="143"/>
    </row>
    <row r="368" hidden="1" outlineLevel="1">
      <c r="A368" s="412" t="s">
        <v>1162</v>
      </c>
      <c r="B368" s="344"/>
      <c r="C368" s="133" t="str">
        <f t="shared" si="41"/>
        <v/>
      </c>
      <c r="D368" s="381">
        <f t="shared" si="42"/>
        <v>1</v>
      </c>
      <c r="E368" s="382" t="s">
        <v>129</v>
      </c>
      <c r="F368" s="137" t="s">
        <v>129</v>
      </c>
      <c r="G368" s="137" t="s">
        <v>129</v>
      </c>
      <c r="H368" s="137" t="s">
        <v>129</v>
      </c>
      <c r="I368" s="137" t="s">
        <v>129</v>
      </c>
      <c r="J368" s="137" t="s">
        <v>129</v>
      </c>
      <c r="K368" s="137" t="s">
        <v>129</v>
      </c>
      <c r="L368" s="137" t="s">
        <v>129</v>
      </c>
      <c r="M368" s="141"/>
      <c r="N368" s="143"/>
    </row>
    <row r="369" hidden="1" outlineLevel="1">
      <c r="A369" s="412" t="s">
        <v>1162</v>
      </c>
      <c r="B369" s="344"/>
      <c r="C369" s="133" t="str">
        <f t="shared" si="41"/>
        <v/>
      </c>
      <c r="D369" s="383">
        <f t="shared" si="42"/>
        <v>1</v>
      </c>
      <c r="E369" s="147" t="s">
        <v>129</v>
      </c>
      <c r="F369" s="137" t="s">
        <v>129</v>
      </c>
      <c r="G369" s="137" t="s">
        <v>129</v>
      </c>
      <c r="H369" s="137" t="s">
        <v>129</v>
      </c>
      <c r="I369" s="137" t="s">
        <v>129</v>
      </c>
      <c r="J369" s="137" t="s">
        <v>129</v>
      </c>
      <c r="K369" s="137" t="s">
        <v>129</v>
      </c>
      <c r="L369" s="137" t="s">
        <v>129</v>
      </c>
      <c r="M369" s="141"/>
      <c r="N369" s="147"/>
    </row>
    <row r="370" hidden="1" outlineLevel="1">
      <c r="A370" s="412" t="s">
        <v>1162</v>
      </c>
      <c r="B370" s="344"/>
      <c r="C370" s="133" t="str">
        <f t="shared" si="41"/>
        <v/>
      </c>
      <c r="D370" s="381">
        <f t="shared" si="42"/>
        <v>1</v>
      </c>
      <c r="E370" s="382" t="s">
        <v>129</v>
      </c>
      <c r="F370" s="137" t="s">
        <v>129</v>
      </c>
      <c r="G370" s="137" t="s">
        <v>129</v>
      </c>
      <c r="H370" s="137" t="s">
        <v>129</v>
      </c>
      <c r="I370" s="137" t="s">
        <v>129</v>
      </c>
      <c r="J370" s="137" t="s">
        <v>129</v>
      </c>
      <c r="K370" s="137" t="s">
        <v>129</v>
      </c>
      <c r="L370" s="137" t="s">
        <v>129</v>
      </c>
      <c r="M370" s="141"/>
      <c r="N370" s="143"/>
    </row>
    <row r="371" hidden="1" outlineLevel="1">
      <c r="A371" s="412" t="s">
        <v>1162</v>
      </c>
      <c r="B371" s="344"/>
      <c r="C371" s="133" t="str">
        <f t="shared" si="41"/>
        <v/>
      </c>
      <c r="D371" s="383">
        <f t="shared" si="42"/>
        <v>1</v>
      </c>
      <c r="E371" s="147" t="s">
        <v>129</v>
      </c>
      <c r="F371" s="137" t="s">
        <v>129</v>
      </c>
      <c r="G371" s="137" t="s">
        <v>129</v>
      </c>
      <c r="H371" s="137" t="s">
        <v>129</v>
      </c>
      <c r="I371" s="137" t="s">
        <v>129</v>
      </c>
      <c r="J371" s="137" t="s">
        <v>129</v>
      </c>
      <c r="K371" s="137" t="s">
        <v>129</v>
      </c>
      <c r="L371" s="137" t="s">
        <v>129</v>
      </c>
      <c r="M371" s="141"/>
      <c r="N371" s="147"/>
    </row>
    <row r="372" hidden="1" outlineLevel="1">
      <c r="A372" s="412" t="s">
        <v>1162</v>
      </c>
      <c r="B372" s="344"/>
      <c r="C372" s="133" t="str">
        <f t="shared" si="41"/>
        <v/>
      </c>
      <c r="D372" s="381">
        <f t="shared" si="42"/>
        <v>1</v>
      </c>
      <c r="E372" s="382" t="s">
        <v>129</v>
      </c>
      <c r="F372" s="137" t="s">
        <v>129</v>
      </c>
      <c r="G372" s="137" t="s">
        <v>129</v>
      </c>
      <c r="H372" s="137" t="s">
        <v>129</v>
      </c>
      <c r="I372" s="137" t="s">
        <v>129</v>
      </c>
      <c r="J372" s="137" t="s">
        <v>129</v>
      </c>
      <c r="K372" s="137" t="s">
        <v>129</v>
      </c>
      <c r="L372" s="137" t="s">
        <v>129</v>
      </c>
      <c r="M372" s="141"/>
      <c r="N372" s="147"/>
    </row>
    <row r="373" hidden="1" outlineLevel="1">
      <c r="A373" s="412" t="s">
        <v>1162</v>
      </c>
      <c r="B373" s="344"/>
      <c r="C373" s="133" t="str">
        <f t="shared" si="41"/>
        <v/>
      </c>
      <c r="D373" s="383">
        <f t="shared" si="42"/>
        <v>1</v>
      </c>
      <c r="E373" s="147" t="s">
        <v>129</v>
      </c>
      <c r="F373" s="137" t="s">
        <v>129</v>
      </c>
      <c r="G373" s="137" t="s">
        <v>129</v>
      </c>
      <c r="H373" s="137" t="s">
        <v>129</v>
      </c>
      <c r="I373" s="137" t="s">
        <v>129</v>
      </c>
      <c r="J373" s="137" t="s">
        <v>129</v>
      </c>
      <c r="K373" s="137" t="s">
        <v>129</v>
      </c>
      <c r="L373" s="137" t="s">
        <v>129</v>
      </c>
      <c r="M373" s="141"/>
      <c r="N373" s="147"/>
    </row>
    <row r="374" hidden="1" outlineLevel="1">
      <c r="A374" s="412" t="s">
        <v>1162</v>
      </c>
      <c r="B374" s="344"/>
      <c r="C374" s="133" t="str">
        <f t="shared" si="41"/>
        <v/>
      </c>
      <c r="D374" s="381">
        <f t="shared" si="42"/>
        <v>1</v>
      </c>
      <c r="E374" s="382" t="s">
        <v>129</v>
      </c>
      <c r="F374" s="137" t="s">
        <v>129</v>
      </c>
      <c r="G374" s="137" t="s">
        <v>129</v>
      </c>
      <c r="H374" s="137" t="s">
        <v>129</v>
      </c>
      <c r="I374" s="137" t="s">
        <v>129</v>
      </c>
      <c r="J374" s="137" t="s">
        <v>129</v>
      </c>
      <c r="K374" s="137" t="s">
        <v>129</v>
      </c>
      <c r="L374" s="137" t="s">
        <v>129</v>
      </c>
      <c r="M374" s="141"/>
      <c r="N374" s="143"/>
    </row>
    <row r="375" hidden="1" outlineLevel="1">
      <c r="A375" s="412" t="s">
        <v>1162</v>
      </c>
      <c r="B375" s="344"/>
      <c r="C375" s="133" t="str">
        <f t="shared" si="41"/>
        <v/>
      </c>
      <c r="D375" s="383">
        <f t="shared" si="42"/>
        <v>1</v>
      </c>
      <c r="E375" s="147" t="s">
        <v>129</v>
      </c>
      <c r="F375" s="137" t="s">
        <v>129</v>
      </c>
      <c r="G375" s="137" t="s">
        <v>129</v>
      </c>
      <c r="H375" s="137" t="s">
        <v>129</v>
      </c>
      <c r="I375" s="137" t="s">
        <v>129</v>
      </c>
      <c r="J375" s="137" t="s">
        <v>129</v>
      </c>
      <c r="K375" s="137" t="s">
        <v>129</v>
      </c>
      <c r="L375" s="137" t="s">
        <v>129</v>
      </c>
      <c r="M375" s="141"/>
      <c r="N375" s="143"/>
    </row>
    <row r="376" ht="15.0" hidden="1" customHeight="1" outlineLevel="1">
      <c r="A376" s="412" t="s">
        <v>1162</v>
      </c>
      <c r="B376" s="344"/>
      <c r="C376" s="133" t="str">
        <f t="shared" si="41"/>
        <v/>
      </c>
      <c r="D376" s="381">
        <f t="shared" si="42"/>
        <v>1</v>
      </c>
      <c r="E376" s="382" t="s">
        <v>129</v>
      </c>
      <c r="F376" s="137" t="s">
        <v>129</v>
      </c>
      <c r="G376" s="137" t="s">
        <v>129</v>
      </c>
      <c r="H376" s="137" t="s">
        <v>129</v>
      </c>
      <c r="I376" s="137" t="s">
        <v>129</v>
      </c>
      <c r="J376" s="137" t="s">
        <v>129</v>
      </c>
      <c r="K376" s="137" t="s">
        <v>129</v>
      </c>
      <c r="L376" s="137" t="s">
        <v>129</v>
      </c>
      <c r="M376" s="141"/>
      <c r="N376" s="147"/>
    </row>
    <row r="377" hidden="1" outlineLevel="1">
      <c r="B377" s="189"/>
      <c r="C377" s="191" t="s">
        <v>194</v>
      </c>
      <c r="D377" s="204">
        <f>AVERAGE(D362:D376)</f>
        <v>1</v>
      </c>
      <c r="E377" s="384"/>
      <c r="L377" s="191" t="s">
        <v>194</v>
      </c>
      <c r="M377" s="204">
        <f>SUM(M362:M376)/75*0.1</f>
        <v>0</v>
      </c>
    </row>
    <row r="378" hidden="1" collapsed="1">
      <c r="A378" s="206" t="s">
        <v>1169</v>
      </c>
      <c r="B378" s="207"/>
      <c r="C378" s="207"/>
      <c r="D378" s="385"/>
      <c r="E378" s="109"/>
      <c r="F378" s="109"/>
      <c r="G378" s="110"/>
      <c r="H378" s="110"/>
      <c r="I378" s="110"/>
      <c r="J378" s="110"/>
      <c r="K378" s="110"/>
      <c r="L378" s="110"/>
      <c r="M378" s="111"/>
      <c r="N378" s="113"/>
    </row>
    <row r="379" hidden="1" outlineLevel="1">
      <c r="A379" s="373" t="s">
        <v>98</v>
      </c>
      <c r="B379" s="115" t="s">
        <v>100</v>
      </c>
      <c r="C379" s="115" t="s">
        <v>102</v>
      </c>
      <c r="D379" s="119" t="s">
        <v>103</v>
      </c>
      <c r="E379" s="275" t="s">
        <v>269</v>
      </c>
      <c r="F379" s="275" t="s">
        <v>272</v>
      </c>
      <c r="G379" s="276" t="s">
        <v>328</v>
      </c>
      <c r="H379" s="121" t="s">
        <v>107</v>
      </c>
      <c r="I379" s="121" t="s">
        <v>108</v>
      </c>
      <c r="J379" s="276" t="s">
        <v>329</v>
      </c>
      <c r="K379" s="121" t="s">
        <v>111</v>
      </c>
      <c r="L379" s="276" t="s">
        <v>274</v>
      </c>
      <c r="M379" s="115" t="s">
        <v>114</v>
      </c>
      <c r="N379" s="119" t="s">
        <v>115</v>
      </c>
    </row>
    <row r="380" hidden="1" outlineLevel="1">
      <c r="A380" s="557" t="s">
        <v>4242</v>
      </c>
      <c r="B380" s="344">
        <v>46195.0</v>
      </c>
      <c r="C380" s="133" t="str">
        <f t="shared" ref="C380:C394" si="43">IF(B380="", "", TEXT(B380, "ddd"))</f>
        <v>Mon</v>
      </c>
      <c r="D380" s="381">
        <f t="shared" ref="D380:D394" si="44">IF(E380="Yes",0.05,0)
+IF(F380="Yes",0.1,0)
+IF(G380="Yes",0.15,0)
+IF(H380="Yes",0.15,0)
+IF(I380="Yes",0.05,0)
+IF(J380="Yes",0.05,0)
+IF(K380="Yes",0.15,0)
+IF(L380="Yes",0.3,0)
</f>
        <v>1</v>
      </c>
      <c r="E380" s="382" t="s">
        <v>129</v>
      </c>
      <c r="F380" s="137" t="s">
        <v>129</v>
      </c>
      <c r="G380" s="137" t="s">
        <v>129</v>
      </c>
      <c r="H380" s="137" t="s">
        <v>129</v>
      </c>
      <c r="I380" s="137" t="s">
        <v>129</v>
      </c>
      <c r="J380" s="137" t="s">
        <v>129</v>
      </c>
      <c r="K380" s="137" t="s">
        <v>129</v>
      </c>
      <c r="L380" s="137" t="s">
        <v>129</v>
      </c>
      <c r="M380" s="141"/>
      <c r="N380" s="143"/>
    </row>
    <row r="381" hidden="1" outlineLevel="1">
      <c r="A381" s="557" t="s">
        <v>4243</v>
      </c>
      <c r="B381" s="344">
        <v>46195.0</v>
      </c>
      <c r="C381" s="133" t="str">
        <f t="shared" si="43"/>
        <v>Mon</v>
      </c>
      <c r="D381" s="383">
        <f t="shared" si="44"/>
        <v>1</v>
      </c>
      <c r="E381" s="147" t="s">
        <v>129</v>
      </c>
      <c r="F381" s="137" t="s">
        <v>129</v>
      </c>
      <c r="G381" s="137" t="s">
        <v>129</v>
      </c>
      <c r="H381" s="137" t="s">
        <v>129</v>
      </c>
      <c r="I381" s="137" t="s">
        <v>129</v>
      </c>
      <c r="J381" s="137" t="s">
        <v>129</v>
      </c>
      <c r="K381" s="137" t="s">
        <v>129</v>
      </c>
      <c r="L381" s="137" t="s">
        <v>129</v>
      </c>
      <c r="M381" s="141"/>
      <c r="N381" s="147"/>
    </row>
    <row r="382" hidden="1" outlineLevel="1">
      <c r="A382" s="557" t="s">
        <v>4244</v>
      </c>
      <c r="B382" s="344">
        <v>46195.0</v>
      </c>
      <c r="C382" s="133" t="str">
        <f t="shared" si="43"/>
        <v>Mon</v>
      </c>
      <c r="D382" s="381">
        <f t="shared" si="44"/>
        <v>1</v>
      </c>
      <c r="E382" s="382" t="s">
        <v>129</v>
      </c>
      <c r="F382" s="137" t="s">
        <v>129</v>
      </c>
      <c r="G382" s="137" t="s">
        <v>129</v>
      </c>
      <c r="H382" s="137" t="s">
        <v>129</v>
      </c>
      <c r="I382" s="137" t="s">
        <v>129</v>
      </c>
      <c r="J382" s="137" t="s">
        <v>129</v>
      </c>
      <c r="K382" s="137" t="s">
        <v>129</v>
      </c>
      <c r="L382" s="137" t="s">
        <v>129</v>
      </c>
      <c r="M382" s="141"/>
      <c r="N382" s="147"/>
    </row>
    <row r="383" hidden="1" outlineLevel="1">
      <c r="A383" s="412" t="s">
        <v>4245</v>
      </c>
      <c r="B383" s="344">
        <v>46196.0</v>
      </c>
      <c r="C383" s="133" t="str">
        <f t="shared" si="43"/>
        <v>Tue</v>
      </c>
      <c r="D383" s="383">
        <f t="shared" si="44"/>
        <v>1</v>
      </c>
      <c r="E383" s="147" t="s">
        <v>129</v>
      </c>
      <c r="F383" s="137" t="s">
        <v>129</v>
      </c>
      <c r="G383" s="137" t="s">
        <v>129</v>
      </c>
      <c r="H383" s="137" t="s">
        <v>129</v>
      </c>
      <c r="I383" s="137" t="s">
        <v>129</v>
      </c>
      <c r="J383" s="137" t="s">
        <v>129</v>
      </c>
      <c r="K383" s="137" t="s">
        <v>129</v>
      </c>
      <c r="L383" s="137" t="s">
        <v>129</v>
      </c>
      <c r="M383" s="141"/>
      <c r="N383" s="143"/>
    </row>
    <row r="384" hidden="1" outlineLevel="1">
      <c r="A384" s="412" t="s">
        <v>4246</v>
      </c>
      <c r="B384" s="344">
        <v>46196.0</v>
      </c>
      <c r="C384" s="133" t="str">
        <f t="shared" si="43"/>
        <v>Tue</v>
      </c>
      <c r="D384" s="381">
        <f t="shared" si="44"/>
        <v>1</v>
      </c>
      <c r="E384" s="382" t="s">
        <v>129</v>
      </c>
      <c r="F384" s="137" t="s">
        <v>129</v>
      </c>
      <c r="G384" s="137" t="s">
        <v>129</v>
      </c>
      <c r="H384" s="137" t="s">
        <v>129</v>
      </c>
      <c r="I384" s="137" t="s">
        <v>129</v>
      </c>
      <c r="J384" s="137" t="s">
        <v>129</v>
      </c>
      <c r="K384" s="137" t="s">
        <v>129</v>
      </c>
      <c r="L384" s="137" t="s">
        <v>129</v>
      </c>
      <c r="M384" s="141"/>
      <c r="N384" s="143"/>
    </row>
    <row r="385" hidden="1" outlineLevel="1">
      <c r="A385" s="412" t="s">
        <v>4247</v>
      </c>
      <c r="B385" s="344">
        <v>46196.0</v>
      </c>
      <c r="C385" s="133" t="str">
        <f t="shared" si="43"/>
        <v>Tue</v>
      </c>
      <c r="D385" s="383">
        <f t="shared" si="44"/>
        <v>1</v>
      </c>
      <c r="E385" s="147" t="s">
        <v>129</v>
      </c>
      <c r="F385" s="137" t="s">
        <v>129</v>
      </c>
      <c r="G385" s="137" t="s">
        <v>129</v>
      </c>
      <c r="H385" s="137" t="s">
        <v>129</v>
      </c>
      <c r="I385" s="137" t="s">
        <v>129</v>
      </c>
      <c r="J385" s="137" t="s">
        <v>129</v>
      </c>
      <c r="K385" s="137" t="s">
        <v>129</v>
      </c>
      <c r="L385" s="137" t="s">
        <v>129</v>
      </c>
      <c r="M385" s="141"/>
      <c r="N385" s="143"/>
    </row>
    <row r="386" hidden="1" outlineLevel="1">
      <c r="A386" s="562" t="s">
        <v>4248</v>
      </c>
      <c r="B386" s="344">
        <v>46197.0</v>
      </c>
      <c r="C386" s="133" t="str">
        <f t="shared" si="43"/>
        <v>Wed</v>
      </c>
      <c r="D386" s="381">
        <f t="shared" si="44"/>
        <v>1</v>
      </c>
      <c r="E386" s="382" t="s">
        <v>129</v>
      </c>
      <c r="F386" s="137" t="s">
        <v>129</v>
      </c>
      <c r="G386" s="137" t="s">
        <v>129</v>
      </c>
      <c r="H386" s="137" t="s">
        <v>129</v>
      </c>
      <c r="I386" s="137" t="s">
        <v>129</v>
      </c>
      <c r="J386" s="137" t="s">
        <v>129</v>
      </c>
      <c r="K386" s="137" t="s">
        <v>129</v>
      </c>
      <c r="L386" s="137" t="s">
        <v>129</v>
      </c>
      <c r="M386" s="141"/>
      <c r="N386" s="143"/>
    </row>
    <row r="387" hidden="1" outlineLevel="1">
      <c r="A387" s="557" t="s">
        <v>4249</v>
      </c>
      <c r="B387" s="344">
        <v>46197.0</v>
      </c>
      <c r="C387" s="133" t="str">
        <f t="shared" si="43"/>
        <v>Wed</v>
      </c>
      <c r="D387" s="383">
        <f t="shared" si="44"/>
        <v>1</v>
      </c>
      <c r="E387" s="147" t="s">
        <v>129</v>
      </c>
      <c r="F387" s="137" t="s">
        <v>129</v>
      </c>
      <c r="G387" s="137" t="s">
        <v>129</v>
      </c>
      <c r="H387" s="137" t="s">
        <v>129</v>
      </c>
      <c r="I387" s="137" t="s">
        <v>129</v>
      </c>
      <c r="J387" s="137" t="s">
        <v>129</v>
      </c>
      <c r="K387" s="137" t="s">
        <v>129</v>
      </c>
      <c r="L387" s="137" t="s">
        <v>129</v>
      </c>
      <c r="M387" s="141"/>
      <c r="N387" s="147"/>
    </row>
    <row r="388" hidden="1" outlineLevel="1">
      <c r="A388" s="557" t="s">
        <v>4250</v>
      </c>
      <c r="B388" s="344">
        <v>46197.0</v>
      </c>
      <c r="C388" s="133" t="str">
        <f t="shared" si="43"/>
        <v>Wed</v>
      </c>
      <c r="D388" s="381">
        <f t="shared" si="44"/>
        <v>1</v>
      </c>
      <c r="E388" s="382" t="s">
        <v>129</v>
      </c>
      <c r="F388" s="137" t="s">
        <v>129</v>
      </c>
      <c r="G388" s="137" t="s">
        <v>129</v>
      </c>
      <c r="H388" s="137" t="s">
        <v>129</v>
      </c>
      <c r="I388" s="137" t="s">
        <v>129</v>
      </c>
      <c r="J388" s="137" t="s">
        <v>129</v>
      </c>
      <c r="K388" s="137" t="s">
        <v>129</v>
      </c>
      <c r="L388" s="137" t="s">
        <v>129</v>
      </c>
      <c r="M388" s="141"/>
      <c r="N388" s="143"/>
    </row>
    <row r="389" hidden="1" outlineLevel="1">
      <c r="A389" s="557" t="s">
        <v>4251</v>
      </c>
      <c r="B389" s="344">
        <v>46198.0</v>
      </c>
      <c r="C389" s="133" t="str">
        <f t="shared" si="43"/>
        <v>Thu</v>
      </c>
      <c r="D389" s="383">
        <f t="shared" si="44"/>
        <v>1</v>
      </c>
      <c r="E389" s="147" t="s">
        <v>129</v>
      </c>
      <c r="F389" s="137" t="s">
        <v>129</v>
      </c>
      <c r="G389" s="137" t="s">
        <v>129</v>
      </c>
      <c r="H389" s="137" t="s">
        <v>129</v>
      </c>
      <c r="I389" s="137" t="s">
        <v>129</v>
      </c>
      <c r="J389" s="137" t="s">
        <v>129</v>
      </c>
      <c r="K389" s="137" t="s">
        <v>129</v>
      </c>
      <c r="L389" s="137" t="s">
        <v>129</v>
      </c>
      <c r="M389" s="141"/>
      <c r="N389" s="147"/>
    </row>
    <row r="390" hidden="1" outlineLevel="1">
      <c r="A390" s="557" t="s">
        <v>4252</v>
      </c>
      <c r="B390" s="344">
        <v>46198.0</v>
      </c>
      <c r="C390" s="133" t="str">
        <f t="shared" si="43"/>
        <v>Thu</v>
      </c>
      <c r="D390" s="381">
        <f t="shared" si="44"/>
        <v>1</v>
      </c>
      <c r="E390" s="382" t="s">
        <v>129</v>
      </c>
      <c r="F390" s="137" t="s">
        <v>129</v>
      </c>
      <c r="G390" s="137" t="s">
        <v>129</v>
      </c>
      <c r="H390" s="137" t="s">
        <v>129</v>
      </c>
      <c r="I390" s="137" t="s">
        <v>129</v>
      </c>
      <c r="J390" s="137" t="s">
        <v>129</v>
      </c>
      <c r="K390" s="137" t="s">
        <v>129</v>
      </c>
      <c r="L390" s="137" t="s">
        <v>129</v>
      </c>
      <c r="M390" s="141"/>
      <c r="N390" s="147"/>
    </row>
    <row r="391" hidden="1" outlineLevel="1">
      <c r="A391" s="557" t="s">
        <v>4253</v>
      </c>
      <c r="B391" s="344">
        <v>46198.0</v>
      </c>
      <c r="C391" s="133" t="str">
        <f t="shared" si="43"/>
        <v>Thu</v>
      </c>
      <c r="D391" s="383">
        <f t="shared" si="44"/>
        <v>1</v>
      </c>
      <c r="E391" s="147" t="s">
        <v>129</v>
      </c>
      <c r="F391" s="137" t="s">
        <v>129</v>
      </c>
      <c r="G391" s="137" t="s">
        <v>129</v>
      </c>
      <c r="H391" s="137" t="s">
        <v>129</v>
      </c>
      <c r="I391" s="137" t="s">
        <v>129</v>
      </c>
      <c r="J391" s="137" t="s">
        <v>129</v>
      </c>
      <c r="K391" s="137" t="s">
        <v>129</v>
      </c>
      <c r="L391" s="137" t="s">
        <v>129</v>
      </c>
      <c r="M391" s="141"/>
      <c r="N391" s="147"/>
    </row>
    <row r="392" hidden="1" outlineLevel="1">
      <c r="A392" s="562" t="s">
        <v>4254</v>
      </c>
      <c r="B392" s="344">
        <v>46199.0</v>
      </c>
      <c r="C392" s="133" t="str">
        <f t="shared" si="43"/>
        <v>Fri</v>
      </c>
      <c r="D392" s="381">
        <f t="shared" si="44"/>
        <v>1</v>
      </c>
      <c r="E392" s="382" t="s">
        <v>129</v>
      </c>
      <c r="F392" s="137" t="s">
        <v>129</v>
      </c>
      <c r="G392" s="137" t="s">
        <v>129</v>
      </c>
      <c r="H392" s="137" t="s">
        <v>129</v>
      </c>
      <c r="I392" s="137" t="s">
        <v>129</v>
      </c>
      <c r="J392" s="137" t="s">
        <v>129</v>
      </c>
      <c r="K392" s="137" t="s">
        <v>129</v>
      </c>
      <c r="L392" s="137" t="s">
        <v>129</v>
      </c>
      <c r="M392" s="141"/>
      <c r="N392" s="143"/>
    </row>
    <row r="393" hidden="1" outlineLevel="1">
      <c r="A393" s="557" t="s">
        <v>4255</v>
      </c>
      <c r="B393" s="344">
        <v>46199.0</v>
      </c>
      <c r="C393" s="133" t="str">
        <f t="shared" si="43"/>
        <v>Fri</v>
      </c>
      <c r="D393" s="383">
        <f t="shared" si="44"/>
        <v>1</v>
      </c>
      <c r="E393" s="147" t="s">
        <v>129</v>
      </c>
      <c r="F393" s="137" t="s">
        <v>129</v>
      </c>
      <c r="G393" s="137" t="s">
        <v>129</v>
      </c>
      <c r="H393" s="137" t="s">
        <v>129</v>
      </c>
      <c r="I393" s="137" t="s">
        <v>129</v>
      </c>
      <c r="J393" s="137" t="s">
        <v>129</v>
      </c>
      <c r="K393" s="137" t="s">
        <v>129</v>
      </c>
      <c r="L393" s="137" t="s">
        <v>129</v>
      </c>
      <c r="M393" s="141"/>
      <c r="N393" s="143"/>
    </row>
    <row r="394" ht="15.0" hidden="1" customHeight="1" outlineLevel="1">
      <c r="A394" s="557" t="s">
        <v>4256</v>
      </c>
      <c r="B394" s="344">
        <v>46199.0</v>
      </c>
      <c r="C394" s="133" t="str">
        <f t="shared" si="43"/>
        <v>Fri</v>
      </c>
      <c r="D394" s="381">
        <f t="shared" si="44"/>
        <v>1</v>
      </c>
      <c r="E394" s="382" t="s">
        <v>129</v>
      </c>
      <c r="F394" s="137" t="s">
        <v>129</v>
      </c>
      <c r="G394" s="137" t="s">
        <v>129</v>
      </c>
      <c r="H394" s="137" t="s">
        <v>129</v>
      </c>
      <c r="I394" s="137" t="s">
        <v>129</v>
      </c>
      <c r="J394" s="137" t="s">
        <v>129</v>
      </c>
      <c r="K394" s="137" t="s">
        <v>129</v>
      </c>
      <c r="L394" s="137" t="s">
        <v>129</v>
      </c>
      <c r="M394" s="141"/>
      <c r="N394" s="147"/>
    </row>
    <row r="395" hidden="1" outlineLevel="1">
      <c r="B395" s="189"/>
      <c r="C395" s="191" t="s">
        <v>194</v>
      </c>
      <c r="D395" s="204">
        <f>AVERAGE(D380:D394)</f>
        <v>1</v>
      </c>
      <c r="E395" s="384"/>
      <c r="L395" s="191" t="s">
        <v>194</v>
      </c>
      <c r="M395" s="204">
        <f>SUM(M380:M394)/75*0.1</f>
        <v>0</v>
      </c>
    </row>
    <row r="396" hidden="1" collapsed="1">
      <c r="A396" s="206" t="s">
        <v>1194</v>
      </c>
      <c r="B396" s="207"/>
      <c r="C396" s="207"/>
      <c r="D396" s="385"/>
      <c r="E396" s="109"/>
      <c r="F396" s="109"/>
      <c r="G396" s="110"/>
      <c r="H396" s="110"/>
      <c r="I396" s="110"/>
      <c r="J396" s="110"/>
      <c r="K396" s="110"/>
      <c r="L396" s="110"/>
      <c r="M396" s="111"/>
      <c r="N396" s="113"/>
    </row>
    <row r="397" hidden="1" outlineLevel="1">
      <c r="A397" s="373" t="s">
        <v>98</v>
      </c>
      <c r="B397" s="115" t="s">
        <v>100</v>
      </c>
      <c r="C397" s="115" t="s">
        <v>102</v>
      </c>
      <c r="D397" s="119" t="s">
        <v>103</v>
      </c>
      <c r="E397" s="275" t="s">
        <v>269</v>
      </c>
      <c r="F397" s="275" t="s">
        <v>272</v>
      </c>
      <c r="G397" s="276" t="s">
        <v>328</v>
      </c>
      <c r="H397" s="121" t="s">
        <v>107</v>
      </c>
      <c r="I397" s="121" t="s">
        <v>108</v>
      </c>
      <c r="J397" s="276" t="s">
        <v>329</v>
      </c>
      <c r="K397" s="121" t="s">
        <v>111</v>
      </c>
      <c r="L397" s="276" t="s">
        <v>274</v>
      </c>
      <c r="M397" s="115" t="s">
        <v>114</v>
      </c>
      <c r="N397" s="119" t="s">
        <v>115</v>
      </c>
    </row>
    <row r="398" hidden="1" outlineLevel="1">
      <c r="A398" s="479" t="s">
        <v>4257</v>
      </c>
      <c r="B398" s="344">
        <v>46202.0</v>
      </c>
      <c r="C398" s="133" t="str">
        <f t="shared" ref="C398:C412" si="45">IF(B398="", "", TEXT(B398, "ddd"))</f>
        <v>Mon</v>
      </c>
      <c r="D398" s="381">
        <f t="shared" ref="D398:D412" si="46">IF(E398="Yes",0.05,0)
+IF(F398="Yes",0.1,0)
+IF(G398="Yes",0.15,0)
+IF(H398="Yes",0.15,0)
+IF(I398="Yes",0.05,0)
+IF(J398="Yes",0.05,0)
+IF(K398="Yes",0.15,0)
+IF(L398="Yes",0.3,0)
</f>
        <v>1</v>
      </c>
      <c r="E398" s="382" t="s">
        <v>129</v>
      </c>
      <c r="F398" s="137" t="s">
        <v>129</v>
      </c>
      <c r="G398" s="137" t="s">
        <v>129</v>
      </c>
      <c r="H398" s="137" t="s">
        <v>129</v>
      </c>
      <c r="I398" s="137" t="s">
        <v>129</v>
      </c>
      <c r="J398" s="137" t="s">
        <v>129</v>
      </c>
      <c r="K398" s="137" t="s">
        <v>129</v>
      </c>
      <c r="L398" s="137" t="s">
        <v>129</v>
      </c>
      <c r="M398" s="141"/>
      <c r="N398" s="143"/>
    </row>
    <row r="399" hidden="1" outlineLevel="1">
      <c r="A399" s="479" t="s">
        <v>4258</v>
      </c>
      <c r="B399" s="344">
        <v>46202.0</v>
      </c>
      <c r="C399" s="133" t="str">
        <f t="shared" si="45"/>
        <v>Mon</v>
      </c>
      <c r="D399" s="383">
        <f t="shared" si="46"/>
        <v>1</v>
      </c>
      <c r="E399" s="147" t="s">
        <v>129</v>
      </c>
      <c r="F399" s="137" t="s">
        <v>129</v>
      </c>
      <c r="G399" s="137" t="s">
        <v>129</v>
      </c>
      <c r="H399" s="137" t="s">
        <v>129</v>
      </c>
      <c r="I399" s="137" t="s">
        <v>129</v>
      </c>
      <c r="J399" s="137" t="s">
        <v>129</v>
      </c>
      <c r="K399" s="137" t="s">
        <v>129</v>
      </c>
      <c r="L399" s="137" t="s">
        <v>129</v>
      </c>
      <c r="M399" s="141"/>
      <c r="N399" s="147"/>
    </row>
    <row r="400" hidden="1" outlineLevel="1">
      <c r="A400" s="479" t="s">
        <v>4259</v>
      </c>
      <c r="B400" s="344">
        <v>46202.0</v>
      </c>
      <c r="C400" s="133" t="str">
        <f t="shared" si="45"/>
        <v>Mon</v>
      </c>
      <c r="D400" s="381">
        <f t="shared" si="46"/>
        <v>1</v>
      </c>
      <c r="E400" s="382" t="s">
        <v>129</v>
      </c>
      <c r="F400" s="137" t="s">
        <v>129</v>
      </c>
      <c r="G400" s="137" t="s">
        <v>129</v>
      </c>
      <c r="H400" s="137" t="s">
        <v>129</v>
      </c>
      <c r="I400" s="137" t="s">
        <v>129</v>
      </c>
      <c r="J400" s="137" t="s">
        <v>129</v>
      </c>
      <c r="K400" s="137" t="s">
        <v>129</v>
      </c>
      <c r="L400" s="137" t="s">
        <v>129</v>
      </c>
      <c r="M400" s="141"/>
      <c r="N400" s="147"/>
    </row>
    <row r="401" hidden="1" outlineLevel="1">
      <c r="A401" s="479" t="s">
        <v>4260</v>
      </c>
      <c r="B401" s="344">
        <v>46203.0</v>
      </c>
      <c r="C401" s="133" t="str">
        <f t="shared" si="45"/>
        <v>Tue</v>
      </c>
      <c r="D401" s="383">
        <f t="shared" si="46"/>
        <v>1</v>
      </c>
      <c r="E401" s="147" t="s">
        <v>129</v>
      </c>
      <c r="F401" s="137" t="s">
        <v>129</v>
      </c>
      <c r="G401" s="137" t="s">
        <v>129</v>
      </c>
      <c r="H401" s="137" t="s">
        <v>129</v>
      </c>
      <c r="I401" s="137" t="s">
        <v>129</v>
      </c>
      <c r="J401" s="137" t="s">
        <v>129</v>
      </c>
      <c r="K401" s="137" t="s">
        <v>129</v>
      </c>
      <c r="L401" s="137" t="s">
        <v>129</v>
      </c>
      <c r="M401" s="141"/>
      <c r="N401" s="143"/>
    </row>
    <row r="402" hidden="1" outlineLevel="1">
      <c r="A402" s="479" t="s">
        <v>4261</v>
      </c>
      <c r="B402" s="344">
        <v>46203.0</v>
      </c>
      <c r="C402" s="133" t="str">
        <f t="shared" si="45"/>
        <v>Tue</v>
      </c>
      <c r="D402" s="381">
        <f t="shared" si="46"/>
        <v>1</v>
      </c>
      <c r="E402" s="382" t="s">
        <v>129</v>
      </c>
      <c r="F402" s="137" t="s">
        <v>129</v>
      </c>
      <c r="G402" s="137" t="s">
        <v>129</v>
      </c>
      <c r="H402" s="137" t="s">
        <v>129</v>
      </c>
      <c r="I402" s="137" t="s">
        <v>129</v>
      </c>
      <c r="J402" s="137" t="s">
        <v>129</v>
      </c>
      <c r="K402" s="137" t="s">
        <v>129</v>
      </c>
      <c r="L402" s="137" t="s">
        <v>129</v>
      </c>
      <c r="M402" s="141"/>
      <c r="N402" s="143"/>
    </row>
    <row r="403" hidden="1" outlineLevel="1">
      <c r="A403" s="479" t="s">
        <v>4262</v>
      </c>
      <c r="B403" s="344">
        <v>46203.0</v>
      </c>
      <c r="C403" s="133" t="str">
        <f t="shared" si="45"/>
        <v>Tue</v>
      </c>
      <c r="D403" s="383">
        <f t="shared" si="46"/>
        <v>1</v>
      </c>
      <c r="E403" s="147" t="s">
        <v>129</v>
      </c>
      <c r="F403" s="137" t="s">
        <v>129</v>
      </c>
      <c r="G403" s="137" t="s">
        <v>129</v>
      </c>
      <c r="H403" s="137" t="s">
        <v>129</v>
      </c>
      <c r="I403" s="137" t="s">
        <v>129</v>
      </c>
      <c r="J403" s="137" t="s">
        <v>129</v>
      </c>
      <c r="K403" s="137" t="s">
        <v>129</v>
      </c>
      <c r="L403" s="137" t="s">
        <v>129</v>
      </c>
      <c r="M403" s="141"/>
      <c r="N403" s="143"/>
    </row>
    <row r="404" hidden="1" outlineLevel="1">
      <c r="A404" s="479" t="s">
        <v>4263</v>
      </c>
      <c r="B404" s="344">
        <v>46204.0</v>
      </c>
      <c r="C404" s="133" t="str">
        <f t="shared" si="45"/>
        <v>Wed</v>
      </c>
      <c r="D404" s="381">
        <f t="shared" si="46"/>
        <v>1</v>
      </c>
      <c r="E404" s="382" t="s">
        <v>129</v>
      </c>
      <c r="F404" s="137" t="s">
        <v>129</v>
      </c>
      <c r="G404" s="137" t="s">
        <v>129</v>
      </c>
      <c r="H404" s="137" t="s">
        <v>129</v>
      </c>
      <c r="I404" s="137" t="s">
        <v>129</v>
      </c>
      <c r="J404" s="137" t="s">
        <v>129</v>
      </c>
      <c r="K404" s="137" t="s">
        <v>129</v>
      </c>
      <c r="L404" s="137" t="s">
        <v>129</v>
      </c>
      <c r="M404" s="141"/>
      <c r="N404" s="143"/>
    </row>
    <row r="405" hidden="1" outlineLevel="1">
      <c r="A405" s="479" t="s">
        <v>4264</v>
      </c>
      <c r="B405" s="344">
        <v>46204.0</v>
      </c>
      <c r="C405" s="133" t="str">
        <f t="shared" si="45"/>
        <v>Wed</v>
      </c>
      <c r="D405" s="383">
        <f t="shared" si="46"/>
        <v>1</v>
      </c>
      <c r="E405" s="147" t="s">
        <v>129</v>
      </c>
      <c r="F405" s="137" t="s">
        <v>129</v>
      </c>
      <c r="G405" s="137" t="s">
        <v>129</v>
      </c>
      <c r="H405" s="137" t="s">
        <v>129</v>
      </c>
      <c r="I405" s="137" t="s">
        <v>129</v>
      </c>
      <c r="J405" s="137" t="s">
        <v>129</v>
      </c>
      <c r="K405" s="137" t="s">
        <v>129</v>
      </c>
      <c r="L405" s="137" t="s">
        <v>129</v>
      </c>
      <c r="M405" s="141"/>
      <c r="N405" s="147"/>
    </row>
    <row r="406" hidden="1" outlineLevel="1">
      <c r="A406" s="479" t="s">
        <v>4265</v>
      </c>
      <c r="B406" s="344">
        <v>46204.0</v>
      </c>
      <c r="C406" s="133" t="str">
        <f t="shared" si="45"/>
        <v>Wed</v>
      </c>
      <c r="D406" s="381">
        <f t="shared" si="46"/>
        <v>1</v>
      </c>
      <c r="E406" s="382" t="s">
        <v>129</v>
      </c>
      <c r="F406" s="137" t="s">
        <v>129</v>
      </c>
      <c r="G406" s="137" t="s">
        <v>129</v>
      </c>
      <c r="H406" s="137" t="s">
        <v>129</v>
      </c>
      <c r="I406" s="137" t="s">
        <v>129</v>
      </c>
      <c r="J406" s="137" t="s">
        <v>129</v>
      </c>
      <c r="K406" s="137" t="s">
        <v>129</v>
      </c>
      <c r="L406" s="137" t="s">
        <v>129</v>
      </c>
      <c r="M406" s="141"/>
      <c r="N406" s="143"/>
    </row>
    <row r="407" hidden="1" outlineLevel="1">
      <c r="A407" s="479" t="s">
        <v>4266</v>
      </c>
      <c r="B407" s="344">
        <v>46205.0</v>
      </c>
      <c r="C407" s="133" t="str">
        <f t="shared" si="45"/>
        <v>Thu</v>
      </c>
      <c r="D407" s="383">
        <f t="shared" si="46"/>
        <v>1</v>
      </c>
      <c r="E407" s="147" t="s">
        <v>129</v>
      </c>
      <c r="F407" s="137" t="s">
        <v>129</v>
      </c>
      <c r="G407" s="137" t="s">
        <v>129</v>
      </c>
      <c r="H407" s="137" t="s">
        <v>129</v>
      </c>
      <c r="I407" s="137" t="s">
        <v>129</v>
      </c>
      <c r="J407" s="137" t="s">
        <v>129</v>
      </c>
      <c r="K407" s="137" t="s">
        <v>129</v>
      </c>
      <c r="L407" s="137" t="s">
        <v>129</v>
      </c>
      <c r="M407" s="141"/>
      <c r="N407" s="147"/>
    </row>
    <row r="408" hidden="1" outlineLevel="1">
      <c r="A408" s="479" t="s">
        <v>4267</v>
      </c>
      <c r="B408" s="344">
        <v>46205.0</v>
      </c>
      <c r="C408" s="133" t="str">
        <f t="shared" si="45"/>
        <v>Thu</v>
      </c>
      <c r="D408" s="381">
        <f t="shared" si="46"/>
        <v>1</v>
      </c>
      <c r="E408" s="382" t="s">
        <v>129</v>
      </c>
      <c r="F408" s="137" t="s">
        <v>129</v>
      </c>
      <c r="G408" s="137" t="s">
        <v>129</v>
      </c>
      <c r="H408" s="137" t="s">
        <v>129</v>
      </c>
      <c r="I408" s="137" t="s">
        <v>129</v>
      </c>
      <c r="J408" s="137" t="s">
        <v>129</v>
      </c>
      <c r="K408" s="137" t="s">
        <v>129</v>
      </c>
      <c r="L408" s="137" t="s">
        <v>129</v>
      </c>
      <c r="M408" s="141"/>
      <c r="N408" s="147"/>
    </row>
    <row r="409" hidden="1" outlineLevel="1">
      <c r="A409" s="479" t="s">
        <v>4268</v>
      </c>
      <c r="B409" s="344">
        <v>46205.0</v>
      </c>
      <c r="C409" s="133" t="str">
        <f t="shared" si="45"/>
        <v>Thu</v>
      </c>
      <c r="D409" s="383">
        <f t="shared" si="46"/>
        <v>1</v>
      </c>
      <c r="E409" s="147" t="s">
        <v>129</v>
      </c>
      <c r="F409" s="137" t="s">
        <v>129</v>
      </c>
      <c r="G409" s="137" t="s">
        <v>129</v>
      </c>
      <c r="H409" s="137" t="s">
        <v>129</v>
      </c>
      <c r="I409" s="137" t="s">
        <v>129</v>
      </c>
      <c r="J409" s="137" t="s">
        <v>129</v>
      </c>
      <c r="K409" s="137" t="s">
        <v>129</v>
      </c>
      <c r="L409" s="137" t="s">
        <v>129</v>
      </c>
      <c r="M409" s="141"/>
      <c r="N409" s="147"/>
    </row>
    <row r="410" hidden="1" outlineLevel="1">
      <c r="A410" s="219" t="s">
        <v>664</v>
      </c>
      <c r="B410" s="344">
        <v>46206.0</v>
      </c>
      <c r="C410" s="133" t="str">
        <f t="shared" si="45"/>
        <v>Fri</v>
      </c>
      <c r="D410" s="381">
        <f t="shared" si="46"/>
        <v>1</v>
      </c>
      <c r="E410" s="382" t="s">
        <v>129</v>
      </c>
      <c r="F410" s="137" t="s">
        <v>129</v>
      </c>
      <c r="G410" s="137" t="s">
        <v>129</v>
      </c>
      <c r="H410" s="137" t="s">
        <v>129</v>
      </c>
      <c r="I410" s="137" t="s">
        <v>129</v>
      </c>
      <c r="J410" s="137" t="s">
        <v>129</v>
      </c>
      <c r="K410" s="137" t="s">
        <v>129</v>
      </c>
      <c r="L410" s="137" t="s">
        <v>129</v>
      </c>
      <c r="M410" s="141"/>
      <c r="N410" s="143"/>
    </row>
    <row r="411" hidden="1" outlineLevel="1">
      <c r="A411" s="219" t="s">
        <v>664</v>
      </c>
      <c r="B411" s="344">
        <v>46206.0</v>
      </c>
      <c r="C411" s="133" t="str">
        <f t="shared" si="45"/>
        <v>Fri</v>
      </c>
      <c r="D411" s="383">
        <f t="shared" si="46"/>
        <v>1</v>
      </c>
      <c r="E411" s="147" t="s">
        <v>129</v>
      </c>
      <c r="F411" s="137" t="s">
        <v>129</v>
      </c>
      <c r="G411" s="137" t="s">
        <v>129</v>
      </c>
      <c r="H411" s="137" t="s">
        <v>129</v>
      </c>
      <c r="I411" s="137" t="s">
        <v>129</v>
      </c>
      <c r="J411" s="137" t="s">
        <v>129</v>
      </c>
      <c r="K411" s="137" t="s">
        <v>129</v>
      </c>
      <c r="L411" s="137" t="s">
        <v>129</v>
      </c>
      <c r="M411" s="141"/>
      <c r="N411" s="143"/>
    </row>
    <row r="412" ht="15.0" hidden="1" customHeight="1" outlineLevel="1">
      <c r="A412" s="219" t="s">
        <v>664</v>
      </c>
      <c r="B412" s="344">
        <v>46206.0</v>
      </c>
      <c r="C412" s="133" t="str">
        <f t="shared" si="45"/>
        <v>Fri</v>
      </c>
      <c r="D412" s="381">
        <f t="shared" si="46"/>
        <v>1</v>
      </c>
      <c r="E412" s="382" t="s">
        <v>129</v>
      </c>
      <c r="F412" s="137" t="s">
        <v>129</v>
      </c>
      <c r="G412" s="137" t="s">
        <v>129</v>
      </c>
      <c r="H412" s="137" t="s">
        <v>129</v>
      </c>
      <c r="I412" s="137" t="s">
        <v>129</v>
      </c>
      <c r="J412" s="137" t="s">
        <v>129</v>
      </c>
      <c r="K412" s="137" t="s">
        <v>129</v>
      </c>
      <c r="L412" s="137" t="s">
        <v>129</v>
      </c>
      <c r="M412" s="141"/>
      <c r="N412" s="147"/>
    </row>
    <row r="413" hidden="1" outlineLevel="1">
      <c r="B413" s="189"/>
      <c r="C413" s="191" t="s">
        <v>194</v>
      </c>
      <c r="D413" s="204">
        <f>AVERAGE(D398:D412)</f>
        <v>1</v>
      </c>
      <c r="E413" s="384"/>
      <c r="L413" s="191" t="s">
        <v>194</v>
      </c>
      <c r="M413" s="204">
        <f>SUM(M398:M412)/75*0.1</f>
        <v>0</v>
      </c>
    </row>
    <row r="414" hidden="1" collapsed="1">
      <c r="A414" s="206" t="s">
        <v>1220</v>
      </c>
      <c r="B414" s="207"/>
      <c r="C414" s="207"/>
      <c r="D414" s="385"/>
      <c r="E414" s="109"/>
      <c r="F414" s="109"/>
      <c r="G414" s="110"/>
      <c r="H414" s="110"/>
      <c r="I414" s="110"/>
      <c r="J414" s="110"/>
      <c r="K414" s="110"/>
      <c r="L414" s="110"/>
      <c r="M414" s="111"/>
      <c r="N414" s="113"/>
    </row>
    <row r="415" hidden="1" outlineLevel="1">
      <c r="A415" s="373" t="s">
        <v>98</v>
      </c>
      <c r="B415" s="115" t="s">
        <v>100</v>
      </c>
      <c r="C415" s="115" t="s">
        <v>102</v>
      </c>
      <c r="D415" s="119" t="s">
        <v>103</v>
      </c>
      <c r="E415" s="275" t="s">
        <v>269</v>
      </c>
      <c r="F415" s="275" t="s">
        <v>272</v>
      </c>
      <c r="G415" s="276" t="s">
        <v>328</v>
      </c>
      <c r="H415" s="121" t="s">
        <v>107</v>
      </c>
      <c r="I415" s="121" t="s">
        <v>108</v>
      </c>
      <c r="J415" s="276" t="s">
        <v>329</v>
      </c>
      <c r="K415" s="121" t="s">
        <v>111</v>
      </c>
      <c r="L415" s="276" t="s">
        <v>274</v>
      </c>
      <c r="M415" s="115" t="s">
        <v>114</v>
      </c>
      <c r="N415" s="119" t="s">
        <v>115</v>
      </c>
    </row>
    <row r="416" hidden="1" outlineLevel="1">
      <c r="A416" s="479" t="s">
        <v>4269</v>
      </c>
      <c r="B416" s="344">
        <v>46209.0</v>
      </c>
      <c r="C416" s="133" t="str">
        <f t="shared" ref="C416:C430" si="47">IF(B416="", "", TEXT(B416, "ddd"))</f>
        <v>Mon</v>
      </c>
      <c r="D416" s="381">
        <f t="shared" ref="D416:D430" si="48">IF(E416="Yes",0.05,0)
+IF(F416="Yes",0.1,0)
+IF(G416="Yes",0.15,0)
+IF(H416="Yes",0.15,0)
+IF(I416="Yes",0.05,0)
+IF(J416="Yes",0.05,0)
+IF(K416="Yes",0.15,0)
+IF(L416="Yes",0.3,0)
</f>
        <v>1</v>
      </c>
      <c r="E416" s="382" t="s">
        <v>129</v>
      </c>
      <c r="F416" s="137" t="s">
        <v>129</v>
      </c>
      <c r="G416" s="137" t="s">
        <v>129</v>
      </c>
      <c r="H416" s="137" t="s">
        <v>129</v>
      </c>
      <c r="I416" s="137" t="s">
        <v>129</v>
      </c>
      <c r="J416" s="137" t="s">
        <v>129</v>
      </c>
      <c r="K416" s="137" t="s">
        <v>129</v>
      </c>
      <c r="L416" s="137" t="s">
        <v>129</v>
      </c>
      <c r="M416" s="141"/>
      <c r="N416" s="143"/>
    </row>
    <row r="417" hidden="1" outlineLevel="1">
      <c r="A417" s="479" t="s">
        <v>4270</v>
      </c>
      <c r="B417" s="344">
        <v>46209.0</v>
      </c>
      <c r="C417" s="133" t="str">
        <f t="shared" si="47"/>
        <v>Mon</v>
      </c>
      <c r="D417" s="383">
        <f t="shared" si="48"/>
        <v>1</v>
      </c>
      <c r="E417" s="147" t="s">
        <v>129</v>
      </c>
      <c r="F417" s="137" t="s">
        <v>129</v>
      </c>
      <c r="G417" s="137" t="s">
        <v>129</v>
      </c>
      <c r="H417" s="137" t="s">
        <v>129</v>
      </c>
      <c r="I417" s="137" t="s">
        <v>129</v>
      </c>
      <c r="J417" s="137" t="s">
        <v>129</v>
      </c>
      <c r="K417" s="137" t="s">
        <v>129</v>
      </c>
      <c r="L417" s="137" t="s">
        <v>129</v>
      </c>
      <c r="M417" s="141"/>
      <c r="N417" s="147"/>
    </row>
    <row r="418" hidden="1" outlineLevel="1">
      <c r="A418" s="479" t="s">
        <v>4271</v>
      </c>
      <c r="B418" s="344">
        <v>46209.0</v>
      </c>
      <c r="C418" s="133" t="str">
        <f t="shared" si="47"/>
        <v>Mon</v>
      </c>
      <c r="D418" s="381">
        <f t="shared" si="48"/>
        <v>1</v>
      </c>
      <c r="E418" s="382" t="s">
        <v>129</v>
      </c>
      <c r="F418" s="137" t="s">
        <v>129</v>
      </c>
      <c r="G418" s="137" t="s">
        <v>129</v>
      </c>
      <c r="H418" s="137" t="s">
        <v>129</v>
      </c>
      <c r="I418" s="137" t="s">
        <v>129</v>
      </c>
      <c r="J418" s="137" t="s">
        <v>129</v>
      </c>
      <c r="K418" s="137" t="s">
        <v>129</v>
      </c>
      <c r="L418" s="137" t="s">
        <v>129</v>
      </c>
      <c r="M418" s="141"/>
      <c r="N418" s="147"/>
    </row>
    <row r="419" hidden="1" outlineLevel="1">
      <c r="A419" s="479" t="s">
        <v>4272</v>
      </c>
      <c r="B419" s="344">
        <v>46210.0</v>
      </c>
      <c r="C419" s="133" t="str">
        <f t="shared" si="47"/>
        <v>Tue</v>
      </c>
      <c r="D419" s="383">
        <f t="shared" si="48"/>
        <v>1</v>
      </c>
      <c r="E419" s="147" t="s">
        <v>129</v>
      </c>
      <c r="F419" s="137" t="s">
        <v>129</v>
      </c>
      <c r="G419" s="137" t="s">
        <v>129</v>
      </c>
      <c r="H419" s="137" t="s">
        <v>129</v>
      </c>
      <c r="I419" s="137" t="s">
        <v>129</v>
      </c>
      <c r="J419" s="137" t="s">
        <v>129</v>
      </c>
      <c r="K419" s="137" t="s">
        <v>129</v>
      </c>
      <c r="L419" s="137" t="s">
        <v>129</v>
      </c>
      <c r="M419" s="141"/>
      <c r="N419" s="143"/>
    </row>
    <row r="420" hidden="1" outlineLevel="1">
      <c r="A420" s="303" t="s">
        <v>4273</v>
      </c>
      <c r="B420" s="344">
        <v>46210.0</v>
      </c>
      <c r="C420" s="133" t="str">
        <f t="shared" si="47"/>
        <v>Tue</v>
      </c>
      <c r="D420" s="381">
        <f t="shared" si="48"/>
        <v>1</v>
      </c>
      <c r="E420" s="382" t="s">
        <v>129</v>
      </c>
      <c r="F420" s="137" t="s">
        <v>129</v>
      </c>
      <c r="G420" s="137" t="s">
        <v>129</v>
      </c>
      <c r="H420" s="137" t="s">
        <v>129</v>
      </c>
      <c r="I420" s="137" t="s">
        <v>129</v>
      </c>
      <c r="J420" s="137" t="s">
        <v>129</v>
      </c>
      <c r="K420" s="137" t="s">
        <v>129</v>
      </c>
      <c r="L420" s="137" t="s">
        <v>129</v>
      </c>
      <c r="M420" s="141"/>
      <c r="N420" s="143"/>
    </row>
    <row r="421" hidden="1" outlineLevel="1">
      <c r="A421" s="479" t="s">
        <v>4274</v>
      </c>
      <c r="B421" s="344">
        <v>46210.0</v>
      </c>
      <c r="C421" s="133" t="str">
        <f t="shared" si="47"/>
        <v>Tue</v>
      </c>
      <c r="D421" s="383">
        <f t="shared" si="48"/>
        <v>1</v>
      </c>
      <c r="E421" s="147" t="s">
        <v>129</v>
      </c>
      <c r="F421" s="137" t="s">
        <v>129</v>
      </c>
      <c r="G421" s="137" t="s">
        <v>129</v>
      </c>
      <c r="H421" s="137" t="s">
        <v>129</v>
      </c>
      <c r="I421" s="137" t="s">
        <v>129</v>
      </c>
      <c r="J421" s="137" t="s">
        <v>129</v>
      </c>
      <c r="K421" s="137" t="s">
        <v>129</v>
      </c>
      <c r="L421" s="137" t="s">
        <v>129</v>
      </c>
      <c r="M421" s="141"/>
      <c r="N421" s="143"/>
    </row>
    <row r="422" hidden="1" outlineLevel="1">
      <c r="A422" s="479" t="s">
        <v>4275</v>
      </c>
      <c r="B422" s="344">
        <v>46211.0</v>
      </c>
      <c r="C422" s="133" t="str">
        <f t="shared" si="47"/>
        <v>Wed</v>
      </c>
      <c r="D422" s="381">
        <f t="shared" si="48"/>
        <v>1</v>
      </c>
      <c r="E422" s="382" t="s">
        <v>129</v>
      </c>
      <c r="F422" s="137" t="s">
        <v>129</v>
      </c>
      <c r="G422" s="137" t="s">
        <v>129</v>
      </c>
      <c r="H422" s="137" t="s">
        <v>129</v>
      </c>
      <c r="I422" s="137" t="s">
        <v>129</v>
      </c>
      <c r="J422" s="137" t="s">
        <v>129</v>
      </c>
      <c r="K422" s="137" t="s">
        <v>129</v>
      </c>
      <c r="L422" s="137" t="s">
        <v>129</v>
      </c>
      <c r="M422" s="141"/>
      <c r="N422" s="143"/>
    </row>
    <row r="423" hidden="1" outlineLevel="1">
      <c r="A423" s="479" t="s">
        <v>4276</v>
      </c>
      <c r="B423" s="344">
        <v>46211.0</v>
      </c>
      <c r="C423" s="133" t="str">
        <f t="shared" si="47"/>
        <v>Wed</v>
      </c>
      <c r="D423" s="383">
        <f t="shared" si="48"/>
        <v>1</v>
      </c>
      <c r="E423" s="147" t="s">
        <v>129</v>
      </c>
      <c r="F423" s="137" t="s">
        <v>129</v>
      </c>
      <c r="G423" s="137" t="s">
        <v>129</v>
      </c>
      <c r="H423" s="137" t="s">
        <v>129</v>
      </c>
      <c r="I423" s="137" t="s">
        <v>129</v>
      </c>
      <c r="J423" s="137" t="s">
        <v>129</v>
      </c>
      <c r="K423" s="137" t="s">
        <v>129</v>
      </c>
      <c r="L423" s="137" t="s">
        <v>129</v>
      </c>
      <c r="M423" s="141"/>
      <c r="N423" s="147"/>
    </row>
    <row r="424" hidden="1" outlineLevel="1">
      <c r="A424" s="479" t="s">
        <v>4277</v>
      </c>
      <c r="B424" s="344">
        <v>46211.0</v>
      </c>
      <c r="C424" s="133" t="str">
        <f t="shared" si="47"/>
        <v>Wed</v>
      </c>
      <c r="D424" s="381">
        <f t="shared" si="48"/>
        <v>1</v>
      </c>
      <c r="E424" s="382" t="s">
        <v>129</v>
      </c>
      <c r="F424" s="137" t="s">
        <v>129</v>
      </c>
      <c r="G424" s="137" t="s">
        <v>129</v>
      </c>
      <c r="H424" s="137" t="s">
        <v>129</v>
      </c>
      <c r="I424" s="137" t="s">
        <v>129</v>
      </c>
      <c r="J424" s="137" t="s">
        <v>129</v>
      </c>
      <c r="K424" s="137" t="s">
        <v>129</v>
      </c>
      <c r="L424" s="137" t="s">
        <v>129</v>
      </c>
      <c r="M424" s="141"/>
      <c r="N424" s="143"/>
    </row>
    <row r="425" hidden="1" outlineLevel="1">
      <c r="A425" s="479" t="s">
        <v>4278</v>
      </c>
      <c r="B425" s="344">
        <v>46212.0</v>
      </c>
      <c r="C425" s="133" t="str">
        <f t="shared" si="47"/>
        <v>Thu</v>
      </c>
      <c r="D425" s="383">
        <f t="shared" si="48"/>
        <v>1</v>
      </c>
      <c r="E425" s="147" t="s">
        <v>129</v>
      </c>
      <c r="F425" s="137" t="s">
        <v>129</v>
      </c>
      <c r="G425" s="137" t="s">
        <v>129</v>
      </c>
      <c r="H425" s="137" t="s">
        <v>129</v>
      </c>
      <c r="I425" s="137" t="s">
        <v>129</v>
      </c>
      <c r="J425" s="137" t="s">
        <v>129</v>
      </c>
      <c r="K425" s="137" t="s">
        <v>129</v>
      </c>
      <c r="L425" s="137" t="s">
        <v>129</v>
      </c>
      <c r="M425" s="141"/>
      <c r="N425" s="147"/>
    </row>
    <row r="426" hidden="1" outlineLevel="1">
      <c r="A426" s="479" t="s">
        <v>4279</v>
      </c>
      <c r="B426" s="344">
        <v>46212.0</v>
      </c>
      <c r="C426" s="133" t="str">
        <f t="shared" si="47"/>
        <v>Thu</v>
      </c>
      <c r="D426" s="381">
        <f t="shared" si="48"/>
        <v>1</v>
      </c>
      <c r="E426" s="382" t="s">
        <v>129</v>
      </c>
      <c r="F426" s="137" t="s">
        <v>129</v>
      </c>
      <c r="G426" s="137" t="s">
        <v>129</v>
      </c>
      <c r="H426" s="137" t="s">
        <v>129</v>
      </c>
      <c r="I426" s="137" t="s">
        <v>129</v>
      </c>
      <c r="J426" s="137" t="s">
        <v>129</v>
      </c>
      <c r="K426" s="137" t="s">
        <v>129</v>
      </c>
      <c r="L426" s="137" t="s">
        <v>129</v>
      </c>
      <c r="M426" s="141"/>
      <c r="N426" s="147"/>
    </row>
    <row r="427" hidden="1" outlineLevel="1">
      <c r="A427" s="479" t="s">
        <v>4280</v>
      </c>
      <c r="B427" s="344">
        <v>46212.0</v>
      </c>
      <c r="C427" s="133" t="str">
        <f t="shared" si="47"/>
        <v>Thu</v>
      </c>
      <c r="D427" s="383">
        <f t="shared" si="48"/>
        <v>1</v>
      </c>
      <c r="E427" s="147" t="s">
        <v>129</v>
      </c>
      <c r="F427" s="137" t="s">
        <v>129</v>
      </c>
      <c r="G427" s="137" t="s">
        <v>129</v>
      </c>
      <c r="H427" s="137" t="s">
        <v>129</v>
      </c>
      <c r="I427" s="137" t="s">
        <v>129</v>
      </c>
      <c r="J427" s="137" t="s">
        <v>129</v>
      </c>
      <c r="K427" s="137" t="s">
        <v>129</v>
      </c>
      <c r="L427" s="137" t="s">
        <v>129</v>
      </c>
      <c r="M427" s="141"/>
      <c r="N427" s="147"/>
    </row>
    <row r="428" hidden="1" outlineLevel="1">
      <c r="A428" s="255"/>
      <c r="B428" s="344">
        <v>46213.0</v>
      </c>
      <c r="C428" s="133" t="str">
        <f t="shared" si="47"/>
        <v>Fri</v>
      </c>
      <c r="D428" s="381">
        <f t="shared" si="48"/>
        <v>1</v>
      </c>
      <c r="E428" s="382" t="s">
        <v>129</v>
      </c>
      <c r="F428" s="137" t="s">
        <v>129</v>
      </c>
      <c r="G428" s="137" t="s">
        <v>129</v>
      </c>
      <c r="H428" s="137" t="s">
        <v>129</v>
      </c>
      <c r="I428" s="137" t="s">
        <v>129</v>
      </c>
      <c r="J428" s="137" t="s">
        <v>129</v>
      </c>
      <c r="K428" s="137" t="s">
        <v>129</v>
      </c>
      <c r="L428" s="137" t="s">
        <v>129</v>
      </c>
      <c r="M428" s="141"/>
      <c r="N428" s="143"/>
    </row>
    <row r="429" hidden="1" outlineLevel="1">
      <c r="A429" s="255"/>
      <c r="B429" s="344">
        <v>46213.0</v>
      </c>
      <c r="C429" s="133" t="str">
        <f t="shared" si="47"/>
        <v>Fri</v>
      </c>
      <c r="D429" s="383">
        <f t="shared" si="48"/>
        <v>1</v>
      </c>
      <c r="E429" s="147" t="s">
        <v>129</v>
      </c>
      <c r="F429" s="137" t="s">
        <v>129</v>
      </c>
      <c r="G429" s="137" t="s">
        <v>129</v>
      </c>
      <c r="H429" s="137" t="s">
        <v>129</v>
      </c>
      <c r="I429" s="137" t="s">
        <v>129</v>
      </c>
      <c r="J429" s="137" t="s">
        <v>129</v>
      </c>
      <c r="K429" s="137" t="s">
        <v>129</v>
      </c>
      <c r="L429" s="137" t="s">
        <v>129</v>
      </c>
      <c r="M429" s="141"/>
      <c r="N429" s="143"/>
    </row>
    <row r="430" ht="15.0" hidden="1" customHeight="1" outlineLevel="1">
      <c r="A430" s="255"/>
      <c r="B430" s="344">
        <v>46213.0</v>
      </c>
      <c r="C430" s="133" t="str">
        <f t="shared" si="47"/>
        <v>Fri</v>
      </c>
      <c r="D430" s="381">
        <f t="shared" si="48"/>
        <v>1</v>
      </c>
      <c r="E430" s="382" t="s">
        <v>129</v>
      </c>
      <c r="F430" s="137" t="s">
        <v>129</v>
      </c>
      <c r="G430" s="137" t="s">
        <v>129</v>
      </c>
      <c r="H430" s="137" t="s">
        <v>129</v>
      </c>
      <c r="I430" s="137" t="s">
        <v>129</v>
      </c>
      <c r="J430" s="137" t="s">
        <v>129</v>
      </c>
      <c r="K430" s="137" t="s">
        <v>129</v>
      </c>
      <c r="L430" s="137" t="s">
        <v>129</v>
      </c>
      <c r="M430" s="141"/>
      <c r="N430" s="147"/>
    </row>
    <row r="431" hidden="1" outlineLevel="1">
      <c r="B431" s="189"/>
      <c r="C431" s="191" t="s">
        <v>194</v>
      </c>
      <c r="D431" s="204">
        <f>AVERAGE(D416:D430)</f>
        <v>1</v>
      </c>
      <c r="E431" s="384"/>
      <c r="L431" s="191" t="s">
        <v>194</v>
      </c>
      <c r="M431" s="204">
        <f>SUM(M416:M430)/75*0.1</f>
        <v>0</v>
      </c>
    </row>
    <row r="432" collapsed="1">
      <c r="A432" s="206" t="s">
        <v>1246</v>
      </c>
      <c r="B432" s="207"/>
      <c r="C432" s="207"/>
      <c r="D432" s="385"/>
      <c r="E432" s="109"/>
      <c r="F432" s="109"/>
      <c r="G432" s="110"/>
      <c r="H432" s="110"/>
      <c r="I432" s="110"/>
      <c r="J432" s="110"/>
      <c r="K432" s="110"/>
      <c r="L432" s="110"/>
      <c r="M432" s="111"/>
      <c r="N432" s="113"/>
    </row>
    <row r="433" hidden="1" outlineLevel="1">
      <c r="A433" s="373" t="s">
        <v>98</v>
      </c>
      <c r="B433" s="115" t="s">
        <v>100</v>
      </c>
      <c r="C433" s="115" t="s">
        <v>102</v>
      </c>
      <c r="D433" s="119" t="s">
        <v>103</v>
      </c>
      <c r="E433" s="275" t="s">
        <v>269</v>
      </c>
      <c r="F433" s="275" t="s">
        <v>272</v>
      </c>
      <c r="G433" s="276" t="s">
        <v>328</v>
      </c>
      <c r="H433" s="121" t="s">
        <v>107</v>
      </c>
      <c r="I433" s="121" t="s">
        <v>108</v>
      </c>
      <c r="J433" s="276" t="s">
        <v>329</v>
      </c>
      <c r="K433" s="121" t="s">
        <v>111</v>
      </c>
      <c r="L433" s="276" t="s">
        <v>274</v>
      </c>
      <c r="M433" s="115" t="s">
        <v>114</v>
      </c>
      <c r="N433" s="119" t="s">
        <v>115</v>
      </c>
    </row>
    <row r="434" hidden="1" outlineLevel="1">
      <c r="A434" s="557" t="s">
        <v>4281</v>
      </c>
      <c r="B434" s="344">
        <v>46217.0</v>
      </c>
      <c r="C434" s="133" t="str">
        <f t="shared" ref="C434:C448" si="49">IF(B434="", "", TEXT(B434, "ddd"))</f>
        <v>Tue</v>
      </c>
      <c r="D434" s="381">
        <f t="shared" ref="D434:D448" si="50">IF(E434="Yes",0.05,0)
+IF(F434="Yes",0.1,0)
+IF(G434="Yes",0.15,0)
+IF(H434="Yes",0.15,0)
+IF(I434="Yes",0.05,0)
+IF(J434="Yes",0.05,0)
+IF(K434="Yes",0.15,0)
+IF(L434="Yes",0.3,0)
</f>
        <v>1</v>
      </c>
      <c r="E434" s="382" t="s">
        <v>129</v>
      </c>
      <c r="F434" s="137" t="s">
        <v>129</v>
      </c>
      <c r="G434" s="137" t="s">
        <v>129</v>
      </c>
      <c r="H434" s="137" t="s">
        <v>129</v>
      </c>
      <c r="I434" s="137" t="s">
        <v>129</v>
      </c>
      <c r="J434" s="137" t="s">
        <v>129</v>
      </c>
      <c r="K434" s="137" t="s">
        <v>129</v>
      </c>
      <c r="L434" s="137" t="s">
        <v>129</v>
      </c>
      <c r="M434" s="141"/>
      <c r="N434" s="143"/>
    </row>
    <row r="435" hidden="1" outlineLevel="1">
      <c r="A435" s="557" t="s">
        <v>4282</v>
      </c>
      <c r="B435" s="344">
        <v>46217.0</v>
      </c>
      <c r="C435" s="133" t="str">
        <f t="shared" si="49"/>
        <v>Tue</v>
      </c>
      <c r="D435" s="383">
        <f t="shared" si="50"/>
        <v>1</v>
      </c>
      <c r="E435" s="147" t="s">
        <v>129</v>
      </c>
      <c r="F435" s="137" t="s">
        <v>129</v>
      </c>
      <c r="G435" s="137" t="s">
        <v>129</v>
      </c>
      <c r="H435" s="137" t="s">
        <v>129</v>
      </c>
      <c r="I435" s="137" t="s">
        <v>129</v>
      </c>
      <c r="J435" s="137" t="s">
        <v>129</v>
      </c>
      <c r="K435" s="137" t="s">
        <v>129</v>
      </c>
      <c r="L435" s="137" t="s">
        <v>129</v>
      </c>
      <c r="M435" s="141"/>
      <c r="N435" s="147"/>
    </row>
    <row r="436" hidden="1" outlineLevel="1">
      <c r="A436" s="557" t="s">
        <v>4283</v>
      </c>
      <c r="B436" s="344">
        <v>46217.0</v>
      </c>
      <c r="C436" s="133" t="str">
        <f t="shared" si="49"/>
        <v>Tue</v>
      </c>
      <c r="D436" s="381">
        <f t="shared" si="50"/>
        <v>1</v>
      </c>
      <c r="E436" s="382" t="s">
        <v>129</v>
      </c>
      <c r="F436" s="137" t="s">
        <v>129</v>
      </c>
      <c r="G436" s="137" t="s">
        <v>129</v>
      </c>
      <c r="H436" s="137" t="s">
        <v>129</v>
      </c>
      <c r="I436" s="137" t="s">
        <v>129</v>
      </c>
      <c r="J436" s="137" t="s">
        <v>129</v>
      </c>
      <c r="K436" s="137" t="s">
        <v>129</v>
      </c>
      <c r="L436" s="137" t="s">
        <v>129</v>
      </c>
      <c r="M436" s="141"/>
      <c r="N436" s="147"/>
    </row>
    <row r="437" hidden="1" outlineLevel="1">
      <c r="A437" s="557" t="s">
        <v>4284</v>
      </c>
      <c r="B437" s="344">
        <v>46218.0</v>
      </c>
      <c r="C437" s="133" t="str">
        <f t="shared" si="49"/>
        <v>Wed</v>
      </c>
      <c r="D437" s="383">
        <f t="shared" si="50"/>
        <v>1</v>
      </c>
      <c r="E437" s="147" t="s">
        <v>129</v>
      </c>
      <c r="F437" s="137" t="s">
        <v>129</v>
      </c>
      <c r="G437" s="137" t="s">
        <v>129</v>
      </c>
      <c r="H437" s="137" t="s">
        <v>129</v>
      </c>
      <c r="I437" s="137" t="s">
        <v>129</v>
      </c>
      <c r="J437" s="137" t="s">
        <v>129</v>
      </c>
      <c r="K437" s="137" t="s">
        <v>129</v>
      </c>
      <c r="L437" s="137" t="s">
        <v>129</v>
      </c>
      <c r="M437" s="141"/>
      <c r="N437" s="143"/>
    </row>
    <row r="438" hidden="1" outlineLevel="1">
      <c r="A438" s="557" t="s">
        <v>4285</v>
      </c>
      <c r="B438" s="344">
        <v>46218.0</v>
      </c>
      <c r="C438" s="133" t="str">
        <f t="shared" si="49"/>
        <v>Wed</v>
      </c>
      <c r="D438" s="381">
        <f t="shared" si="50"/>
        <v>1</v>
      </c>
      <c r="E438" s="382" t="s">
        <v>129</v>
      </c>
      <c r="F438" s="137" t="s">
        <v>129</v>
      </c>
      <c r="G438" s="137" t="s">
        <v>129</v>
      </c>
      <c r="H438" s="137" t="s">
        <v>129</v>
      </c>
      <c r="I438" s="137" t="s">
        <v>129</v>
      </c>
      <c r="J438" s="137" t="s">
        <v>129</v>
      </c>
      <c r="K438" s="137" t="s">
        <v>129</v>
      </c>
      <c r="L438" s="137" t="s">
        <v>129</v>
      </c>
      <c r="M438" s="141"/>
      <c r="N438" s="143"/>
    </row>
    <row r="439" hidden="1" outlineLevel="1">
      <c r="A439" s="557" t="s">
        <v>4286</v>
      </c>
      <c r="B439" s="344">
        <v>46218.0</v>
      </c>
      <c r="C439" s="133" t="str">
        <f t="shared" si="49"/>
        <v>Wed</v>
      </c>
      <c r="D439" s="383">
        <f t="shared" si="50"/>
        <v>1</v>
      </c>
      <c r="E439" s="147" t="s">
        <v>129</v>
      </c>
      <c r="F439" s="137" t="s">
        <v>129</v>
      </c>
      <c r="G439" s="137" t="s">
        <v>129</v>
      </c>
      <c r="H439" s="137" t="s">
        <v>129</v>
      </c>
      <c r="I439" s="137" t="s">
        <v>129</v>
      </c>
      <c r="J439" s="137" t="s">
        <v>129</v>
      </c>
      <c r="K439" s="137" t="s">
        <v>129</v>
      </c>
      <c r="L439" s="137" t="s">
        <v>129</v>
      </c>
      <c r="M439" s="141"/>
      <c r="N439" s="143"/>
    </row>
    <row r="440" hidden="1" outlineLevel="1">
      <c r="A440" s="557" t="s">
        <v>4287</v>
      </c>
      <c r="B440" s="344">
        <v>46219.0</v>
      </c>
      <c r="C440" s="133" t="str">
        <f t="shared" si="49"/>
        <v>Thu</v>
      </c>
      <c r="D440" s="381">
        <f t="shared" si="50"/>
        <v>1</v>
      </c>
      <c r="E440" s="382" t="s">
        <v>129</v>
      </c>
      <c r="F440" s="137" t="s">
        <v>129</v>
      </c>
      <c r="G440" s="137" t="s">
        <v>129</v>
      </c>
      <c r="H440" s="137" t="s">
        <v>129</v>
      </c>
      <c r="I440" s="137" t="s">
        <v>129</v>
      </c>
      <c r="J440" s="137" t="s">
        <v>129</v>
      </c>
      <c r="K440" s="137" t="s">
        <v>129</v>
      </c>
      <c r="L440" s="137" t="s">
        <v>129</v>
      </c>
      <c r="M440" s="141"/>
      <c r="N440" s="143"/>
    </row>
    <row r="441" hidden="1" outlineLevel="1">
      <c r="A441" s="557" t="s">
        <v>4288</v>
      </c>
      <c r="B441" s="344">
        <v>46219.0</v>
      </c>
      <c r="C441" s="133" t="str">
        <f t="shared" si="49"/>
        <v>Thu</v>
      </c>
      <c r="D441" s="383">
        <f t="shared" si="50"/>
        <v>1</v>
      </c>
      <c r="E441" s="147" t="s">
        <v>129</v>
      </c>
      <c r="F441" s="137" t="s">
        <v>129</v>
      </c>
      <c r="G441" s="137" t="s">
        <v>129</v>
      </c>
      <c r="H441" s="137" t="s">
        <v>129</v>
      </c>
      <c r="I441" s="137" t="s">
        <v>129</v>
      </c>
      <c r="J441" s="137" t="s">
        <v>129</v>
      </c>
      <c r="K441" s="137" t="s">
        <v>129</v>
      </c>
      <c r="L441" s="137" t="s">
        <v>129</v>
      </c>
      <c r="M441" s="141"/>
      <c r="N441" s="147"/>
    </row>
    <row r="442" hidden="1" outlineLevel="1">
      <c r="A442" s="557" t="s">
        <v>4289</v>
      </c>
      <c r="B442" s="344">
        <v>46219.0</v>
      </c>
      <c r="C442" s="133" t="str">
        <f t="shared" si="49"/>
        <v>Thu</v>
      </c>
      <c r="D442" s="381">
        <f t="shared" si="50"/>
        <v>1</v>
      </c>
      <c r="E442" s="382" t="s">
        <v>129</v>
      </c>
      <c r="F442" s="137" t="s">
        <v>129</v>
      </c>
      <c r="G442" s="137" t="s">
        <v>129</v>
      </c>
      <c r="H442" s="137" t="s">
        <v>129</v>
      </c>
      <c r="I442" s="137" t="s">
        <v>129</v>
      </c>
      <c r="J442" s="137" t="s">
        <v>129</v>
      </c>
      <c r="K442" s="137" t="s">
        <v>129</v>
      </c>
      <c r="L442" s="137" t="s">
        <v>129</v>
      </c>
      <c r="M442" s="141"/>
      <c r="N442" s="143"/>
    </row>
    <row r="443" hidden="1" outlineLevel="1">
      <c r="A443" s="255"/>
      <c r="B443" s="344"/>
      <c r="C443" s="133" t="str">
        <f t="shared" si="49"/>
        <v/>
      </c>
      <c r="D443" s="383">
        <f t="shared" si="50"/>
        <v>0</v>
      </c>
      <c r="E443" s="147"/>
      <c r="F443" s="137"/>
      <c r="G443" s="137"/>
      <c r="H443" s="137"/>
      <c r="I443" s="137"/>
      <c r="J443" s="137"/>
      <c r="K443" s="137"/>
      <c r="L443" s="137"/>
      <c r="M443" s="141"/>
      <c r="N443" s="147"/>
    </row>
    <row r="444" hidden="1" outlineLevel="1">
      <c r="A444" s="255"/>
      <c r="B444" s="344"/>
      <c r="C444" s="133" t="str">
        <f t="shared" si="49"/>
        <v/>
      </c>
      <c r="D444" s="381">
        <f t="shared" si="50"/>
        <v>0</v>
      </c>
      <c r="E444" s="382"/>
      <c r="F444" s="137"/>
      <c r="G444" s="137"/>
      <c r="H444" s="137"/>
      <c r="I444" s="137"/>
      <c r="J444" s="137"/>
      <c r="K444" s="137"/>
      <c r="L444" s="137"/>
      <c r="M444" s="141"/>
      <c r="N444" s="147"/>
    </row>
    <row r="445" hidden="1" outlineLevel="1">
      <c r="A445" s="255"/>
      <c r="B445" s="344"/>
      <c r="C445" s="133" t="str">
        <f t="shared" si="49"/>
        <v/>
      </c>
      <c r="D445" s="383">
        <f t="shared" si="50"/>
        <v>0</v>
      </c>
      <c r="E445" s="147"/>
      <c r="F445" s="137"/>
      <c r="G445" s="137"/>
      <c r="H445" s="137"/>
      <c r="I445" s="137"/>
      <c r="J445" s="137"/>
      <c r="K445" s="137"/>
      <c r="L445" s="137"/>
      <c r="M445" s="141"/>
      <c r="N445" s="147"/>
    </row>
    <row r="446" hidden="1" outlineLevel="1">
      <c r="A446" s="255"/>
      <c r="B446" s="344"/>
      <c r="C446" s="133" t="str">
        <f t="shared" si="49"/>
        <v/>
      </c>
      <c r="D446" s="381">
        <f t="shared" si="50"/>
        <v>0</v>
      </c>
      <c r="E446" s="382"/>
      <c r="F446" s="137"/>
      <c r="G446" s="137"/>
      <c r="H446" s="137"/>
      <c r="I446" s="137"/>
      <c r="J446" s="137"/>
      <c r="K446" s="137"/>
      <c r="L446" s="137"/>
      <c r="M446" s="141"/>
      <c r="N446" s="143"/>
    </row>
    <row r="447" hidden="1" outlineLevel="1">
      <c r="A447" s="255"/>
      <c r="B447" s="344"/>
      <c r="C447" s="133" t="str">
        <f t="shared" si="49"/>
        <v/>
      </c>
      <c r="D447" s="383">
        <f t="shared" si="50"/>
        <v>0</v>
      </c>
      <c r="E447" s="147"/>
      <c r="F447" s="137"/>
      <c r="G447" s="137"/>
      <c r="H447" s="137"/>
      <c r="I447" s="137"/>
      <c r="J447" s="137"/>
      <c r="K447" s="137"/>
      <c r="L447" s="137"/>
      <c r="M447" s="141"/>
      <c r="N447" s="143"/>
    </row>
    <row r="448" ht="15.0" hidden="1" customHeight="1" outlineLevel="1">
      <c r="A448" s="255"/>
      <c r="B448" s="344"/>
      <c r="C448" s="133" t="str">
        <f t="shared" si="49"/>
        <v/>
      </c>
      <c r="D448" s="381">
        <f t="shared" si="50"/>
        <v>0</v>
      </c>
      <c r="E448" s="382"/>
      <c r="F448" s="137"/>
      <c r="G448" s="137"/>
      <c r="H448" s="137"/>
      <c r="I448" s="137"/>
      <c r="J448" s="137"/>
      <c r="K448" s="137"/>
      <c r="L448" s="137"/>
      <c r="M448" s="141"/>
      <c r="N448" s="147"/>
    </row>
    <row r="449" hidden="1" outlineLevel="1">
      <c r="B449" s="189"/>
      <c r="C449" s="191" t="s">
        <v>194</v>
      </c>
      <c r="D449" s="204">
        <f>AVERAGE(D434:D448)</f>
        <v>0.6</v>
      </c>
      <c r="E449" s="384"/>
      <c r="L449" s="191" t="s">
        <v>194</v>
      </c>
      <c r="M449" s="204">
        <f>SUM(M434:M448)/75*0.1</f>
        <v>0</v>
      </c>
    </row>
    <row r="450" collapsed="1">
      <c r="A450" s="206" t="s">
        <v>1270</v>
      </c>
      <c r="B450" s="207"/>
      <c r="C450" s="207"/>
      <c r="D450" s="385"/>
      <c r="E450" s="109"/>
      <c r="F450" s="109"/>
      <c r="G450" s="110"/>
      <c r="H450" s="110"/>
      <c r="I450" s="110"/>
      <c r="J450" s="110"/>
      <c r="K450" s="110"/>
      <c r="L450" s="110"/>
      <c r="M450" s="111"/>
      <c r="N450" s="113"/>
    </row>
    <row r="451" hidden="1" outlineLevel="1">
      <c r="A451" s="373" t="s">
        <v>98</v>
      </c>
      <c r="B451" s="115" t="s">
        <v>100</v>
      </c>
      <c r="C451" s="115" t="s">
        <v>102</v>
      </c>
      <c r="D451" s="119" t="s">
        <v>103</v>
      </c>
      <c r="E451" s="275" t="s">
        <v>269</v>
      </c>
      <c r="F451" s="275" t="s">
        <v>272</v>
      </c>
      <c r="G451" s="276" t="s">
        <v>328</v>
      </c>
      <c r="H451" s="121" t="s">
        <v>107</v>
      </c>
      <c r="I451" s="121" t="s">
        <v>108</v>
      </c>
      <c r="J451" s="276" t="s">
        <v>329</v>
      </c>
      <c r="K451" s="121" t="s">
        <v>111</v>
      </c>
      <c r="L451" s="276" t="s">
        <v>274</v>
      </c>
      <c r="M451" s="115" t="s">
        <v>114</v>
      </c>
      <c r="N451" s="119" t="s">
        <v>115</v>
      </c>
    </row>
    <row r="452" hidden="1" outlineLevel="1">
      <c r="A452" s="255" t="s">
        <v>4290</v>
      </c>
      <c r="B452" s="344">
        <v>46223.0</v>
      </c>
      <c r="C452" s="133" t="str">
        <f t="shared" ref="C452:C466" si="51">IF(B452="", "", TEXT(B452, "ddd"))</f>
        <v>Mon</v>
      </c>
      <c r="D452" s="381">
        <f t="shared" ref="D452:D466" si="52">IF(E452="Yes",0.05,0)
+IF(F452="Yes",0.1,0)
+IF(G452="Yes",0.15,0)
+IF(H452="Yes",0.15,0)
+IF(I452="Yes",0.05,0)
+IF(J452="Yes",0.05,0)
+IF(K452="Yes",0.15,0)
+IF(L452="Yes",0.3,0)
</f>
        <v>1</v>
      </c>
      <c r="E452" s="382" t="s">
        <v>129</v>
      </c>
      <c r="F452" s="137" t="s">
        <v>129</v>
      </c>
      <c r="G452" s="137" t="s">
        <v>129</v>
      </c>
      <c r="H452" s="137" t="s">
        <v>129</v>
      </c>
      <c r="I452" s="137" t="s">
        <v>129</v>
      </c>
      <c r="J452" s="137" t="s">
        <v>129</v>
      </c>
      <c r="K452" s="137" t="s">
        <v>129</v>
      </c>
      <c r="L452" s="137" t="s">
        <v>129</v>
      </c>
      <c r="M452" s="141"/>
      <c r="N452" s="143"/>
    </row>
    <row r="453" hidden="1" outlineLevel="1">
      <c r="A453" s="255" t="s">
        <v>4291</v>
      </c>
      <c r="B453" s="344">
        <v>46223.0</v>
      </c>
      <c r="C453" s="133" t="str">
        <f t="shared" si="51"/>
        <v>Mon</v>
      </c>
      <c r="D453" s="383">
        <f t="shared" si="52"/>
        <v>1</v>
      </c>
      <c r="E453" s="147" t="s">
        <v>129</v>
      </c>
      <c r="F453" s="137" t="s">
        <v>129</v>
      </c>
      <c r="G453" s="137" t="s">
        <v>129</v>
      </c>
      <c r="H453" s="137" t="s">
        <v>129</v>
      </c>
      <c r="I453" s="137" t="s">
        <v>129</v>
      </c>
      <c r="J453" s="137" t="s">
        <v>129</v>
      </c>
      <c r="K453" s="137" t="s">
        <v>129</v>
      </c>
      <c r="L453" s="137" t="s">
        <v>129</v>
      </c>
      <c r="M453" s="141"/>
      <c r="N453" s="147"/>
    </row>
    <row r="454" hidden="1" outlineLevel="1">
      <c r="A454" s="255" t="s">
        <v>4292</v>
      </c>
      <c r="B454" s="344">
        <v>46223.0</v>
      </c>
      <c r="C454" s="133" t="str">
        <f t="shared" si="51"/>
        <v>Mon</v>
      </c>
      <c r="D454" s="381">
        <f t="shared" si="52"/>
        <v>1</v>
      </c>
      <c r="E454" s="382" t="s">
        <v>129</v>
      </c>
      <c r="F454" s="137" t="s">
        <v>129</v>
      </c>
      <c r="G454" s="137" t="s">
        <v>129</v>
      </c>
      <c r="H454" s="137" t="s">
        <v>129</v>
      </c>
      <c r="I454" s="137" t="s">
        <v>129</v>
      </c>
      <c r="J454" s="137" t="s">
        <v>129</v>
      </c>
      <c r="K454" s="137" t="s">
        <v>129</v>
      </c>
      <c r="L454" s="137" t="s">
        <v>129</v>
      </c>
      <c r="M454" s="141"/>
      <c r="N454" s="147"/>
    </row>
    <row r="455" hidden="1" outlineLevel="1">
      <c r="A455" s="255" t="s">
        <v>4293</v>
      </c>
      <c r="B455" s="344">
        <v>46224.0</v>
      </c>
      <c r="C455" s="133" t="str">
        <f t="shared" si="51"/>
        <v>Tue</v>
      </c>
      <c r="D455" s="383">
        <f t="shared" si="52"/>
        <v>1</v>
      </c>
      <c r="E455" s="147" t="s">
        <v>129</v>
      </c>
      <c r="F455" s="137" t="s">
        <v>129</v>
      </c>
      <c r="G455" s="137" t="s">
        <v>129</v>
      </c>
      <c r="H455" s="137" t="s">
        <v>129</v>
      </c>
      <c r="I455" s="137" t="s">
        <v>129</v>
      </c>
      <c r="J455" s="137" t="s">
        <v>129</v>
      </c>
      <c r="K455" s="137" t="s">
        <v>129</v>
      </c>
      <c r="L455" s="137" t="s">
        <v>129</v>
      </c>
      <c r="M455" s="141"/>
      <c r="N455" s="143"/>
    </row>
    <row r="456" hidden="1" outlineLevel="1">
      <c r="A456" s="255" t="s">
        <v>4294</v>
      </c>
      <c r="B456" s="344">
        <v>46224.0</v>
      </c>
      <c r="C456" s="133" t="str">
        <f t="shared" si="51"/>
        <v>Tue</v>
      </c>
      <c r="D456" s="381">
        <f t="shared" si="52"/>
        <v>1</v>
      </c>
      <c r="E456" s="382" t="s">
        <v>129</v>
      </c>
      <c r="F456" s="137" t="s">
        <v>129</v>
      </c>
      <c r="G456" s="137" t="s">
        <v>129</v>
      </c>
      <c r="H456" s="137" t="s">
        <v>129</v>
      </c>
      <c r="I456" s="137" t="s">
        <v>129</v>
      </c>
      <c r="J456" s="137" t="s">
        <v>129</v>
      </c>
      <c r="K456" s="137" t="s">
        <v>129</v>
      </c>
      <c r="L456" s="137" t="s">
        <v>129</v>
      </c>
      <c r="M456" s="141"/>
      <c r="N456" s="143"/>
    </row>
    <row r="457" hidden="1" outlineLevel="1">
      <c r="A457" s="255" t="s">
        <v>4295</v>
      </c>
      <c r="B457" s="344">
        <v>46224.0</v>
      </c>
      <c r="C457" s="133" t="str">
        <f t="shared" si="51"/>
        <v>Tue</v>
      </c>
      <c r="D457" s="383">
        <f t="shared" si="52"/>
        <v>1</v>
      </c>
      <c r="E457" s="147" t="s">
        <v>129</v>
      </c>
      <c r="F457" s="137" t="s">
        <v>129</v>
      </c>
      <c r="G457" s="137" t="s">
        <v>129</v>
      </c>
      <c r="H457" s="137" t="s">
        <v>129</v>
      </c>
      <c r="I457" s="137" t="s">
        <v>129</v>
      </c>
      <c r="J457" s="137" t="s">
        <v>129</v>
      </c>
      <c r="K457" s="137" t="s">
        <v>129</v>
      </c>
      <c r="L457" s="137" t="s">
        <v>129</v>
      </c>
      <c r="M457" s="141"/>
      <c r="N457" s="143"/>
    </row>
    <row r="458" hidden="1" outlineLevel="1">
      <c r="A458" s="255" t="s">
        <v>4296</v>
      </c>
      <c r="B458" s="344">
        <v>46225.0</v>
      </c>
      <c r="C458" s="133" t="str">
        <f t="shared" si="51"/>
        <v>Wed</v>
      </c>
      <c r="D458" s="381">
        <f t="shared" si="52"/>
        <v>1</v>
      </c>
      <c r="E458" s="382" t="s">
        <v>129</v>
      </c>
      <c r="F458" s="137" t="s">
        <v>129</v>
      </c>
      <c r="G458" s="137" t="s">
        <v>129</v>
      </c>
      <c r="H458" s="137" t="s">
        <v>129</v>
      </c>
      <c r="I458" s="137" t="s">
        <v>129</v>
      </c>
      <c r="J458" s="137" t="s">
        <v>129</v>
      </c>
      <c r="K458" s="137" t="s">
        <v>129</v>
      </c>
      <c r="L458" s="137" t="s">
        <v>129</v>
      </c>
      <c r="M458" s="141"/>
      <c r="N458" s="143"/>
    </row>
    <row r="459" hidden="1" outlineLevel="1">
      <c r="A459" s="255" t="s">
        <v>4297</v>
      </c>
      <c r="B459" s="344">
        <v>46225.0</v>
      </c>
      <c r="C459" s="133" t="str">
        <f t="shared" si="51"/>
        <v>Wed</v>
      </c>
      <c r="D459" s="383">
        <f t="shared" si="52"/>
        <v>1</v>
      </c>
      <c r="E459" s="147" t="s">
        <v>129</v>
      </c>
      <c r="F459" s="137" t="s">
        <v>129</v>
      </c>
      <c r="G459" s="137" t="s">
        <v>129</v>
      </c>
      <c r="H459" s="137" t="s">
        <v>129</v>
      </c>
      <c r="I459" s="137" t="s">
        <v>129</v>
      </c>
      <c r="J459" s="137" t="s">
        <v>129</v>
      </c>
      <c r="K459" s="137" t="s">
        <v>129</v>
      </c>
      <c r="L459" s="137" t="s">
        <v>129</v>
      </c>
      <c r="M459" s="141"/>
      <c r="N459" s="147"/>
    </row>
    <row r="460" hidden="1" outlineLevel="1">
      <c r="A460" s="255" t="s">
        <v>4298</v>
      </c>
      <c r="B460" s="344">
        <v>46225.0</v>
      </c>
      <c r="C460" s="133" t="str">
        <f t="shared" si="51"/>
        <v>Wed</v>
      </c>
      <c r="D460" s="381">
        <f t="shared" si="52"/>
        <v>1</v>
      </c>
      <c r="E460" s="382" t="s">
        <v>129</v>
      </c>
      <c r="F460" s="137" t="s">
        <v>129</v>
      </c>
      <c r="G460" s="137" t="s">
        <v>129</v>
      </c>
      <c r="H460" s="137" t="s">
        <v>129</v>
      </c>
      <c r="I460" s="137" t="s">
        <v>129</v>
      </c>
      <c r="J460" s="137" t="s">
        <v>129</v>
      </c>
      <c r="K460" s="137" t="s">
        <v>129</v>
      </c>
      <c r="L460" s="137" t="s">
        <v>129</v>
      </c>
      <c r="M460" s="141"/>
      <c r="N460" s="143"/>
    </row>
    <row r="461" hidden="1" outlineLevel="1">
      <c r="A461" s="255" t="s">
        <v>4299</v>
      </c>
      <c r="B461" s="344">
        <v>46226.0</v>
      </c>
      <c r="C461" s="133" t="str">
        <f t="shared" si="51"/>
        <v>Thu</v>
      </c>
      <c r="D461" s="383">
        <f t="shared" si="52"/>
        <v>1</v>
      </c>
      <c r="E461" s="147" t="s">
        <v>129</v>
      </c>
      <c r="F461" s="137" t="s">
        <v>129</v>
      </c>
      <c r="G461" s="137" t="s">
        <v>129</v>
      </c>
      <c r="H461" s="137" t="s">
        <v>129</v>
      </c>
      <c r="I461" s="137" t="s">
        <v>129</v>
      </c>
      <c r="J461" s="137" t="s">
        <v>129</v>
      </c>
      <c r="K461" s="137" t="s">
        <v>129</v>
      </c>
      <c r="L461" s="137" t="s">
        <v>129</v>
      </c>
      <c r="M461" s="141"/>
      <c r="N461" s="147"/>
    </row>
    <row r="462" hidden="1" outlineLevel="1">
      <c r="A462" s="255" t="s">
        <v>4300</v>
      </c>
      <c r="B462" s="344">
        <v>46226.0</v>
      </c>
      <c r="C462" s="133" t="str">
        <f t="shared" si="51"/>
        <v>Thu</v>
      </c>
      <c r="D462" s="381">
        <f t="shared" si="52"/>
        <v>1</v>
      </c>
      <c r="E462" s="382" t="s">
        <v>129</v>
      </c>
      <c r="F462" s="137" t="s">
        <v>129</v>
      </c>
      <c r="G462" s="137" t="s">
        <v>129</v>
      </c>
      <c r="H462" s="137" t="s">
        <v>129</v>
      </c>
      <c r="I462" s="137" t="s">
        <v>129</v>
      </c>
      <c r="J462" s="137" t="s">
        <v>129</v>
      </c>
      <c r="K462" s="137" t="s">
        <v>129</v>
      </c>
      <c r="L462" s="137" t="s">
        <v>129</v>
      </c>
      <c r="M462" s="141"/>
      <c r="N462" s="147"/>
    </row>
    <row r="463" hidden="1" outlineLevel="1">
      <c r="A463" s="255" t="s">
        <v>4301</v>
      </c>
      <c r="B463" s="344">
        <v>46226.0</v>
      </c>
      <c r="C463" s="133" t="str">
        <f t="shared" si="51"/>
        <v>Thu</v>
      </c>
      <c r="D463" s="383">
        <f t="shared" si="52"/>
        <v>1</v>
      </c>
      <c r="E463" s="147" t="s">
        <v>129</v>
      </c>
      <c r="F463" s="137" t="s">
        <v>129</v>
      </c>
      <c r="G463" s="137" t="s">
        <v>129</v>
      </c>
      <c r="H463" s="137" t="s">
        <v>129</v>
      </c>
      <c r="I463" s="137" t="s">
        <v>129</v>
      </c>
      <c r="J463" s="137" t="s">
        <v>129</v>
      </c>
      <c r="K463" s="137" t="s">
        <v>129</v>
      </c>
      <c r="L463" s="137" t="s">
        <v>129</v>
      </c>
      <c r="M463" s="141"/>
      <c r="N463" s="147"/>
    </row>
    <row r="464" hidden="1" outlineLevel="1">
      <c r="A464" s="255" t="s">
        <v>4302</v>
      </c>
      <c r="B464" s="344">
        <v>46227.0</v>
      </c>
      <c r="C464" s="133" t="str">
        <f t="shared" si="51"/>
        <v>Fri</v>
      </c>
      <c r="D464" s="381">
        <f t="shared" si="52"/>
        <v>1</v>
      </c>
      <c r="E464" s="382" t="s">
        <v>129</v>
      </c>
      <c r="F464" s="137" t="s">
        <v>129</v>
      </c>
      <c r="G464" s="137" t="s">
        <v>129</v>
      </c>
      <c r="H464" s="137" t="s">
        <v>129</v>
      </c>
      <c r="I464" s="137" t="s">
        <v>129</v>
      </c>
      <c r="J464" s="137" t="s">
        <v>129</v>
      </c>
      <c r="K464" s="137" t="s">
        <v>129</v>
      </c>
      <c r="L464" s="137" t="s">
        <v>129</v>
      </c>
      <c r="M464" s="141"/>
      <c r="N464" s="143"/>
    </row>
    <row r="465" hidden="1" outlineLevel="1">
      <c r="A465" s="255" t="s">
        <v>4303</v>
      </c>
      <c r="B465" s="344">
        <v>46227.0</v>
      </c>
      <c r="C465" s="133" t="str">
        <f t="shared" si="51"/>
        <v>Fri</v>
      </c>
      <c r="D465" s="383">
        <f t="shared" si="52"/>
        <v>1</v>
      </c>
      <c r="E465" s="147" t="s">
        <v>129</v>
      </c>
      <c r="F465" s="137" t="s">
        <v>129</v>
      </c>
      <c r="G465" s="137" t="s">
        <v>129</v>
      </c>
      <c r="H465" s="137" t="s">
        <v>129</v>
      </c>
      <c r="I465" s="137" t="s">
        <v>129</v>
      </c>
      <c r="J465" s="137" t="s">
        <v>129</v>
      </c>
      <c r="K465" s="137" t="s">
        <v>129</v>
      </c>
      <c r="L465" s="137" t="s">
        <v>129</v>
      </c>
      <c r="M465" s="141"/>
      <c r="N465" s="143"/>
    </row>
    <row r="466" ht="15.0" hidden="1" customHeight="1" outlineLevel="1">
      <c r="A466" s="255" t="s">
        <v>4304</v>
      </c>
      <c r="B466" s="344">
        <v>46227.0</v>
      </c>
      <c r="C466" s="133" t="str">
        <f t="shared" si="51"/>
        <v>Fri</v>
      </c>
      <c r="D466" s="381">
        <f t="shared" si="52"/>
        <v>1</v>
      </c>
      <c r="E466" s="382" t="s">
        <v>129</v>
      </c>
      <c r="F466" s="137" t="s">
        <v>129</v>
      </c>
      <c r="G466" s="137" t="s">
        <v>129</v>
      </c>
      <c r="H466" s="137" t="s">
        <v>129</v>
      </c>
      <c r="I466" s="137" t="s">
        <v>129</v>
      </c>
      <c r="J466" s="137" t="s">
        <v>129</v>
      </c>
      <c r="K466" s="137" t="s">
        <v>129</v>
      </c>
      <c r="L466" s="137" t="s">
        <v>129</v>
      </c>
      <c r="M466" s="141"/>
      <c r="N466" s="147"/>
    </row>
    <row r="467" hidden="1" outlineLevel="1">
      <c r="B467" s="189"/>
      <c r="C467" s="191" t="s">
        <v>194</v>
      </c>
      <c r="D467" s="204">
        <f>AVERAGE(D452:D466)</f>
        <v>1</v>
      </c>
      <c r="E467" s="384"/>
      <c r="L467" s="191" t="s">
        <v>194</v>
      </c>
      <c r="M467" s="204">
        <f>SUM(M452:M466)/75*0.1</f>
        <v>0</v>
      </c>
    </row>
    <row r="468" collapsed="1">
      <c r="A468" s="206" t="s">
        <v>1294</v>
      </c>
      <c r="B468" s="207"/>
      <c r="C468" s="207"/>
      <c r="D468" s="385"/>
      <c r="E468" s="109"/>
      <c r="F468" s="109"/>
      <c r="G468" s="110"/>
      <c r="H468" s="110"/>
      <c r="I468" s="110"/>
      <c r="J468" s="110"/>
      <c r="K468" s="110"/>
      <c r="L468" s="110"/>
      <c r="M468" s="111"/>
      <c r="N468" s="113"/>
    </row>
    <row r="469" hidden="1" outlineLevel="1">
      <c r="A469" s="373" t="s">
        <v>98</v>
      </c>
      <c r="B469" s="115" t="s">
        <v>100</v>
      </c>
      <c r="C469" s="115" t="s">
        <v>102</v>
      </c>
      <c r="D469" s="119" t="s">
        <v>103</v>
      </c>
      <c r="E469" s="275" t="s">
        <v>269</v>
      </c>
      <c r="F469" s="275" t="s">
        <v>272</v>
      </c>
      <c r="G469" s="276" t="s">
        <v>328</v>
      </c>
      <c r="H469" s="121" t="s">
        <v>107</v>
      </c>
      <c r="I469" s="121" t="s">
        <v>108</v>
      </c>
      <c r="J469" s="276" t="s">
        <v>329</v>
      </c>
      <c r="K469" s="121" t="s">
        <v>111</v>
      </c>
      <c r="L469" s="276" t="s">
        <v>274</v>
      </c>
      <c r="M469" s="115" t="s">
        <v>114</v>
      </c>
      <c r="N469" s="119" t="s">
        <v>115</v>
      </c>
    </row>
    <row r="470" hidden="1" outlineLevel="1">
      <c r="A470" s="255" t="s">
        <v>4305</v>
      </c>
      <c r="B470" s="420">
        <v>46230.0</v>
      </c>
      <c r="C470" s="133" t="str">
        <f t="shared" ref="C470:C484" si="53">IF(B470="", "", TEXT(B470, "ddd"))</f>
        <v>Mon</v>
      </c>
      <c r="D470" s="381">
        <f t="shared" ref="D470:D484" si="54">IF(E470="Yes",0.05,0)
+IF(F470="Yes",0.1,0)
+IF(G470="Yes",0.15,0)
+IF(H470="Yes",0.15,0)
+IF(I470="Yes",0.05,0)
+IF(J470="Yes",0.05,0)
+IF(K470="Yes",0.15,0)
+IF(L470="Yes",0.3,0)
</f>
        <v>1</v>
      </c>
      <c r="E470" s="382" t="s">
        <v>129</v>
      </c>
      <c r="F470" s="137" t="s">
        <v>129</v>
      </c>
      <c r="G470" s="137" t="s">
        <v>129</v>
      </c>
      <c r="H470" s="137" t="s">
        <v>129</v>
      </c>
      <c r="I470" s="137" t="s">
        <v>129</v>
      </c>
      <c r="J470" s="137" t="s">
        <v>129</v>
      </c>
      <c r="K470" s="137" t="s">
        <v>129</v>
      </c>
      <c r="L470" s="137" t="s">
        <v>129</v>
      </c>
      <c r="M470" s="141"/>
      <c r="N470" s="143"/>
    </row>
    <row r="471" hidden="1" outlineLevel="1">
      <c r="A471" s="255" t="s">
        <v>4306</v>
      </c>
      <c r="B471" s="420">
        <v>46230.0</v>
      </c>
      <c r="C471" s="133" t="str">
        <f t="shared" si="53"/>
        <v>Mon</v>
      </c>
      <c r="D471" s="383">
        <f t="shared" si="54"/>
        <v>1</v>
      </c>
      <c r="E471" s="147" t="s">
        <v>129</v>
      </c>
      <c r="F471" s="137" t="s">
        <v>129</v>
      </c>
      <c r="G471" s="137" t="s">
        <v>129</v>
      </c>
      <c r="H471" s="137" t="s">
        <v>129</v>
      </c>
      <c r="I471" s="137" t="s">
        <v>129</v>
      </c>
      <c r="J471" s="137" t="s">
        <v>129</v>
      </c>
      <c r="K471" s="137" t="s">
        <v>129</v>
      </c>
      <c r="L471" s="137" t="s">
        <v>129</v>
      </c>
      <c r="M471" s="141"/>
      <c r="N471" s="147"/>
    </row>
    <row r="472" hidden="1" outlineLevel="1">
      <c r="A472" s="255" t="s">
        <v>4307</v>
      </c>
      <c r="B472" s="420">
        <v>46230.0</v>
      </c>
      <c r="C472" s="133" t="str">
        <f t="shared" si="53"/>
        <v>Mon</v>
      </c>
      <c r="D472" s="381">
        <f t="shared" si="54"/>
        <v>1</v>
      </c>
      <c r="E472" s="382" t="s">
        <v>129</v>
      </c>
      <c r="F472" s="137" t="s">
        <v>129</v>
      </c>
      <c r="G472" s="137" t="s">
        <v>129</v>
      </c>
      <c r="H472" s="137" t="s">
        <v>129</v>
      </c>
      <c r="I472" s="137" t="s">
        <v>129</v>
      </c>
      <c r="J472" s="137" t="s">
        <v>129</v>
      </c>
      <c r="K472" s="137" t="s">
        <v>129</v>
      </c>
      <c r="L472" s="137" t="s">
        <v>129</v>
      </c>
      <c r="M472" s="141"/>
      <c r="N472" s="147"/>
    </row>
    <row r="473" hidden="1" outlineLevel="1">
      <c r="A473" s="255" t="s">
        <v>4308</v>
      </c>
      <c r="B473" s="420">
        <v>46231.0</v>
      </c>
      <c r="C473" s="133" t="str">
        <f t="shared" si="53"/>
        <v>Tue</v>
      </c>
      <c r="D473" s="383">
        <f t="shared" si="54"/>
        <v>1</v>
      </c>
      <c r="E473" s="147" t="s">
        <v>129</v>
      </c>
      <c r="F473" s="137" t="s">
        <v>129</v>
      </c>
      <c r="G473" s="137" t="s">
        <v>129</v>
      </c>
      <c r="H473" s="137" t="s">
        <v>129</v>
      </c>
      <c r="I473" s="137" t="s">
        <v>129</v>
      </c>
      <c r="J473" s="137" t="s">
        <v>129</v>
      </c>
      <c r="K473" s="137" t="s">
        <v>129</v>
      </c>
      <c r="L473" s="137" t="s">
        <v>129</v>
      </c>
      <c r="M473" s="141"/>
      <c r="N473" s="143"/>
    </row>
    <row r="474" hidden="1" outlineLevel="1">
      <c r="A474" s="255" t="s">
        <v>4309</v>
      </c>
      <c r="B474" s="420">
        <v>46231.0</v>
      </c>
      <c r="C474" s="133" t="str">
        <f t="shared" si="53"/>
        <v>Tue</v>
      </c>
      <c r="D474" s="381">
        <f t="shared" si="54"/>
        <v>1</v>
      </c>
      <c r="E474" s="382" t="s">
        <v>129</v>
      </c>
      <c r="F474" s="137" t="s">
        <v>129</v>
      </c>
      <c r="G474" s="137" t="s">
        <v>129</v>
      </c>
      <c r="H474" s="137" t="s">
        <v>129</v>
      </c>
      <c r="I474" s="137" t="s">
        <v>129</v>
      </c>
      <c r="J474" s="137" t="s">
        <v>129</v>
      </c>
      <c r="K474" s="137" t="s">
        <v>129</v>
      </c>
      <c r="L474" s="137" t="s">
        <v>129</v>
      </c>
      <c r="M474" s="141"/>
      <c r="N474" s="143"/>
    </row>
    <row r="475" hidden="1" outlineLevel="1">
      <c r="A475" s="255" t="s">
        <v>4310</v>
      </c>
      <c r="B475" s="420">
        <v>46231.0</v>
      </c>
      <c r="C475" s="133" t="str">
        <f t="shared" si="53"/>
        <v>Tue</v>
      </c>
      <c r="D475" s="383">
        <f t="shared" si="54"/>
        <v>1</v>
      </c>
      <c r="E475" s="147" t="s">
        <v>129</v>
      </c>
      <c r="F475" s="137" t="s">
        <v>129</v>
      </c>
      <c r="G475" s="137" t="s">
        <v>129</v>
      </c>
      <c r="H475" s="137" t="s">
        <v>129</v>
      </c>
      <c r="I475" s="137" t="s">
        <v>129</v>
      </c>
      <c r="J475" s="137" t="s">
        <v>129</v>
      </c>
      <c r="K475" s="137" t="s">
        <v>129</v>
      </c>
      <c r="L475" s="137" t="s">
        <v>129</v>
      </c>
      <c r="M475" s="141"/>
      <c r="N475" s="143"/>
    </row>
    <row r="476" hidden="1" outlineLevel="1">
      <c r="A476" s="255" t="s">
        <v>4311</v>
      </c>
      <c r="B476" s="420">
        <v>46232.0</v>
      </c>
      <c r="C476" s="133" t="str">
        <f t="shared" si="53"/>
        <v>Wed</v>
      </c>
      <c r="D476" s="381">
        <f t="shared" si="54"/>
        <v>1</v>
      </c>
      <c r="E476" s="382" t="s">
        <v>129</v>
      </c>
      <c r="F476" s="137" t="s">
        <v>129</v>
      </c>
      <c r="G476" s="137" t="s">
        <v>129</v>
      </c>
      <c r="H476" s="137" t="s">
        <v>129</v>
      </c>
      <c r="I476" s="137" t="s">
        <v>129</v>
      </c>
      <c r="J476" s="137" t="s">
        <v>129</v>
      </c>
      <c r="K476" s="137" t="s">
        <v>129</v>
      </c>
      <c r="L476" s="137" t="s">
        <v>129</v>
      </c>
      <c r="M476" s="141"/>
      <c r="N476" s="143"/>
    </row>
    <row r="477" hidden="1" outlineLevel="1">
      <c r="A477" s="255" t="s">
        <v>4312</v>
      </c>
      <c r="B477" s="420">
        <v>46232.0</v>
      </c>
      <c r="C477" s="133" t="str">
        <f t="shared" si="53"/>
        <v>Wed</v>
      </c>
      <c r="D477" s="383">
        <f t="shared" si="54"/>
        <v>1</v>
      </c>
      <c r="E477" s="147" t="s">
        <v>129</v>
      </c>
      <c r="F477" s="137" t="s">
        <v>129</v>
      </c>
      <c r="G477" s="137" t="s">
        <v>129</v>
      </c>
      <c r="H477" s="137" t="s">
        <v>129</v>
      </c>
      <c r="I477" s="137" t="s">
        <v>129</v>
      </c>
      <c r="J477" s="137" t="s">
        <v>129</v>
      </c>
      <c r="K477" s="137" t="s">
        <v>129</v>
      </c>
      <c r="L477" s="137" t="s">
        <v>129</v>
      </c>
      <c r="M477" s="141"/>
      <c r="N477" s="147"/>
    </row>
    <row r="478" hidden="1" outlineLevel="1">
      <c r="A478" s="255" t="s">
        <v>4313</v>
      </c>
      <c r="B478" s="420">
        <v>46232.0</v>
      </c>
      <c r="C478" s="133" t="str">
        <f t="shared" si="53"/>
        <v>Wed</v>
      </c>
      <c r="D478" s="381">
        <f t="shared" si="54"/>
        <v>1</v>
      </c>
      <c r="E478" s="382" t="s">
        <v>129</v>
      </c>
      <c r="F478" s="137" t="s">
        <v>129</v>
      </c>
      <c r="G478" s="137" t="s">
        <v>129</v>
      </c>
      <c r="H478" s="137" t="s">
        <v>129</v>
      </c>
      <c r="I478" s="137" t="s">
        <v>129</v>
      </c>
      <c r="J478" s="137" t="s">
        <v>129</v>
      </c>
      <c r="K478" s="137" t="s">
        <v>129</v>
      </c>
      <c r="L478" s="137" t="s">
        <v>129</v>
      </c>
      <c r="M478" s="141"/>
      <c r="N478" s="143"/>
    </row>
    <row r="479" hidden="1" outlineLevel="1">
      <c r="A479" s="255" t="s">
        <v>4314</v>
      </c>
      <c r="B479" s="420">
        <v>46233.0</v>
      </c>
      <c r="C479" s="133" t="str">
        <f t="shared" si="53"/>
        <v>Thu</v>
      </c>
      <c r="D479" s="383">
        <f t="shared" si="54"/>
        <v>1</v>
      </c>
      <c r="E479" s="147" t="s">
        <v>129</v>
      </c>
      <c r="F479" s="137" t="s">
        <v>129</v>
      </c>
      <c r="G479" s="137" t="s">
        <v>129</v>
      </c>
      <c r="H479" s="137" t="s">
        <v>129</v>
      </c>
      <c r="I479" s="137" t="s">
        <v>129</v>
      </c>
      <c r="J479" s="137" t="s">
        <v>129</v>
      </c>
      <c r="K479" s="137" t="s">
        <v>129</v>
      </c>
      <c r="L479" s="137" t="s">
        <v>129</v>
      </c>
      <c r="M479" s="141"/>
      <c r="N479" s="147"/>
    </row>
    <row r="480" hidden="1" outlineLevel="1">
      <c r="A480" s="255" t="s">
        <v>4315</v>
      </c>
      <c r="B480" s="420">
        <v>46233.0</v>
      </c>
      <c r="C480" s="133" t="str">
        <f t="shared" si="53"/>
        <v>Thu</v>
      </c>
      <c r="D480" s="381">
        <f t="shared" si="54"/>
        <v>1</v>
      </c>
      <c r="E480" s="382" t="s">
        <v>129</v>
      </c>
      <c r="F480" s="137" t="s">
        <v>129</v>
      </c>
      <c r="G480" s="137" t="s">
        <v>129</v>
      </c>
      <c r="H480" s="137" t="s">
        <v>129</v>
      </c>
      <c r="I480" s="137" t="s">
        <v>129</v>
      </c>
      <c r="J480" s="137" t="s">
        <v>129</v>
      </c>
      <c r="K480" s="137" t="s">
        <v>129</v>
      </c>
      <c r="L480" s="137" t="s">
        <v>129</v>
      </c>
      <c r="M480" s="141"/>
      <c r="N480" s="147"/>
    </row>
    <row r="481" hidden="1" outlineLevel="1">
      <c r="A481" s="255" t="s">
        <v>4316</v>
      </c>
      <c r="B481" s="420">
        <v>46233.0</v>
      </c>
      <c r="C481" s="133" t="str">
        <f t="shared" si="53"/>
        <v>Thu</v>
      </c>
      <c r="D481" s="383">
        <f t="shared" si="54"/>
        <v>1</v>
      </c>
      <c r="E481" s="147" t="s">
        <v>129</v>
      </c>
      <c r="F481" s="137" t="s">
        <v>129</v>
      </c>
      <c r="G481" s="137" t="s">
        <v>129</v>
      </c>
      <c r="H481" s="137" t="s">
        <v>129</v>
      </c>
      <c r="I481" s="137" t="s">
        <v>129</v>
      </c>
      <c r="J481" s="137" t="s">
        <v>129</v>
      </c>
      <c r="K481" s="137" t="s">
        <v>129</v>
      </c>
      <c r="L481" s="137" t="s">
        <v>129</v>
      </c>
      <c r="M481" s="141"/>
      <c r="N481" s="147"/>
    </row>
    <row r="482" hidden="1" outlineLevel="1">
      <c r="A482" s="255" t="s">
        <v>4317</v>
      </c>
      <c r="B482" s="420">
        <v>46234.0</v>
      </c>
      <c r="C482" s="133" t="str">
        <f t="shared" si="53"/>
        <v>Fri</v>
      </c>
      <c r="D482" s="381">
        <f t="shared" si="54"/>
        <v>1</v>
      </c>
      <c r="E482" s="382" t="s">
        <v>129</v>
      </c>
      <c r="F482" s="137" t="s">
        <v>129</v>
      </c>
      <c r="G482" s="137" t="s">
        <v>129</v>
      </c>
      <c r="H482" s="137" t="s">
        <v>129</v>
      </c>
      <c r="I482" s="137" t="s">
        <v>129</v>
      </c>
      <c r="J482" s="137" t="s">
        <v>129</v>
      </c>
      <c r="K482" s="137" t="s">
        <v>129</v>
      </c>
      <c r="L482" s="137" t="s">
        <v>129</v>
      </c>
      <c r="M482" s="141"/>
      <c r="N482" s="143"/>
    </row>
    <row r="483" hidden="1" outlineLevel="1">
      <c r="A483" s="255" t="s">
        <v>4318</v>
      </c>
      <c r="B483" s="420">
        <v>46234.0</v>
      </c>
      <c r="C483" s="133" t="str">
        <f t="shared" si="53"/>
        <v>Fri</v>
      </c>
      <c r="D483" s="383">
        <f t="shared" si="54"/>
        <v>1</v>
      </c>
      <c r="E483" s="147" t="s">
        <v>129</v>
      </c>
      <c r="F483" s="137" t="s">
        <v>129</v>
      </c>
      <c r="G483" s="137" t="s">
        <v>129</v>
      </c>
      <c r="H483" s="137" t="s">
        <v>129</v>
      </c>
      <c r="I483" s="137" t="s">
        <v>129</v>
      </c>
      <c r="J483" s="137" t="s">
        <v>129</v>
      </c>
      <c r="K483" s="137" t="s">
        <v>129</v>
      </c>
      <c r="L483" s="137" t="s">
        <v>129</v>
      </c>
      <c r="M483" s="141"/>
      <c r="N483" s="143"/>
    </row>
    <row r="484" ht="15.0" hidden="1" customHeight="1" outlineLevel="1">
      <c r="A484" s="255" t="s">
        <v>4319</v>
      </c>
      <c r="B484" s="420">
        <v>46234.0</v>
      </c>
      <c r="C484" s="133" t="str">
        <f t="shared" si="53"/>
        <v>Fri</v>
      </c>
      <c r="D484" s="381">
        <f t="shared" si="54"/>
        <v>1</v>
      </c>
      <c r="E484" s="382" t="s">
        <v>129</v>
      </c>
      <c r="F484" s="137" t="s">
        <v>129</v>
      </c>
      <c r="G484" s="137" t="s">
        <v>129</v>
      </c>
      <c r="H484" s="137" t="s">
        <v>129</v>
      </c>
      <c r="I484" s="137" t="s">
        <v>129</v>
      </c>
      <c r="J484" s="137" t="s">
        <v>129</v>
      </c>
      <c r="K484" s="137" t="s">
        <v>129</v>
      </c>
      <c r="L484" s="137" t="s">
        <v>129</v>
      </c>
      <c r="M484" s="141"/>
      <c r="N484" s="147"/>
    </row>
    <row r="485" hidden="1" outlineLevel="1">
      <c r="B485" s="189"/>
      <c r="C485" s="191" t="s">
        <v>194</v>
      </c>
      <c r="D485" s="204">
        <f>AVERAGE(D470:D484)</f>
        <v>1</v>
      </c>
      <c r="E485" s="384"/>
      <c r="L485" s="191" t="s">
        <v>194</v>
      </c>
      <c r="M485" s="204">
        <f>SUM(M470:M484)/75*0.1</f>
        <v>0</v>
      </c>
    </row>
    <row r="486">
      <c r="A486" s="206" t="s">
        <v>1318</v>
      </c>
      <c r="B486" s="207"/>
      <c r="C486" s="207"/>
      <c r="D486" s="385"/>
      <c r="E486" s="109"/>
      <c r="F486" s="109"/>
      <c r="G486" s="110"/>
      <c r="H486" s="110"/>
      <c r="I486" s="110"/>
      <c r="J486" s="110"/>
      <c r="K486" s="110"/>
      <c r="L486" s="110"/>
      <c r="M486" s="111"/>
      <c r="N486" s="113"/>
    </row>
    <row r="487" outlineLevel="1">
      <c r="A487" s="373" t="s">
        <v>98</v>
      </c>
      <c r="B487" s="115" t="s">
        <v>100</v>
      </c>
      <c r="C487" s="115" t="s">
        <v>102</v>
      </c>
      <c r="D487" s="119" t="s">
        <v>103</v>
      </c>
      <c r="E487" s="275" t="s">
        <v>269</v>
      </c>
      <c r="F487" s="275" t="s">
        <v>272</v>
      </c>
      <c r="G487" s="276" t="s">
        <v>328</v>
      </c>
      <c r="H487" s="121" t="s">
        <v>107</v>
      </c>
      <c r="I487" s="121" t="s">
        <v>108</v>
      </c>
      <c r="J487" s="276" t="s">
        <v>329</v>
      </c>
      <c r="K487" s="121" t="s">
        <v>111</v>
      </c>
      <c r="L487" s="276" t="s">
        <v>274</v>
      </c>
      <c r="M487" s="115" t="s">
        <v>114</v>
      </c>
      <c r="N487" s="119" t="s">
        <v>115</v>
      </c>
    </row>
    <row r="488" outlineLevel="1">
      <c r="A488" s="303" t="s">
        <v>4320</v>
      </c>
      <c r="B488" s="420">
        <v>46237.0</v>
      </c>
      <c r="C488" s="133" t="str">
        <f t="shared" ref="C488:C502" si="55">IF(B488="", "", TEXT(B488, "ddd"))</f>
        <v>Mon</v>
      </c>
      <c r="D488" s="381">
        <f t="shared" ref="D488:D502" si="56">IF(E488="Yes",0.05,0)
+IF(F488="Yes",0.1,0)
+IF(G488="Yes",0.15,0)
+IF(H488="Yes",0.15,0)
+IF(I488="Yes",0.05,0)
+IF(J488="Yes",0.05,0)
+IF(K488="Yes",0.15,0)
+IF(L488="Yes",0.3,0)
</f>
        <v>1</v>
      </c>
      <c r="E488" s="382" t="s">
        <v>129</v>
      </c>
      <c r="F488" s="137" t="s">
        <v>129</v>
      </c>
      <c r="G488" s="137" t="s">
        <v>129</v>
      </c>
      <c r="H488" s="137" t="s">
        <v>129</v>
      </c>
      <c r="I488" s="137" t="s">
        <v>129</v>
      </c>
      <c r="J488" s="137" t="s">
        <v>129</v>
      </c>
      <c r="K488" s="137" t="s">
        <v>129</v>
      </c>
      <c r="L488" s="137" t="s">
        <v>129</v>
      </c>
      <c r="M488" s="141"/>
      <c r="N488" s="143"/>
    </row>
    <row r="489" outlineLevel="1">
      <c r="A489" s="255" t="s">
        <v>4321</v>
      </c>
      <c r="B489" s="420">
        <v>46237.0</v>
      </c>
      <c r="C489" s="133" t="str">
        <f t="shared" si="55"/>
        <v>Mon</v>
      </c>
      <c r="D489" s="383">
        <f t="shared" si="56"/>
        <v>1</v>
      </c>
      <c r="E489" s="147" t="s">
        <v>129</v>
      </c>
      <c r="F489" s="137" t="s">
        <v>129</v>
      </c>
      <c r="G489" s="137" t="s">
        <v>129</v>
      </c>
      <c r="H489" s="137" t="s">
        <v>129</v>
      </c>
      <c r="I489" s="137" t="s">
        <v>129</v>
      </c>
      <c r="J489" s="137" t="s">
        <v>129</v>
      </c>
      <c r="K489" s="137" t="s">
        <v>129</v>
      </c>
      <c r="L489" s="137" t="s">
        <v>129</v>
      </c>
      <c r="M489" s="141"/>
      <c r="N489" s="147"/>
    </row>
    <row r="490" outlineLevel="1">
      <c r="A490" s="255" t="s">
        <v>4322</v>
      </c>
      <c r="B490" s="420">
        <v>46237.0</v>
      </c>
      <c r="C490" s="133" t="str">
        <f t="shared" si="55"/>
        <v>Mon</v>
      </c>
      <c r="D490" s="381">
        <f t="shared" si="56"/>
        <v>1</v>
      </c>
      <c r="E490" s="382" t="s">
        <v>129</v>
      </c>
      <c r="F490" s="137" t="s">
        <v>129</v>
      </c>
      <c r="G490" s="137" t="s">
        <v>129</v>
      </c>
      <c r="H490" s="137" t="s">
        <v>129</v>
      </c>
      <c r="I490" s="137" t="s">
        <v>129</v>
      </c>
      <c r="J490" s="137" t="s">
        <v>129</v>
      </c>
      <c r="K490" s="137" t="s">
        <v>129</v>
      </c>
      <c r="L490" s="137" t="s">
        <v>129</v>
      </c>
      <c r="M490" s="141"/>
      <c r="N490" s="147"/>
    </row>
    <row r="491" outlineLevel="1">
      <c r="A491" s="255" t="s">
        <v>4323</v>
      </c>
      <c r="B491" s="420">
        <v>46239.0</v>
      </c>
      <c r="C491" s="133" t="str">
        <f t="shared" si="55"/>
        <v>Wed</v>
      </c>
      <c r="D491" s="383">
        <f t="shared" si="56"/>
        <v>0</v>
      </c>
      <c r="E491" s="147"/>
      <c r="F491" s="137"/>
      <c r="G491" s="137"/>
      <c r="H491" s="137"/>
      <c r="I491" s="137"/>
      <c r="J491" s="137"/>
      <c r="K491" s="137"/>
      <c r="L491" s="137"/>
      <c r="M491" s="141"/>
      <c r="N491" s="147"/>
    </row>
    <row r="492" outlineLevel="1">
      <c r="A492" s="255" t="s">
        <v>4324</v>
      </c>
      <c r="B492" s="420">
        <v>46239.0</v>
      </c>
      <c r="C492" s="133" t="str">
        <f t="shared" si="55"/>
        <v>Wed</v>
      </c>
      <c r="D492" s="381">
        <f t="shared" si="56"/>
        <v>0</v>
      </c>
      <c r="E492" s="382"/>
      <c r="F492" s="137"/>
      <c r="G492" s="137"/>
      <c r="H492" s="137"/>
      <c r="I492" s="137"/>
      <c r="J492" s="137"/>
      <c r="K492" s="137"/>
      <c r="L492" s="137"/>
      <c r="M492" s="141"/>
      <c r="N492" s="147"/>
    </row>
    <row r="493" outlineLevel="1">
      <c r="A493" s="255" t="s">
        <v>4325</v>
      </c>
      <c r="B493" s="420">
        <v>46239.0</v>
      </c>
      <c r="C493" s="133" t="str">
        <f t="shared" si="55"/>
        <v>Wed</v>
      </c>
      <c r="D493" s="383">
        <f t="shared" si="56"/>
        <v>0</v>
      </c>
      <c r="E493" s="147"/>
      <c r="F493" s="137"/>
      <c r="G493" s="137"/>
      <c r="H493" s="137"/>
      <c r="I493" s="137"/>
      <c r="J493" s="137"/>
      <c r="K493" s="137"/>
      <c r="L493" s="137"/>
      <c r="M493" s="141"/>
      <c r="N493" s="147"/>
    </row>
    <row r="494" outlineLevel="1">
      <c r="A494" s="255" t="s">
        <v>4326</v>
      </c>
      <c r="B494" s="420">
        <v>46240.0</v>
      </c>
      <c r="C494" s="133" t="str">
        <f t="shared" si="55"/>
        <v>Thu</v>
      </c>
      <c r="D494" s="381">
        <f t="shared" si="56"/>
        <v>0</v>
      </c>
      <c r="E494" s="382"/>
      <c r="F494" s="137"/>
      <c r="G494" s="137"/>
      <c r="H494" s="137"/>
      <c r="I494" s="137"/>
      <c r="J494" s="137"/>
      <c r="K494" s="137"/>
      <c r="L494" s="137"/>
      <c r="M494" s="141"/>
      <c r="N494" s="143"/>
    </row>
    <row r="495" outlineLevel="1">
      <c r="A495" s="255" t="s">
        <v>4327</v>
      </c>
      <c r="B495" s="420">
        <v>46240.0</v>
      </c>
      <c r="C495" s="133" t="str">
        <f t="shared" si="55"/>
        <v>Thu</v>
      </c>
      <c r="D495" s="383">
        <f t="shared" si="56"/>
        <v>0</v>
      </c>
      <c r="E495" s="147"/>
      <c r="F495" s="137"/>
      <c r="G495" s="137"/>
      <c r="H495" s="137"/>
      <c r="I495" s="137"/>
      <c r="J495" s="137"/>
      <c r="K495" s="137"/>
      <c r="L495" s="137"/>
      <c r="M495" s="141"/>
      <c r="N495" s="147"/>
    </row>
    <row r="496" outlineLevel="1">
      <c r="A496" s="255" t="s">
        <v>4328</v>
      </c>
      <c r="B496" s="420">
        <v>46240.0</v>
      </c>
      <c r="C496" s="133" t="str">
        <f t="shared" si="55"/>
        <v>Thu</v>
      </c>
      <c r="D496" s="381">
        <f t="shared" si="56"/>
        <v>0</v>
      </c>
      <c r="E496" s="382"/>
      <c r="F496" s="137"/>
      <c r="G496" s="137"/>
      <c r="H496" s="137"/>
      <c r="I496" s="137"/>
      <c r="J496" s="137"/>
      <c r="K496" s="137"/>
      <c r="L496" s="137"/>
      <c r="M496" s="141"/>
      <c r="N496" s="143"/>
    </row>
    <row r="497" outlineLevel="1">
      <c r="A497" s="255" t="s">
        <v>4329</v>
      </c>
      <c r="B497" s="420">
        <v>46241.0</v>
      </c>
      <c r="C497" s="133" t="str">
        <f t="shared" si="55"/>
        <v>Fri</v>
      </c>
      <c r="D497" s="383">
        <f t="shared" si="56"/>
        <v>0</v>
      </c>
      <c r="E497" s="147"/>
      <c r="F497" s="137"/>
      <c r="G497" s="137"/>
      <c r="H497" s="137"/>
      <c r="I497" s="137"/>
      <c r="J497" s="137"/>
      <c r="K497" s="137"/>
      <c r="L497" s="137"/>
      <c r="M497" s="141"/>
      <c r="N497" s="147"/>
    </row>
    <row r="498" outlineLevel="1">
      <c r="A498" s="255" t="s">
        <v>4330</v>
      </c>
      <c r="B498" s="420">
        <v>46241.0</v>
      </c>
      <c r="C498" s="133" t="str">
        <f t="shared" si="55"/>
        <v>Fri</v>
      </c>
      <c r="D498" s="381">
        <f t="shared" si="56"/>
        <v>0</v>
      </c>
      <c r="E498" s="382"/>
      <c r="F498" s="137"/>
      <c r="G498" s="137"/>
      <c r="H498" s="137"/>
      <c r="I498" s="137"/>
      <c r="J498" s="137"/>
      <c r="K498" s="137"/>
      <c r="L498" s="137"/>
      <c r="M498" s="141"/>
      <c r="N498" s="147"/>
    </row>
    <row r="499" outlineLevel="1">
      <c r="A499" s="255" t="s">
        <v>4331</v>
      </c>
      <c r="B499" s="420">
        <v>46241.0</v>
      </c>
      <c r="C499" s="133" t="str">
        <f t="shared" si="55"/>
        <v>Fri</v>
      </c>
      <c r="D499" s="383">
        <f t="shared" si="56"/>
        <v>0</v>
      </c>
      <c r="E499" s="147"/>
      <c r="F499" s="137"/>
      <c r="G499" s="137"/>
      <c r="H499" s="137"/>
      <c r="I499" s="137"/>
      <c r="J499" s="137"/>
      <c r="K499" s="137"/>
      <c r="L499" s="137"/>
      <c r="M499" s="141"/>
      <c r="N499" s="147"/>
    </row>
    <row r="500" outlineLevel="1">
      <c r="A500" s="255" t="s">
        <v>4332</v>
      </c>
      <c r="B500" s="420">
        <v>46242.0</v>
      </c>
      <c r="C500" s="133" t="str">
        <f t="shared" si="55"/>
        <v>Sat</v>
      </c>
      <c r="D500" s="381">
        <f t="shared" si="56"/>
        <v>0</v>
      </c>
      <c r="E500" s="382"/>
      <c r="F500" s="137"/>
      <c r="G500" s="137"/>
      <c r="H500" s="137"/>
      <c r="I500" s="137"/>
      <c r="J500" s="137"/>
      <c r="K500" s="137"/>
      <c r="L500" s="137"/>
      <c r="M500" s="141"/>
      <c r="N500" s="143"/>
    </row>
    <row r="501" outlineLevel="1">
      <c r="A501" s="255" t="s">
        <v>4333</v>
      </c>
      <c r="B501" s="420">
        <v>46242.0</v>
      </c>
      <c r="C501" s="133" t="str">
        <f t="shared" si="55"/>
        <v>Sat</v>
      </c>
      <c r="D501" s="383">
        <f t="shared" si="56"/>
        <v>0</v>
      </c>
      <c r="E501" s="147"/>
      <c r="F501" s="137"/>
      <c r="G501" s="137"/>
      <c r="H501" s="137"/>
      <c r="I501" s="137"/>
      <c r="J501" s="137"/>
      <c r="K501" s="137"/>
      <c r="L501" s="137"/>
      <c r="M501" s="141"/>
      <c r="N501" s="143"/>
    </row>
    <row r="502" ht="15.0" customHeight="1" outlineLevel="1">
      <c r="A502" s="255" t="s">
        <v>4334</v>
      </c>
      <c r="B502" s="420">
        <v>46242.0</v>
      </c>
      <c r="C502" s="133" t="str">
        <f t="shared" si="55"/>
        <v>Sat</v>
      </c>
      <c r="D502" s="381">
        <f t="shared" si="56"/>
        <v>0</v>
      </c>
      <c r="E502" s="382"/>
      <c r="F502" s="137"/>
      <c r="G502" s="137"/>
      <c r="H502" s="137"/>
      <c r="I502" s="137"/>
      <c r="J502" s="137"/>
      <c r="K502" s="137"/>
      <c r="L502" s="137"/>
      <c r="M502" s="141"/>
      <c r="N502" s="147"/>
    </row>
    <row r="503" outlineLevel="1">
      <c r="B503" s="189"/>
      <c r="C503" s="191" t="s">
        <v>194</v>
      </c>
      <c r="D503" s="204">
        <f>AVERAGE(D488:D502)</f>
        <v>0.2</v>
      </c>
      <c r="E503" s="384"/>
      <c r="L503" s="191" t="s">
        <v>194</v>
      </c>
      <c r="M503" s="204">
        <f>SUM(M488:M502)/75*0.1</f>
        <v>0</v>
      </c>
    </row>
  </sheetData>
  <mergeCells count="27">
    <mergeCell ref="A18:D18"/>
    <mergeCell ref="A36:D36"/>
    <mergeCell ref="A54:D54"/>
    <mergeCell ref="A72:D72"/>
    <mergeCell ref="A90:D90"/>
    <mergeCell ref="A108:D108"/>
    <mergeCell ref="A126:D126"/>
    <mergeCell ref="A144:D144"/>
    <mergeCell ref="A162:D162"/>
    <mergeCell ref="A180:D180"/>
    <mergeCell ref="A198:D198"/>
    <mergeCell ref="A216:D216"/>
    <mergeCell ref="A234:D234"/>
    <mergeCell ref="A252:D252"/>
    <mergeCell ref="A396:D396"/>
    <mergeCell ref="A414:D414"/>
    <mergeCell ref="A432:D432"/>
    <mergeCell ref="A450:D450"/>
    <mergeCell ref="A468:D468"/>
    <mergeCell ref="A486:D486"/>
    <mergeCell ref="A270:D270"/>
    <mergeCell ref="A288:D288"/>
    <mergeCell ref="A306:D306"/>
    <mergeCell ref="A324:D324"/>
    <mergeCell ref="A342:D342"/>
    <mergeCell ref="A360:D360"/>
    <mergeCell ref="A378:D378"/>
  </mergeCells>
  <conditionalFormatting sqref="A1:N107 A110:A112 B110:B124 C110:D112 E110:L124 C122:C124 A128:A130 B128:B142 C128:D130 E128:L142 C140:C142 A144:N161 A164:A166 B164:B178 C164:D166 E164:L178 C176:C178 A180:N197 A200:A202 B200:B214 C200:D202 E200:L214 C212:C214 A216:N233 A236:A238 B236:B250 C236:D238 E236:L250 A248:A250 C248:D250 A254:A256 B254:B268 C254:D256 E254:L268 A266:A268 C266:D268 A272:A274 B272:B286 C272:D274 E272:L286 A284:A286 C284:D286 A290:A292 B290:B304 C290:D292 E290:L304 A302:A304 C302:D304 A308:A310 B308:B322 C308:D310 E308:L322 A320:A322 C320:D322 A326:A328 B326:B340 C326:D328 E326:L340 A338:A340 C338:D340 A344:A346 B344:B358 C344:D346 E344:L358 A356:A358 C356:D358 A360:N377 A380:B394 C380:D382 E380:L394 C392:D394 A398:B412 C398:C400 D398:D403 E398:L412 C410:D412 A414:N431 A434:B448 C434:D436 E434:L448 C446:D448 A450:N467 A470:B484 C470:D472 E470:L484 C482:D484 A488:B502 C488:D490 E488:L502 C500:D502">
    <cfRule type="cellIs" dxfId="7" priority="1" operator="equal">
      <formula>"LWOP"</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cfRule type="cellIs" dxfId="8" priority="2" operator="equal">
      <formula>"OFF"</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cfRule type="cellIs" dxfId="9" priority="3" operator="equal">
      <formula>"A"</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cfRule type="cellIs" dxfId="10" priority="4" operator="equal">
      <formula>"LWOP"</formula>
    </cfRule>
  </conditionalFormatting>
  <conditionalFormatting sqref="A1:N503">
    <cfRule type="cellIs" dxfId="6" priority="5" operator="equal">
      <formula>"Absent"</formula>
    </cfRule>
  </conditionalFormatting>
  <dataValidations>
    <dataValidation type="list" allowBlank="1" showErrorMessage="1" sqref="E2:L16 E20:L34 E38:L52 E56:L70 E74:L88 E92:L106 E110:L124 E128:L142 E146:L160 E164:L178 E182:L196 E200:L214 E218:L232 E236:L250 E254:L268 E272:L286 E290:L304 E308:L322 E326:L340 E344:L358 E362:L376 E380:L394 E398:L412 E416:L430 E434:L448 E452:L466 E470:L484 E488:L502">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0"/>
    <hyperlink r:id="rId27" ref="A31"/>
    <hyperlink r:id="rId28" ref="A32"/>
    <hyperlink r:id="rId29" ref="A33"/>
    <hyperlink r:id="rId30" ref="A34"/>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49"/>
    <hyperlink r:id="rId43" ref="A50"/>
    <hyperlink r:id="rId44" ref="A51"/>
    <hyperlink r:id="rId45" ref="A52"/>
    <hyperlink r:id="rId46" ref="A56"/>
    <hyperlink r:id="rId47" ref="A57"/>
    <hyperlink r:id="rId48" ref="A58"/>
    <hyperlink r:id="rId49" ref="A59"/>
    <hyperlink r:id="rId50" ref="A60"/>
    <hyperlink r:id="rId51" ref="A61"/>
    <hyperlink r:id="rId52" ref="A62"/>
    <hyperlink r:id="rId53" ref="A63"/>
    <hyperlink r:id="rId54" ref="A64"/>
    <hyperlink r:id="rId55" ref="A65"/>
    <hyperlink r:id="rId56" ref="A66"/>
    <hyperlink r:id="rId57" ref="A67"/>
    <hyperlink r:id="rId58" ref="A68"/>
    <hyperlink r:id="rId59" ref="A69"/>
    <hyperlink r:id="rId60" ref="A70"/>
    <hyperlink r:id="rId61" ref="A74"/>
    <hyperlink r:id="rId62" ref="A75"/>
    <hyperlink r:id="rId63" ref="A76"/>
    <hyperlink r:id="rId64" ref="A77"/>
    <hyperlink r:id="rId65" ref="A78"/>
    <hyperlink r:id="rId66" ref="A79"/>
    <hyperlink r:id="rId67" ref="A80"/>
    <hyperlink r:id="rId68" ref="A81"/>
    <hyperlink r:id="rId69" ref="A82"/>
    <hyperlink r:id="rId70" ref="A83"/>
    <hyperlink r:id="rId71" ref="A84"/>
    <hyperlink r:id="rId72" ref="A85"/>
    <hyperlink r:id="rId73" ref="A86"/>
    <hyperlink r:id="rId74" ref="A87"/>
    <hyperlink r:id="rId75" ref="A88"/>
    <hyperlink r:id="rId76" ref="A92"/>
    <hyperlink r:id="rId77" ref="A93"/>
    <hyperlink r:id="rId78" ref="A94"/>
    <hyperlink r:id="rId79" ref="A95"/>
    <hyperlink r:id="rId80" ref="A96"/>
    <hyperlink r:id="rId81" ref="A97"/>
    <hyperlink r:id="rId82" ref="A98"/>
    <hyperlink r:id="rId83" ref="A99"/>
    <hyperlink r:id="rId84" ref="A100"/>
    <hyperlink r:id="rId85" ref="A101"/>
    <hyperlink r:id="rId86" ref="A102"/>
    <hyperlink r:id="rId87" ref="A103"/>
    <hyperlink r:id="rId88" ref="A104"/>
    <hyperlink r:id="rId89" ref="A105"/>
    <hyperlink r:id="rId90" ref="A106"/>
    <hyperlink r:id="rId91" ref="A110"/>
    <hyperlink r:id="rId92" ref="A111"/>
    <hyperlink r:id="rId93" ref="A112"/>
    <hyperlink r:id="rId94" ref="A113"/>
    <hyperlink r:id="rId95" ref="A114"/>
    <hyperlink r:id="rId96" ref="A115"/>
    <hyperlink r:id="rId97" ref="A116"/>
    <hyperlink r:id="rId98" ref="A117"/>
    <hyperlink r:id="rId99" ref="A118"/>
    <hyperlink r:id="rId100" ref="A119"/>
    <hyperlink r:id="rId101" ref="A120"/>
    <hyperlink r:id="rId102" ref="A121"/>
    <hyperlink r:id="rId103" ref="A122"/>
    <hyperlink r:id="rId104" ref="A123"/>
    <hyperlink r:id="rId105" ref="A124"/>
    <hyperlink r:id="rId106" ref="A128"/>
    <hyperlink r:id="rId107" ref="A129"/>
    <hyperlink r:id="rId108" ref="A130"/>
    <hyperlink r:id="rId109" ref="A131"/>
    <hyperlink r:id="rId110" ref="A132"/>
    <hyperlink r:id="rId111" ref="A133"/>
    <hyperlink r:id="rId112" ref="A134"/>
    <hyperlink r:id="rId113" ref="A135"/>
    <hyperlink r:id="rId114" ref="A136"/>
    <hyperlink r:id="rId115" ref="A137"/>
    <hyperlink r:id="rId116" ref="A138"/>
    <hyperlink r:id="rId117" ref="A139"/>
    <hyperlink r:id="rId118" ref="A140"/>
    <hyperlink r:id="rId119" ref="A141"/>
    <hyperlink r:id="rId120" ref="A142"/>
    <hyperlink r:id="rId121" ref="A146"/>
    <hyperlink r:id="rId122" ref="A147"/>
    <hyperlink r:id="rId123" ref="A148"/>
    <hyperlink r:id="rId124" ref="A149"/>
    <hyperlink r:id="rId125" ref="A150"/>
    <hyperlink r:id="rId126" ref="A151"/>
    <hyperlink r:id="rId127" ref="A152"/>
    <hyperlink r:id="rId128" ref="A153"/>
    <hyperlink r:id="rId129" ref="A154"/>
    <hyperlink r:id="rId130" ref="A158"/>
    <hyperlink r:id="rId131" ref="A159"/>
    <hyperlink r:id="rId132" ref="A160"/>
    <hyperlink r:id="rId133" ref="A164"/>
    <hyperlink r:id="rId134" ref="A165"/>
    <hyperlink r:id="rId135" ref="A166"/>
    <hyperlink r:id="rId136" ref="A167"/>
    <hyperlink r:id="rId137" ref="A168"/>
    <hyperlink r:id="rId138" ref="A169"/>
    <hyperlink r:id="rId139" ref="A170"/>
    <hyperlink r:id="rId140" ref="A171"/>
    <hyperlink r:id="rId141" ref="A172"/>
    <hyperlink r:id="rId142" ref="A173"/>
    <hyperlink r:id="rId143" ref="A174"/>
    <hyperlink r:id="rId144" ref="A175"/>
    <hyperlink r:id="rId145" ref="A176"/>
    <hyperlink r:id="rId146" ref="A177"/>
    <hyperlink r:id="rId147" ref="A178"/>
    <hyperlink r:id="rId148" ref="A182"/>
    <hyperlink r:id="rId149" ref="A183"/>
    <hyperlink r:id="rId150" ref="A184"/>
    <hyperlink r:id="rId151" ref="A185"/>
    <hyperlink r:id="rId152" ref="A186"/>
    <hyperlink r:id="rId153" ref="A187"/>
    <hyperlink r:id="rId154" ref="A188"/>
    <hyperlink r:id="rId155" ref="A189"/>
    <hyperlink r:id="rId156" ref="A190"/>
    <hyperlink r:id="rId157" ref="A191"/>
    <hyperlink r:id="rId158" ref="A192"/>
    <hyperlink r:id="rId159" ref="A193"/>
    <hyperlink r:id="rId160" ref="A194"/>
    <hyperlink r:id="rId161" ref="A195"/>
    <hyperlink r:id="rId162" ref="A196"/>
    <hyperlink r:id="rId163" ref="A200"/>
    <hyperlink r:id="rId164" ref="A201"/>
    <hyperlink r:id="rId165" ref="A202"/>
    <hyperlink r:id="rId166" ref="A203"/>
    <hyperlink r:id="rId167" ref="A204"/>
    <hyperlink r:id="rId168" ref="A205"/>
    <hyperlink r:id="rId169" ref="A206"/>
    <hyperlink r:id="rId170" ref="A207"/>
    <hyperlink r:id="rId171" ref="A208"/>
    <hyperlink r:id="rId172" ref="A209"/>
    <hyperlink r:id="rId173" ref="A210"/>
    <hyperlink r:id="rId174" ref="A211"/>
    <hyperlink r:id="rId175" ref="A212"/>
    <hyperlink r:id="rId176" ref="A213"/>
    <hyperlink r:id="rId177" ref="A214"/>
    <hyperlink r:id="rId178" ref="A218"/>
    <hyperlink r:id="rId179" ref="A219"/>
    <hyperlink r:id="rId180" ref="A220"/>
    <hyperlink r:id="rId181" ref="A224"/>
    <hyperlink r:id="rId182" ref="A225"/>
    <hyperlink r:id="rId183" ref="A226"/>
    <hyperlink r:id="rId184" ref="A227"/>
    <hyperlink r:id="rId185" ref="A228"/>
    <hyperlink r:id="rId186" ref="A229"/>
    <hyperlink r:id="rId187" ref="A230"/>
    <hyperlink r:id="rId188" ref="A231"/>
    <hyperlink r:id="rId189" ref="A232"/>
    <hyperlink r:id="rId190" ref="A236"/>
    <hyperlink r:id="rId191" ref="A237"/>
    <hyperlink r:id="rId192" ref="A238"/>
    <hyperlink r:id="rId193" ref="A239"/>
    <hyperlink r:id="rId194" ref="A240"/>
    <hyperlink r:id="rId195" ref="A241"/>
    <hyperlink r:id="rId196" ref="A242"/>
    <hyperlink r:id="rId197" ref="A243"/>
    <hyperlink r:id="rId198" ref="A244"/>
    <hyperlink r:id="rId199" ref="A254"/>
    <hyperlink r:id="rId200" ref="A255"/>
    <hyperlink r:id="rId201" ref="A256"/>
    <hyperlink r:id="rId202" ref="A257"/>
    <hyperlink r:id="rId203" ref="A258"/>
    <hyperlink r:id="rId204" ref="A259"/>
    <hyperlink r:id="rId205" ref="A260"/>
    <hyperlink r:id="rId206" ref="A261"/>
    <hyperlink r:id="rId207" ref="A262"/>
    <hyperlink r:id="rId208" ref="A263"/>
    <hyperlink r:id="rId209" ref="A264"/>
    <hyperlink r:id="rId210" ref="A265"/>
    <hyperlink r:id="rId211" ref="A266"/>
    <hyperlink r:id="rId212" ref="A267"/>
    <hyperlink r:id="rId213" ref="A268"/>
    <hyperlink r:id="rId214" ref="A272"/>
    <hyperlink r:id="rId215" ref="A273"/>
    <hyperlink r:id="rId216" ref="A274"/>
    <hyperlink r:id="rId217" ref="A275"/>
    <hyperlink r:id="rId218" ref="A276"/>
    <hyperlink r:id="rId219" ref="A277"/>
    <hyperlink r:id="rId220" ref="A278"/>
    <hyperlink r:id="rId221" ref="A279"/>
    <hyperlink r:id="rId222" ref="A280"/>
    <hyperlink r:id="rId223" ref="A281"/>
    <hyperlink r:id="rId224" ref="A282"/>
    <hyperlink r:id="rId225" ref="A283"/>
    <hyperlink r:id="rId226" ref="A290"/>
    <hyperlink r:id="rId227" ref="A291"/>
    <hyperlink r:id="rId228" ref="A292"/>
    <hyperlink r:id="rId229" ref="A293"/>
    <hyperlink r:id="rId230" ref="A294"/>
    <hyperlink r:id="rId231" ref="A295"/>
    <hyperlink r:id="rId232" ref="A296"/>
    <hyperlink r:id="rId233" ref="A297"/>
    <hyperlink r:id="rId234" ref="A298"/>
    <hyperlink r:id="rId235" ref="A299"/>
    <hyperlink r:id="rId236" ref="A300"/>
    <hyperlink r:id="rId237" ref="A301"/>
    <hyperlink r:id="rId238" ref="A308"/>
    <hyperlink r:id="rId239" ref="A309"/>
    <hyperlink r:id="rId240" ref="A310"/>
    <hyperlink r:id="rId241" ref="A311"/>
    <hyperlink r:id="rId242" ref="A312"/>
    <hyperlink r:id="rId243" ref="A313"/>
    <hyperlink r:id="rId244" ref="A314"/>
    <hyperlink r:id="rId245" ref="A315"/>
    <hyperlink r:id="rId246" ref="A316"/>
    <hyperlink r:id="rId247" ref="A317"/>
    <hyperlink r:id="rId248" ref="A318"/>
    <hyperlink r:id="rId249" ref="A319"/>
    <hyperlink r:id="rId250" ref="A320"/>
    <hyperlink r:id="rId251" ref="A321"/>
    <hyperlink r:id="rId252" ref="A322"/>
    <hyperlink r:id="rId253" ref="A326"/>
    <hyperlink r:id="rId254" ref="A327"/>
    <hyperlink r:id="rId255" ref="A328"/>
    <hyperlink r:id="rId256" ref="A329"/>
    <hyperlink r:id="rId257" ref="A330"/>
    <hyperlink r:id="rId258" ref="A331"/>
    <hyperlink r:id="rId259" ref="A332"/>
    <hyperlink r:id="rId260" ref="A333"/>
    <hyperlink r:id="rId261" ref="A334"/>
    <hyperlink r:id="rId262" ref="A335"/>
    <hyperlink r:id="rId263" ref="A336"/>
    <hyperlink r:id="rId264" ref="A337"/>
    <hyperlink r:id="rId265" ref="A338"/>
    <hyperlink r:id="rId266" ref="A339"/>
    <hyperlink r:id="rId267" ref="A340"/>
    <hyperlink r:id="rId268" ref="A344"/>
    <hyperlink r:id="rId269" ref="A345"/>
    <hyperlink r:id="rId270" ref="A346"/>
    <hyperlink r:id="rId271" ref="A347"/>
    <hyperlink r:id="rId272" ref="A348"/>
    <hyperlink r:id="rId273" ref="A349"/>
    <hyperlink r:id="rId274" ref="A350"/>
    <hyperlink r:id="rId275" ref="A351"/>
    <hyperlink r:id="rId276" ref="A352"/>
    <hyperlink r:id="rId277" ref="A353"/>
    <hyperlink r:id="rId278" ref="A354"/>
    <hyperlink r:id="rId279" ref="A355"/>
    <hyperlink r:id="rId280" ref="A356"/>
    <hyperlink r:id="rId281" ref="A357"/>
    <hyperlink r:id="rId282" ref="A358"/>
    <hyperlink r:id="rId283" ref="A380"/>
    <hyperlink r:id="rId284" ref="A381"/>
    <hyperlink r:id="rId285" ref="A382"/>
    <hyperlink r:id="rId286" ref="A383"/>
    <hyperlink r:id="rId287" ref="A384"/>
    <hyperlink r:id="rId288" ref="A385"/>
    <hyperlink r:id="rId289" ref="A387"/>
    <hyperlink r:id="rId290" ref="A388"/>
    <hyperlink r:id="rId291" ref="A389"/>
    <hyperlink r:id="rId292" ref="A390"/>
    <hyperlink r:id="rId293" ref="A391"/>
    <hyperlink r:id="rId294" ref="A393"/>
    <hyperlink r:id="rId295" ref="A394"/>
    <hyperlink r:id="rId296" ref="A398"/>
    <hyperlink r:id="rId297" ref="A399"/>
    <hyperlink r:id="rId298" ref="A400"/>
    <hyperlink r:id="rId299" ref="A401"/>
    <hyperlink r:id="rId300" ref="A402"/>
    <hyperlink r:id="rId301" ref="A403"/>
    <hyperlink r:id="rId302" ref="A404"/>
    <hyperlink r:id="rId303" ref="A405"/>
    <hyperlink r:id="rId304" ref="A406"/>
    <hyperlink r:id="rId305" ref="A407"/>
    <hyperlink r:id="rId306" ref="A408"/>
    <hyperlink r:id="rId307" ref="A409"/>
    <hyperlink r:id="rId308" ref="A416"/>
    <hyperlink r:id="rId309" ref="A417"/>
    <hyperlink r:id="rId310" ref="A418"/>
    <hyperlink r:id="rId311" ref="A419"/>
    <hyperlink r:id="rId312" ref="A420"/>
    <hyperlink r:id="rId313" ref="A421"/>
    <hyperlink r:id="rId314" ref="A422"/>
    <hyperlink r:id="rId315" ref="A423"/>
    <hyperlink r:id="rId316" ref="A424"/>
    <hyperlink r:id="rId317" ref="A425"/>
    <hyperlink r:id="rId318" ref="A426"/>
    <hyperlink r:id="rId319" ref="A427"/>
    <hyperlink r:id="rId320" ref="A434"/>
    <hyperlink r:id="rId321" ref="A435"/>
    <hyperlink r:id="rId322" ref="A436"/>
    <hyperlink r:id="rId323" ref="A437"/>
    <hyperlink r:id="rId324" ref="A438"/>
    <hyperlink r:id="rId325" ref="A439"/>
    <hyperlink r:id="rId326" ref="A440"/>
    <hyperlink r:id="rId327" ref="A441"/>
    <hyperlink r:id="rId328" ref="A442"/>
    <hyperlink r:id="rId329" ref="A452"/>
    <hyperlink r:id="rId330" ref="A453"/>
    <hyperlink r:id="rId331" ref="A454"/>
    <hyperlink r:id="rId332" ref="A455"/>
    <hyperlink r:id="rId333" ref="A456"/>
    <hyperlink r:id="rId334" ref="A457"/>
    <hyperlink r:id="rId335" ref="A458"/>
    <hyperlink r:id="rId336" ref="A459"/>
    <hyperlink r:id="rId337" ref="A460"/>
    <hyperlink r:id="rId338" ref="A461"/>
    <hyperlink r:id="rId339" ref="A462"/>
    <hyperlink r:id="rId340" ref="A463"/>
    <hyperlink r:id="rId341" ref="A464"/>
    <hyperlink r:id="rId342" ref="A465"/>
    <hyperlink r:id="rId343" ref="A466"/>
    <hyperlink r:id="rId344" ref="A470"/>
    <hyperlink r:id="rId345" ref="A471"/>
    <hyperlink r:id="rId346" ref="A472"/>
    <hyperlink r:id="rId347" ref="A473"/>
    <hyperlink r:id="rId348" ref="A474"/>
    <hyperlink r:id="rId349" ref="A475"/>
    <hyperlink r:id="rId350" ref="A476"/>
    <hyperlink r:id="rId351" ref="A477"/>
    <hyperlink r:id="rId352" ref="A478"/>
    <hyperlink r:id="rId353" ref="A479"/>
    <hyperlink r:id="rId354" ref="A480"/>
    <hyperlink r:id="rId355" ref="A481"/>
    <hyperlink r:id="rId356" ref="A482"/>
    <hyperlink r:id="rId357" ref="A483"/>
    <hyperlink r:id="rId358" ref="A484"/>
    <hyperlink r:id="rId359" ref="A488"/>
    <hyperlink r:id="rId360" ref="A489"/>
    <hyperlink r:id="rId361" ref="A490"/>
    <hyperlink r:id="rId362" ref="A491"/>
    <hyperlink r:id="rId363" ref="A492"/>
    <hyperlink r:id="rId364" ref="A493"/>
    <hyperlink r:id="rId365" ref="A494"/>
    <hyperlink r:id="rId366" ref="A495"/>
    <hyperlink r:id="rId367" ref="A496"/>
    <hyperlink r:id="rId368" ref="A497"/>
    <hyperlink r:id="rId369" ref="A498"/>
    <hyperlink r:id="rId370" ref="A499"/>
    <hyperlink r:id="rId371" ref="A500"/>
    <hyperlink r:id="rId372" ref="A501"/>
    <hyperlink r:id="rId373" ref="A502"/>
  </hyperlinks>
  <drawing r:id="rId374"/>
  <tableParts count="1">
    <tablePart r:id="rId37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customWidth="1" min="14" max="14" width="152.75"/>
  </cols>
  <sheetData>
    <row r="1" hidden="1" outlineLevel="1">
      <c r="A1" s="115" t="s">
        <v>98</v>
      </c>
      <c r="B1" s="115" t="s">
        <v>100</v>
      </c>
      <c r="C1" s="115" t="s">
        <v>102</v>
      </c>
      <c r="D1" s="119" t="s">
        <v>103</v>
      </c>
      <c r="E1" s="275" t="s">
        <v>269</v>
      </c>
      <c r="F1" s="275" t="s">
        <v>272</v>
      </c>
      <c r="G1" s="276" t="s">
        <v>328</v>
      </c>
      <c r="H1" s="121" t="s">
        <v>107</v>
      </c>
      <c r="I1" s="121" t="s">
        <v>108</v>
      </c>
      <c r="J1" s="276" t="s">
        <v>329</v>
      </c>
      <c r="K1" s="121" t="s">
        <v>111</v>
      </c>
      <c r="L1" s="276" t="s">
        <v>274</v>
      </c>
      <c r="M1" s="115" t="s">
        <v>114</v>
      </c>
      <c r="N1" s="119" t="s">
        <v>115</v>
      </c>
    </row>
    <row r="2" hidden="1" outlineLevel="1">
      <c r="A2" s="219" t="s">
        <v>3070</v>
      </c>
      <c r="B2" s="344">
        <v>46048.0</v>
      </c>
      <c r="C2" s="133" t="str">
        <f t="shared" ref="C2:C16" si="1">IF(B2="", "", TEXT(B2, "ddd"))</f>
        <v>Mon</v>
      </c>
      <c r="D2" s="136">
        <f t="shared" ref="D2:D16" si="2">IF(E2="Yes",0.05,0)
+IF(F2="Yes",0.1,0)
+IF(G2="Yes",0.15,0)
+IF(H2="Yes",0.15,0)
+IF(I2="Yes",0.05,0)
+IF(J2="Yes",0.05,0)
+IF(K2="Yes",0.15,0)
+IF(L2="Yes",0.3,0)
</f>
        <v>1</v>
      </c>
      <c r="E2" s="137" t="s">
        <v>129</v>
      </c>
      <c r="F2" s="137" t="s">
        <v>129</v>
      </c>
      <c r="G2" s="137" t="s">
        <v>129</v>
      </c>
      <c r="H2" s="137" t="s">
        <v>129</v>
      </c>
      <c r="I2" s="137" t="s">
        <v>129</v>
      </c>
      <c r="J2" s="137" t="s">
        <v>129</v>
      </c>
      <c r="K2" s="137" t="s">
        <v>129</v>
      </c>
      <c r="L2" s="137" t="s">
        <v>129</v>
      </c>
      <c r="M2" s="141"/>
      <c r="N2" s="143"/>
    </row>
    <row r="3" hidden="1" outlineLevel="1">
      <c r="A3" s="219" t="s">
        <v>3080</v>
      </c>
      <c r="B3" s="344">
        <v>46048.0</v>
      </c>
      <c r="C3" s="133" t="str">
        <f t="shared" si="1"/>
        <v>Mon</v>
      </c>
      <c r="D3" s="136">
        <f t="shared" si="2"/>
        <v>1</v>
      </c>
      <c r="E3" s="137" t="s">
        <v>129</v>
      </c>
      <c r="F3" s="137" t="s">
        <v>129</v>
      </c>
      <c r="G3" s="137" t="s">
        <v>129</v>
      </c>
      <c r="H3" s="137" t="s">
        <v>129</v>
      </c>
      <c r="I3" s="137" t="s">
        <v>129</v>
      </c>
      <c r="J3" s="137" t="s">
        <v>129</v>
      </c>
      <c r="K3" s="137" t="s">
        <v>129</v>
      </c>
      <c r="L3" s="137" t="s">
        <v>129</v>
      </c>
      <c r="M3" s="141"/>
      <c r="N3" s="147"/>
    </row>
    <row r="4" hidden="1" outlineLevel="1">
      <c r="A4" s="219" t="s">
        <v>3087</v>
      </c>
      <c r="B4" s="344">
        <v>46048.0</v>
      </c>
      <c r="C4" s="133" t="str">
        <f t="shared" si="1"/>
        <v>Mon</v>
      </c>
      <c r="D4" s="136">
        <f t="shared" si="2"/>
        <v>1</v>
      </c>
      <c r="E4" s="137" t="s">
        <v>129</v>
      </c>
      <c r="F4" s="137" t="s">
        <v>129</v>
      </c>
      <c r="G4" s="137" t="s">
        <v>129</v>
      </c>
      <c r="H4" s="137" t="s">
        <v>129</v>
      </c>
      <c r="I4" s="137" t="s">
        <v>129</v>
      </c>
      <c r="J4" s="137" t="s">
        <v>129</v>
      </c>
      <c r="K4" s="137" t="s">
        <v>129</v>
      </c>
      <c r="L4" s="137" t="s">
        <v>129</v>
      </c>
      <c r="M4" s="141"/>
      <c r="N4" s="147"/>
    </row>
    <row r="5" hidden="1" outlineLevel="1">
      <c r="A5" s="255" t="s">
        <v>3099</v>
      </c>
      <c r="B5" s="344">
        <v>46049.0</v>
      </c>
      <c r="C5" s="133" t="str">
        <f t="shared" si="1"/>
        <v>Tue</v>
      </c>
      <c r="D5" s="136">
        <f t="shared" si="2"/>
        <v>0.5</v>
      </c>
      <c r="E5" s="137" t="s">
        <v>174</v>
      </c>
      <c r="F5" s="15" t="s">
        <v>129</v>
      </c>
      <c r="G5" s="15" t="s">
        <v>129</v>
      </c>
      <c r="H5" s="15" t="s">
        <v>129</v>
      </c>
      <c r="I5" s="15" t="s">
        <v>129</v>
      </c>
      <c r="J5" s="15" t="s">
        <v>129</v>
      </c>
      <c r="K5" s="15" t="s">
        <v>174</v>
      </c>
      <c r="L5" s="15" t="s">
        <v>174</v>
      </c>
      <c r="M5" s="141"/>
      <c r="N5" s="147" t="s">
        <v>3105</v>
      </c>
    </row>
    <row r="6" hidden="1" outlineLevel="1">
      <c r="A6" s="219" t="s">
        <v>3107</v>
      </c>
      <c r="B6" s="344">
        <v>46049.0</v>
      </c>
      <c r="C6" s="133" t="str">
        <f t="shared" si="1"/>
        <v>Tue</v>
      </c>
      <c r="D6" s="136">
        <f t="shared" si="2"/>
        <v>0.55</v>
      </c>
      <c r="E6" s="137" t="s">
        <v>129</v>
      </c>
      <c r="F6" s="137" t="s">
        <v>129</v>
      </c>
      <c r="G6" s="137" t="s">
        <v>129</v>
      </c>
      <c r="H6" s="137" t="s">
        <v>129</v>
      </c>
      <c r="I6" s="137" t="s">
        <v>129</v>
      </c>
      <c r="J6" s="137" t="s">
        <v>129</v>
      </c>
      <c r="K6" s="137" t="s">
        <v>174</v>
      </c>
      <c r="L6" s="137" t="s">
        <v>174</v>
      </c>
      <c r="M6" s="141"/>
      <c r="N6" s="147" t="s">
        <v>3105</v>
      </c>
    </row>
    <row r="7" hidden="1" outlineLevel="1">
      <c r="A7" s="255" t="s">
        <v>3367</v>
      </c>
      <c r="B7" s="344">
        <v>46049.0</v>
      </c>
      <c r="C7" s="133" t="str">
        <f t="shared" si="1"/>
        <v>Tue</v>
      </c>
      <c r="D7" s="136">
        <f t="shared" si="2"/>
        <v>0.65</v>
      </c>
      <c r="E7" s="137" t="s">
        <v>174</v>
      </c>
      <c r="F7" s="15" t="s">
        <v>129</v>
      </c>
      <c r="G7" s="15" t="s">
        <v>129</v>
      </c>
      <c r="H7" s="15" t="s">
        <v>129</v>
      </c>
      <c r="I7" s="15" t="s">
        <v>129</v>
      </c>
      <c r="J7" s="15" t="s">
        <v>129</v>
      </c>
      <c r="K7" s="15" t="s">
        <v>129</v>
      </c>
      <c r="L7" s="15" t="s">
        <v>174</v>
      </c>
      <c r="M7" s="141"/>
      <c r="N7" s="147" t="s">
        <v>3120</v>
      </c>
    </row>
    <row r="8" hidden="1" outlineLevel="1">
      <c r="A8" s="255" t="s">
        <v>3122</v>
      </c>
      <c r="B8" s="344">
        <v>46050.0</v>
      </c>
      <c r="C8" s="133" t="str">
        <f t="shared" si="1"/>
        <v>Wed</v>
      </c>
      <c r="D8" s="136">
        <f t="shared" si="2"/>
        <v>0.95</v>
      </c>
      <c r="E8" s="137" t="s">
        <v>174</v>
      </c>
      <c r="F8" s="137" t="s">
        <v>129</v>
      </c>
      <c r="G8" s="137" t="s">
        <v>129</v>
      </c>
      <c r="H8" s="137" t="s">
        <v>129</v>
      </c>
      <c r="I8" s="137" t="s">
        <v>129</v>
      </c>
      <c r="J8" s="137" t="s">
        <v>129</v>
      </c>
      <c r="K8" s="137" t="s">
        <v>129</v>
      </c>
      <c r="L8" s="137" t="s">
        <v>129</v>
      </c>
      <c r="M8" s="141"/>
      <c r="N8" s="147" t="s">
        <v>3129</v>
      </c>
    </row>
    <row r="9" hidden="1" outlineLevel="1">
      <c r="A9" s="255" t="s">
        <v>3130</v>
      </c>
      <c r="B9" s="344">
        <v>46050.0</v>
      </c>
      <c r="C9" s="133" t="str">
        <f t="shared" si="1"/>
        <v>Wed</v>
      </c>
      <c r="D9" s="136">
        <f t="shared" si="2"/>
        <v>0.45</v>
      </c>
      <c r="E9" s="137" t="s">
        <v>129</v>
      </c>
      <c r="F9" s="137" t="s">
        <v>129</v>
      </c>
      <c r="G9" s="137" t="s">
        <v>129</v>
      </c>
      <c r="H9" s="137" t="s">
        <v>129</v>
      </c>
      <c r="I9" s="137" t="s">
        <v>174</v>
      </c>
      <c r="J9" s="137" t="s">
        <v>174</v>
      </c>
      <c r="K9" s="137" t="s">
        <v>174</v>
      </c>
      <c r="L9" s="137" t="s">
        <v>174</v>
      </c>
      <c r="M9" s="141"/>
      <c r="N9" s="147" t="s">
        <v>3135</v>
      </c>
    </row>
    <row r="10" hidden="1" outlineLevel="1">
      <c r="A10" s="255" t="s">
        <v>3136</v>
      </c>
      <c r="B10" s="344">
        <v>46050.0</v>
      </c>
      <c r="C10" s="133" t="str">
        <f t="shared" si="1"/>
        <v>Wed</v>
      </c>
      <c r="D10" s="136">
        <f t="shared" si="2"/>
        <v>1</v>
      </c>
      <c r="E10" s="137" t="s">
        <v>129</v>
      </c>
      <c r="F10" s="137" t="s">
        <v>129</v>
      </c>
      <c r="G10" s="137" t="s">
        <v>129</v>
      </c>
      <c r="H10" s="137" t="s">
        <v>129</v>
      </c>
      <c r="I10" s="137" t="s">
        <v>129</v>
      </c>
      <c r="J10" s="137" t="s">
        <v>129</v>
      </c>
      <c r="K10" s="137" t="s">
        <v>129</v>
      </c>
      <c r="L10" s="137" t="s">
        <v>129</v>
      </c>
      <c r="M10" s="141"/>
      <c r="N10" s="147"/>
    </row>
    <row r="11" hidden="1" outlineLevel="1">
      <c r="A11" s="219" t="s">
        <v>3142</v>
      </c>
      <c r="B11" s="344">
        <v>46052.0</v>
      </c>
      <c r="C11" s="133" t="str">
        <f t="shared" si="1"/>
        <v>Fri</v>
      </c>
      <c r="D11" s="136">
        <f t="shared" si="2"/>
        <v>0.55</v>
      </c>
      <c r="E11" s="137" t="s">
        <v>129</v>
      </c>
      <c r="F11" s="137" t="s">
        <v>129</v>
      </c>
      <c r="G11" s="137" t="s">
        <v>129</v>
      </c>
      <c r="H11" s="137" t="s">
        <v>129</v>
      </c>
      <c r="I11" s="137" t="s">
        <v>129</v>
      </c>
      <c r="J11" s="137" t="s">
        <v>129</v>
      </c>
      <c r="K11" s="137" t="s">
        <v>174</v>
      </c>
      <c r="L11" s="137" t="s">
        <v>174</v>
      </c>
      <c r="M11" s="141"/>
      <c r="N11" s="147" t="s">
        <v>3147</v>
      </c>
    </row>
    <row r="12" hidden="1" outlineLevel="1">
      <c r="A12" s="219" t="s">
        <v>3149</v>
      </c>
      <c r="B12" s="344">
        <v>46052.0</v>
      </c>
      <c r="C12" s="133" t="str">
        <f t="shared" si="1"/>
        <v>Fri</v>
      </c>
      <c r="D12" s="136">
        <f t="shared" si="2"/>
        <v>0.95</v>
      </c>
      <c r="E12" s="137" t="s">
        <v>174</v>
      </c>
      <c r="F12" s="137" t="s">
        <v>129</v>
      </c>
      <c r="G12" s="137" t="s">
        <v>129</v>
      </c>
      <c r="H12" s="137" t="s">
        <v>129</v>
      </c>
      <c r="I12" s="137" t="s">
        <v>129</v>
      </c>
      <c r="J12" s="137" t="s">
        <v>129</v>
      </c>
      <c r="K12" s="137" t="s">
        <v>129</v>
      </c>
      <c r="L12" s="137" t="s">
        <v>129</v>
      </c>
      <c r="M12" s="141"/>
      <c r="N12" s="147"/>
    </row>
    <row r="13" hidden="1" outlineLevel="1">
      <c r="A13" s="489" t="s">
        <v>3155</v>
      </c>
      <c r="B13" s="344">
        <v>46052.0</v>
      </c>
      <c r="C13" s="133" t="str">
        <f t="shared" si="1"/>
        <v>Fri</v>
      </c>
      <c r="D13" s="136">
        <f t="shared" si="2"/>
        <v>0.9</v>
      </c>
      <c r="E13" s="137" t="s">
        <v>174</v>
      </c>
      <c r="F13" s="137" t="s">
        <v>129</v>
      </c>
      <c r="G13" s="137" t="s">
        <v>129</v>
      </c>
      <c r="H13" s="137" t="s">
        <v>129</v>
      </c>
      <c r="I13" s="137" t="s">
        <v>129</v>
      </c>
      <c r="J13" s="137" t="s">
        <v>174</v>
      </c>
      <c r="K13" s="137" t="s">
        <v>129</v>
      </c>
      <c r="L13" s="137" t="s">
        <v>129</v>
      </c>
      <c r="M13" s="141"/>
      <c r="N13" s="147" t="s">
        <v>3165</v>
      </c>
    </row>
    <row r="14" hidden="1" outlineLevel="1">
      <c r="A14" s="303" t="s">
        <v>3166</v>
      </c>
      <c r="B14" s="344">
        <v>46053.0</v>
      </c>
      <c r="C14" s="186" t="str">
        <f t="shared" si="1"/>
        <v>Sat</v>
      </c>
      <c r="D14" s="136">
        <f t="shared" si="2"/>
        <v>1</v>
      </c>
      <c r="E14" s="137" t="s">
        <v>129</v>
      </c>
      <c r="F14" s="137" t="s">
        <v>129</v>
      </c>
      <c r="G14" s="137" t="s">
        <v>129</v>
      </c>
      <c r="H14" s="137" t="s">
        <v>129</v>
      </c>
      <c r="I14" s="137" t="s">
        <v>129</v>
      </c>
      <c r="J14" s="137" t="s">
        <v>129</v>
      </c>
      <c r="K14" s="137" t="s">
        <v>129</v>
      </c>
      <c r="L14" s="137" t="s">
        <v>129</v>
      </c>
      <c r="M14" s="141"/>
      <c r="N14" s="143"/>
    </row>
    <row r="15" hidden="1" outlineLevel="1">
      <c r="A15" s="303" t="s">
        <v>3172</v>
      </c>
      <c r="B15" s="344">
        <v>46053.0</v>
      </c>
      <c r="C15" s="186" t="str">
        <f t="shared" si="1"/>
        <v>Sat</v>
      </c>
      <c r="D15" s="136">
        <f t="shared" si="2"/>
        <v>1</v>
      </c>
      <c r="E15" s="137" t="s">
        <v>129</v>
      </c>
      <c r="F15" s="137" t="s">
        <v>129</v>
      </c>
      <c r="G15" s="137" t="s">
        <v>129</v>
      </c>
      <c r="H15" s="137" t="s">
        <v>129</v>
      </c>
      <c r="I15" s="137" t="s">
        <v>129</v>
      </c>
      <c r="J15" s="137" t="s">
        <v>129</v>
      </c>
      <c r="K15" s="137" t="s">
        <v>129</v>
      </c>
      <c r="L15" s="137" t="s">
        <v>129</v>
      </c>
      <c r="M15" s="141"/>
      <c r="N15" s="147" t="s">
        <v>3180</v>
      </c>
    </row>
    <row r="16" ht="15.0" hidden="1" customHeight="1" outlineLevel="1">
      <c r="A16" s="303" t="s">
        <v>3181</v>
      </c>
      <c r="B16" s="344">
        <v>46053.0</v>
      </c>
      <c r="C16" s="186" t="str">
        <f t="shared" si="1"/>
        <v>Sat</v>
      </c>
      <c r="D16" s="136">
        <f t="shared" si="2"/>
        <v>1</v>
      </c>
      <c r="E16" s="137" t="s">
        <v>129</v>
      </c>
      <c r="F16" s="137" t="s">
        <v>129</v>
      </c>
      <c r="G16" s="137" t="s">
        <v>129</v>
      </c>
      <c r="H16" s="137" t="s">
        <v>129</v>
      </c>
      <c r="I16" s="137" t="s">
        <v>129</v>
      </c>
      <c r="J16" s="137" t="s">
        <v>129</v>
      </c>
      <c r="K16" s="137" t="s">
        <v>129</v>
      </c>
      <c r="L16" s="137" t="s">
        <v>129</v>
      </c>
      <c r="M16" s="141"/>
      <c r="N16" s="147"/>
    </row>
    <row r="17" hidden="1" outlineLevel="1">
      <c r="B17" s="189"/>
      <c r="C17" s="191" t="s">
        <v>194</v>
      </c>
      <c r="D17" s="204">
        <f>AVERAGE(D2:D16)</f>
        <v>0.8333333333</v>
      </c>
      <c r="E17" s="200"/>
      <c r="L17" s="191" t="s">
        <v>194</v>
      </c>
      <c r="M17" s="204">
        <f>SUM(M2:M16)/75*0.1</f>
        <v>0</v>
      </c>
    </row>
    <row r="18" hidden="1" outlineLevel="1">
      <c r="A18" s="373" t="s">
        <v>98</v>
      </c>
      <c r="B18" s="115" t="s">
        <v>100</v>
      </c>
      <c r="C18" s="115" t="s">
        <v>102</v>
      </c>
      <c r="D18" s="119" t="s">
        <v>103</v>
      </c>
      <c r="E18" s="275" t="s">
        <v>269</v>
      </c>
      <c r="F18" s="275" t="s">
        <v>272</v>
      </c>
      <c r="G18" s="276" t="s">
        <v>328</v>
      </c>
      <c r="H18" s="121" t="s">
        <v>107</v>
      </c>
      <c r="I18" s="121" t="s">
        <v>108</v>
      </c>
      <c r="J18" s="276" t="s">
        <v>329</v>
      </c>
      <c r="K18" s="121" t="s">
        <v>111</v>
      </c>
      <c r="L18" s="276" t="s">
        <v>274</v>
      </c>
      <c r="M18" s="115" t="s">
        <v>114</v>
      </c>
      <c r="N18" s="119" t="s">
        <v>115</v>
      </c>
    </row>
    <row r="19" hidden="1" outlineLevel="1">
      <c r="A19" s="303" t="s">
        <v>3377</v>
      </c>
      <c r="B19" s="344">
        <v>46076.0</v>
      </c>
      <c r="C19" s="133" t="str">
        <f t="shared" ref="C19:C33" si="3">IF(B19="", "", TEXT(B19, "ddd"))</f>
        <v>Mon</v>
      </c>
      <c r="D19" s="136">
        <f t="shared" ref="D19:D33" si="4">IF(E19="Yes",0.05,0)
+IF(F19="Yes",0.1,0)
+IF(G19="Yes",0.15,0)
+IF(H19="Yes",0.15,0)
+IF(I19="Yes",0.05,0)
+IF(J19="Yes",0.05,0)
+IF(K19="Yes",0.15,0)
+IF(L19="Yes",0.3,0)
</f>
        <v>1</v>
      </c>
      <c r="E19" s="137" t="s">
        <v>129</v>
      </c>
      <c r="F19" s="137" t="s">
        <v>129</v>
      </c>
      <c r="G19" s="137" t="s">
        <v>129</v>
      </c>
      <c r="H19" s="137" t="s">
        <v>129</v>
      </c>
      <c r="I19" s="137" t="s">
        <v>129</v>
      </c>
      <c r="J19" s="137" t="s">
        <v>129</v>
      </c>
      <c r="K19" s="137" t="s">
        <v>129</v>
      </c>
      <c r="L19" s="137" t="s">
        <v>129</v>
      </c>
      <c r="M19" s="141"/>
      <c r="N19" s="143"/>
    </row>
    <row r="20" hidden="1" outlineLevel="1">
      <c r="A20" s="303" t="s">
        <v>3380</v>
      </c>
      <c r="B20" s="344">
        <v>46076.0</v>
      </c>
      <c r="C20" s="133" t="str">
        <f t="shared" si="3"/>
        <v>Mon</v>
      </c>
      <c r="D20" s="136">
        <f t="shared" si="4"/>
        <v>0.5</v>
      </c>
      <c r="E20" s="137" t="s">
        <v>129</v>
      </c>
      <c r="F20" s="137" t="s">
        <v>129</v>
      </c>
      <c r="G20" s="137" t="s">
        <v>129</v>
      </c>
      <c r="H20" s="137" t="s">
        <v>129</v>
      </c>
      <c r="I20" s="137" t="s">
        <v>129</v>
      </c>
      <c r="J20" s="137" t="s">
        <v>174</v>
      </c>
      <c r="K20" s="137" t="s">
        <v>174</v>
      </c>
      <c r="L20" s="137" t="s">
        <v>174</v>
      </c>
      <c r="M20" s="141"/>
      <c r="N20" s="147" t="s">
        <v>3383</v>
      </c>
    </row>
    <row r="21" hidden="1" outlineLevel="1">
      <c r="A21" s="303" t="s">
        <v>3384</v>
      </c>
      <c r="B21" s="344">
        <v>46076.0</v>
      </c>
      <c r="C21" s="133" t="str">
        <f t="shared" si="3"/>
        <v>Mon</v>
      </c>
      <c r="D21" s="136">
        <f t="shared" si="4"/>
        <v>0.3</v>
      </c>
      <c r="E21" s="137" t="s">
        <v>129</v>
      </c>
      <c r="F21" s="137" t="s">
        <v>129</v>
      </c>
      <c r="G21" s="137" t="s">
        <v>129</v>
      </c>
      <c r="H21" s="137" t="s">
        <v>174</v>
      </c>
      <c r="I21" s="137" t="s">
        <v>174</v>
      </c>
      <c r="J21" s="137" t="s">
        <v>174</v>
      </c>
      <c r="K21" s="137" t="s">
        <v>174</v>
      </c>
      <c r="L21" s="137" t="s">
        <v>174</v>
      </c>
      <c r="M21" s="141"/>
      <c r="N21" s="147" t="s">
        <v>3383</v>
      </c>
    </row>
    <row r="22" hidden="1" outlineLevel="1">
      <c r="A22" s="303" t="s">
        <v>3388</v>
      </c>
      <c r="B22" s="344">
        <v>46077.0</v>
      </c>
      <c r="C22" s="133" t="str">
        <f t="shared" si="3"/>
        <v>Tue</v>
      </c>
      <c r="D22" s="136">
        <f t="shared" si="4"/>
        <v>1</v>
      </c>
      <c r="E22" s="137" t="s">
        <v>129</v>
      </c>
      <c r="F22" s="137" t="s">
        <v>129</v>
      </c>
      <c r="G22" s="137" t="s">
        <v>129</v>
      </c>
      <c r="H22" s="137" t="s">
        <v>129</v>
      </c>
      <c r="I22" s="137" t="s">
        <v>129</v>
      </c>
      <c r="J22" s="137" t="s">
        <v>129</v>
      </c>
      <c r="K22" s="137" t="s">
        <v>129</v>
      </c>
      <c r="L22" s="137" t="s">
        <v>129</v>
      </c>
      <c r="M22" s="141"/>
      <c r="N22" s="143"/>
    </row>
    <row r="23" hidden="1" outlineLevel="1">
      <c r="A23" s="303" t="s">
        <v>3389</v>
      </c>
      <c r="B23" s="344">
        <v>46077.0</v>
      </c>
      <c r="C23" s="133" t="str">
        <f t="shared" si="3"/>
        <v>Tue</v>
      </c>
      <c r="D23" s="136">
        <f t="shared" si="4"/>
        <v>1</v>
      </c>
      <c r="E23" s="137" t="s">
        <v>129</v>
      </c>
      <c r="F23" s="137" t="s">
        <v>129</v>
      </c>
      <c r="G23" s="137" t="s">
        <v>129</v>
      </c>
      <c r="H23" s="137" t="s">
        <v>129</v>
      </c>
      <c r="I23" s="137" t="s">
        <v>129</v>
      </c>
      <c r="J23" s="137" t="s">
        <v>129</v>
      </c>
      <c r="K23" s="137" t="s">
        <v>129</v>
      </c>
      <c r="L23" s="137" t="s">
        <v>129</v>
      </c>
      <c r="M23" s="141"/>
      <c r="N23" s="143"/>
    </row>
    <row r="24" hidden="1" outlineLevel="1">
      <c r="A24" s="303" t="s">
        <v>3392</v>
      </c>
      <c r="B24" s="344">
        <v>46077.0</v>
      </c>
      <c r="C24" s="133" t="str">
        <f t="shared" si="3"/>
        <v>Tue</v>
      </c>
      <c r="D24" s="136">
        <f t="shared" si="4"/>
        <v>1</v>
      </c>
      <c r="E24" s="137" t="s">
        <v>129</v>
      </c>
      <c r="F24" s="137" t="s">
        <v>129</v>
      </c>
      <c r="G24" s="137" t="s">
        <v>129</v>
      </c>
      <c r="H24" s="137" t="s">
        <v>129</v>
      </c>
      <c r="I24" s="137" t="s">
        <v>129</v>
      </c>
      <c r="J24" s="137" t="s">
        <v>129</v>
      </c>
      <c r="K24" s="137" t="s">
        <v>129</v>
      </c>
      <c r="L24" s="137" t="s">
        <v>129</v>
      </c>
      <c r="M24" s="141"/>
      <c r="N24" s="143"/>
    </row>
    <row r="25" hidden="1" outlineLevel="1">
      <c r="A25" s="255" t="s">
        <v>3395</v>
      </c>
      <c r="B25" s="344">
        <v>46079.0</v>
      </c>
      <c r="C25" s="133" t="str">
        <f t="shared" si="3"/>
        <v>Thu</v>
      </c>
      <c r="D25" s="136">
        <f t="shared" si="4"/>
        <v>1</v>
      </c>
      <c r="E25" s="137" t="s">
        <v>129</v>
      </c>
      <c r="F25" s="137" t="s">
        <v>129</v>
      </c>
      <c r="G25" s="137" t="s">
        <v>129</v>
      </c>
      <c r="H25" s="137" t="s">
        <v>129</v>
      </c>
      <c r="I25" s="137" t="s">
        <v>129</v>
      </c>
      <c r="J25" s="137" t="s">
        <v>129</v>
      </c>
      <c r="K25" s="137" t="s">
        <v>129</v>
      </c>
      <c r="L25" s="137" t="s">
        <v>129</v>
      </c>
      <c r="M25" s="141"/>
      <c r="N25" s="143"/>
    </row>
    <row r="26" hidden="1" outlineLevel="1">
      <c r="A26" s="255" t="s">
        <v>3397</v>
      </c>
      <c r="B26" s="344">
        <v>46079.0</v>
      </c>
      <c r="C26" s="133" t="str">
        <f t="shared" si="3"/>
        <v>Thu</v>
      </c>
      <c r="D26" s="136">
        <f t="shared" si="4"/>
        <v>1</v>
      </c>
      <c r="E26" s="137" t="s">
        <v>129</v>
      </c>
      <c r="F26" s="137" t="s">
        <v>129</v>
      </c>
      <c r="G26" s="137" t="s">
        <v>129</v>
      </c>
      <c r="H26" s="137" t="s">
        <v>129</v>
      </c>
      <c r="I26" s="137" t="s">
        <v>129</v>
      </c>
      <c r="J26" s="137" t="s">
        <v>129</v>
      </c>
      <c r="K26" s="137" t="s">
        <v>129</v>
      </c>
      <c r="L26" s="137" t="s">
        <v>129</v>
      </c>
      <c r="M26" s="141"/>
      <c r="N26" s="147"/>
    </row>
    <row r="27" hidden="1" outlineLevel="1">
      <c r="A27" s="255" t="s">
        <v>3399</v>
      </c>
      <c r="B27" s="344">
        <v>46079.0</v>
      </c>
      <c r="C27" s="133" t="str">
        <f t="shared" si="3"/>
        <v>Thu</v>
      </c>
      <c r="D27" s="136">
        <f t="shared" si="4"/>
        <v>0.7</v>
      </c>
      <c r="E27" s="137" t="s">
        <v>129</v>
      </c>
      <c r="F27" s="137" t="s">
        <v>129</v>
      </c>
      <c r="G27" s="137" t="s">
        <v>129</v>
      </c>
      <c r="H27" s="137" t="s">
        <v>129</v>
      </c>
      <c r="I27" s="137" t="s">
        <v>129</v>
      </c>
      <c r="J27" s="137" t="s">
        <v>129</v>
      </c>
      <c r="K27" s="137" t="s">
        <v>129</v>
      </c>
      <c r="L27" s="137" t="s">
        <v>174</v>
      </c>
      <c r="M27" s="141"/>
      <c r="N27" s="147" t="s">
        <v>3403</v>
      </c>
    </row>
    <row r="28" hidden="1" outlineLevel="1">
      <c r="A28" s="219" t="s">
        <v>3404</v>
      </c>
      <c r="B28" s="344">
        <v>46080.0</v>
      </c>
      <c r="C28" s="133" t="str">
        <f t="shared" si="3"/>
        <v>Fri</v>
      </c>
      <c r="D28" s="136">
        <f t="shared" si="4"/>
        <v>1</v>
      </c>
      <c r="E28" s="137" t="s">
        <v>129</v>
      </c>
      <c r="F28" s="137" t="s">
        <v>129</v>
      </c>
      <c r="G28" s="137" t="s">
        <v>129</v>
      </c>
      <c r="H28" s="137" t="s">
        <v>129</v>
      </c>
      <c r="I28" s="137" t="s">
        <v>129</v>
      </c>
      <c r="J28" s="137" t="s">
        <v>129</v>
      </c>
      <c r="K28" s="137" t="s">
        <v>129</v>
      </c>
      <c r="L28" s="137" t="s">
        <v>129</v>
      </c>
      <c r="M28" s="141"/>
      <c r="N28" s="147"/>
    </row>
    <row r="29" hidden="1" outlineLevel="1">
      <c r="A29" s="303" t="s">
        <v>3406</v>
      </c>
      <c r="B29" s="344">
        <v>46080.0</v>
      </c>
      <c r="C29" s="133" t="str">
        <f t="shared" si="3"/>
        <v>Fri</v>
      </c>
      <c r="D29" s="136">
        <f t="shared" si="4"/>
        <v>1</v>
      </c>
      <c r="E29" s="137" t="s">
        <v>129</v>
      </c>
      <c r="F29" s="137" t="s">
        <v>129</v>
      </c>
      <c r="G29" s="137" t="s">
        <v>129</v>
      </c>
      <c r="H29" s="137" t="s">
        <v>129</v>
      </c>
      <c r="I29" s="137" t="s">
        <v>129</v>
      </c>
      <c r="J29" s="137" t="s">
        <v>129</v>
      </c>
      <c r="K29" s="137" t="s">
        <v>129</v>
      </c>
      <c r="L29" s="137" t="s">
        <v>129</v>
      </c>
      <c r="M29" s="141"/>
      <c r="N29" s="147"/>
    </row>
    <row r="30" hidden="1" outlineLevel="1">
      <c r="A30" s="303" t="s">
        <v>3410</v>
      </c>
      <c r="B30" s="344">
        <v>46080.0</v>
      </c>
      <c r="C30" s="133" t="str">
        <f t="shared" si="3"/>
        <v>Fri</v>
      </c>
      <c r="D30" s="136">
        <f t="shared" si="4"/>
        <v>1</v>
      </c>
      <c r="E30" s="137" t="s">
        <v>129</v>
      </c>
      <c r="F30" s="137" t="s">
        <v>129</v>
      </c>
      <c r="G30" s="137" t="s">
        <v>129</v>
      </c>
      <c r="H30" s="137" t="s">
        <v>129</v>
      </c>
      <c r="I30" s="137" t="s">
        <v>129</v>
      </c>
      <c r="J30" s="137" t="s">
        <v>129</v>
      </c>
      <c r="K30" s="137" t="s">
        <v>129</v>
      </c>
      <c r="L30" s="137" t="s">
        <v>129</v>
      </c>
      <c r="M30" s="141"/>
      <c r="N30" s="147"/>
    </row>
    <row r="31" hidden="1" outlineLevel="1">
      <c r="A31" s="255" t="s">
        <v>3412</v>
      </c>
      <c r="B31" s="344">
        <v>46081.0</v>
      </c>
      <c r="C31" s="133" t="str">
        <f t="shared" si="3"/>
        <v>Sat</v>
      </c>
      <c r="D31" s="136">
        <f t="shared" si="4"/>
        <v>1</v>
      </c>
      <c r="E31" s="137" t="s">
        <v>129</v>
      </c>
      <c r="F31" s="137" t="s">
        <v>129</v>
      </c>
      <c r="G31" s="137" t="s">
        <v>129</v>
      </c>
      <c r="H31" s="137" t="s">
        <v>129</v>
      </c>
      <c r="I31" s="137" t="s">
        <v>129</v>
      </c>
      <c r="J31" s="137" t="s">
        <v>129</v>
      </c>
      <c r="K31" s="137" t="s">
        <v>129</v>
      </c>
      <c r="L31" s="137" t="s">
        <v>129</v>
      </c>
      <c r="M31" s="141"/>
      <c r="N31" s="143"/>
    </row>
    <row r="32" hidden="1" outlineLevel="1">
      <c r="A32" s="255" t="s">
        <v>3416</v>
      </c>
      <c r="B32" s="344">
        <v>46081.0</v>
      </c>
      <c r="C32" s="133" t="str">
        <f t="shared" si="3"/>
        <v>Sat</v>
      </c>
      <c r="D32" s="136">
        <f t="shared" si="4"/>
        <v>1</v>
      </c>
      <c r="E32" s="137" t="s">
        <v>129</v>
      </c>
      <c r="F32" s="137" t="s">
        <v>129</v>
      </c>
      <c r="G32" s="137" t="s">
        <v>129</v>
      </c>
      <c r="H32" s="137" t="s">
        <v>129</v>
      </c>
      <c r="I32" s="137" t="s">
        <v>129</v>
      </c>
      <c r="J32" s="137" t="s">
        <v>129</v>
      </c>
      <c r="K32" s="137" t="s">
        <v>129</v>
      </c>
      <c r="L32" s="137" t="s">
        <v>129</v>
      </c>
      <c r="M32" s="141"/>
      <c r="N32" s="143"/>
    </row>
    <row r="33" ht="15.0" hidden="1" customHeight="1" outlineLevel="1">
      <c r="A33" s="255" t="s">
        <v>3419</v>
      </c>
      <c r="B33" s="344">
        <v>46081.0</v>
      </c>
      <c r="C33" s="133" t="str">
        <f t="shared" si="3"/>
        <v>Sat</v>
      </c>
      <c r="D33" s="136">
        <f t="shared" si="4"/>
        <v>0.95</v>
      </c>
      <c r="E33" s="137" t="s">
        <v>174</v>
      </c>
      <c r="F33" s="137" t="s">
        <v>129</v>
      </c>
      <c r="G33" s="137" t="s">
        <v>129</v>
      </c>
      <c r="H33" s="137" t="s">
        <v>129</v>
      </c>
      <c r="I33" s="137" t="s">
        <v>129</v>
      </c>
      <c r="J33" s="137" t="s">
        <v>129</v>
      </c>
      <c r="K33" s="137" t="s">
        <v>129</v>
      </c>
      <c r="L33" s="137" t="s">
        <v>129</v>
      </c>
      <c r="M33" s="141"/>
      <c r="N33" s="147" t="s">
        <v>3423</v>
      </c>
    </row>
    <row r="34" hidden="1" outlineLevel="1">
      <c r="B34" s="189"/>
      <c r="C34" s="191" t="s">
        <v>194</v>
      </c>
      <c r="D34" s="204">
        <f>AVERAGE(D19:D33)</f>
        <v>0.8966666667</v>
      </c>
      <c r="E34" s="200"/>
      <c r="L34" s="191" t="s">
        <v>194</v>
      </c>
      <c r="M34" s="204">
        <f>SUM(M19:M33)/75*0.1</f>
        <v>0</v>
      </c>
    </row>
    <row r="35" hidden="1" collapsed="1">
      <c r="A35" s="206" t="s">
        <v>731</v>
      </c>
      <c r="B35" s="207"/>
      <c r="C35" s="207"/>
      <c r="D35" s="208"/>
      <c r="E35" s="109"/>
      <c r="F35" s="109"/>
      <c r="G35" s="110"/>
      <c r="H35" s="110"/>
      <c r="I35" s="110"/>
      <c r="J35" s="110"/>
      <c r="K35" s="110"/>
      <c r="L35" s="110"/>
      <c r="M35" s="111"/>
      <c r="N35" s="113"/>
    </row>
    <row r="36" hidden="1" outlineLevel="1">
      <c r="A36" s="373" t="s">
        <v>98</v>
      </c>
      <c r="B36" s="115" t="s">
        <v>100</v>
      </c>
      <c r="C36" s="115" t="s">
        <v>102</v>
      </c>
      <c r="D36" s="119" t="s">
        <v>103</v>
      </c>
      <c r="E36" s="275" t="s">
        <v>269</v>
      </c>
      <c r="F36" s="275" t="s">
        <v>272</v>
      </c>
      <c r="G36" s="276" t="s">
        <v>328</v>
      </c>
      <c r="H36" s="121" t="s">
        <v>107</v>
      </c>
      <c r="I36" s="121" t="s">
        <v>108</v>
      </c>
      <c r="J36" s="276" t="s">
        <v>329</v>
      </c>
      <c r="K36" s="121" t="s">
        <v>111</v>
      </c>
      <c r="L36" s="276" t="s">
        <v>274</v>
      </c>
      <c r="M36" s="115" t="s">
        <v>114</v>
      </c>
      <c r="N36" s="119" t="s">
        <v>115</v>
      </c>
    </row>
    <row r="37" hidden="1" outlineLevel="1">
      <c r="A37" s="219" t="s">
        <v>3427</v>
      </c>
      <c r="B37" s="344">
        <v>46084.0</v>
      </c>
      <c r="C37" s="133" t="str">
        <f t="shared" ref="C37:C51" si="5">IF(B37="", "", TEXT(B37, "ddd"))</f>
        <v>Tue</v>
      </c>
      <c r="D37" s="381">
        <f t="shared" ref="D37:D51" si="6">IF(E37="Yes",0.05,0)
+IF(F37="Yes",0.1,0)
+IF(G37="Yes",0.15,0)
+IF(H37="Yes",0.15,0)
+IF(I37="Yes",0.05,0)
+IF(J37="Yes",0.05,0)
+IF(K37="Yes",0.15,0)
+IF(L37="Yes",0.3,0)
</f>
        <v>1</v>
      </c>
      <c r="E37" s="382" t="s">
        <v>129</v>
      </c>
      <c r="F37" s="137" t="s">
        <v>129</v>
      </c>
      <c r="G37" s="137" t="s">
        <v>129</v>
      </c>
      <c r="H37" s="137" t="s">
        <v>129</v>
      </c>
      <c r="I37" s="137" t="s">
        <v>129</v>
      </c>
      <c r="J37" s="137" t="s">
        <v>129</v>
      </c>
      <c r="K37" s="137" t="s">
        <v>129</v>
      </c>
      <c r="L37" s="137" t="s">
        <v>129</v>
      </c>
      <c r="M37" s="141"/>
      <c r="N37" s="143"/>
    </row>
    <row r="38" hidden="1" outlineLevel="1">
      <c r="A38" s="219" t="s">
        <v>3431</v>
      </c>
      <c r="B38" s="344">
        <v>46084.0</v>
      </c>
      <c r="C38" s="133" t="str">
        <f t="shared" si="5"/>
        <v>Tue</v>
      </c>
      <c r="D38" s="383">
        <f t="shared" si="6"/>
        <v>1</v>
      </c>
      <c r="E38" s="147" t="s">
        <v>129</v>
      </c>
      <c r="F38" s="137" t="s">
        <v>129</v>
      </c>
      <c r="G38" s="137" t="s">
        <v>129</v>
      </c>
      <c r="H38" s="137" t="s">
        <v>129</v>
      </c>
      <c r="I38" s="137" t="s">
        <v>129</v>
      </c>
      <c r="J38" s="137" t="s">
        <v>129</v>
      </c>
      <c r="K38" s="137" t="s">
        <v>129</v>
      </c>
      <c r="L38" s="137" t="s">
        <v>129</v>
      </c>
      <c r="M38" s="141"/>
      <c r="N38" s="147"/>
    </row>
    <row r="39" hidden="1" outlineLevel="1">
      <c r="A39" s="219" t="s">
        <v>3432</v>
      </c>
      <c r="B39" s="344">
        <v>46084.0</v>
      </c>
      <c r="C39" s="133" t="str">
        <f t="shared" si="5"/>
        <v>Tue</v>
      </c>
      <c r="D39" s="381">
        <f t="shared" si="6"/>
        <v>1</v>
      </c>
      <c r="E39" s="382" t="s">
        <v>129</v>
      </c>
      <c r="F39" s="137" t="s">
        <v>129</v>
      </c>
      <c r="G39" s="137" t="s">
        <v>129</v>
      </c>
      <c r="H39" s="137" t="s">
        <v>129</v>
      </c>
      <c r="I39" s="137" t="s">
        <v>129</v>
      </c>
      <c r="J39" s="137" t="s">
        <v>129</v>
      </c>
      <c r="K39" s="137" t="s">
        <v>129</v>
      </c>
      <c r="L39" s="137" t="s">
        <v>129</v>
      </c>
      <c r="M39" s="141"/>
      <c r="N39" s="147"/>
    </row>
    <row r="40" hidden="1" outlineLevel="1">
      <c r="A40" s="255" t="s">
        <v>3435</v>
      </c>
      <c r="B40" s="344">
        <v>46085.0</v>
      </c>
      <c r="C40" s="133" t="str">
        <f t="shared" si="5"/>
        <v>Wed</v>
      </c>
      <c r="D40" s="383">
        <f t="shared" si="6"/>
        <v>1</v>
      </c>
      <c r="E40" s="147" t="s">
        <v>129</v>
      </c>
      <c r="F40" s="137" t="s">
        <v>129</v>
      </c>
      <c r="G40" s="137" t="s">
        <v>129</v>
      </c>
      <c r="H40" s="137" t="s">
        <v>129</v>
      </c>
      <c r="I40" s="137" t="s">
        <v>129</v>
      </c>
      <c r="J40" s="137" t="s">
        <v>129</v>
      </c>
      <c r="K40" s="137" t="s">
        <v>129</v>
      </c>
      <c r="L40" s="137" t="s">
        <v>129</v>
      </c>
      <c r="M40" s="141"/>
      <c r="N40" s="143"/>
    </row>
    <row r="41" hidden="1" outlineLevel="1">
      <c r="A41" s="255" t="s">
        <v>3437</v>
      </c>
      <c r="B41" s="344">
        <v>46085.0</v>
      </c>
      <c r="C41" s="133" t="str">
        <f t="shared" si="5"/>
        <v>Wed</v>
      </c>
      <c r="D41" s="381">
        <f t="shared" si="6"/>
        <v>1</v>
      </c>
      <c r="E41" s="382" t="s">
        <v>129</v>
      </c>
      <c r="F41" s="137" t="s">
        <v>129</v>
      </c>
      <c r="G41" s="137" t="s">
        <v>129</v>
      </c>
      <c r="H41" s="137" t="s">
        <v>129</v>
      </c>
      <c r="I41" s="137" t="s">
        <v>129</v>
      </c>
      <c r="J41" s="137" t="s">
        <v>129</v>
      </c>
      <c r="K41" s="137" t="s">
        <v>129</v>
      </c>
      <c r="L41" s="137" t="s">
        <v>129</v>
      </c>
      <c r="M41" s="141"/>
      <c r="N41" s="143"/>
    </row>
    <row r="42" hidden="1" outlineLevel="1">
      <c r="A42" s="255" t="s">
        <v>3439</v>
      </c>
      <c r="B42" s="344">
        <v>46085.0</v>
      </c>
      <c r="C42" s="133" t="str">
        <f t="shared" si="5"/>
        <v>Wed</v>
      </c>
      <c r="D42" s="383">
        <f t="shared" si="6"/>
        <v>1</v>
      </c>
      <c r="E42" s="147" t="s">
        <v>129</v>
      </c>
      <c r="F42" s="137" t="s">
        <v>129</v>
      </c>
      <c r="G42" s="137" t="s">
        <v>129</v>
      </c>
      <c r="H42" s="137" t="s">
        <v>129</v>
      </c>
      <c r="I42" s="137" t="s">
        <v>129</v>
      </c>
      <c r="J42" s="137" t="s">
        <v>129</v>
      </c>
      <c r="K42" s="137" t="s">
        <v>129</v>
      </c>
      <c r="L42" s="137" t="s">
        <v>129</v>
      </c>
      <c r="M42" s="141"/>
      <c r="N42" s="143"/>
    </row>
    <row r="43" hidden="1" outlineLevel="1">
      <c r="A43" s="219" t="s">
        <v>3442</v>
      </c>
      <c r="B43" s="344">
        <v>46088.0</v>
      </c>
      <c r="C43" s="133" t="str">
        <f t="shared" si="5"/>
        <v>Sat</v>
      </c>
      <c r="D43" s="381">
        <f t="shared" si="6"/>
        <v>1</v>
      </c>
      <c r="E43" s="382" t="s">
        <v>129</v>
      </c>
      <c r="F43" s="137" t="s">
        <v>129</v>
      </c>
      <c r="G43" s="137" t="s">
        <v>129</v>
      </c>
      <c r="H43" s="137" t="s">
        <v>129</v>
      </c>
      <c r="I43" s="137" t="s">
        <v>129</v>
      </c>
      <c r="J43" s="137" t="s">
        <v>129</v>
      </c>
      <c r="K43" s="137" t="s">
        <v>129</v>
      </c>
      <c r="L43" s="137" t="s">
        <v>129</v>
      </c>
      <c r="M43" s="141"/>
      <c r="N43" s="143"/>
    </row>
    <row r="44" hidden="1" outlineLevel="1">
      <c r="A44" s="219" t="s">
        <v>3444</v>
      </c>
      <c r="B44" s="344">
        <v>46088.0</v>
      </c>
      <c r="C44" s="133" t="str">
        <f t="shared" si="5"/>
        <v>Sat</v>
      </c>
      <c r="D44" s="383">
        <f t="shared" si="6"/>
        <v>1</v>
      </c>
      <c r="E44" s="147" t="s">
        <v>129</v>
      </c>
      <c r="F44" s="137" t="s">
        <v>129</v>
      </c>
      <c r="G44" s="137" t="s">
        <v>129</v>
      </c>
      <c r="H44" s="137" t="s">
        <v>129</v>
      </c>
      <c r="I44" s="137" t="s">
        <v>129</v>
      </c>
      <c r="J44" s="137" t="s">
        <v>129</v>
      </c>
      <c r="K44" s="137" t="s">
        <v>129</v>
      </c>
      <c r="L44" s="137" t="s">
        <v>129</v>
      </c>
      <c r="M44" s="141"/>
      <c r="N44" s="147"/>
    </row>
    <row r="45" hidden="1" outlineLevel="1">
      <c r="A45" s="380" t="s">
        <v>3446</v>
      </c>
      <c r="B45" s="344">
        <v>46088.0</v>
      </c>
      <c r="C45" s="133" t="str">
        <f t="shared" si="5"/>
        <v>Sat</v>
      </c>
      <c r="D45" s="381">
        <f t="shared" si="6"/>
        <v>1</v>
      </c>
      <c r="E45" s="382" t="s">
        <v>129</v>
      </c>
      <c r="F45" s="137" t="s">
        <v>129</v>
      </c>
      <c r="G45" s="137" t="s">
        <v>129</v>
      </c>
      <c r="H45" s="137" t="s">
        <v>129</v>
      </c>
      <c r="I45" s="137" t="s">
        <v>129</v>
      </c>
      <c r="J45" s="137" t="s">
        <v>129</v>
      </c>
      <c r="K45" s="137" t="s">
        <v>129</v>
      </c>
      <c r="L45" s="137" t="s">
        <v>129</v>
      </c>
      <c r="M45" s="141"/>
      <c r="N45" s="143"/>
    </row>
    <row r="46" hidden="1" outlineLevel="1">
      <c r="A46" s="269" t="s">
        <v>3447</v>
      </c>
      <c r="B46" s="344">
        <v>46089.0</v>
      </c>
      <c r="C46" s="133" t="str">
        <f t="shared" si="5"/>
        <v>Sun</v>
      </c>
      <c r="D46" s="383">
        <f t="shared" si="6"/>
        <v>0.95</v>
      </c>
      <c r="E46" s="147" t="s">
        <v>174</v>
      </c>
      <c r="F46" s="137" t="s">
        <v>129</v>
      </c>
      <c r="G46" s="137" t="s">
        <v>129</v>
      </c>
      <c r="H46" s="137" t="s">
        <v>129</v>
      </c>
      <c r="I46" s="137" t="s">
        <v>129</v>
      </c>
      <c r="J46" s="137" t="s">
        <v>129</v>
      </c>
      <c r="K46" s="137" t="s">
        <v>129</v>
      </c>
      <c r="L46" s="137" t="s">
        <v>129</v>
      </c>
      <c r="M46" s="141"/>
      <c r="N46" s="147" t="s">
        <v>3450</v>
      </c>
    </row>
    <row r="47" hidden="1" outlineLevel="1">
      <c r="A47" s="255" t="s">
        <v>3452</v>
      </c>
      <c r="B47" s="344">
        <v>46089.0</v>
      </c>
      <c r="C47" s="133" t="str">
        <f t="shared" si="5"/>
        <v>Sun</v>
      </c>
      <c r="D47" s="381">
        <f t="shared" si="6"/>
        <v>1</v>
      </c>
      <c r="E47" s="382" t="s">
        <v>129</v>
      </c>
      <c r="F47" s="137" t="s">
        <v>129</v>
      </c>
      <c r="G47" s="137" t="s">
        <v>129</v>
      </c>
      <c r="H47" s="137" t="s">
        <v>129</v>
      </c>
      <c r="I47" s="137" t="s">
        <v>129</v>
      </c>
      <c r="J47" s="137" t="s">
        <v>129</v>
      </c>
      <c r="K47" s="137" t="s">
        <v>129</v>
      </c>
      <c r="L47" s="137" t="s">
        <v>129</v>
      </c>
      <c r="M47" s="141"/>
      <c r="N47" s="147" t="s">
        <v>3453</v>
      </c>
    </row>
    <row r="48" hidden="1" outlineLevel="1">
      <c r="A48" s="255" t="s">
        <v>3455</v>
      </c>
      <c r="B48" s="344">
        <v>46089.0</v>
      </c>
      <c r="C48" s="133" t="str">
        <f t="shared" si="5"/>
        <v>Sun</v>
      </c>
      <c r="D48" s="383">
        <f t="shared" si="6"/>
        <v>0.45</v>
      </c>
      <c r="E48" s="147" t="s">
        <v>129</v>
      </c>
      <c r="F48" s="137" t="s">
        <v>129</v>
      </c>
      <c r="G48" s="137" t="s">
        <v>129</v>
      </c>
      <c r="H48" s="137" t="s">
        <v>129</v>
      </c>
      <c r="I48" s="137" t="s">
        <v>174</v>
      </c>
      <c r="J48" s="137" t="s">
        <v>174</v>
      </c>
      <c r="K48" s="137" t="s">
        <v>174</v>
      </c>
      <c r="L48" s="137" t="s">
        <v>174</v>
      </c>
      <c r="M48" s="141"/>
      <c r="N48" s="147" t="s">
        <v>3457</v>
      </c>
    </row>
    <row r="49" hidden="1" outlineLevel="1">
      <c r="A49" s="255" t="s">
        <v>3458</v>
      </c>
      <c r="B49" s="344">
        <v>46089.0</v>
      </c>
      <c r="C49" s="133" t="str">
        <f t="shared" si="5"/>
        <v>Sun</v>
      </c>
      <c r="D49" s="381">
        <f t="shared" si="6"/>
        <v>1</v>
      </c>
      <c r="E49" s="382" t="s">
        <v>129</v>
      </c>
      <c r="F49" s="137" t="s">
        <v>129</v>
      </c>
      <c r="G49" s="137" t="s">
        <v>129</v>
      </c>
      <c r="H49" s="137" t="s">
        <v>129</v>
      </c>
      <c r="I49" s="137" t="s">
        <v>129</v>
      </c>
      <c r="J49" s="137" t="s">
        <v>129</v>
      </c>
      <c r="K49" s="137" t="s">
        <v>129</v>
      </c>
      <c r="L49" s="137" t="s">
        <v>129</v>
      </c>
      <c r="M49" s="141"/>
      <c r="N49" s="143"/>
    </row>
    <row r="50" hidden="1" outlineLevel="1">
      <c r="A50" s="255" t="s">
        <v>3460</v>
      </c>
      <c r="B50" s="344">
        <v>46089.0</v>
      </c>
      <c r="C50" s="133" t="str">
        <f t="shared" si="5"/>
        <v>Sun</v>
      </c>
      <c r="D50" s="383">
        <f t="shared" si="6"/>
        <v>1</v>
      </c>
      <c r="E50" s="147" t="s">
        <v>129</v>
      </c>
      <c r="F50" s="137" t="s">
        <v>129</v>
      </c>
      <c r="G50" s="137" t="s">
        <v>129</v>
      </c>
      <c r="H50" s="137" t="s">
        <v>129</v>
      </c>
      <c r="I50" s="137" t="s">
        <v>129</v>
      </c>
      <c r="J50" s="137" t="s">
        <v>129</v>
      </c>
      <c r="K50" s="137" t="s">
        <v>129</v>
      </c>
      <c r="L50" s="137" t="s">
        <v>129</v>
      </c>
      <c r="M50" s="141"/>
      <c r="N50" s="143"/>
    </row>
    <row r="51" ht="15.0" hidden="1" customHeight="1" outlineLevel="1">
      <c r="A51" s="269" t="s">
        <v>3461</v>
      </c>
      <c r="B51" s="344">
        <v>46089.0</v>
      </c>
      <c r="C51" s="133" t="str">
        <f t="shared" si="5"/>
        <v>Sun</v>
      </c>
      <c r="D51" s="381">
        <f t="shared" si="6"/>
        <v>1</v>
      </c>
      <c r="E51" s="382" t="s">
        <v>129</v>
      </c>
      <c r="F51" s="137" t="s">
        <v>129</v>
      </c>
      <c r="G51" s="137" t="s">
        <v>129</v>
      </c>
      <c r="H51" s="137" t="s">
        <v>129</v>
      </c>
      <c r="I51" s="137" t="s">
        <v>129</v>
      </c>
      <c r="J51" s="137" t="s">
        <v>129</v>
      </c>
      <c r="K51" s="137" t="s">
        <v>129</v>
      </c>
      <c r="L51" s="137" t="s">
        <v>129</v>
      </c>
      <c r="M51" s="141"/>
      <c r="N51" s="147"/>
    </row>
    <row r="52" hidden="1" outlineLevel="1">
      <c r="B52" s="189"/>
      <c r="C52" s="191" t="s">
        <v>194</v>
      </c>
      <c r="D52" s="204">
        <f>AVERAGE(D37:D51)</f>
        <v>0.96</v>
      </c>
      <c r="E52" s="384"/>
      <c r="L52" s="191" t="s">
        <v>194</v>
      </c>
      <c r="M52" s="204">
        <f>SUM(M37:M51)/75*0.1</f>
        <v>0</v>
      </c>
    </row>
    <row r="53" hidden="1" collapsed="1">
      <c r="A53" s="206" t="s">
        <v>766</v>
      </c>
      <c r="B53" s="207"/>
      <c r="C53" s="207"/>
      <c r="D53" s="385"/>
      <c r="E53" s="109"/>
      <c r="F53" s="109"/>
      <c r="G53" s="110"/>
      <c r="H53" s="110"/>
      <c r="I53" s="110"/>
      <c r="J53" s="110"/>
      <c r="K53" s="110"/>
      <c r="L53" s="110"/>
      <c r="M53" s="111"/>
      <c r="N53" s="113"/>
    </row>
    <row r="54" hidden="1" outlineLevel="1">
      <c r="A54" s="373" t="s">
        <v>98</v>
      </c>
      <c r="B54" s="115" t="s">
        <v>100</v>
      </c>
      <c r="C54" s="115" t="s">
        <v>102</v>
      </c>
      <c r="D54" s="119" t="s">
        <v>103</v>
      </c>
      <c r="E54" s="275" t="s">
        <v>269</v>
      </c>
      <c r="F54" s="275" t="s">
        <v>272</v>
      </c>
      <c r="G54" s="276" t="s">
        <v>328</v>
      </c>
      <c r="H54" s="121" t="s">
        <v>107</v>
      </c>
      <c r="I54" s="121" t="s">
        <v>108</v>
      </c>
      <c r="J54" s="276" t="s">
        <v>329</v>
      </c>
      <c r="K54" s="121" t="s">
        <v>111</v>
      </c>
      <c r="L54" s="276" t="s">
        <v>274</v>
      </c>
      <c r="M54" s="115" t="s">
        <v>114</v>
      </c>
      <c r="N54" s="119" t="s">
        <v>115</v>
      </c>
    </row>
    <row r="55" hidden="1" outlineLevel="1">
      <c r="A55" s="255" t="s">
        <v>3467</v>
      </c>
      <c r="B55" s="344">
        <v>46090.0</v>
      </c>
      <c r="C55" s="133" t="str">
        <f t="shared" ref="C55:C69" si="7">IF(B55="", "", TEXT(B55, "ddd"))</f>
        <v>Mon</v>
      </c>
      <c r="D55" s="381">
        <f t="shared" ref="D55:D69" si="8">IF(E55="Yes",0.05,0)
+IF(F55="Yes",0.1,0)
+IF(G55="Yes",0.15,0)
+IF(H55="Yes",0.15,0)
+IF(I55="Yes",0.05,0)
+IF(J55="Yes",0.05,0)
+IF(K55="Yes",0.15,0)
+IF(L55="Yes",0.3,0)
</f>
        <v>1</v>
      </c>
      <c r="E55" s="382" t="s">
        <v>129</v>
      </c>
      <c r="F55" s="137" t="s">
        <v>129</v>
      </c>
      <c r="G55" s="137" t="s">
        <v>129</v>
      </c>
      <c r="H55" s="137" t="s">
        <v>129</v>
      </c>
      <c r="I55" s="137" t="s">
        <v>129</v>
      </c>
      <c r="J55" s="137" t="s">
        <v>129</v>
      </c>
      <c r="K55" s="137" t="s">
        <v>129</v>
      </c>
      <c r="L55" s="137" t="s">
        <v>129</v>
      </c>
      <c r="M55" s="141"/>
      <c r="N55" s="143"/>
    </row>
    <row r="56" hidden="1" outlineLevel="1">
      <c r="A56" s="255" t="s">
        <v>3471</v>
      </c>
      <c r="B56" s="344">
        <v>46090.0</v>
      </c>
      <c r="C56" s="133" t="str">
        <f t="shared" si="7"/>
        <v>Mon</v>
      </c>
      <c r="D56" s="383">
        <f t="shared" si="8"/>
        <v>1</v>
      </c>
      <c r="E56" s="147" t="s">
        <v>129</v>
      </c>
      <c r="F56" s="137" t="s">
        <v>129</v>
      </c>
      <c r="G56" s="137" t="s">
        <v>129</v>
      </c>
      <c r="H56" s="137" t="s">
        <v>129</v>
      </c>
      <c r="I56" s="137" t="s">
        <v>129</v>
      </c>
      <c r="J56" s="137" t="s">
        <v>129</v>
      </c>
      <c r="K56" s="137" t="s">
        <v>129</v>
      </c>
      <c r="L56" s="137" t="s">
        <v>129</v>
      </c>
      <c r="M56" s="141"/>
      <c r="N56" s="147"/>
    </row>
    <row r="57" hidden="1" outlineLevel="1">
      <c r="A57" s="255" t="s">
        <v>3474</v>
      </c>
      <c r="B57" s="344">
        <v>46090.0</v>
      </c>
      <c r="C57" s="133" t="str">
        <f t="shared" si="7"/>
        <v>Mon</v>
      </c>
      <c r="D57" s="381">
        <f t="shared" si="8"/>
        <v>1</v>
      </c>
      <c r="E57" s="382" t="s">
        <v>129</v>
      </c>
      <c r="F57" s="137" t="s">
        <v>129</v>
      </c>
      <c r="G57" s="137" t="s">
        <v>129</v>
      </c>
      <c r="H57" s="137" t="s">
        <v>129</v>
      </c>
      <c r="I57" s="137" t="s">
        <v>129</v>
      </c>
      <c r="J57" s="137" t="s">
        <v>129</v>
      </c>
      <c r="K57" s="137" t="s">
        <v>129</v>
      </c>
      <c r="L57" s="137" t="s">
        <v>129</v>
      </c>
      <c r="M57" s="141"/>
      <c r="N57" s="147"/>
    </row>
    <row r="58" hidden="1" outlineLevel="1">
      <c r="A58" s="219" t="s">
        <v>3476</v>
      </c>
      <c r="B58" s="344">
        <v>46091.0</v>
      </c>
      <c r="C58" s="133" t="str">
        <f t="shared" si="7"/>
        <v>Tue</v>
      </c>
      <c r="D58" s="383">
        <f t="shared" si="8"/>
        <v>0.85</v>
      </c>
      <c r="E58" s="147" t="s">
        <v>129</v>
      </c>
      <c r="F58" s="137" t="s">
        <v>129</v>
      </c>
      <c r="G58" s="137" t="s">
        <v>129</v>
      </c>
      <c r="H58" s="137" t="s">
        <v>129</v>
      </c>
      <c r="I58" s="137" t="s">
        <v>129</v>
      </c>
      <c r="J58" s="137" t="s">
        <v>129</v>
      </c>
      <c r="K58" s="137" t="s">
        <v>174</v>
      </c>
      <c r="L58" s="137" t="s">
        <v>129</v>
      </c>
      <c r="M58" s="141"/>
      <c r="N58" s="147" t="s">
        <v>3479</v>
      </c>
    </row>
    <row r="59" hidden="1" outlineLevel="1">
      <c r="A59" s="219" t="s">
        <v>3481</v>
      </c>
      <c r="B59" s="344">
        <v>46091.0</v>
      </c>
      <c r="C59" s="133" t="str">
        <f t="shared" si="7"/>
        <v>Tue</v>
      </c>
      <c r="D59" s="381">
        <f t="shared" si="8"/>
        <v>1</v>
      </c>
      <c r="E59" s="382" t="s">
        <v>129</v>
      </c>
      <c r="F59" s="137" t="s">
        <v>129</v>
      </c>
      <c r="G59" s="137" t="s">
        <v>129</v>
      </c>
      <c r="H59" s="137" t="s">
        <v>129</v>
      </c>
      <c r="I59" s="137" t="s">
        <v>129</v>
      </c>
      <c r="J59" s="137" t="s">
        <v>129</v>
      </c>
      <c r="K59" s="137" t="s">
        <v>129</v>
      </c>
      <c r="L59" s="137" t="s">
        <v>129</v>
      </c>
      <c r="M59" s="141"/>
      <c r="N59" s="143"/>
    </row>
    <row r="60" hidden="1" outlineLevel="1">
      <c r="A60" s="219" t="s">
        <v>3482</v>
      </c>
      <c r="B60" s="344">
        <v>46091.0</v>
      </c>
      <c r="C60" s="133" t="str">
        <f t="shared" si="7"/>
        <v>Tue</v>
      </c>
      <c r="D60" s="383">
        <f t="shared" si="8"/>
        <v>1</v>
      </c>
      <c r="E60" s="147" t="s">
        <v>129</v>
      </c>
      <c r="F60" s="137" t="s">
        <v>129</v>
      </c>
      <c r="G60" s="137" t="s">
        <v>129</v>
      </c>
      <c r="H60" s="137" t="s">
        <v>129</v>
      </c>
      <c r="I60" s="137" t="s">
        <v>129</v>
      </c>
      <c r="J60" s="137" t="s">
        <v>129</v>
      </c>
      <c r="K60" s="137" t="s">
        <v>129</v>
      </c>
      <c r="L60" s="137" t="s">
        <v>129</v>
      </c>
      <c r="M60" s="141"/>
      <c r="N60" s="143"/>
    </row>
    <row r="61" hidden="1" outlineLevel="1">
      <c r="A61" s="255" t="s">
        <v>3483</v>
      </c>
      <c r="B61" s="344">
        <v>46092.0</v>
      </c>
      <c r="C61" s="133" t="str">
        <f t="shared" si="7"/>
        <v>Wed</v>
      </c>
      <c r="D61" s="381">
        <f t="shared" si="8"/>
        <v>1</v>
      </c>
      <c r="E61" s="382" t="s">
        <v>129</v>
      </c>
      <c r="F61" s="137" t="s">
        <v>129</v>
      </c>
      <c r="G61" s="137" t="s">
        <v>129</v>
      </c>
      <c r="H61" s="137" t="s">
        <v>129</v>
      </c>
      <c r="I61" s="137" t="s">
        <v>129</v>
      </c>
      <c r="J61" s="137" t="s">
        <v>129</v>
      </c>
      <c r="K61" s="137" t="s">
        <v>129</v>
      </c>
      <c r="L61" s="137" t="s">
        <v>129</v>
      </c>
      <c r="M61" s="141"/>
      <c r="N61" s="143"/>
    </row>
    <row r="62" hidden="1" outlineLevel="1">
      <c r="A62" s="255" t="s">
        <v>3487</v>
      </c>
      <c r="B62" s="344">
        <v>46092.0</v>
      </c>
      <c r="C62" s="133" t="str">
        <f t="shared" si="7"/>
        <v>Wed</v>
      </c>
      <c r="D62" s="383">
        <f t="shared" si="8"/>
        <v>1</v>
      </c>
      <c r="E62" s="147" t="s">
        <v>129</v>
      </c>
      <c r="F62" s="137" t="s">
        <v>129</v>
      </c>
      <c r="G62" s="137" t="s">
        <v>129</v>
      </c>
      <c r="H62" s="137" t="s">
        <v>129</v>
      </c>
      <c r="I62" s="137" t="s">
        <v>129</v>
      </c>
      <c r="J62" s="137" t="s">
        <v>129</v>
      </c>
      <c r="K62" s="137" t="s">
        <v>129</v>
      </c>
      <c r="L62" s="137" t="s">
        <v>129</v>
      </c>
      <c r="M62" s="141"/>
      <c r="N62" s="147"/>
    </row>
    <row r="63" hidden="1" outlineLevel="1">
      <c r="A63" s="269" t="s">
        <v>3490</v>
      </c>
      <c r="B63" s="344">
        <v>46092.0</v>
      </c>
      <c r="C63" s="133" t="str">
        <f t="shared" si="7"/>
        <v>Wed</v>
      </c>
      <c r="D63" s="381">
        <f t="shared" si="8"/>
        <v>1</v>
      </c>
      <c r="E63" s="382" t="s">
        <v>129</v>
      </c>
      <c r="F63" s="137" t="s">
        <v>129</v>
      </c>
      <c r="G63" s="137" t="s">
        <v>129</v>
      </c>
      <c r="H63" s="137" t="s">
        <v>129</v>
      </c>
      <c r="I63" s="137" t="s">
        <v>129</v>
      </c>
      <c r="J63" s="137" t="s">
        <v>129</v>
      </c>
      <c r="K63" s="137" t="s">
        <v>129</v>
      </c>
      <c r="L63" s="137" t="s">
        <v>129</v>
      </c>
      <c r="M63" s="141"/>
      <c r="N63" s="143"/>
    </row>
    <row r="64" hidden="1" outlineLevel="1">
      <c r="A64" s="219" t="s">
        <v>3491</v>
      </c>
      <c r="B64" s="344">
        <v>46094.0</v>
      </c>
      <c r="C64" s="133" t="str">
        <f t="shared" si="7"/>
        <v>Fri</v>
      </c>
      <c r="D64" s="383">
        <f t="shared" si="8"/>
        <v>1</v>
      </c>
      <c r="E64" s="147" t="s">
        <v>129</v>
      </c>
      <c r="F64" s="137" t="s">
        <v>129</v>
      </c>
      <c r="G64" s="137" t="s">
        <v>129</v>
      </c>
      <c r="H64" s="137" t="s">
        <v>129</v>
      </c>
      <c r="I64" s="137" t="s">
        <v>129</v>
      </c>
      <c r="J64" s="137" t="s">
        <v>129</v>
      </c>
      <c r="K64" s="137" t="s">
        <v>129</v>
      </c>
      <c r="L64" s="137" t="s">
        <v>129</v>
      </c>
      <c r="M64" s="141"/>
      <c r="N64" s="147"/>
    </row>
    <row r="65" hidden="1" outlineLevel="1">
      <c r="A65" s="219" t="s">
        <v>3494</v>
      </c>
      <c r="B65" s="344">
        <v>46094.0</v>
      </c>
      <c r="C65" s="133" t="str">
        <f t="shared" si="7"/>
        <v>Fri</v>
      </c>
      <c r="D65" s="381">
        <f t="shared" si="8"/>
        <v>1</v>
      </c>
      <c r="E65" s="382" t="s">
        <v>129</v>
      </c>
      <c r="F65" s="137" t="s">
        <v>129</v>
      </c>
      <c r="G65" s="137" t="s">
        <v>129</v>
      </c>
      <c r="H65" s="137" t="s">
        <v>129</v>
      </c>
      <c r="I65" s="137" t="s">
        <v>129</v>
      </c>
      <c r="J65" s="137" t="s">
        <v>129</v>
      </c>
      <c r="K65" s="137" t="s">
        <v>129</v>
      </c>
      <c r="L65" s="137" t="s">
        <v>129</v>
      </c>
      <c r="M65" s="141"/>
      <c r="N65" s="147"/>
    </row>
    <row r="66" hidden="1" outlineLevel="1">
      <c r="A66" s="219" t="s">
        <v>3496</v>
      </c>
      <c r="B66" s="344">
        <v>46094.0</v>
      </c>
      <c r="C66" s="133" t="str">
        <f t="shared" si="7"/>
        <v>Fri</v>
      </c>
      <c r="D66" s="383">
        <f t="shared" si="8"/>
        <v>1</v>
      </c>
      <c r="E66" s="147" t="s">
        <v>129</v>
      </c>
      <c r="F66" s="137" t="s">
        <v>129</v>
      </c>
      <c r="G66" s="137" t="s">
        <v>129</v>
      </c>
      <c r="H66" s="137" t="s">
        <v>129</v>
      </c>
      <c r="I66" s="137" t="s">
        <v>129</v>
      </c>
      <c r="J66" s="137" t="s">
        <v>129</v>
      </c>
      <c r="K66" s="137" t="s">
        <v>129</v>
      </c>
      <c r="L66" s="137" t="s">
        <v>129</v>
      </c>
      <c r="M66" s="141"/>
      <c r="N66" s="147"/>
    </row>
    <row r="67" hidden="1" outlineLevel="1">
      <c r="A67" s="255" t="s">
        <v>3498</v>
      </c>
      <c r="B67" s="344">
        <v>46095.0</v>
      </c>
      <c r="C67" s="133" t="str">
        <f t="shared" si="7"/>
        <v>Sat</v>
      </c>
      <c r="D67" s="381">
        <f t="shared" si="8"/>
        <v>1</v>
      </c>
      <c r="E67" s="382" t="s">
        <v>129</v>
      </c>
      <c r="F67" s="137" t="s">
        <v>129</v>
      </c>
      <c r="G67" s="137" t="s">
        <v>129</v>
      </c>
      <c r="H67" s="137" t="s">
        <v>129</v>
      </c>
      <c r="I67" s="137" t="s">
        <v>129</v>
      </c>
      <c r="J67" s="137" t="s">
        <v>129</v>
      </c>
      <c r="K67" s="137" t="s">
        <v>129</v>
      </c>
      <c r="L67" s="137" t="s">
        <v>129</v>
      </c>
      <c r="M67" s="141"/>
      <c r="N67" s="143"/>
    </row>
    <row r="68" hidden="1" outlineLevel="1">
      <c r="A68" s="255" t="s">
        <v>3501</v>
      </c>
      <c r="B68" s="344">
        <v>46095.0</v>
      </c>
      <c r="C68" s="133" t="str">
        <f t="shared" si="7"/>
        <v>Sat</v>
      </c>
      <c r="D68" s="383">
        <f t="shared" si="8"/>
        <v>1</v>
      </c>
      <c r="E68" s="147" t="s">
        <v>129</v>
      </c>
      <c r="F68" s="137" t="s">
        <v>129</v>
      </c>
      <c r="G68" s="137" t="s">
        <v>129</v>
      </c>
      <c r="H68" s="137" t="s">
        <v>129</v>
      </c>
      <c r="I68" s="137" t="s">
        <v>129</v>
      </c>
      <c r="J68" s="137" t="s">
        <v>129</v>
      </c>
      <c r="K68" s="137" t="s">
        <v>129</v>
      </c>
      <c r="L68" s="137" t="s">
        <v>129</v>
      </c>
      <c r="M68" s="141"/>
      <c r="N68" s="143"/>
    </row>
    <row r="69" ht="15.0" hidden="1" customHeight="1" outlineLevel="1">
      <c r="A69" s="255" t="s">
        <v>3504</v>
      </c>
      <c r="B69" s="344">
        <v>46095.0</v>
      </c>
      <c r="C69" s="133" t="str">
        <f t="shared" si="7"/>
        <v>Sat</v>
      </c>
      <c r="D69" s="381">
        <f t="shared" si="8"/>
        <v>0.7</v>
      </c>
      <c r="E69" s="382" t="s">
        <v>129</v>
      </c>
      <c r="F69" s="137" t="s">
        <v>129</v>
      </c>
      <c r="G69" s="137" t="s">
        <v>129</v>
      </c>
      <c r="H69" s="137" t="s">
        <v>129</v>
      </c>
      <c r="I69" s="137" t="s">
        <v>129</v>
      </c>
      <c r="J69" s="137" t="s">
        <v>129</v>
      </c>
      <c r="K69" s="137" t="s">
        <v>129</v>
      </c>
      <c r="L69" s="137" t="s">
        <v>174</v>
      </c>
      <c r="M69" s="141"/>
      <c r="N69" s="147" t="s">
        <v>3506</v>
      </c>
    </row>
    <row r="70" hidden="1" outlineLevel="1">
      <c r="B70" s="189"/>
      <c r="C70" s="191" t="s">
        <v>194</v>
      </c>
      <c r="D70" s="204">
        <f>AVERAGE(D55:D69)</f>
        <v>0.97</v>
      </c>
      <c r="E70" s="384"/>
      <c r="L70" s="191" t="s">
        <v>194</v>
      </c>
      <c r="M70" s="204">
        <f>SUM(M55:M69)/75*0.1</f>
        <v>0</v>
      </c>
    </row>
    <row r="71" hidden="1" collapsed="1">
      <c r="A71" s="206" t="s">
        <v>792</v>
      </c>
      <c r="B71" s="207"/>
      <c r="C71" s="207"/>
      <c r="D71" s="385"/>
      <c r="E71" s="109"/>
      <c r="F71" s="109"/>
      <c r="G71" s="110"/>
      <c r="H71" s="110"/>
      <c r="I71" s="110"/>
      <c r="J71" s="110"/>
      <c r="K71" s="110"/>
      <c r="L71" s="110"/>
      <c r="M71" s="111"/>
      <c r="N71" s="113"/>
    </row>
    <row r="72" hidden="1" outlineLevel="1">
      <c r="A72" s="373" t="s">
        <v>98</v>
      </c>
      <c r="B72" s="115" t="s">
        <v>100</v>
      </c>
      <c r="C72" s="115" t="s">
        <v>102</v>
      </c>
      <c r="D72" s="119" t="s">
        <v>103</v>
      </c>
      <c r="E72" s="275" t="s">
        <v>269</v>
      </c>
      <c r="F72" s="275" t="s">
        <v>272</v>
      </c>
      <c r="G72" s="276" t="s">
        <v>328</v>
      </c>
      <c r="H72" s="121" t="s">
        <v>107</v>
      </c>
      <c r="I72" s="121" t="s">
        <v>108</v>
      </c>
      <c r="J72" s="276" t="s">
        <v>329</v>
      </c>
      <c r="K72" s="121" t="s">
        <v>111</v>
      </c>
      <c r="L72" s="276" t="s">
        <v>274</v>
      </c>
      <c r="M72" s="115" t="s">
        <v>114</v>
      </c>
      <c r="N72" s="119" t="s">
        <v>115</v>
      </c>
    </row>
    <row r="73" hidden="1" outlineLevel="1">
      <c r="A73" s="303" t="s">
        <v>3508</v>
      </c>
      <c r="B73" s="344">
        <v>46097.0</v>
      </c>
      <c r="C73" s="133" t="str">
        <f t="shared" ref="C73:C87" si="9">IF(B73="", "", TEXT(B73, "ddd"))</f>
        <v>Mon</v>
      </c>
      <c r="D73" s="381">
        <f t="shared" ref="D73:D87" si="10">IF(E73="Yes",0.05,0)
+IF(F73="Yes",0.1,0)
+IF(G73="Yes",0.15,0)
+IF(H73="Yes",0.15,0)
+IF(I73="Yes",0.05,0)
+IF(J73="Yes",0.05,0)
+IF(K73="Yes",0.15,0)
+IF(L73="Yes",0.3,0)
</f>
        <v>1</v>
      </c>
      <c r="E73" s="382" t="s">
        <v>129</v>
      </c>
      <c r="F73" s="137" t="s">
        <v>129</v>
      </c>
      <c r="G73" s="137" t="s">
        <v>129</v>
      </c>
      <c r="H73" s="137" t="s">
        <v>129</v>
      </c>
      <c r="I73" s="137" t="s">
        <v>129</v>
      </c>
      <c r="J73" s="137" t="s">
        <v>129</v>
      </c>
      <c r="K73" s="137" t="s">
        <v>129</v>
      </c>
      <c r="L73" s="137" t="s">
        <v>129</v>
      </c>
      <c r="M73" s="141"/>
      <c r="N73" s="143"/>
    </row>
    <row r="74" hidden="1" outlineLevel="1">
      <c r="A74" s="303" t="s">
        <v>3513</v>
      </c>
      <c r="B74" s="344">
        <v>46097.0</v>
      </c>
      <c r="C74" s="133" t="str">
        <f t="shared" si="9"/>
        <v>Mon</v>
      </c>
      <c r="D74" s="383">
        <f t="shared" si="10"/>
        <v>1</v>
      </c>
      <c r="E74" s="147" t="s">
        <v>129</v>
      </c>
      <c r="F74" s="137" t="s">
        <v>129</v>
      </c>
      <c r="G74" s="137" t="s">
        <v>129</v>
      </c>
      <c r="H74" s="137" t="s">
        <v>129</v>
      </c>
      <c r="I74" s="137" t="s">
        <v>129</v>
      </c>
      <c r="J74" s="137" t="s">
        <v>129</v>
      </c>
      <c r="K74" s="137" t="s">
        <v>129</v>
      </c>
      <c r="L74" s="137" t="s">
        <v>129</v>
      </c>
      <c r="M74" s="141"/>
      <c r="N74" s="147" t="s">
        <v>3517</v>
      </c>
    </row>
    <row r="75" hidden="1" outlineLevel="1">
      <c r="A75" s="303" t="s">
        <v>3518</v>
      </c>
      <c r="B75" s="344">
        <v>46097.0</v>
      </c>
      <c r="C75" s="133" t="str">
        <f t="shared" si="9"/>
        <v>Mon</v>
      </c>
      <c r="D75" s="381">
        <f t="shared" si="10"/>
        <v>1</v>
      </c>
      <c r="E75" s="382" t="s">
        <v>129</v>
      </c>
      <c r="F75" s="137" t="s">
        <v>129</v>
      </c>
      <c r="G75" s="137" t="s">
        <v>129</v>
      </c>
      <c r="H75" s="137" t="s">
        <v>129</v>
      </c>
      <c r="I75" s="137" t="s">
        <v>129</v>
      </c>
      <c r="J75" s="137" t="s">
        <v>129</v>
      </c>
      <c r="K75" s="137" t="s">
        <v>129</v>
      </c>
      <c r="L75" s="137" t="s">
        <v>129</v>
      </c>
      <c r="M75" s="141"/>
      <c r="N75" s="147"/>
    </row>
    <row r="76" hidden="1" outlineLevel="1">
      <c r="A76" s="219" t="s">
        <v>3524</v>
      </c>
      <c r="B76" s="344">
        <v>46098.0</v>
      </c>
      <c r="C76" s="133" t="str">
        <f t="shared" si="9"/>
        <v>Tue</v>
      </c>
      <c r="D76" s="383">
        <f t="shared" si="10"/>
        <v>1</v>
      </c>
      <c r="E76" s="147" t="s">
        <v>129</v>
      </c>
      <c r="F76" s="137" t="s">
        <v>129</v>
      </c>
      <c r="G76" s="137" t="s">
        <v>129</v>
      </c>
      <c r="H76" s="137" t="s">
        <v>129</v>
      </c>
      <c r="I76" s="137" t="s">
        <v>129</v>
      </c>
      <c r="J76" s="137" t="s">
        <v>129</v>
      </c>
      <c r="K76" s="137" t="s">
        <v>129</v>
      </c>
      <c r="L76" s="137" t="s">
        <v>129</v>
      </c>
      <c r="M76" s="141"/>
      <c r="N76" s="143"/>
    </row>
    <row r="77" hidden="1" outlineLevel="1">
      <c r="A77" s="219" t="s">
        <v>3525</v>
      </c>
      <c r="B77" s="344">
        <v>46098.0</v>
      </c>
      <c r="C77" s="133" t="str">
        <f t="shared" si="9"/>
        <v>Tue</v>
      </c>
      <c r="D77" s="381">
        <f t="shared" si="10"/>
        <v>1</v>
      </c>
      <c r="E77" s="382" t="s">
        <v>129</v>
      </c>
      <c r="F77" s="137" t="s">
        <v>129</v>
      </c>
      <c r="G77" s="137" t="s">
        <v>129</v>
      </c>
      <c r="H77" s="137" t="s">
        <v>129</v>
      </c>
      <c r="I77" s="137" t="s">
        <v>129</v>
      </c>
      <c r="J77" s="137" t="s">
        <v>129</v>
      </c>
      <c r="K77" s="137" t="s">
        <v>129</v>
      </c>
      <c r="L77" s="137" t="s">
        <v>129</v>
      </c>
      <c r="M77" s="141"/>
      <c r="N77" s="143"/>
    </row>
    <row r="78" hidden="1" outlineLevel="1">
      <c r="A78" s="219" t="s">
        <v>3526</v>
      </c>
      <c r="B78" s="344">
        <v>46098.0</v>
      </c>
      <c r="C78" s="133" t="str">
        <f t="shared" si="9"/>
        <v>Tue</v>
      </c>
      <c r="D78" s="383">
        <f t="shared" si="10"/>
        <v>1</v>
      </c>
      <c r="E78" s="147" t="s">
        <v>129</v>
      </c>
      <c r="F78" s="137" t="s">
        <v>129</v>
      </c>
      <c r="G78" s="137" t="s">
        <v>129</v>
      </c>
      <c r="H78" s="137" t="s">
        <v>129</v>
      </c>
      <c r="I78" s="137" t="s">
        <v>129</v>
      </c>
      <c r="J78" s="137" t="s">
        <v>129</v>
      </c>
      <c r="K78" s="137" t="s">
        <v>129</v>
      </c>
      <c r="L78" s="137" t="s">
        <v>129</v>
      </c>
      <c r="M78" s="141"/>
      <c r="N78" s="143"/>
    </row>
    <row r="79" hidden="1" outlineLevel="1">
      <c r="A79" s="255" t="s">
        <v>3528</v>
      </c>
      <c r="B79" s="344">
        <v>46099.0</v>
      </c>
      <c r="C79" s="133" t="str">
        <f t="shared" si="9"/>
        <v>Wed</v>
      </c>
      <c r="D79" s="381">
        <f t="shared" si="10"/>
        <v>1</v>
      </c>
      <c r="E79" s="382" t="s">
        <v>129</v>
      </c>
      <c r="F79" s="137" t="s">
        <v>129</v>
      </c>
      <c r="G79" s="137" t="s">
        <v>129</v>
      </c>
      <c r="H79" s="137" t="s">
        <v>129</v>
      </c>
      <c r="I79" s="137" t="s">
        <v>129</v>
      </c>
      <c r="J79" s="137" t="s">
        <v>129</v>
      </c>
      <c r="K79" s="137" t="s">
        <v>129</v>
      </c>
      <c r="L79" s="137" t="s">
        <v>129</v>
      </c>
      <c r="M79" s="141"/>
      <c r="N79" s="143"/>
    </row>
    <row r="80" hidden="1" outlineLevel="1">
      <c r="A80" s="255" t="s">
        <v>3532</v>
      </c>
      <c r="B80" s="344">
        <v>46099.0</v>
      </c>
      <c r="C80" s="133" t="str">
        <f t="shared" si="9"/>
        <v>Wed</v>
      </c>
      <c r="D80" s="383">
        <f t="shared" si="10"/>
        <v>1</v>
      </c>
      <c r="E80" s="147" t="s">
        <v>129</v>
      </c>
      <c r="F80" s="137" t="s">
        <v>129</v>
      </c>
      <c r="G80" s="137" t="s">
        <v>129</v>
      </c>
      <c r="H80" s="137" t="s">
        <v>129</v>
      </c>
      <c r="I80" s="137" t="s">
        <v>129</v>
      </c>
      <c r="J80" s="137" t="s">
        <v>129</v>
      </c>
      <c r="K80" s="137" t="s">
        <v>129</v>
      </c>
      <c r="L80" s="137" t="s">
        <v>129</v>
      </c>
      <c r="M80" s="141"/>
      <c r="N80" s="147"/>
    </row>
    <row r="81" hidden="1" outlineLevel="1">
      <c r="A81" s="255" t="s">
        <v>3535</v>
      </c>
      <c r="B81" s="344">
        <v>46099.0</v>
      </c>
      <c r="C81" s="133" t="str">
        <f t="shared" si="9"/>
        <v>Wed</v>
      </c>
      <c r="D81" s="381">
        <f t="shared" si="10"/>
        <v>1</v>
      </c>
      <c r="E81" s="382" t="s">
        <v>129</v>
      </c>
      <c r="F81" s="137" t="s">
        <v>129</v>
      </c>
      <c r="G81" s="137" t="s">
        <v>129</v>
      </c>
      <c r="H81" s="137" t="s">
        <v>129</v>
      </c>
      <c r="I81" s="137" t="s">
        <v>129</v>
      </c>
      <c r="J81" s="137" t="s">
        <v>129</v>
      </c>
      <c r="K81" s="137" t="s">
        <v>129</v>
      </c>
      <c r="L81" s="137" t="s">
        <v>129</v>
      </c>
      <c r="M81" s="141"/>
      <c r="N81" s="143"/>
    </row>
    <row r="82" hidden="1" outlineLevel="1">
      <c r="A82" s="255" t="s">
        <v>3538</v>
      </c>
      <c r="B82" s="344">
        <v>46101.0</v>
      </c>
      <c r="C82" s="133" t="str">
        <f t="shared" si="9"/>
        <v>Fri</v>
      </c>
      <c r="D82" s="383">
        <f t="shared" si="10"/>
        <v>1</v>
      </c>
      <c r="E82" s="147" t="s">
        <v>129</v>
      </c>
      <c r="F82" s="137" t="s">
        <v>129</v>
      </c>
      <c r="G82" s="137" t="s">
        <v>129</v>
      </c>
      <c r="H82" s="137" t="s">
        <v>129</v>
      </c>
      <c r="I82" s="137" t="s">
        <v>129</v>
      </c>
      <c r="J82" s="137" t="s">
        <v>129</v>
      </c>
      <c r="K82" s="137" t="s">
        <v>129</v>
      </c>
      <c r="L82" s="137" t="s">
        <v>129</v>
      </c>
      <c r="M82" s="141"/>
      <c r="N82" s="147"/>
    </row>
    <row r="83" hidden="1" outlineLevel="1">
      <c r="A83" s="255" t="s">
        <v>3540</v>
      </c>
      <c r="B83" s="344">
        <v>46101.0</v>
      </c>
      <c r="C83" s="133" t="str">
        <f t="shared" si="9"/>
        <v>Fri</v>
      </c>
      <c r="D83" s="381">
        <f t="shared" si="10"/>
        <v>1</v>
      </c>
      <c r="E83" s="382" t="s">
        <v>129</v>
      </c>
      <c r="F83" s="137" t="s">
        <v>129</v>
      </c>
      <c r="G83" s="137" t="s">
        <v>129</v>
      </c>
      <c r="H83" s="137" t="s">
        <v>129</v>
      </c>
      <c r="I83" s="137" t="s">
        <v>129</v>
      </c>
      <c r="J83" s="137" t="s">
        <v>129</v>
      </c>
      <c r="K83" s="137" t="s">
        <v>129</v>
      </c>
      <c r="L83" s="137" t="s">
        <v>129</v>
      </c>
      <c r="M83" s="141"/>
      <c r="N83" s="147"/>
    </row>
    <row r="84" hidden="1" outlineLevel="1">
      <c r="A84" s="255" t="s">
        <v>3543</v>
      </c>
      <c r="B84" s="344">
        <v>46101.0</v>
      </c>
      <c r="C84" s="133" t="str">
        <f t="shared" si="9"/>
        <v>Fri</v>
      </c>
      <c r="D84" s="383">
        <f t="shared" si="10"/>
        <v>1</v>
      </c>
      <c r="E84" s="147" t="s">
        <v>129</v>
      </c>
      <c r="F84" s="137" t="s">
        <v>129</v>
      </c>
      <c r="G84" s="137" t="s">
        <v>129</v>
      </c>
      <c r="H84" s="137" t="s">
        <v>129</v>
      </c>
      <c r="I84" s="137" t="s">
        <v>129</v>
      </c>
      <c r="J84" s="137" t="s">
        <v>129</v>
      </c>
      <c r="K84" s="137" t="s">
        <v>129</v>
      </c>
      <c r="L84" s="137" t="s">
        <v>129</v>
      </c>
      <c r="M84" s="141"/>
      <c r="N84" s="147"/>
    </row>
    <row r="85" hidden="1" outlineLevel="1">
      <c r="A85" s="255" t="s">
        <v>3550</v>
      </c>
      <c r="B85" s="344">
        <v>46102.0</v>
      </c>
      <c r="C85" s="133" t="str">
        <f t="shared" si="9"/>
        <v>Sat</v>
      </c>
      <c r="D85" s="381">
        <f t="shared" si="10"/>
        <v>1</v>
      </c>
      <c r="E85" s="382" t="s">
        <v>129</v>
      </c>
      <c r="F85" s="137" t="s">
        <v>129</v>
      </c>
      <c r="G85" s="137" t="s">
        <v>129</v>
      </c>
      <c r="H85" s="137" t="s">
        <v>129</v>
      </c>
      <c r="I85" s="137" t="s">
        <v>129</v>
      </c>
      <c r="J85" s="137" t="s">
        <v>129</v>
      </c>
      <c r="K85" s="137" t="s">
        <v>129</v>
      </c>
      <c r="L85" s="137" t="s">
        <v>129</v>
      </c>
      <c r="M85" s="141"/>
      <c r="N85" s="143"/>
    </row>
    <row r="86" hidden="1" outlineLevel="1">
      <c r="A86" s="255" t="s">
        <v>3553</v>
      </c>
      <c r="B86" s="344">
        <v>46102.0</v>
      </c>
      <c r="C86" s="133" t="str">
        <f t="shared" si="9"/>
        <v>Sat</v>
      </c>
      <c r="D86" s="383">
        <f t="shared" si="10"/>
        <v>1</v>
      </c>
      <c r="E86" s="147" t="s">
        <v>129</v>
      </c>
      <c r="F86" s="137" t="s">
        <v>129</v>
      </c>
      <c r="G86" s="137" t="s">
        <v>129</v>
      </c>
      <c r="H86" s="137" t="s">
        <v>129</v>
      </c>
      <c r="I86" s="137" t="s">
        <v>129</v>
      </c>
      <c r="J86" s="137" t="s">
        <v>129</v>
      </c>
      <c r="K86" s="137" t="s">
        <v>129</v>
      </c>
      <c r="L86" s="137" t="s">
        <v>129</v>
      </c>
      <c r="M86" s="141"/>
      <c r="N86" s="143"/>
    </row>
    <row r="87" ht="15.0" hidden="1" customHeight="1" outlineLevel="1">
      <c r="A87" s="255" t="s">
        <v>3556</v>
      </c>
      <c r="B87" s="344">
        <v>46102.0</v>
      </c>
      <c r="C87" s="133" t="str">
        <f t="shared" si="9"/>
        <v>Sat</v>
      </c>
      <c r="D87" s="381">
        <f t="shared" si="10"/>
        <v>1</v>
      </c>
      <c r="E87" s="382" t="s">
        <v>129</v>
      </c>
      <c r="F87" s="137" t="s">
        <v>129</v>
      </c>
      <c r="G87" s="137" t="s">
        <v>129</v>
      </c>
      <c r="H87" s="137" t="s">
        <v>129</v>
      </c>
      <c r="I87" s="137" t="s">
        <v>129</v>
      </c>
      <c r="J87" s="137" t="s">
        <v>129</v>
      </c>
      <c r="K87" s="137" t="s">
        <v>129</v>
      </c>
      <c r="L87" s="137" t="s">
        <v>129</v>
      </c>
      <c r="M87" s="141"/>
      <c r="N87" s="147"/>
    </row>
    <row r="88" hidden="1" outlineLevel="1">
      <c r="B88" s="189"/>
      <c r="C88" s="191" t="s">
        <v>194</v>
      </c>
      <c r="D88" s="204">
        <f>AVERAGE(D73:D87)</f>
        <v>1</v>
      </c>
      <c r="E88" s="384"/>
      <c r="L88" s="191" t="s">
        <v>194</v>
      </c>
      <c r="M88" s="204">
        <f>SUM(M73:M87)/75*0.1</f>
        <v>0</v>
      </c>
    </row>
    <row r="89" hidden="1" collapsed="1">
      <c r="A89" s="206" t="s">
        <v>831</v>
      </c>
      <c r="B89" s="207"/>
      <c r="C89" s="207"/>
      <c r="D89" s="385"/>
      <c r="E89" s="109"/>
      <c r="F89" s="109"/>
      <c r="G89" s="110"/>
      <c r="H89" s="110"/>
      <c r="I89" s="110"/>
      <c r="J89" s="110"/>
      <c r="K89" s="110"/>
      <c r="L89" s="110"/>
      <c r="M89" s="111"/>
      <c r="N89" s="113"/>
    </row>
    <row r="90" hidden="1" outlineLevel="1">
      <c r="A90" s="373" t="s">
        <v>98</v>
      </c>
      <c r="B90" s="115" t="s">
        <v>100</v>
      </c>
      <c r="C90" s="115" t="s">
        <v>102</v>
      </c>
      <c r="D90" s="119" t="s">
        <v>103</v>
      </c>
      <c r="E90" s="275" t="s">
        <v>269</v>
      </c>
      <c r="F90" s="275" t="s">
        <v>272</v>
      </c>
      <c r="G90" s="276" t="s">
        <v>328</v>
      </c>
      <c r="H90" s="121" t="s">
        <v>107</v>
      </c>
      <c r="I90" s="121" t="s">
        <v>108</v>
      </c>
      <c r="J90" s="276" t="s">
        <v>329</v>
      </c>
      <c r="K90" s="121" t="s">
        <v>111</v>
      </c>
      <c r="L90" s="276" t="s">
        <v>274</v>
      </c>
      <c r="M90" s="115" t="s">
        <v>114</v>
      </c>
      <c r="N90" s="119" t="s">
        <v>115</v>
      </c>
    </row>
    <row r="91" hidden="1" outlineLevel="1">
      <c r="A91" s="255" t="s">
        <v>3562</v>
      </c>
      <c r="B91" s="344">
        <v>46104.0</v>
      </c>
      <c r="C91" s="133" t="str">
        <f t="shared" ref="C91:C105" si="11">IF(B91="", "", TEXT(B91, "ddd"))</f>
        <v>Mon</v>
      </c>
      <c r="D91" s="381">
        <f t="shared" ref="D91:D105" si="12">IF(E91="Yes",0.05,0)
+IF(F91="Yes",0.1,0)
+IF(G91="Yes",0.15,0)
+IF(H91="Yes",0.15,0)
+IF(I91="Yes",0.05,0)
+IF(J91="Yes",0.05,0)
+IF(K91="Yes",0.15,0)
+IF(L91="Yes",0.3,0)
</f>
        <v>1</v>
      </c>
      <c r="E91" s="382" t="s">
        <v>129</v>
      </c>
      <c r="F91" s="137" t="s">
        <v>129</v>
      </c>
      <c r="G91" s="137" t="s">
        <v>129</v>
      </c>
      <c r="H91" s="137" t="s">
        <v>129</v>
      </c>
      <c r="I91" s="137" t="s">
        <v>129</v>
      </c>
      <c r="J91" s="137" t="s">
        <v>129</v>
      </c>
      <c r="K91" s="137" t="s">
        <v>129</v>
      </c>
      <c r="L91" s="137" t="s">
        <v>129</v>
      </c>
      <c r="M91" s="141"/>
      <c r="N91" s="143"/>
    </row>
    <row r="92" hidden="1" outlineLevel="1">
      <c r="A92" s="255" t="s">
        <v>3566</v>
      </c>
      <c r="B92" s="344">
        <v>46104.0</v>
      </c>
      <c r="C92" s="133" t="str">
        <f t="shared" si="11"/>
        <v>Mon</v>
      </c>
      <c r="D92" s="383">
        <f t="shared" si="12"/>
        <v>1</v>
      </c>
      <c r="E92" s="147" t="s">
        <v>129</v>
      </c>
      <c r="F92" s="137" t="s">
        <v>129</v>
      </c>
      <c r="G92" s="137" t="s">
        <v>129</v>
      </c>
      <c r="H92" s="137" t="s">
        <v>129</v>
      </c>
      <c r="I92" s="137" t="s">
        <v>129</v>
      </c>
      <c r="J92" s="137" t="s">
        <v>129</v>
      </c>
      <c r="K92" s="137" t="s">
        <v>129</v>
      </c>
      <c r="L92" s="137" t="s">
        <v>129</v>
      </c>
      <c r="M92" s="141"/>
      <c r="N92" s="147"/>
    </row>
    <row r="93" hidden="1" outlineLevel="1">
      <c r="A93" s="255" t="s">
        <v>3570</v>
      </c>
      <c r="B93" s="344">
        <v>46104.0</v>
      </c>
      <c r="C93" s="133" t="str">
        <f t="shared" si="11"/>
        <v>Mon</v>
      </c>
      <c r="D93" s="381">
        <f t="shared" si="12"/>
        <v>1</v>
      </c>
      <c r="E93" s="382" t="s">
        <v>129</v>
      </c>
      <c r="F93" s="137" t="s">
        <v>129</v>
      </c>
      <c r="G93" s="137" t="s">
        <v>129</v>
      </c>
      <c r="H93" s="137" t="s">
        <v>129</v>
      </c>
      <c r="I93" s="137" t="s">
        <v>129</v>
      </c>
      <c r="J93" s="137" t="s">
        <v>129</v>
      </c>
      <c r="K93" s="137" t="s">
        <v>129</v>
      </c>
      <c r="L93" s="137" t="s">
        <v>129</v>
      </c>
      <c r="M93" s="141"/>
      <c r="N93" s="147"/>
    </row>
    <row r="94" hidden="1" outlineLevel="1">
      <c r="A94" s="255" t="s">
        <v>3571</v>
      </c>
      <c r="B94" s="344">
        <v>46106.0</v>
      </c>
      <c r="C94" s="133" t="str">
        <f t="shared" si="11"/>
        <v>Wed</v>
      </c>
      <c r="D94" s="383">
        <f t="shared" si="12"/>
        <v>1</v>
      </c>
      <c r="E94" s="147" t="s">
        <v>129</v>
      </c>
      <c r="F94" s="137" t="s">
        <v>129</v>
      </c>
      <c r="G94" s="137" t="s">
        <v>129</v>
      </c>
      <c r="H94" s="137" t="s">
        <v>129</v>
      </c>
      <c r="I94" s="137" t="s">
        <v>129</v>
      </c>
      <c r="J94" s="137" t="s">
        <v>129</v>
      </c>
      <c r="K94" s="137" t="s">
        <v>129</v>
      </c>
      <c r="L94" s="137" t="s">
        <v>129</v>
      </c>
      <c r="M94" s="141"/>
      <c r="N94" s="143"/>
    </row>
    <row r="95" hidden="1" outlineLevel="1">
      <c r="A95" s="255" t="s">
        <v>3572</v>
      </c>
      <c r="B95" s="344">
        <v>46106.0</v>
      </c>
      <c r="C95" s="133" t="str">
        <f t="shared" si="11"/>
        <v>Wed</v>
      </c>
      <c r="D95" s="381">
        <f t="shared" si="12"/>
        <v>1</v>
      </c>
      <c r="E95" s="382" t="s">
        <v>129</v>
      </c>
      <c r="F95" s="137" t="s">
        <v>129</v>
      </c>
      <c r="G95" s="137" t="s">
        <v>129</v>
      </c>
      <c r="H95" s="137" t="s">
        <v>129</v>
      </c>
      <c r="I95" s="137" t="s">
        <v>129</v>
      </c>
      <c r="J95" s="137" t="s">
        <v>129</v>
      </c>
      <c r="K95" s="137" t="s">
        <v>129</v>
      </c>
      <c r="L95" s="137" t="s">
        <v>129</v>
      </c>
      <c r="M95" s="141"/>
      <c r="N95" s="143"/>
    </row>
    <row r="96" hidden="1" outlineLevel="1">
      <c r="A96" s="255" t="s">
        <v>3574</v>
      </c>
      <c r="B96" s="344">
        <v>46106.0</v>
      </c>
      <c r="C96" s="133" t="str">
        <f t="shared" si="11"/>
        <v>Wed</v>
      </c>
      <c r="D96" s="383">
        <f t="shared" si="12"/>
        <v>1</v>
      </c>
      <c r="E96" s="147" t="s">
        <v>129</v>
      </c>
      <c r="F96" s="137" t="s">
        <v>129</v>
      </c>
      <c r="G96" s="137" t="s">
        <v>129</v>
      </c>
      <c r="H96" s="137" t="s">
        <v>129</v>
      </c>
      <c r="I96" s="137" t="s">
        <v>129</v>
      </c>
      <c r="J96" s="137" t="s">
        <v>129</v>
      </c>
      <c r="K96" s="137" t="s">
        <v>129</v>
      </c>
      <c r="L96" s="137" t="s">
        <v>129</v>
      </c>
      <c r="M96" s="141"/>
      <c r="N96" s="143"/>
    </row>
    <row r="97" hidden="1" outlineLevel="1">
      <c r="A97" s="255" t="s">
        <v>3577</v>
      </c>
      <c r="B97" s="344">
        <v>46107.0</v>
      </c>
      <c r="C97" s="133" t="str">
        <f t="shared" si="11"/>
        <v>Thu</v>
      </c>
      <c r="D97" s="381">
        <f t="shared" si="12"/>
        <v>1</v>
      </c>
      <c r="E97" s="382" t="s">
        <v>129</v>
      </c>
      <c r="F97" s="137" t="s">
        <v>129</v>
      </c>
      <c r="G97" s="137" t="s">
        <v>129</v>
      </c>
      <c r="H97" s="137" t="s">
        <v>129</v>
      </c>
      <c r="I97" s="137" t="s">
        <v>129</v>
      </c>
      <c r="J97" s="137" t="s">
        <v>129</v>
      </c>
      <c r="K97" s="137" t="s">
        <v>129</v>
      </c>
      <c r="L97" s="137" t="s">
        <v>129</v>
      </c>
      <c r="M97" s="141"/>
      <c r="N97" s="143"/>
    </row>
    <row r="98" hidden="1" outlineLevel="1">
      <c r="A98" s="255" t="s">
        <v>3581</v>
      </c>
      <c r="B98" s="344">
        <v>46107.0</v>
      </c>
      <c r="C98" s="133" t="str">
        <f t="shared" si="11"/>
        <v>Thu</v>
      </c>
      <c r="D98" s="383">
        <f t="shared" si="12"/>
        <v>1</v>
      </c>
      <c r="E98" s="147" t="s">
        <v>129</v>
      </c>
      <c r="F98" s="137" t="s">
        <v>129</v>
      </c>
      <c r="G98" s="137" t="s">
        <v>129</v>
      </c>
      <c r="H98" s="137" t="s">
        <v>129</v>
      </c>
      <c r="I98" s="137" t="s">
        <v>129</v>
      </c>
      <c r="J98" s="137" t="s">
        <v>129</v>
      </c>
      <c r="K98" s="137" t="s">
        <v>129</v>
      </c>
      <c r="L98" s="137" t="s">
        <v>129</v>
      </c>
      <c r="M98" s="141"/>
      <c r="N98" s="147"/>
    </row>
    <row r="99" hidden="1" outlineLevel="1">
      <c r="A99" s="255" t="s">
        <v>3583</v>
      </c>
      <c r="B99" s="344">
        <v>46107.0</v>
      </c>
      <c r="C99" s="133" t="str">
        <f t="shared" si="11"/>
        <v>Thu</v>
      </c>
      <c r="D99" s="381">
        <f t="shared" si="12"/>
        <v>1</v>
      </c>
      <c r="E99" s="382" t="s">
        <v>129</v>
      </c>
      <c r="F99" s="137" t="s">
        <v>129</v>
      </c>
      <c r="G99" s="137" t="s">
        <v>129</v>
      </c>
      <c r="H99" s="137" t="s">
        <v>129</v>
      </c>
      <c r="I99" s="137" t="s">
        <v>129</v>
      </c>
      <c r="J99" s="137" t="s">
        <v>129</v>
      </c>
      <c r="K99" s="137" t="s">
        <v>129</v>
      </c>
      <c r="L99" s="137" t="s">
        <v>129</v>
      </c>
      <c r="M99" s="141"/>
      <c r="N99" s="143"/>
    </row>
    <row r="100" hidden="1" outlineLevel="1">
      <c r="A100" s="219" t="s">
        <v>3585</v>
      </c>
      <c r="B100" s="344">
        <v>46109.0</v>
      </c>
      <c r="C100" s="133" t="str">
        <f t="shared" si="11"/>
        <v>Sat</v>
      </c>
      <c r="D100" s="383">
        <f t="shared" si="12"/>
        <v>1</v>
      </c>
      <c r="E100" s="147" t="s">
        <v>129</v>
      </c>
      <c r="F100" s="137" t="s">
        <v>129</v>
      </c>
      <c r="G100" s="137" t="s">
        <v>129</v>
      </c>
      <c r="H100" s="137" t="s">
        <v>129</v>
      </c>
      <c r="I100" s="137" t="s">
        <v>129</v>
      </c>
      <c r="J100" s="137" t="s">
        <v>129</v>
      </c>
      <c r="K100" s="137" t="s">
        <v>129</v>
      </c>
      <c r="L100" s="137" t="s">
        <v>129</v>
      </c>
      <c r="M100" s="141"/>
      <c r="N100" s="147"/>
    </row>
    <row r="101" hidden="1" outlineLevel="1">
      <c r="A101" s="219" t="s">
        <v>3587</v>
      </c>
      <c r="B101" s="344">
        <v>46109.0</v>
      </c>
      <c r="C101" s="133" t="str">
        <f t="shared" si="11"/>
        <v>Sat</v>
      </c>
      <c r="D101" s="381">
        <f t="shared" si="12"/>
        <v>1</v>
      </c>
      <c r="E101" s="382" t="s">
        <v>129</v>
      </c>
      <c r="F101" s="137" t="s">
        <v>129</v>
      </c>
      <c r="G101" s="137" t="s">
        <v>129</v>
      </c>
      <c r="H101" s="137" t="s">
        <v>129</v>
      </c>
      <c r="I101" s="137" t="s">
        <v>129</v>
      </c>
      <c r="J101" s="137" t="s">
        <v>129</v>
      </c>
      <c r="K101" s="137" t="s">
        <v>129</v>
      </c>
      <c r="L101" s="137" t="s">
        <v>129</v>
      </c>
      <c r="M101" s="141"/>
      <c r="N101" s="147"/>
    </row>
    <row r="102" hidden="1" outlineLevel="1">
      <c r="A102" s="387" t="s">
        <v>3588</v>
      </c>
      <c r="B102" s="344">
        <v>46109.0</v>
      </c>
      <c r="C102" s="133" t="str">
        <f t="shared" si="11"/>
        <v>Sat</v>
      </c>
      <c r="D102" s="383">
        <f t="shared" si="12"/>
        <v>1</v>
      </c>
      <c r="E102" s="147" t="s">
        <v>129</v>
      </c>
      <c r="F102" s="137" t="s">
        <v>129</v>
      </c>
      <c r="G102" s="137" t="s">
        <v>129</v>
      </c>
      <c r="H102" s="137" t="s">
        <v>129</v>
      </c>
      <c r="I102" s="137" t="s">
        <v>129</v>
      </c>
      <c r="J102" s="137" t="s">
        <v>129</v>
      </c>
      <c r="K102" s="137" t="s">
        <v>129</v>
      </c>
      <c r="L102" s="137" t="s">
        <v>129</v>
      </c>
      <c r="M102" s="141"/>
      <c r="N102" s="147"/>
    </row>
    <row r="103" hidden="1" outlineLevel="1">
      <c r="A103" s="219" t="s">
        <v>3592</v>
      </c>
      <c r="B103" s="344">
        <v>46110.0</v>
      </c>
      <c r="C103" s="133" t="str">
        <f t="shared" si="11"/>
        <v>Sun</v>
      </c>
      <c r="D103" s="381">
        <f t="shared" si="12"/>
        <v>1</v>
      </c>
      <c r="E103" s="382" t="s">
        <v>129</v>
      </c>
      <c r="F103" s="137" t="s">
        <v>129</v>
      </c>
      <c r="G103" s="137" t="s">
        <v>129</v>
      </c>
      <c r="H103" s="137" t="s">
        <v>129</v>
      </c>
      <c r="I103" s="137" t="s">
        <v>129</v>
      </c>
      <c r="J103" s="137" t="s">
        <v>129</v>
      </c>
      <c r="K103" s="137" t="s">
        <v>129</v>
      </c>
      <c r="L103" s="137" t="s">
        <v>129</v>
      </c>
      <c r="M103" s="141"/>
      <c r="N103" s="143"/>
    </row>
    <row r="104" hidden="1" outlineLevel="1">
      <c r="A104" s="387" t="s">
        <v>3593</v>
      </c>
      <c r="B104" s="344">
        <v>46110.0</v>
      </c>
      <c r="C104" s="133" t="str">
        <f t="shared" si="11"/>
        <v>Sun</v>
      </c>
      <c r="D104" s="383">
        <f t="shared" si="12"/>
        <v>1</v>
      </c>
      <c r="E104" s="147" t="s">
        <v>129</v>
      </c>
      <c r="F104" s="137" t="s">
        <v>129</v>
      </c>
      <c r="G104" s="137" t="s">
        <v>129</v>
      </c>
      <c r="H104" s="137" t="s">
        <v>129</v>
      </c>
      <c r="I104" s="137" t="s">
        <v>129</v>
      </c>
      <c r="J104" s="137" t="s">
        <v>129</v>
      </c>
      <c r="K104" s="137" t="s">
        <v>129</v>
      </c>
      <c r="L104" s="137" t="s">
        <v>129</v>
      </c>
      <c r="M104" s="141"/>
      <c r="N104" s="143"/>
    </row>
    <row r="105" ht="15.0" hidden="1" customHeight="1" outlineLevel="1">
      <c r="A105" s="219" t="s">
        <v>3595</v>
      </c>
      <c r="B105" s="344">
        <v>46110.0</v>
      </c>
      <c r="C105" s="133" t="str">
        <f t="shared" si="11"/>
        <v>Sun</v>
      </c>
      <c r="D105" s="381">
        <f t="shared" si="12"/>
        <v>0.55</v>
      </c>
      <c r="E105" s="382" t="s">
        <v>129</v>
      </c>
      <c r="F105" s="137" t="s">
        <v>129</v>
      </c>
      <c r="G105" s="137" t="s">
        <v>129</v>
      </c>
      <c r="H105" s="137" t="s">
        <v>129</v>
      </c>
      <c r="I105" s="137" t="s">
        <v>129</v>
      </c>
      <c r="J105" s="137" t="s">
        <v>129</v>
      </c>
      <c r="K105" s="137" t="s">
        <v>174</v>
      </c>
      <c r="L105" s="137" t="s">
        <v>174</v>
      </c>
      <c r="M105" s="141"/>
      <c r="N105" s="147"/>
    </row>
    <row r="106" hidden="1" outlineLevel="1">
      <c r="B106" s="189"/>
      <c r="C106" s="191" t="s">
        <v>194</v>
      </c>
      <c r="D106" s="204">
        <f>AVERAGE(D91:D105)</f>
        <v>0.97</v>
      </c>
      <c r="E106" s="384"/>
      <c r="L106" s="191" t="s">
        <v>194</v>
      </c>
      <c r="M106" s="204">
        <f>SUM(M91:M105)/75*0.1</f>
        <v>0</v>
      </c>
    </row>
    <row r="107" hidden="1" collapsed="1">
      <c r="A107" s="206" t="s">
        <v>858</v>
      </c>
      <c r="B107" s="207"/>
      <c r="C107" s="207"/>
      <c r="D107" s="385"/>
      <c r="E107" s="109"/>
      <c r="F107" s="109"/>
      <c r="G107" s="110"/>
      <c r="H107" s="110"/>
      <c r="I107" s="110"/>
      <c r="J107" s="110"/>
      <c r="K107" s="110"/>
      <c r="L107" s="110"/>
      <c r="M107" s="111"/>
      <c r="N107" s="113"/>
    </row>
    <row r="108" hidden="1" outlineLevel="1">
      <c r="A108" s="373" t="s">
        <v>98</v>
      </c>
      <c r="B108" s="115" t="s">
        <v>100</v>
      </c>
      <c r="C108" s="115" t="s">
        <v>102</v>
      </c>
      <c r="D108" s="119" t="s">
        <v>103</v>
      </c>
      <c r="E108" s="275" t="s">
        <v>269</v>
      </c>
      <c r="F108" s="275" t="s">
        <v>272</v>
      </c>
      <c r="G108" s="276" t="s">
        <v>328</v>
      </c>
      <c r="H108" s="121" t="s">
        <v>107</v>
      </c>
      <c r="I108" s="121" t="s">
        <v>108</v>
      </c>
      <c r="J108" s="276" t="s">
        <v>329</v>
      </c>
      <c r="K108" s="121" t="s">
        <v>111</v>
      </c>
      <c r="L108" s="276" t="s">
        <v>274</v>
      </c>
      <c r="M108" s="115" t="s">
        <v>114</v>
      </c>
      <c r="N108" s="119" t="s">
        <v>115</v>
      </c>
    </row>
    <row r="109" hidden="1" outlineLevel="1">
      <c r="A109" s="255" t="s">
        <v>3600</v>
      </c>
      <c r="B109" s="344">
        <v>46111.0</v>
      </c>
      <c r="C109" s="133" t="str">
        <f t="shared" ref="C109:C123" si="13">IF(B109="", "", TEXT(B109, "ddd"))</f>
        <v>Mon</v>
      </c>
      <c r="D109" s="381">
        <f t="shared" ref="D109:D123" si="14">IF(E109="Yes",0.05,0)
+IF(F109="Yes",0.1,0)
+IF(G109="Yes",0.15,0)
+IF(H109="Yes",0.15,0)
+IF(I109="Yes",0.05,0)
+IF(J109="Yes",0.05,0)
+IF(K109="Yes",0.15,0)
+IF(L109="Yes",0.3,0)
</f>
        <v>1</v>
      </c>
      <c r="E109" s="382" t="s">
        <v>129</v>
      </c>
      <c r="F109" s="137" t="s">
        <v>129</v>
      </c>
      <c r="G109" s="137" t="s">
        <v>129</v>
      </c>
      <c r="H109" s="137" t="s">
        <v>129</v>
      </c>
      <c r="I109" s="137" t="s">
        <v>129</v>
      </c>
      <c r="J109" s="137" t="s">
        <v>129</v>
      </c>
      <c r="K109" s="137" t="s">
        <v>129</v>
      </c>
      <c r="L109" s="137" t="s">
        <v>129</v>
      </c>
      <c r="M109" s="141"/>
      <c r="N109" s="143"/>
    </row>
    <row r="110" hidden="1" outlineLevel="1">
      <c r="A110" s="255" t="s">
        <v>3606</v>
      </c>
      <c r="B110" s="344">
        <v>46111.0</v>
      </c>
      <c r="C110" s="133" t="str">
        <f t="shared" si="13"/>
        <v>Mon</v>
      </c>
      <c r="D110" s="383">
        <f t="shared" si="14"/>
        <v>1</v>
      </c>
      <c r="E110" s="147" t="s">
        <v>129</v>
      </c>
      <c r="F110" s="137" t="s">
        <v>129</v>
      </c>
      <c r="G110" s="137" t="s">
        <v>129</v>
      </c>
      <c r="H110" s="137" t="s">
        <v>129</v>
      </c>
      <c r="I110" s="137" t="s">
        <v>129</v>
      </c>
      <c r="J110" s="137" t="s">
        <v>129</v>
      </c>
      <c r="K110" s="137" t="s">
        <v>129</v>
      </c>
      <c r="L110" s="137" t="s">
        <v>129</v>
      </c>
      <c r="M110" s="141"/>
      <c r="N110" s="147"/>
    </row>
    <row r="111" hidden="1" outlineLevel="1">
      <c r="A111" s="255" t="s">
        <v>3608</v>
      </c>
      <c r="B111" s="344">
        <v>46111.0</v>
      </c>
      <c r="C111" s="133" t="str">
        <f t="shared" si="13"/>
        <v>Mon</v>
      </c>
      <c r="D111" s="381">
        <f t="shared" si="14"/>
        <v>1</v>
      </c>
      <c r="E111" s="382" t="s">
        <v>129</v>
      </c>
      <c r="F111" s="137" t="s">
        <v>129</v>
      </c>
      <c r="G111" s="137" t="s">
        <v>129</v>
      </c>
      <c r="H111" s="137" t="s">
        <v>129</v>
      </c>
      <c r="I111" s="137" t="s">
        <v>129</v>
      </c>
      <c r="J111" s="137" t="s">
        <v>129</v>
      </c>
      <c r="K111" s="137" t="s">
        <v>129</v>
      </c>
      <c r="L111" s="137" t="s">
        <v>129</v>
      </c>
      <c r="M111" s="141"/>
      <c r="N111" s="147"/>
    </row>
    <row r="112" hidden="1" outlineLevel="1">
      <c r="A112" s="255" t="s">
        <v>3612</v>
      </c>
      <c r="B112" s="344">
        <v>46112.0</v>
      </c>
      <c r="C112" s="133" t="str">
        <f t="shared" si="13"/>
        <v>Tue</v>
      </c>
      <c r="D112" s="383">
        <f t="shared" si="14"/>
        <v>1</v>
      </c>
      <c r="E112" s="147" t="s">
        <v>129</v>
      </c>
      <c r="F112" s="137" t="s">
        <v>129</v>
      </c>
      <c r="G112" s="137" t="s">
        <v>129</v>
      </c>
      <c r="H112" s="137" t="s">
        <v>129</v>
      </c>
      <c r="I112" s="137" t="s">
        <v>129</v>
      </c>
      <c r="J112" s="137" t="s">
        <v>129</v>
      </c>
      <c r="K112" s="137" t="s">
        <v>129</v>
      </c>
      <c r="L112" s="137" t="s">
        <v>129</v>
      </c>
      <c r="M112" s="141"/>
      <c r="N112" s="143"/>
    </row>
    <row r="113" hidden="1" outlineLevel="1">
      <c r="A113" s="255" t="s">
        <v>3614</v>
      </c>
      <c r="B113" s="344">
        <v>46112.0</v>
      </c>
      <c r="C113" s="133" t="str">
        <f t="shared" si="13"/>
        <v>Tue</v>
      </c>
      <c r="D113" s="381">
        <f t="shared" si="14"/>
        <v>1</v>
      </c>
      <c r="E113" s="382" t="s">
        <v>129</v>
      </c>
      <c r="F113" s="137" t="s">
        <v>129</v>
      </c>
      <c r="G113" s="137" t="s">
        <v>129</v>
      </c>
      <c r="H113" s="137" t="s">
        <v>129</v>
      </c>
      <c r="I113" s="137" t="s">
        <v>129</v>
      </c>
      <c r="J113" s="137" t="s">
        <v>129</v>
      </c>
      <c r="K113" s="137" t="s">
        <v>129</v>
      </c>
      <c r="L113" s="137" t="s">
        <v>129</v>
      </c>
      <c r="M113" s="141"/>
      <c r="N113" s="147" t="s">
        <v>3616</v>
      </c>
    </row>
    <row r="114" hidden="1" outlineLevel="1">
      <c r="A114" s="255" t="s">
        <v>3617</v>
      </c>
      <c r="B114" s="344">
        <v>46112.0</v>
      </c>
      <c r="C114" s="133" t="str">
        <f t="shared" si="13"/>
        <v>Tue</v>
      </c>
      <c r="D114" s="383">
        <f t="shared" si="14"/>
        <v>1</v>
      </c>
      <c r="E114" s="147" t="s">
        <v>129</v>
      </c>
      <c r="F114" s="137" t="s">
        <v>129</v>
      </c>
      <c r="G114" s="137" t="s">
        <v>129</v>
      </c>
      <c r="H114" s="137" t="s">
        <v>129</v>
      </c>
      <c r="I114" s="137" t="s">
        <v>129</v>
      </c>
      <c r="J114" s="137" t="s">
        <v>129</v>
      </c>
      <c r="K114" s="137" t="s">
        <v>129</v>
      </c>
      <c r="L114" s="137" t="s">
        <v>129</v>
      </c>
      <c r="M114" s="141"/>
      <c r="N114" s="143"/>
    </row>
    <row r="115" hidden="1" outlineLevel="1">
      <c r="A115" s="255" t="s">
        <v>3618</v>
      </c>
      <c r="B115" s="344">
        <v>46113.0</v>
      </c>
      <c r="C115" s="133" t="str">
        <f t="shared" si="13"/>
        <v>Wed</v>
      </c>
      <c r="D115" s="381">
        <f t="shared" si="14"/>
        <v>1</v>
      </c>
      <c r="E115" s="474" t="s">
        <v>129</v>
      </c>
      <c r="F115" s="375" t="s">
        <v>129</v>
      </c>
      <c r="G115" s="375" t="s">
        <v>129</v>
      </c>
      <c r="H115" s="375" t="s">
        <v>129</v>
      </c>
      <c r="I115" s="375" t="s">
        <v>129</v>
      </c>
      <c r="J115" s="375" t="s">
        <v>129</v>
      </c>
      <c r="K115" s="375" t="s">
        <v>129</v>
      </c>
      <c r="L115" s="375" t="s">
        <v>129</v>
      </c>
      <c r="M115" s="141"/>
      <c r="N115" s="143"/>
    </row>
    <row r="116" hidden="1" outlineLevel="1">
      <c r="A116" s="255" t="s">
        <v>3621</v>
      </c>
      <c r="B116" s="344">
        <v>46113.0</v>
      </c>
      <c r="C116" s="133" t="str">
        <f t="shared" si="13"/>
        <v>Wed</v>
      </c>
      <c r="D116" s="383">
        <f t="shared" si="14"/>
        <v>1</v>
      </c>
      <c r="E116" s="147" t="s">
        <v>129</v>
      </c>
      <c r="F116" s="137" t="s">
        <v>129</v>
      </c>
      <c r="G116" s="137" t="s">
        <v>129</v>
      </c>
      <c r="H116" s="137" t="s">
        <v>129</v>
      </c>
      <c r="I116" s="137" t="s">
        <v>129</v>
      </c>
      <c r="J116" s="137" t="s">
        <v>129</v>
      </c>
      <c r="K116" s="137" t="s">
        <v>129</v>
      </c>
      <c r="L116" s="137" t="s">
        <v>129</v>
      </c>
      <c r="M116" s="141"/>
      <c r="N116" s="147"/>
    </row>
    <row r="117" hidden="1" outlineLevel="1">
      <c r="A117" s="255" t="s">
        <v>3623</v>
      </c>
      <c r="B117" s="344">
        <v>46113.0</v>
      </c>
      <c r="C117" s="133" t="str">
        <f t="shared" si="13"/>
        <v>Wed</v>
      </c>
      <c r="D117" s="381">
        <f t="shared" si="14"/>
        <v>1</v>
      </c>
      <c r="E117" s="382" t="s">
        <v>129</v>
      </c>
      <c r="F117" s="137" t="s">
        <v>129</v>
      </c>
      <c r="G117" s="137" t="s">
        <v>129</v>
      </c>
      <c r="H117" s="137" t="s">
        <v>129</v>
      </c>
      <c r="I117" s="137" t="s">
        <v>129</v>
      </c>
      <c r="J117" s="137" t="s">
        <v>129</v>
      </c>
      <c r="K117" s="137" t="s">
        <v>129</v>
      </c>
      <c r="L117" s="137" t="s">
        <v>129</v>
      </c>
      <c r="M117" s="141"/>
      <c r="N117" s="143"/>
    </row>
    <row r="118" hidden="1" outlineLevel="1">
      <c r="A118" s="255" t="s">
        <v>3625</v>
      </c>
      <c r="B118" s="344">
        <v>46114.0</v>
      </c>
      <c r="C118" s="133" t="str">
        <f t="shared" si="13"/>
        <v>Thu</v>
      </c>
      <c r="D118" s="383">
        <f t="shared" si="14"/>
        <v>0.8</v>
      </c>
      <c r="E118" s="147" t="s">
        <v>129</v>
      </c>
      <c r="F118" s="137" t="s">
        <v>129</v>
      </c>
      <c r="G118" s="137" t="s">
        <v>129</v>
      </c>
      <c r="H118" s="137" t="s">
        <v>174</v>
      </c>
      <c r="I118" s="137" t="s">
        <v>174</v>
      </c>
      <c r="J118" s="137" t="s">
        <v>129</v>
      </c>
      <c r="K118" s="137" t="s">
        <v>129</v>
      </c>
      <c r="L118" s="137" t="s">
        <v>129</v>
      </c>
      <c r="M118" s="141"/>
      <c r="N118" s="147" t="s">
        <v>3627</v>
      </c>
    </row>
    <row r="119" hidden="1" outlineLevel="1">
      <c r="A119" s="255" t="s">
        <v>3628</v>
      </c>
      <c r="B119" s="344">
        <v>46114.0</v>
      </c>
      <c r="C119" s="133" t="str">
        <f t="shared" si="13"/>
        <v>Thu</v>
      </c>
      <c r="D119" s="381">
        <f t="shared" si="14"/>
        <v>1</v>
      </c>
      <c r="E119" s="382" t="s">
        <v>129</v>
      </c>
      <c r="F119" s="137" t="s">
        <v>129</v>
      </c>
      <c r="G119" s="137" t="s">
        <v>129</v>
      </c>
      <c r="H119" s="137" t="s">
        <v>129</v>
      </c>
      <c r="I119" s="137" t="s">
        <v>129</v>
      </c>
      <c r="J119" s="137" t="s">
        <v>129</v>
      </c>
      <c r="K119" s="137" t="s">
        <v>129</v>
      </c>
      <c r="L119" s="137" t="s">
        <v>129</v>
      </c>
      <c r="M119" s="141"/>
      <c r="N119" s="147"/>
    </row>
    <row r="120" hidden="1" outlineLevel="1">
      <c r="A120" s="255" t="s">
        <v>3630</v>
      </c>
      <c r="B120" s="344">
        <v>46114.0</v>
      </c>
      <c r="C120" s="133" t="str">
        <f t="shared" si="13"/>
        <v>Thu</v>
      </c>
      <c r="D120" s="383">
        <f t="shared" si="14"/>
        <v>1</v>
      </c>
      <c r="E120" s="147" t="s">
        <v>129</v>
      </c>
      <c r="F120" s="137" t="s">
        <v>129</v>
      </c>
      <c r="G120" s="137" t="s">
        <v>129</v>
      </c>
      <c r="H120" s="137" t="s">
        <v>129</v>
      </c>
      <c r="I120" s="137" t="s">
        <v>129</v>
      </c>
      <c r="J120" s="137" t="s">
        <v>129</v>
      </c>
      <c r="K120" s="137" t="s">
        <v>129</v>
      </c>
      <c r="L120" s="137" t="s">
        <v>129</v>
      </c>
      <c r="M120" s="141"/>
      <c r="N120" s="147"/>
    </row>
    <row r="121" hidden="1" outlineLevel="1">
      <c r="A121" s="255" t="s">
        <v>3632</v>
      </c>
      <c r="B121" s="344">
        <v>46117.0</v>
      </c>
      <c r="C121" s="133" t="str">
        <f t="shared" si="13"/>
        <v>Sun</v>
      </c>
      <c r="D121" s="381">
        <f t="shared" si="14"/>
        <v>1</v>
      </c>
      <c r="E121" s="382" t="s">
        <v>129</v>
      </c>
      <c r="F121" s="137" t="s">
        <v>129</v>
      </c>
      <c r="G121" s="137" t="s">
        <v>129</v>
      </c>
      <c r="H121" s="137" t="s">
        <v>129</v>
      </c>
      <c r="I121" s="137" t="s">
        <v>129</v>
      </c>
      <c r="J121" s="137" t="s">
        <v>129</v>
      </c>
      <c r="K121" s="137" t="s">
        <v>129</v>
      </c>
      <c r="L121" s="137" t="s">
        <v>129</v>
      </c>
      <c r="M121" s="141"/>
      <c r="N121" s="143"/>
    </row>
    <row r="122" hidden="1" outlineLevel="1">
      <c r="A122" s="255" t="s">
        <v>3633</v>
      </c>
      <c r="B122" s="344">
        <v>46117.0</v>
      </c>
      <c r="C122" s="133" t="str">
        <f t="shared" si="13"/>
        <v>Sun</v>
      </c>
      <c r="D122" s="383">
        <f t="shared" si="14"/>
        <v>1</v>
      </c>
      <c r="E122" s="147" t="s">
        <v>129</v>
      </c>
      <c r="F122" s="137" t="s">
        <v>129</v>
      </c>
      <c r="G122" s="137" t="s">
        <v>129</v>
      </c>
      <c r="H122" s="137" t="s">
        <v>129</v>
      </c>
      <c r="I122" s="137" t="s">
        <v>129</v>
      </c>
      <c r="J122" s="137" t="s">
        <v>129</v>
      </c>
      <c r="K122" s="137" t="s">
        <v>129</v>
      </c>
      <c r="L122" s="137" t="s">
        <v>129</v>
      </c>
      <c r="M122" s="141"/>
      <c r="N122" s="143"/>
    </row>
    <row r="123" ht="15.0" hidden="1" customHeight="1" outlineLevel="1">
      <c r="A123" s="255" t="s">
        <v>3635</v>
      </c>
      <c r="B123" s="344">
        <v>46117.0</v>
      </c>
      <c r="C123" s="133" t="str">
        <f t="shared" si="13"/>
        <v>Sun</v>
      </c>
      <c r="D123" s="381">
        <f t="shared" si="14"/>
        <v>1</v>
      </c>
      <c r="E123" s="382" t="s">
        <v>129</v>
      </c>
      <c r="F123" s="137" t="s">
        <v>129</v>
      </c>
      <c r="G123" s="137" t="s">
        <v>129</v>
      </c>
      <c r="H123" s="137" t="s">
        <v>129</v>
      </c>
      <c r="I123" s="137" t="s">
        <v>129</v>
      </c>
      <c r="J123" s="137" t="s">
        <v>129</v>
      </c>
      <c r="K123" s="137" t="s">
        <v>129</v>
      </c>
      <c r="L123" s="137" t="s">
        <v>129</v>
      </c>
      <c r="M123" s="141"/>
      <c r="N123" s="147"/>
    </row>
    <row r="124" hidden="1" outlineLevel="1">
      <c r="B124" s="189"/>
      <c r="C124" s="191" t="s">
        <v>194</v>
      </c>
      <c r="D124" s="204">
        <f>AVERAGE(D109:D123)</f>
        <v>0.9866666667</v>
      </c>
      <c r="E124" s="384"/>
      <c r="L124" s="191" t="s">
        <v>194</v>
      </c>
      <c r="M124" s="204">
        <f>SUM(M109:M123)/75*0.1</f>
        <v>0</v>
      </c>
    </row>
    <row r="125" hidden="1" collapsed="1">
      <c r="A125" s="206" t="s">
        <v>886</v>
      </c>
      <c r="B125" s="207"/>
      <c r="C125" s="207"/>
      <c r="D125" s="385"/>
      <c r="E125" s="109"/>
      <c r="F125" s="109"/>
      <c r="G125" s="110"/>
      <c r="H125" s="110"/>
      <c r="I125" s="110"/>
      <c r="J125" s="110"/>
      <c r="K125" s="110"/>
      <c r="L125" s="110"/>
      <c r="M125" s="111"/>
      <c r="N125" s="113"/>
    </row>
    <row r="126" hidden="1" outlineLevel="1">
      <c r="A126" s="373" t="s">
        <v>98</v>
      </c>
      <c r="B126" s="115" t="s">
        <v>100</v>
      </c>
      <c r="C126" s="115" t="s">
        <v>102</v>
      </c>
      <c r="D126" s="119" t="s">
        <v>103</v>
      </c>
      <c r="E126" s="275" t="s">
        <v>269</v>
      </c>
      <c r="F126" s="275" t="s">
        <v>272</v>
      </c>
      <c r="G126" s="276" t="s">
        <v>328</v>
      </c>
      <c r="H126" s="121" t="s">
        <v>107</v>
      </c>
      <c r="I126" s="121" t="s">
        <v>108</v>
      </c>
      <c r="J126" s="276" t="s">
        <v>329</v>
      </c>
      <c r="K126" s="121" t="s">
        <v>111</v>
      </c>
      <c r="L126" s="276" t="s">
        <v>274</v>
      </c>
      <c r="M126" s="115" t="s">
        <v>114</v>
      </c>
      <c r="N126" s="119" t="s">
        <v>115</v>
      </c>
    </row>
    <row r="127" hidden="1" outlineLevel="1">
      <c r="A127" s="303" t="s">
        <v>3638</v>
      </c>
      <c r="B127" s="344">
        <v>46118.0</v>
      </c>
      <c r="C127" s="133" t="str">
        <f t="shared" ref="C127:C141" si="15">IF(B127="", "", TEXT(B127, "ddd"))</f>
        <v>Mon</v>
      </c>
      <c r="D127" s="381">
        <f t="shared" ref="D127:D141" si="16">IF(E127="Yes",0.05,0)
+IF(F127="Yes",0.1,0)
+IF(G127="Yes",0.15,0)
+IF(H127="Yes",0.15,0)
+IF(I127="Yes",0.05,0)
+IF(J127="Yes",0.05,0)
+IF(K127="Yes",0.15,0)
+IF(L127="Yes",0.3,0)
</f>
        <v>1</v>
      </c>
      <c r="E127" s="382" t="s">
        <v>129</v>
      </c>
      <c r="F127" s="137" t="s">
        <v>129</v>
      </c>
      <c r="G127" s="137" t="s">
        <v>129</v>
      </c>
      <c r="H127" s="137" t="s">
        <v>129</v>
      </c>
      <c r="I127" s="137" t="s">
        <v>129</v>
      </c>
      <c r="J127" s="137" t="s">
        <v>129</v>
      </c>
      <c r="K127" s="137" t="s">
        <v>129</v>
      </c>
      <c r="L127" s="137" t="s">
        <v>129</v>
      </c>
      <c r="M127" s="141"/>
      <c r="N127" s="143"/>
    </row>
    <row r="128" hidden="1" outlineLevel="1">
      <c r="A128" s="303" t="s">
        <v>3641</v>
      </c>
      <c r="B128" s="344">
        <v>46118.0</v>
      </c>
      <c r="C128" s="133" t="str">
        <f t="shared" si="15"/>
        <v>Mon</v>
      </c>
      <c r="D128" s="383">
        <f t="shared" si="16"/>
        <v>1</v>
      </c>
      <c r="E128" s="147" t="s">
        <v>129</v>
      </c>
      <c r="F128" s="137" t="s">
        <v>129</v>
      </c>
      <c r="G128" s="137" t="s">
        <v>129</v>
      </c>
      <c r="H128" s="137" t="s">
        <v>129</v>
      </c>
      <c r="I128" s="137" t="s">
        <v>129</v>
      </c>
      <c r="J128" s="137" t="s">
        <v>129</v>
      </c>
      <c r="K128" s="137" t="s">
        <v>129</v>
      </c>
      <c r="L128" s="137" t="s">
        <v>129</v>
      </c>
      <c r="M128" s="141"/>
      <c r="N128" s="147"/>
    </row>
    <row r="129" hidden="1" outlineLevel="1">
      <c r="A129" s="303" t="s">
        <v>3642</v>
      </c>
      <c r="B129" s="344">
        <v>46118.0</v>
      </c>
      <c r="C129" s="133" t="str">
        <f t="shared" si="15"/>
        <v>Mon</v>
      </c>
      <c r="D129" s="381">
        <f t="shared" si="16"/>
        <v>1</v>
      </c>
      <c r="E129" s="382" t="s">
        <v>129</v>
      </c>
      <c r="F129" s="137" t="s">
        <v>129</v>
      </c>
      <c r="G129" s="137" t="s">
        <v>129</v>
      </c>
      <c r="H129" s="137" t="s">
        <v>129</v>
      </c>
      <c r="I129" s="137" t="s">
        <v>129</v>
      </c>
      <c r="J129" s="137" t="s">
        <v>129</v>
      </c>
      <c r="K129" s="137" t="s">
        <v>129</v>
      </c>
      <c r="L129" s="137" t="s">
        <v>129</v>
      </c>
      <c r="M129" s="141"/>
      <c r="N129" s="147"/>
    </row>
    <row r="130" hidden="1" outlineLevel="1">
      <c r="A130" s="219" t="s">
        <v>3644</v>
      </c>
      <c r="B130" s="344">
        <v>46119.0</v>
      </c>
      <c r="C130" s="133" t="str">
        <f t="shared" si="15"/>
        <v>Tue</v>
      </c>
      <c r="D130" s="383">
        <f t="shared" si="16"/>
        <v>1</v>
      </c>
      <c r="E130" s="147" t="s">
        <v>129</v>
      </c>
      <c r="F130" s="137" t="s">
        <v>129</v>
      </c>
      <c r="G130" s="137" t="s">
        <v>129</v>
      </c>
      <c r="H130" s="137" t="s">
        <v>129</v>
      </c>
      <c r="I130" s="137" t="s">
        <v>129</v>
      </c>
      <c r="J130" s="137" t="s">
        <v>129</v>
      </c>
      <c r="K130" s="137" t="s">
        <v>129</v>
      </c>
      <c r="L130" s="137" t="s">
        <v>129</v>
      </c>
      <c r="M130" s="141"/>
      <c r="N130" s="143"/>
    </row>
    <row r="131" hidden="1" outlineLevel="1">
      <c r="A131" s="219" t="s">
        <v>3646</v>
      </c>
      <c r="B131" s="344">
        <v>46119.0</v>
      </c>
      <c r="C131" s="133" t="str">
        <f t="shared" si="15"/>
        <v>Tue</v>
      </c>
      <c r="D131" s="381">
        <f t="shared" si="16"/>
        <v>1</v>
      </c>
      <c r="E131" s="382" t="s">
        <v>129</v>
      </c>
      <c r="F131" s="137" t="s">
        <v>129</v>
      </c>
      <c r="G131" s="137" t="s">
        <v>129</v>
      </c>
      <c r="H131" s="137" t="s">
        <v>129</v>
      </c>
      <c r="I131" s="137" t="s">
        <v>129</v>
      </c>
      <c r="J131" s="137" t="s">
        <v>129</v>
      </c>
      <c r="K131" s="137" t="s">
        <v>129</v>
      </c>
      <c r="L131" s="137" t="s">
        <v>129</v>
      </c>
      <c r="M131" s="141"/>
      <c r="N131" s="143"/>
    </row>
    <row r="132" hidden="1" outlineLevel="1">
      <c r="A132" s="219" t="s">
        <v>3647</v>
      </c>
      <c r="B132" s="344">
        <v>46119.0</v>
      </c>
      <c r="C132" s="133" t="str">
        <f t="shared" si="15"/>
        <v>Tue</v>
      </c>
      <c r="D132" s="383">
        <f t="shared" si="16"/>
        <v>1</v>
      </c>
      <c r="E132" s="147" t="s">
        <v>129</v>
      </c>
      <c r="F132" s="137" t="s">
        <v>129</v>
      </c>
      <c r="G132" s="137" t="s">
        <v>129</v>
      </c>
      <c r="H132" s="137" t="s">
        <v>129</v>
      </c>
      <c r="I132" s="137" t="s">
        <v>129</v>
      </c>
      <c r="J132" s="137" t="s">
        <v>129</v>
      </c>
      <c r="K132" s="137" t="s">
        <v>129</v>
      </c>
      <c r="L132" s="137" t="s">
        <v>129</v>
      </c>
      <c r="M132" s="141"/>
      <c r="N132" s="143"/>
    </row>
    <row r="133" hidden="1" outlineLevel="1">
      <c r="A133" s="303" t="s">
        <v>3650</v>
      </c>
      <c r="B133" s="344">
        <v>46121.0</v>
      </c>
      <c r="C133" s="133" t="str">
        <f t="shared" si="15"/>
        <v>Thu</v>
      </c>
      <c r="D133" s="381">
        <f t="shared" si="16"/>
        <v>1</v>
      </c>
      <c r="E133" s="382" t="s">
        <v>129</v>
      </c>
      <c r="F133" s="137" t="s">
        <v>129</v>
      </c>
      <c r="G133" s="137" t="s">
        <v>129</v>
      </c>
      <c r="H133" s="137" t="s">
        <v>129</v>
      </c>
      <c r="I133" s="137" t="s">
        <v>129</v>
      </c>
      <c r="J133" s="137" t="s">
        <v>129</v>
      </c>
      <c r="K133" s="137" t="s">
        <v>129</v>
      </c>
      <c r="L133" s="137" t="s">
        <v>129</v>
      </c>
      <c r="M133" s="141"/>
      <c r="N133" s="143"/>
    </row>
    <row r="134" hidden="1" outlineLevel="1">
      <c r="A134" s="303" t="s">
        <v>3652</v>
      </c>
      <c r="B134" s="344">
        <v>46121.0</v>
      </c>
      <c r="C134" s="133" t="str">
        <f t="shared" si="15"/>
        <v>Thu</v>
      </c>
      <c r="D134" s="383">
        <f t="shared" si="16"/>
        <v>1</v>
      </c>
      <c r="E134" s="147" t="s">
        <v>129</v>
      </c>
      <c r="F134" s="137" t="s">
        <v>129</v>
      </c>
      <c r="G134" s="137" t="s">
        <v>129</v>
      </c>
      <c r="H134" s="137" t="s">
        <v>129</v>
      </c>
      <c r="I134" s="137" t="s">
        <v>129</v>
      </c>
      <c r="J134" s="137" t="s">
        <v>129</v>
      </c>
      <c r="K134" s="137" t="s">
        <v>129</v>
      </c>
      <c r="L134" s="137" t="s">
        <v>129</v>
      </c>
      <c r="M134" s="141"/>
      <c r="N134" s="147"/>
    </row>
    <row r="135" hidden="1" outlineLevel="1">
      <c r="A135" s="303" t="s">
        <v>3654</v>
      </c>
      <c r="B135" s="344">
        <v>46121.0</v>
      </c>
      <c r="C135" s="133" t="str">
        <f t="shared" si="15"/>
        <v>Thu</v>
      </c>
      <c r="D135" s="381">
        <f t="shared" si="16"/>
        <v>1</v>
      </c>
      <c r="E135" s="382" t="s">
        <v>129</v>
      </c>
      <c r="F135" s="137" t="s">
        <v>129</v>
      </c>
      <c r="G135" s="137" t="s">
        <v>129</v>
      </c>
      <c r="H135" s="137" t="s">
        <v>129</v>
      </c>
      <c r="I135" s="137" t="s">
        <v>129</v>
      </c>
      <c r="J135" s="137" t="s">
        <v>129</v>
      </c>
      <c r="K135" s="137" t="s">
        <v>129</v>
      </c>
      <c r="L135" s="137" t="s">
        <v>129</v>
      </c>
      <c r="M135" s="141"/>
      <c r="N135" s="143"/>
    </row>
    <row r="136" hidden="1" outlineLevel="1">
      <c r="A136" s="219" t="s">
        <v>3657</v>
      </c>
      <c r="B136" s="344">
        <v>46123.0</v>
      </c>
      <c r="C136" s="133" t="str">
        <f t="shared" si="15"/>
        <v>Sat</v>
      </c>
      <c r="D136" s="383">
        <f t="shared" si="16"/>
        <v>1</v>
      </c>
      <c r="E136" s="147" t="s">
        <v>129</v>
      </c>
      <c r="F136" s="137" t="s">
        <v>129</v>
      </c>
      <c r="G136" s="137" t="s">
        <v>129</v>
      </c>
      <c r="H136" s="137" t="s">
        <v>129</v>
      </c>
      <c r="I136" s="137" t="s">
        <v>129</v>
      </c>
      <c r="J136" s="137" t="s">
        <v>129</v>
      </c>
      <c r="K136" s="137" t="s">
        <v>129</v>
      </c>
      <c r="L136" s="137" t="s">
        <v>129</v>
      </c>
      <c r="M136" s="141"/>
      <c r="N136" s="147"/>
    </row>
    <row r="137" hidden="1" outlineLevel="1">
      <c r="A137" s="219" t="s">
        <v>3658</v>
      </c>
      <c r="B137" s="344">
        <v>46123.0</v>
      </c>
      <c r="C137" s="133" t="str">
        <f t="shared" si="15"/>
        <v>Sat</v>
      </c>
      <c r="D137" s="381">
        <f t="shared" si="16"/>
        <v>1</v>
      </c>
      <c r="E137" s="382" t="s">
        <v>129</v>
      </c>
      <c r="F137" s="137" t="s">
        <v>129</v>
      </c>
      <c r="G137" s="137" t="s">
        <v>129</v>
      </c>
      <c r="H137" s="137" t="s">
        <v>129</v>
      </c>
      <c r="I137" s="137" t="s">
        <v>129</v>
      </c>
      <c r="J137" s="137" t="s">
        <v>129</v>
      </c>
      <c r="K137" s="137" t="s">
        <v>129</v>
      </c>
      <c r="L137" s="137" t="s">
        <v>129</v>
      </c>
      <c r="M137" s="141"/>
      <c r="N137" s="147"/>
    </row>
    <row r="138" hidden="1" outlineLevel="1">
      <c r="A138" s="219" t="s">
        <v>3662</v>
      </c>
      <c r="B138" s="344">
        <v>46123.0</v>
      </c>
      <c r="C138" s="133" t="str">
        <f t="shared" si="15"/>
        <v>Sat</v>
      </c>
      <c r="D138" s="383">
        <f t="shared" si="16"/>
        <v>1</v>
      </c>
      <c r="E138" s="147" t="s">
        <v>129</v>
      </c>
      <c r="F138" s="137" t="s">
        <v>129</v>
      </c>
      <c r="G138" s="137" t="s">
        <v>129</v>
      </c>
      <c r="H138" s="137" t="s">
        <v>129</v>
      </c>
      <c r="I138" s="137" t="s">
        <v>129</v>
      </c>
      <c r="J138" s="137" t="s">
        <v>129</v>
      </c>
      <c r="K138" s="137" t="s">
        <v>129</v>
      </c>
      <c r="L138" s="137" t="s">
        <v>129</v>
      </c>
      <c r="M138" s="141"/>
      <c r="N138" s="147"/>
    </row>
    <row r="139" hidden="1" outlineLevel="1">
      <c r="A139" s="219" t="s">
        <v>3670</v>
      </c>
      <c r="B139" s="344">
        <v>46124.0</v>
      </c>
      <c r="C139" s="133" t="str">
        <f t="shared" si="15"/>
        <v>Sun</v>
      </c>
      <c r="D139" s="381">
        <f t="shared" si="16"/>
        <v>1</v>
      </c>
      <c r="E139" s="382" t="s">
        <v>129</v>
      </c>
      <c r="F139" s="137" t="s">
        <v>129</v>
      </c>
      <c r="G139" s="137" t="s">
        <v>129</v>
      </c>
      <c r="H139" s="137" t="s">
        <v>129</v>
      </c>
      <c r="I139" s="137" t="s">
        <v>129</v>
      </c>
      <c r="J139" s="137" t="s">
        <v>129</v>
      </c>
      <c r="K139" s="137" t="s">
        <v>129</v>
      </c>
      <c r="L139" s="137" t="s">
        <v>129</v>
      </c>
      <c r="M139" s="141"/>
      <c r="N139" s="143"/>
    </row>
    <row r="140" hidden="1" outlineLevel="1">
      <c r="A140" s="219" t="s">
        <v>3673</v>
      </c>
      <c r="B140" s="344">
        <v>46124.0</v>
      </c>
      <c r="C140" s="133" t="str">
        <f t="shared" si="15"/>
        <v>Sun</v>
      </c>
      <c r="D140" s="383">
        <f t="shared" si="16"/>
        <v>1</v>
      </c>
      <c r="E140" s="147" t="s">
        <v>129</v>
      </c>
      <c r="F140" s="137" t="s">
        <v>129</v>
      </c>
      <c r="G140" s="137" t="s">
        <v>129</v>
      </c>
      <c r="H140" s="137" t="s">
        <v>129</v>
      </c>
      <c r="I140" s="137" t="s">
        <v>129</v>
      </c>
      <c r="J140" s="137" t="s">
        <v>129</v>
      </c>
      <c r="K140" s="137" t="s">
        <v>129</v>
      </c>
      <c r="L140" s="137" t="s">
        <v>129</v>
      </c>
      <c r="M140" s="141"/>
      <c r="N140" s="143"/>
    </row>
    <row r="141" ht="17.25" hidden="1" customHeight="1" outlineLevel="1">
      <c r="A141" s="219" t="s">
        <v>3675</v>
      </c>
      <c r="B141" s="344">
        <v>46124.0</v>
      </c>
      <c r="C141" s="133" t="str">
        <f t="shared" si="15"/>
        <v>Sun</v>
      </c>
      <c r="D141" s="381">
        <f t="shared" si="16"/>
        <v>1</v>
      </c>
      <c r="E141" s="382" t="s">
        <v>129</v>
      </c>
      <c r="F141" s="137" t="s">
        <v>129</v>
      </c>
      <c r="G141" s="137" t="s">
        <v>129</v>
      </c>
      <c r="H141" s="137" t="s">
        <v>129</v>
      </c>
      <c r="I141" s="137" t="s">
        <v>129</v>
      </c>
      <c r="J141" s="137" t="s">
        <v>129</v>
      </c>
      <c r="K141" s="137" t="s">
        <v>129</v>
      </c>
      <c r="L141" s="137" t="s">
        <v>129</v>
      </c>
      <c r="M141" s="141"/>
      <c r="N141" s="147"/>
    </row>
    <row r="142" hidden="1" outlineLevel="1">
      <c r="B142" s="189"/>
      <c r="C142" s="191" t="s">
        <v>194</v>
      </c>
      <c r="D142" s="204">
        <f>AVERAGE(D127:D141)</f>
        <v>1</v>
      </c>
      <c r="E142" s="384"/>
      <c r="L142" s="191" t="s">
        <v>194</v>
      </c>
      <c r="M142" s="204">
        <f>SUM(M127:M141)/75*0.1</f>
        <v>0</v>
      </c>
    </row>
    <row r="143" hidden="1" collapsed="1">
      <c r="A143" s="206" t="s">
        <v>917</v>
      </c>
      <c r="B143" s="207"/>
      <c r="C143" s="207"/>
      <c r="D143" s="385"/>
      <c r="E143" s="109"/>
      <c r="F143" s="109"/>
      <c r="G143" s="110"/>
      <c r="H143" s="110"/>
      <c r="I143" s="110"/>
      <c r="J143" s="110"/>
      <c r="K143" s="110"/>
      <c r="L143" s="110"/>
      <c r="M143" s="111"/>
      <c r="N143" s="113"/>
    </row>
    <row r="144" hidden="1" outlineLevel="1">
      <c r="A144" s="373" t="s">
        <v>98</v>
      </c>
      <c r="B144" s="115" t="s">
        <v>100</v>
      </c>
      <c r="C144" s="115" t="s">
        <v>102</v>
      </c>
      <c r="D144" s="119" t="s">
        <v>103</v>
      </c>
      <c r="E144" s="275" t="s">
        <v>269</v>
      </c>
      <c r="F144" s="275" t="s">
        <v>272</v>
      </c>
      <c r="G144" s="276" t="s">
        <v>328</v>
      </c>
      <c r="H144" s="121" t="s">
        <v>107</v>
      </c>
      <c r="I144" s="121" t="s">
        <v>108</v>
      </c>
      <c r="J144" s="276" t="s">
        <v>329</v>
      </c>
      <c r="K144" s="121" t="s">
        <v>111</v>
      </c>
      <c r="L144" s="276" t="s">
        <v>274</v>
      </c>
      <c r="M144" s="115" t="s">
        <v>114</v>
      </c>
      <c r="N144" s="119" t="s">
        <v>115</v>
      </c>
    </row>
    <row r="145" hidden="1" outlineLevel="1">
      <c r="A145" s="303" t="s">
        <v>3681</v>
      </c>
      <c r="B145" s="344">
        <v>46125.0</v>
      </c>
      <c r="C145" s="133" t="str">
        <f t="shared" ref="C145:C159" si="17">IF(B145="", "", TEXT(B145, "ddd"))</f>
        <v>Mon</v>
      </c>
      <c r="D145" s="381">
        <f t="shared" ref="D145:D159" si="18">IF(E145="Yes",0.05,0)
+IF(F145="Yes",0.1,0)
+IF(G145="Yes",0.15,0)
+IF(H145="Yes",0.15,0)
+IF(I145="Yes",0.05,0)
+IF(J145="Yes",0.05,0)
+IF(K145="Yes",0.15,0)
+IF(L145="Yes",0.3,0)
</f>
        <v>1</v>
      </c>
      <c r="E145" s="382" t="s">
        <v>129</v>
      </c>
      <c r="F145" s="137" t="s">
        <v>129</v>
      </c>
      <c r="G145" s="137" t="s">
        <v>129</v>
      </c>
      <c r="H145" s="137" t="s">
        <v>129</v>
      </c>
      <c r="I145" s="137" t="s">
        <v>129</v>
      </c>
      <c r="J145" s="137" t="s">
        <v>129</v>
      </c>
      <c r="K145" s="137" t="s">
        <v>129</v>
      </c>
      <c r="L145" s="137" t="s">
        <v>129</v>
      </c>
      <c r="M145" s="141"/>
      <c r="N145" s="143"/>
    </row>
    <row r="146" hidden="1" outlineLevel="1">
      <c r="A146" s="303" t="s">
        <v>3685</v>
      </c>
      <c r="B146" s="344">
        <v>46125.0</v>
      </c>
      <c r="C146" s="133" t="str">
        <f t="shared" si="17"/>
        <v>Mon</v>
      </c>
      <c r="D146" s="383">
        <f t="shared" si="18"/>
        <v>1</v>
      </c>
      <c r="E146" s="147" t="s">
        <v>129</v>
      </c>
      <c r="F146" s="137" t="s">
        <v>129</v>
      </c>
      <c r="G146" s="137" t="s">
        <v>129</v>
      </c>
      <c r="H146" s="137" t="s">
        <v>129</v>
      </c>
      <c r="I146" s="137" t="s">
        <v>129</v>
      </c>
      <c r="J146" s="137" t="s">
        <v>129</v>
      </c>
      <c r="K146" s="137" t="s">
        <v>129</v>
      </c>
      <c r="L146" s="137" t="s">
        <v>129</v>
      </c>
      <c r="M146" s="141"/>
      <c r="N146" s="147"/>
    </row>
    <row r="147" hidden="1" outlineLevel="1">
      <c r="A147" s="303" t="s">
        <v>3689</v>
      </c>
      <c r="B147" s="344">
        <v>46125.0</v>
      </c>
      <c r="C147" s="133" t="str">
        <f t="shared" si="17"/>
        <v>Mon</v>
      </c>
      <c r="D147" s="381">
        <f t="shared" si="18"/>
        <v>1</v>
      </c>
      <c r="E147" s="382" t="s">
        <v>129</v>
      </c>
      <c r="F147" s="137" t="s">
        <v>129</v>
      </c>
      <c r="G147" s="137" t="s">
        <v>129</v>
      </c>
      <c r="H147" s="137" t="s">
        <v>129</v>
      </c>
      <c r="I147" s="137" t="s">
        <v>129</v>
      </c>
      <c r="J147" s="137" t="s">
        <v>129</v>
      </c>
      <c r="K147" s="137" t="s">
        <v>129</v>
      </c>
      <c r="L147" s="137" t="s">
        <v>129</v>
      </c>
      <c r="M147" s="141"/>
      <c r="N147" s="147"/>
    </row>
    <row r="148" hidden="1" outlineLevel="1">
      <c r="A148" s="255" t="s">
        <v>3691</v>
      </c>
      <c r="B148" s="344">
        <v>46126.0</v>
      </c>
      <c r="C148" s="133" t="str">
        <f t="shared" si="17"/>
        <v>Tue</v>
      </c>
      <c r="D148" s="383">
        <f t="shared" si="18"/>
        <v>1</v>
      </c>
      <c r="E148" s="147" t="s">
        <v>129</v>
      </c>
      <c r="F148" s="137" t="s">
        <v>129</v>
      </c>
      <c r="G148" s="137" t="s">
        <v>129</v>
      </c>
      <c r="H148" s="137" t="s">
        <v>129</v>
      </c>
      <c r="I148" s="137" t="s">
        <v>129</v>
      </c>
      <c r="J148" s="137" t="s">
        <v>129</v>
      </c>
      <c r="K148" s="137" t="s">
        <v>129</v>
      </c>
      <c r="L148" s="137" t="s">
        <v>129</v>
      </c>
      <c r="M148" s="141"/>
      <c r="N148" s="143"/>
    </row>
    <row r="149" hidden="1" outlineLevel="1">
      <c r="A149" s="255" t="s">
        <v>3693</v>
      </c>
      <c r="B149" s="344">
        <v>46126.0</v>
      </c>
      <c r="C149" s="133" t="str">
        <f t="shared" si="17"/>
        <v>Tue</v>
      </c>
      <c r="D149" s="381">
        <f t="shared" si="18"/>
        <v>1</v>
      </c>
      <c r="E149" s="382" t="s">
        <v>129</v>
      </c>
      <c r="F149" s="137" t="s">
        <v>129</v>
      </c>
      <c r="G149" s="137" t="s">
        <v>129</v>
      </c>
      <c r="H149" s="137" t="s">
        <v>129</v>
      </c>
      <c r="I149" s="137" t="s">
        <v>129</v>
      </c>
      <c r="J149" s="137" t="s">
        <v>129</v>
      </c>
      <c r="K149" s="137" t="s">
        <v>129</v>
      </c>
      <c r="L149" s="137" t="s">
        <v>129</v>
      </c>
      <c r="M149" s="141"/>
      <c r="N149" s="143"/>
    </row>
    <row r="150" hidden="1" outlineLevel="1">
      <c r="A150" s="255" t="s">
        <v>3697</v>
      </c>
      <c r="B150" s="344">
        <v>46126.0</v>
      </c>
      <c r="C150" s="133" t="str">
        <f t="shared" si="17"/>
        <v>Tue</v>
      </c>
      <c r="D150" s="383">
        <f t="shared" si="18"/>
        <v>1</v>
      </c>
      <c r="E150" s="147" t="s">
        <v>129</v>
      </c>
      <c r="F150" s="137" t="s">
        <v>129</v>
      </c>
      <c r="G150" s="137" t="s">
        <v>129</v>
      </c>
      <c r="H150" s="137" t="s">
        <v>129</v>
      </c>
      <c r="I150" s="137" t="s">
        <v>129</v>
      </c>
      <c r="J150" s="137" t="s">
        <v>129</v>
      </c>
      <c r="K150" s="137" t="s">
        <v>129</v>
      </c>
      <c r="L150" s="137" t="s">
        <v>129</v>
      </c>
      <c r="M150" s="141"/>
      <c r="N150" s="143"/>
    </row>
    <row r="151" hidden="1" outlineLevel="1">
      <c r="A151" s="403" t="s">
        <v>3700</v>
      </c>
      <c r="B151" s="344">
        <v>46127.0</v>
      </c>
      <c r="C151" s="133" t="str">
        <f t="shared" si="17"/>
        <v>Wed</v>
      </c>
      <c r="D151" s="381">
        <f t="shared" si="18"/>
        <v>1</v>
      </c>
      <c r="E151" s="382" t="s">
        <v>129</v>
      </c>
      <c r="F151" s="137" t="s">
        <v>129</v>
      </c>
      <c r="G151" s="137" t="s">
        <v>129</v>
      </c>
      <c r="H151" s="137" t="s">
        <v>129</v>
      </c>
      <c r="I151" s="137" t="s">
        <v>129</v>
      </c>
      <c r="J151" s="137" t="s">
        <v>129</v>
      </c>
      <c r="K151" s="137" t="s">
        <v>129</v>
      </c>
      <c r="L151" s="137" t="s">
        <v>129</v>
      </c>
      <c r="M151" s="141"/>
      <c r="N151" s="143"/>
    </row>
    <row r="152" hidden="1" outlineLevel="1">
      <c r="A152" s="403" t="s">
        <v>3703</v>
      </c>
      <c r="B152" s="344">
        <v>46127.0</v>
      </c>
      <c r="C152" s="133" t="str">
        <f t="shared" si="17"/>
        <v>Wed</v>
      </c>
      <c r="D152" s="383">
        <f t="shared" si="18"/>
        <v>1</v>
      </c>
      <c r="E152" s="147" t="s">
        <v>129</v>
      </c>
      <c r="F152" s="137" t="s">
        <v>129</v>
      </c>
      <c r="G152" s="137" t="s">
        <v>129</v>
      </c>
      <c r="H152" s="137" t="s">
        <v>129</v>
      </c>
      <c r="I152" s="137" t="s">
        <v>129</v>
      </c>
      <c r="J152" s="137" t="s">
        <v>129</v>
      </c>
      <c r="K152" s="137" t="s">
        <v>129</v>
      </c>
      <c r="L152" s="137" t="s">
        <v>129</v>
      </c>
      <c r="M152" s="141"/>
      <c r="N152" s="147"/>
    </row>
    <row r="153" hidden="1" outlineLevel="1">
      <c r="A153" s="303" t="s">
        <v>3705</v>
      </c>
      <c r="B153" s="344">
        <v>46127.0</v>
      </c>
      <c r="C153" s="133" t="str">
        <f t="shared" si="17"/>
        <v>Wed</v>
      </c>
      <c r="D153" s="381">
        <f t="shared" si="18"/>
        <v>1</v>
      </c>
      <c r="E153" s="382" t="s">
        <v>129</v>
      </c>
      <c r="F153" s="137" t="s">
        <v>129</v>
      </c>
      <c r="G153" s="137" t="s">
        <v>129</v>
      </c>
      <c r="H153" s="137" t="s">
        <v>129</v>
      </c>
      <c r="I153" s="137" t="s">
        <v>129</v>
      </c>
      <c r="J153" s="137" t="s">
        <v>129</v>
      </c>
      <c r="K153" s="137" t="s">
        <v>129</v>
      </c>
      <c r="L153" s="137" t="s">
        <v>129</v>
      </c>
      <c r="M153" s="141"/>
      <c r="N153" s="143"/>
    </row>
    <row r="154" hidden="1" outlineLevel="1">
      <c r="A154" s="255" t="s">
        <v>3706</v>
      </c>
      <c r="B154" s="344">
        <v>46130.0</v>
      </c>
      <c r="C154" s="133" t="str">
        <f t="shared" si="17"/>
        <v>Sat</v>
      </c>
      <c r="D154" s="383">
        <f t="shared" si="18"/>
        <v>1</v>
      </c>
      <c r="E154" s="147" t="s">
        <v>129</v>
      </c>
      <c r="F154" s="137" t="s">
        <v>129</v>
      </c>
      <c r="G154" s="137" t="s">
        <v>129</v>
      </c>
      <c r="H154" s="137" t="s">
        <v>129</v>
      </c>
      <c r="I154" s="137" t="s">
        <v>129</v>
      </c>
      <c r="J154" s="137" t="s">
        <v>129</v>
      </c>
      <c r="K154" s="137" t="s">
        <v>129</v>
      </c>
      <c r="L154" s="137" t="s">
        <v>129</v>
      </c>
      <c r="M154" s="141"/>
      <c r="N154" s="147"/>
    </row>
    <row r="155" hidden="1" outlineLevel="1">
      <c r="A155" s="255" t="s">
        <v>3709</v>
      </c>
      <c r="B155" s="344">
        <v>46130.0</v>
      </c>
      <c r="C155" s="133" t="str">
        <f t="shared" si="17"/>
        <v>Sat</v>
      </c>
      <c r="D155" s="381">
        <f t="shared" si="18"/>
        <v>1</v>
      </c>
      <c r="E155" s="382" t="s">
        <v>129</v>
      </c>
      <c r="F155" s="137" t="s">
        <v>129</v>
      </c>
      <c r="G155" s="137" t="s">
        <v>129</v>
      </c>
      <c r="H155" s="137" t="s">
        <v>129</v>
      </c>
      <c r="I155" s="137" t="s">
        <v>129</v>
      </c>
      <c r="J155" s="137" t="s">
        <v>129</v>
      </c>
      <c r="K155" s="137" t="s">
        <v>129</v>
      </c>
      <c r="L155" s="137" t="s">
        <v>129</v>
      </c>
      <c r="M155" s="141"/>
      <c r="N155" s="147"/>
    </row>
    <row r="156" hidden="1" outlineLevel="1">
      <c r="A156" s="255" t="s">
        <v>3710</v>
      </c>
      <c r="B156" s="344">
        <v>46130.0</v>
      </c>
      <c r="C156" s="133" t="str">
        <f t="shared" si="17"/>
        <v>Sat</v>
      </c>
      <c r="D156" s="383">
        <f t="shared" si="18"/>
        <v>1</v>
      </c>
      <c r="E156" s="147" t="s">
        <v>129</v>
      </c>
      <c r="F156" s="137" t="s">
        <v>129</v>
      </c>
      <c r="G156" s="137" t="s">
        <v>129</v>
      </c>
      <c r="H156" s="137" t="s">
        <v>129</v>
      </c>
      <c r="I156" s="137" t="s">
        <v>129</v>
      </c>
      <c r="J156" s="137" t="s">
        <v>129</v>
      </c>
      <c r="K156" s="137" t="s">
        <v>129</v>
      </c>
      <c r="L156" s="137" t="s">
        <v>129</v>
      </c>
      <c r="M156" s="141"/>
      <c r="N156" s="147"/>
    </row>
    <row r="157" hidden="1" outlineLevel="1">
      <c r="A157" s="255" t="s">
        <v>3711</v>
      </c>
      <c r="B157" s="344">
        <v>46131.0</v>
      </c>
      <c r="C157" s="133" t="str">
        <f t="shared" si="17"/>
        <v>Sun</v>
      </c>
      <c r="D157" s="381">
        <f t="shared" si="18"/>
        <v>1</v>
      </c>
      <c r="E157" s="382" t="s">
        <v>129</v>
      </c>
      <c r="F157" s="137" t="s">
        <v>129</v>
      </c>
      <c r="G157" s="137" t="s">
        <v>129</v>
      </c>
      <c r="H157" s="137" t="s">
        <v>129</v>
      </c>
      <c r="I157" s="137" t="s">
        <v>129</v>
      </c>
      <c r="J157" s="137" t="s">
        <v>129</v>
      </c>
      <c r="K157" s="137" t="s">
        <v>129</v>
      </c>
      <c r="L157" s="137" t="s">
        <v>129</v>
      </c>
      <c r="M157" s="141"/>
      <c r="N157" s="143"/>
    </row>
    <row r="158" hidden="1" outlineLevel="1">
      <c r="A158" s="255" t="s">
        <v>3713</v>
      </c>
      <c r="B158" s="344">
        <v>46131.0</v>
      </c>
      <c r="C158" s="133" t="str">
        <f t="shared" si="17"/>
        <v>Sun</v>
      </c>
      <c r="D158" s="383">
        <f t="shared" si="18"/>
        <v>1</v>
      </c>
      <c r="E158" s="147" t="s">
        <v>129</v>
      </c>
      <c r="F158" s="137" t="s">
        <v>129</v>
      </c>
      <c r="G158" s="137" t="s">
        <v>129</v>
      </c>
      <c r="H158" s="137" t="s">
        <v>129</v>
      </c>
      <c r="I158" s="137" t="s">
        <v>129</v>
      </c>
      <c r="J158" s="137" t="s">
        <v>129</v>
      </c>
      <c r="K158" s="137" t="s">
        <v>129</v>
      </c>
      <c r="L158" s="137" t="s">
        <v>129</v>
      </c>
      <c r="M158" s="141"/>
      <c r="N158" s="143"/>
    </row>
    <row r="159" ht="15.0" hidden="1" customHeight="1" outlineLevel="1">
      <c r="A159" s="255" t="s">
        <v>3716</v>
      </c>
      <c r="B159" s="344">
        <v>46131.0</v>
      </c>
      <c r="C159" s="133" t="str">
        <f t="shared" si="17"/>
        <v>Sun</v>
      </c>
      <c r="D159" s="381">
        <f t="shared" si="18"/>
        <v>1</v>
      </c>
      <c r="E159" s="382" t="s">
        <v>129</v>
      </c>
      <c r="F159" s="137" t="s">
        <v>129</v>
      </c>
      <c r="G159" s="137" t="s">
        <v>129</v>
      </c>
      <c r="H159" s="137" t="s">
        <v>129</v>
      </c>
      <c r="I159" s="137" t="s">
        <v>129</v>
      </c>
      <c r="J159" s="137" t="s">
        <v>129</v>
      </c>
      <c r="K159" s="137" t="s">
        <v>129</v>
      </c>
      <c r="L159" s="137" t="s">
        <v>129</v>
      </c>
      <c r="M159" s="141"/>
      <c r="N159" s="147"/>
    </row>
    <row r="160" hidden="1" outlineLevel="1">
      <c r="B160" s="189"/>
      <c r="C160" s="191" t="s">
        <v>194</v>
      </c>
      <c r="D160" s="204">
        <f>AVERAGE(D145:D159)</f>
        <v>1</v>
      </c>
      <c r="E160" s="384"/>
      <c r="L160" s="191" t="s">
        <v>194</v>
      </c>
      <c r="M160" s="204">
        <f>SUM(M145:M159)/75*0.1</f>
        <v>0</v>
      </c>
    </row>
    <row r="161" ht="18.0" hidden="1" customHeight="1" collapsed="1">
      <c r="A161" s="206" t="s">
        <v>946</v>
      </c>
      <c r="B161" s="207"/>
      <c r="C161" s="207"/>
      <c r="D161" s="385"/>
      <c r="E161" s="109"/>
      <c r="F161" s="109"/>
      <c r="G161" s="110"/>
      <c r="H161" s="110"/>
      <c r="I161" s="110"/>
      <c r="J161" s="110"/>
      <c r="K161" s="110"/>
      <c r="L161" s="110"/>
      <c r="M161" s="111"/>
      <c r="N161" s="113"/>
    </row>
    <row r="162" hidden="1" outlineLevel="1">
      <c r="A162" s="373" t="s">
        <v>98</v>
      </c>
      <c r="B162" s="115" t="s">
        <v>100</v>
      </c>
      <c r="C162" s="115" t="s">
        <v>102</v>
      </c>
      <c r="D162" s="119" t="s">
        <v>103</v>
      </c>
      <c r="E162" s="275" t="s">
        <v>269</v>
      </c>
      <c r="F162" s="275" t="s">
        <v>272</v>
      </c>
      <c r="G162" s="276" t="s">
        <v>328</v>
      </c>
      <c r="H162" s="121" t="s">
        <v>107</v>
      </c>
      <c r="I162" s="121" t="s">
        <v>108</v>
      </c>
      <c r="J162" s="276" t="s">
        <v>329</v>
      </c>
      <c r="K162" s="121" t="s">
        <v>111</v>
      </c>
      <c r="L162" s="276" t="s">
        <v>274</v>
      </c>
      <c r="M162" s="115" t="s">
        <v>114</v>
      </c>
      <c r="N162" s="119" t="s">
        <v>115</v>
      </c>
    </row>
    <row r="163" hidden="1" outlineLevel="1">
      <c r="A163" s="255"/>
      <c r="B163" s="344">
        <v>46132.0</v>
      </c>
      <c r="C163" s="133" t="str">
        <f t="shared" ref="C163:C177" si="19">IF(B163="", "", TEXT(B163, "ddd"))</f>
        <v>Mon</v>
      </c>
      <c r="D163" s="381">
        <f t="shared" ref="D163:D177" si="20">IF(E163="Yes",0.05,0)
+IF(F163="Yes",0.1,0)
+IF(G163="Yes",0.15,0)
+IF(H163="Yes",0.15,0)
+IF(I163="Yes",0.05,0)
+IF(J163="Yes",0.05,0)
+IF(K163="Yes",0.15,0)
+IF(L163="Yes",0.3,0)
</f>
        <v>0</v>
      </c>
      <c r="E163" s="382"/>
      <c r="F163" s="137"/>
      <c r="G163" s="137"/>
      <c r="H163" s="137"/>
      <c r="I163" s="137"/>
      <c r="J163" s="137"/>
      <c r="K163" s="137"/>
      <c r="L163" s="137"/>
      <c r="M163" s="141"/>
      <c r="N163" s="143"/>
    </row>
    <row r="164" hidden="1" outlineLevel="1">
      <c r="A164" s="255"/>
      <c r="B164" s="344">
        <v>46132.0</v>
      </c>
      <c r="C164" s="133" t="str">
        <f t="shared" si="19"/>
        <v>Mon</v>
      </c>
      <c r="D164" s="383">
        <f t="shared" si="20"/>
        <v>0</v>
      </c>
      <c r="E164" s="147"/>
      <c r="F164" s="137"/>
      <c r="G164" s="137"/>
      <c r="H164" s="137"/>
      <c r="I164" s="137"/>
      <c r="J164" s="137"/>
      <c r="K164" s="137"/>
      <c r="L164" s="137"/>
      <c r="M164" s="141"/>
      <c r="N164" s="147"/>
    </row>
    <row r="165" hidden="1" outlineLevel="1">
      <c r="A165" s="255"/>
      <c r="B165" s="344">
        <v>46132.0</v>
      </c>
      <c r="C165" s="133" t="str">
        <f t="shared" si="19"/>
        <v>Mon</v>
      </c>
      <c r="D165" s="381">
        <f t="shared" si="20"/>
        <v>0</v>
      </c>
      <c r="E165" s="382"/>
      <c r="F165" s="137"/>
      <c r="G165" s="137"/>
      <c r="H165" s="137"/>
      <c r="I165" s="137"/>
      <c r="J165" s="137"/>
      <c r="K165" s="137"/>
      <c r="L165" s="137"/>
      <c r="M165" s="141"/>
      <c r="N165" s="147"/>
    </row>
    <row r="166" hidden="1" outlineLevel="1">
      <c r="A166" s="388" t="s">
        <v>3724</v>
      </c>
      <c r="B166" s="344">
        <v>46133.0</v>
      </c>
      <c r="C166" s="133" t="str">
        <f t="shared" si="19"/>
        <v>Tue</v>
      </c>
      <c r="D166" s="383">
        <f t="shared" si="20"/>
        <v>1</v>
      </c>
      <c r="E166" s="147" t="s">
        <v>129</v>
      </c>
      <c r="F166" s="137" t="s">
        <v>129</v>
      </c>
      <c r="G166" s="137" t="s">
        <v>129</v>
      </c>
      <c r="H166" s="137" t="s">
        <v>129</v>
      </c>
      <c r="I166" s="137" t="s">
        <v>129</v>
      </c>
      <c r="J166" s="137" t="s">
        <v>129</v>
      </c>
      <c r="K166" s="137" t="s">
        <v>129</v>
      </c>
      <c r="L166" s="137" t="s">
        <v>129</v>
      </c>
      <c r="M166" s="141"/>
      <c r="N166" s="143"/>
    </row>
    <row r="167" hidden="1" outlineLevel="1">
      <c r="A167" s="496" t="s">
        <v>3726</v>
      </c>
      <c r="B167" s="344">
        <v>46133.0</v>
      </c>
      <c r="C167" s="133" t="str">
        <f t="shared" si="19"/>
        <v>Tue</v>
      </c>
      <c r="D167" s="381">
        <f t="shared" si="20"/>
        <v>1</v>
      </c>
      <c r="E167" s="382" t="s">
        <v>129</v>
      </c>
      <c r="F167" s="137" t="s">
        <v>129</v>
      </c>
      <c r="G167" s="137" t="s">
        <v>129</v>
      </c>
      <c r="H167" s="137" t="s">
        <v>129</v>
      </c>
      <c r="I167" s="137" t="s">
        <v>129</v>
      </c>
      <c r="J167" s="137" t="s">
        <v>129</v>
      </c>
      <c r="K167" s="137" t="s">
        <v>129</v>
      </c>
      <c r="L167" s="137" t="s">
        <v>129</v>
      </c>
      <c r="M167" s="141"/>
      <c r="N167" s="143"/>
    </row>
    <row r="168" hidden="1" outlineLevel="1">
      <c r="A168" s="388" t="s">
        <v>3729</v>
      </c>
      <c r="B168" s="344">
        <v>46133.0</v>
      </c>
      <c r="C168" s="133" t="str">
        <f t="shared" si="19"/>
        <v>Tue</v>
      </c>
      <c r="D168" s="383">
        <f t="shared" si="20"/>
        <v>1</v>
      </c>
      <c r="E168" s="147" t="s">
        <v>129</v>
      </c>
      <c r="F168" s="137" t="s">
        <v>129</v>
      </c>
      <c r="G168" s="137" t="s">
        <v>129</v>
      </c>
      <c r="H168" s="137" t="s">
        <v>129</v>
      </c>
      <c r="I168" s="137" t="s">
        <v>129</v>
      </c>
      <c r="J168" s="137" t="s">
        <v>129</v>
      </c>
      <c r="K168" s="137" t="s">
        <v>129</v>
      </c>
      <c r="L168" s="137" t="s">
        <v>129</v>
      </c>
      <c r="M168" s="141"/>
      <c r="N168" s="143"/>
    </row>
    <row r="169" hidden="1" outlineLevel="1">
      <c r="A169" s="389" t="s">
        <v>3733</v>
      </c>
      <c r="B169" s="344">
        <v>46134.0</v>
      </c>
      <c r="C169" s="133" t="str">
        <f t="shared" si="19"/>
        <v>Wed</v>
      </c>
      <c r="D169" s="381">
        <f t="shared" si="20"/>
        <v>1</v>
      </c>
      <c r="E169" s="382" t="s">
        <v>129</v>
      </c>
      <c r="F169" s="137" t="s">
        <v>129</v>
      </c>
      <c r="G169" s="137" t="s">
        <v>129</v>
      </c>
      <c r="H169" s="137" t="s">
        <v>129</v>
      </c>
      <c r="I169" s="137" t="s">
        <v>129</v>
      </c>
      <c r="J169" s="137" t="s">
        <v>129</v>
      </c>
      <c r="K169" s="137" t="s">
        <v>129</v>
      </c>
      <c r="L169" s="137" t="s">
        <v>129</v>
      </c>
      <c r="M169" s="141"/>
      <c r="N169" s="143"/>
    </row>
    <row r="170" hidden="1" outlineLevel="1">
      <c r="A170" s="388" t="s">
        <v>3737</v>
      </c>
      <c r="B170" s="344">
        <v>46134.0</v>
      </c>
      <c r="C170" s="133" t="str">
        <f t="shared" si="19"/>
        <v>Wed</v>
      </c>
      <c r="D170" s="383">
        <f t="shared" si="20"/>
        <v>1</v>
      </c>
      <c r="E170" s="147" t="s">
        <v>129</v>
      </c>
      <c r="F170" s="137" t="s">
        <v>129</v>
      </c>
      <c r="G170" s="137" t="s">
        <v>129</v>
      </c>
      <c r="H170" s="137" t="s">
        <v>129</v>
      </c>
      <c r="I170" s="137" t="s">
        <v>129</v>
      </c>
      <c r="J170" s="137" t="s">
        <v>129</v>
      </c>
      <c r="K170" s="137" t="s">
        <v>129</v>
      </c>
      <c r="L170" s="137" t="s">
        <v>129</v>
      </c>
      <c r="M170" s="141"/>
      <c r="N170" s="147"/>
    </row>
    <row r="171" hidden="1" outlineLevel="1">
      <c r="A171" s="388" t="s">
        <v>3740</v>
      </c>
      <c r="B171" s="344">
        <v>46134.0</v>
      </c>
      <c r="C171" s="133" t="str">
        <f t="shared" si="19"/>
        <v>Wed</v>
      </c>
      <c r="D171" s="381">
        <f t="shared" si="20"/>
        <v>1</v>
      </c>
      <c r="E171" s="382" t="s">
        <v>129</v>
      </c>
      <c r="F171" s="137" t="s">
        <v>129</v>
      </c>
      <c r="G171" s="137" t="s">
        <v>129</v>
      </c>
      <c r="H171" s="137" t="s">
        <v>129</v>
      </c>
      <c r="I171" s="137" t="s">
        <v>129</v>
      </c>
      <c r="J171" s="137" t="s">
        <v>129</v>
      </c>
      <c r="K171" s="137" t="s">
        <v>129</v>
      </c>
      <c r="L171" s="137" t="s">
        <v>129</v>
      </c>
      <c r="M171" s="141"/>
      <c r="N171" s="143"/>
    </row>
    <row r="172" hidden="1" outlineLevel="1">
      <c r="A172" s="388" t="s">
        <v>3742</v>
      </c>
      <c r="B172" s="344">
        <v>46135.0</v>
      </c>
      <c r="C172" s="133" t="str">
        <f t="shared" si="19"/>
        <v>Thu</v>
      </c>
      <c r="D172" s="383">
        <f t="shared" si="20"/>
        <v>1</v>
      </c>
      <c r="E172" s="147" t="s">
        <v>129</v>
      </c>
      <c r="F172" s="137" t="s">
        <v>129</v>
      </c>
      <c r="G172" s="137" t="s">
        <v>129</v>
      </c>
      <c r="H172" s="137" t="s">
        <v>129</v>
      </c>
      <c r="I172" s="137" t="s">
        <v>129</v>
      </c>
      <c r="J172" s="137" t="s">
        <v>129</v>
      </c>
      <c r="K172" s="137" t="s">
        <v>129</v>
      </c>
      <c r="L172" s="137" t="s">
        <v>129</v>
      </c>
      <c r="M172" s="141"/>
      <c r="N172" s="147"/>
    </row>
    <row r="173" hidden="1" outlineLevel="1">
      <c r="A173" s="388" t="s">
        <v>3744</v>
      </c>
      <c r="B173" s="344">
        <v>46135.0</v>
      </c>
      <c r="C173" s="133" t="str">
        <f t="shared" si="19"/>
        <v>Thu</v>
      </c>
      <c r="D173" s="381">
        <f t="shared" si="20"/>
        <v>1</v>
      </c>
      <c r="E173" s="382" t="s">
        <v>129</v>
      </c>
      <c r="F173" s="137" t="s">
        <v>129</v>
      </c>
      <c r="G173" s="137" t="s">
        <v>129</v>
      </c>
      <c r="H173" s="137" t="s">
        <v>129</v>
      </c>
      <c r="I173" s="137" t="s">
        <v>129</v>
      </c>
      <c r="J173" s="137" t="s">
        <v>129</v>
      </c>
      <c r="K173" s="137" t="s">
        <v>129</v>
      </c>
      <c r="L173" s="137" t="s">
        <v>129</v>
      </c>
      <c r="M173" s="141"/>
      <c r="N173" s="147"/>
    </row>
    <row r="174" hidden="1" outlineLevel="1">
      <c r="A174" s="388" t="s">
        <v>3748</v>
      </c>
      <c r="B174" s="344">
        <v>46135.0</v>
      </c>
      <c r="C174" s="133" t="str">
        <f t="shared" si="19"/>
        <v>Thu</v>
      </c>
      <c r="D174" s="383">
        <f t="shared" si="20"/>
        <v>1</v>
      </c>
      <c r="E174" s="147" t="s">
        <v>129</v>
      </c>
      <c r="F174" s="137" t="s">
        <v>129</v>
      </c>
      <c r="G174" s="137" t="s">
        <v>129</v>
      </c>
      <c r="H174" s="137" t="s">
        <v>129</v>
      </c>
      <c r="I174" s="137" t="s">
        <v>129</v>
      </c>
      <c r="J174" s="137" t="s">
        <v>129</v>
      </c>
      <c r="K174" s="137" t="s">
        <v>129</v>
      </c>
      <c r="L174" s="137" t="s">
        <v>129</v>
      </c>
      <c r="M174" s="141"/>
      <c r="N174" s="147"/>
    </row>
    <row r="175" hidden="1" outlineLevel="1">
      <c r="A175" s="303" t="s">
        <v>3752</v>
      </c>
      <c r="B175" s="344">
        <v>46136.0</v>
      </c>
      <c r="C175" s="133" t="str">
        <f t="shared" si="19"/>
        <v>Fri</v>
      </c>
      <c r="D175" s="381">
        <f t="shared" si="20"/>
        <v>1</v>
      </c>
      <c r="E175" s="382" t="s">
        <v>129</v>
      </c>
      <c r="F175" s="137" t="s">
        <v>129</v>
      </c>
      <c r="G175" s="137" t="s">
        <v>129</v>
      </c>
      <c r="H175" s="137" t="s">
        <v>129</v>
      </c>
      <c r="I175" s="137" t="s">
        <v>129</v>
      </c>
      <c r="J175" s="137" t="s">
        <v>129</v>
      </c>
      <c r="K175" s="137" t="s">
        <v>129</v>
      </c>
      <c r="L175" s="137" t="s">
        <v>129</v>
      </c>
      <c r="M175" s="141"/>
      <c r="N175" s="143"/>
    </row>
    <row r="176" hidden="1" outlineLevel="1">
      <c r="A176" s="303" t="s">
        <v>3754</v>
      </c>
      <c r="B176" s="344">
        <v>46136.0</v>
      </c>
      <c r="C176" s="133" t="str">
        <f t="shared" si="19"/>
        <v>Fri</v>
      </c>
      <c r="D176" s="383">
        <f t="shared" si="20"/>
        <v>1</v>
      </c>
      <c r="E176" s="147" t="s">
        <v>129</v>
      </c>
      <c r="F176" s="137" t="s">
        <v>129</v>
      </c>
      <c r="G176" s="137" t="s">
        <v>129</v>
      </c>
      <c r="H176" s="137" t="s">
        <v>129</v>
      </c>
      <c r="I176" s="137" t="s">
        <v>129</v>
      </c>
      <c r="J176" s="137" t="s">
        <v>129</v>
      </c>
      <c r="K176" s="137" t="s">
        <v>129</v>
      </c>
      <c r="L176" s="137" t="s">
        <v>129</v>
      </c>
      <c r="M176" s="141"/>
      <c r="N176" s="143"/>
    </row>
    <row r="177" ht="15.0" hidden="1" customHeight="1" outlineLevel="1">
      <c r="A177" s="303" t="s">
        <v>3757</v>
      </c>
      <c r="B177" s="344">
        <v>46136.0</v>
      </c>
      <c r="C177" s="133" t="str">
        <f t="shared" si="19"/>
        <v>Fri</v>
      </c>
      <c r="D177" s="381">
        <f t="shared" si="20"/>
        <v>1</v>
      </c>
      <c r="E177" s="382" t="s">
        <v>129</v>
      </c>
      <c r="F177" s="137" t="s">
        <v>129</v>
      </c>
      <c r="G177" s="137" t="s">
        <v>129</v>
      </c>
      <c r="H177" s="137" t="s">
        <v>129</v>
      </c>
      <c r="I177" s="137" t="s">
        <v>129</v>
      </c>
      <c r="J177" s="137" t="s">
        <v>129</v>
      </c>
      <c r="K177" s="137" t="s">
        <v>129</v>
      </c>
      <c r="L177" s="137" t="s">
        <v>129</v>
      </c>
      <c r="M177" s="141"/>
      <c r="N177" s="147"/>
    </row>
    <row r="178" hidden="1" outlineLevel="1">
      <c r="B178" s="189"/>
      <c r="C178" s="191" t="s">
        <v>194</v>
      </c>
      <c r="D178" s="204">
        <f>AVERAGE(D166:D177)</f>
        <v>1</v>
      </c>
      <c r="E178" s="384"/>
      <c r="L178" s="191" t="s">
        <v>194</v>
      </c>
      <c r="M178" s="204">
        <f>SUM(M163:M177)/75*0.1</f>
        <v>0</v>
      </c>
    </row>
    <row r="179" hidden="1" collapsed="1">
      <c r="A179" s="206" t="s">
        <v>978</v>
      </c>
      <c r="B179" s="207"/>
      <c r="C179" s="207"/>
      <c r="D179" s="385"/>
      <c r="E179" s="109"/>
      <c r="F179" s="109"/>
      <c r="G179" s="110"/>
      <c r="H179" s="110"/>
      <c r="I179" s="110"/>
      <c r="J179" s="110"/>
      <c r="K179" s="110"/>
      <c r="L179" s="110"/>
      <c r="M179" s="111"/>
      <c r="N179" s="113"/>
    </row>
    <row r="180" hidden="1" outlineLevel="1">
      <c r="A180" s="373" t="s">
        <v>98</v>
      </c>
      <c r="B180" s="115" t="s">
        <v>100</v>
      </c>
      <c r="C180" s="115" t="s">
        <v>102</v>
      </c>
      <c r="D180" s="119" t="s">
        <v>103</v>
      </c>
      <c r="E180" s="275" t="s">
        <v>269</v>
      </c>
      <c r="F180" s="275" t="s">
        <v>272</v>
      </c>
      <c r="G180" s="276" t="s">
        <v>328</v>
      </c>
      <c r="H180" s="121" t="s">
        <v>107</v>
      </c>
      <c r="I180" s="121" t="s">
        <v>108</v>
      </c>
      <c r="J180" s="276" t="s">
        <v>329</v>
      </c>
      <c r="K180" s="121" t="s">
        <v>111</v>
      </c>
      <c r="L180" s="276" t="s">
        <v>274</v>
      </c>
      <c r="M180" s="115" t="s">
        <v>114</v>
      </c>
      <c r="N180" s="119" t="s">
        <v>115</v>
      </c>
    </row>
    <row r="181" hidden="1" outlineLevel="1">
      <c r="A181" s="303" t="s">
        <v>3764</v>
      </c>
      <c r="B181" s="344">
        <v>46139.0</v>
      </c>
      <c r="C181" s="133" t="str">
        <f t="shared" ref="C181:C195" si="21">IF(B181="", "", TEXT(B181, "ddd"))</f>
        <v>Mon</v>
      </c>
      <c r="D181" s="381">
        <f t="shared" ref="D181:D195" si="22">IF(E181="Yes",0.05,0)
+IF(F181="Yes",0.1,0)
+IF(G181="Yes",0.15,0)
+IF(H181="Yes",0.15,0)
+IF(I181="Yes",0.05,0)
+IF(J181="Yes",0.05,0)
+IF(K181="Yes",0.15,0)
+IF(L181="Yes",0.3,0)
</f>
        <v>1</v>
      </c>
      <c r="E181" s="382" t="s">
        <v>129</v>
      </c>
      <c r="F181" s="137" t="s">
        <v>129</v>
      </c>
      <c r="G181" s="137" t="s">
        <v>129</v>
      </c>
      <c r="H181" s="137" t="s">
        <v>129</v>
      </c>
      <c r="I181" s="137" t="s">
        <v>129</v>
      </c>
      <c r="J181" s="137" t="s">
        <v>129</v>
      </c>
      <c r="K181" s="137" t="s">
        <v>129</v>
      </c>
      <c r="L181" s="137" t="s">
        <v>129</v>
      </c>
      <c r="M181" s="141"/>
      <c r="N181" s="143"/>
    </row>
    <row r="182" hidden="1" outlineLevel="1">
      <c r="A182" s="303" t="s">
        <v>3769</v>
      </c>
      <c r="B182" s="344">
        <v>46139.0</v>
      </c>
      <c r="C182" s="133" t="str">
        <f t="shared" si="21"/>
        <v>Mon</v>
      </c>
      <c r="D182" s="383">
        <f t="shared" si="22"/>
        <v>1</v>
      </c>
      <c r="E182" s="147" t="s">
        <v>129</v>
      </c>
      <c r="F182" s="137" t="s">
        <v>129</v>
      </c>
      <c r="G182" s="137" t="s">
        <v>129</v>
      </c>
      <c r="H182" s="137" t="s">
        <v>129</v>
      </c>
      <c r="I182" s="137" t="s">
        <v>129</v>
      </c>
      <c r="J182" s="137" t="s">
        <v>129</v>
      </c>
      <c r="K182" s="137" t="s">
        <v>129</v>
      </c>
      <c r="L182" s="137" t="s">
        <v>129</v>
      </c>
      <c r="M182" s="141"/>
      <c r="N182" s="147"/>
    </row>
    <row r="183" hidden="1" outlineLevel="1">
      <c r="A183" s="255" t="s">
        <v>3772</v>
      </c>
      <c r="B183" s="344">
        <v>46139.0</v>
      </c>
      <c r="C183" s="133" t="str">
        <f t="shared" si="21"/>
        <v>Mon</v>
      </c>
      <c r="D183" s="381">
        <f t="shared" si="22"/>
        <v>1</v>
      </c>
      <c r="E183" s="382" t="s">
        <v>129</v>
      </c>
      <c r="F183" s="137" t="s">
        <v>129</v>
      </c>
      <c r="G183" s="137" t="s">
        <v>129</v>
      </c>
      <c r="H183" s="137" t="s">
        <v>129</v>
      </c>
      <c r="I183" s="137" t="s">
        <v>129</v>
      </c>
      <c r="J183" s="137" t="s">
        <v>129</v>
      </c>
      <c r="K183" s="137" t="s">
        <v>129</v>
      </c>
      <c r="L183" s="137" t="s">
        <v>129</v>
      </c>
      <c r="M183" s="141"/>
      <c r="N183" s="147"/>
    </row>
    <row r="184" hidden="1" outlineLevel="1">
      <c r="A184" s="390" t="s">
        <v>3773</v>
      </c>
      <c r="B184" s="344">
        <v>46140.0</v>
      </c>
      <c r="C184" s="133" t="str">
        <f t="shared" si="21"/>
        <v>Tue</v>
      </c>
      <c r="D184" s="383">
        <f t="shared" si="22"/>
        <v>1</v>
      </c>
      <c r="E184" s="147" t="s">
        <v>129</v>
      </c>
      <c r="F184" s="137" t="s">
        <v>129</v>
      </c>
      <c r="G184" s="137" t="s">
        <v>129</v>
      </c>
      <c r="H184" s="137" t="s">
        <v>129</v>
      </c>
      <c r="I184" s="137" t="s">
        <v>129</v>
      </c>
      <c r="J184" s="137" t="s">
        <v>129</v>
      </c>
      <c r="K184" s="137" t="s">
        <v>129</v>
      </c>
      <c r="L184" s="137" t="s">
        <v>129</v>
      </c>
      <c r="M184" s="141"/>
      <c r="N184" s="143"/>
    </row>
    <row r="185" hidden="1" outlineLevel="1">
      <c r="A185" s="391" t="s">
        <v>3774</v>
      </c>
      <c r="B185" s="344">
        <v>46140.0</v>
      </c>
      <c r="C185" s="133" t="str">
        <f t="shared" si="21"/>
        <v>Tue</v>
      </c>
      <c r="D185" s="381">
        <f t="shared" si="22"/>
        <v>1</v>
      </c>
      <c r="E185" s="382" t="s">
        <v>129</v>
      </c>
      <c r="F185" s="137" t="s">
        <v>129</v>
      </c>
      <c r="G185" s="137" t="s">
        <v>129</v>
      </c>
      <c r="H185" s="137" t="s">
        <v>129</v>
      </c>
      <c r="I185" s="137" t="s">
        <v>129</v>
      </c>
      <c r="J185" s="137" t="s">
        <v>129</v>
      </c>
      <c r="K185" s="137" t="s">
        <v>129</v>
      </c>
      <c r="L185" s="137" t="s">
        <v>129</v>
      </c>
      <c r="M185" s="141"/>
      <c r="N185" s="143"/>
    </row>
    <row r="186" hidden="1" outlineLevel="1">
      <c r="A186" s="390" t="s">
        <v>3776</v>
      </c>
      <c r="B186" s="344">
        <v>46140.0</v>
      </c>
      <c r="C186" s="133" t="str">
        <f t="shared" si="21"/>
        <v>Tue</v>
      </c>
      <c r="D186" s="383">
        <f t="shared" si="22"/>
        <v>1</v>
      </c>
      <c r="E186" s="147" t="s">
        <v>129</v>
      </c>
      <c r="F186" s="137" t="s">
        <v>129</v>
      </c>
      <c r="G186" s="137" t="s">
        <v>129</v>
      </c>
      <c r="H186" s="137" t="s">
        <v>129</v>
      </c>
      <c r="I186" s="137" t="s">
        <v>129</v>
      </c>
      <c r="J186" s="137" t="s">
        <v>129</v>
      </c>
      <c r="K186" s="137" t="s">
        <v>129</v>
      </c>
      <c r="L186" s="137" t="s">
        <v>129</v>
      </c>
      <c r="M186" s="141"/>
      <c r="N186" s="143"/>
    </row>
    <row r="187" hidden="1" outlineLevel="1">
      <c r="A187" s="390" t="s">
        <v>3777</v>
      </c>
      <c r="B187" s="344">
        <v>46141.0</v>
      </c>
      <c r="C187" s="133" t="str">
        <f t="shared" si="21"/>
        <v>Wed</v>
      </c>
      <c r="D187" s="381">
        <f t="shared" si="22"/>
        <v>1</v>
      </c>
      <c r="E187" s="382" t="s">
        <v>129</v>
      </c>
      <c r="F187" s="137" t="s">
        <v>129</v>
      </c>
      <c r="G187" s="137" t="s">
        <v>129</v>
      </c>
      <c r="H187" s="137" t="s">
        <v>129</v>
      </c>
      <c r="I187" s="137" t="s">
        <v>129</v>
      </c>
      <c r="J187" s="137" t="s">
        <v>129</v>
      </c>
      <c r="K187" s="137" t="s">
        <v>129</v>
      </c>
      <c r="L187" s="137" t="s">
        <v>129</v>
      </c>
      <c r="M187" s="141"/>
      <c r="N187" s="143"/>
    </row>
    <row r="188" hidden="1" outlineLevel="1">
      <c r="A188" s="391" t="s">
        <v>3780</v>
      </c>
      <c r="B188" s="344">
        <v>46141.0</v>
      </c>
      <c r="C188" s="133" t="str">
        <f t="shared" si="21"/>
        <v>Wed</v>
      </c>
      <c r="D188" s="383">
        <f t="shared" si="22"/>
        <v>1</v>
      </c>
      <c r="E188" s="147" t="s">
        <v>129</v>
      </c>
      <c r="F188" s="137" t="s">
        <v>129</v>
      </c>
      <c r="G188" s="137" t="s">
        <v>129</v>
      </c>
      <c r="H188" s="137" t="s">
        <v>129</v>
      </c>
      <c r="I188" s="137" t="s">
        <v>129</v>
      </c>
      <c r="J188" s="137" t="s">
        <v>129</v>
      </c>
      <c r="K188" s="137" t="s">
        <v>129</v>
      </c>
      <c r="L188" s="137" t="s">
        <v>129</v>
      </c>
      <c r="M188" s="141"/>
      <c r="N188" s="147"/>
    </row>
    <row r="189" hidden="1" outlineLevel="1">
      <c r="A189" s="390" t="s">
        <v>3782</v>
      </c>
      <c r="B189" s="344">
        <v>46141.0</v>
      </c>
      <c r="C189" s="133" t="str">
        <f t="shared" si="21"/>
        <v>Wed</v>
      </c>
      <c r="D189" s="381">
        <f t="shared" si="22"/>
        <v>1</v>
      </c>
      <c r="E189" s="382" t="s">
        <v>129</v>
      </c>
      <c r="F189" s="137" t="s">
        <v>129</v>
      </c>
      <c r="G189" s="137" t="s">
        <v>129</v>
      </c>
      <c r="H189" s="137" t="s">
        <v>129</v>
      </c>
      <c r="I189" s="137" t="s">
        <v>129</v>
      </c>
      <c r="J189" s="137" t="s">
        <v>129</v>
      </c>
      <c r="K189" s="137" t="s">
        <v>129</v>
      </c>
      <c r="L189" s="137" t="s">
        <v>129</v>
      </c>
      <c r="M189" s="141"/>
      <c r="N189" s="143"/>
    </row>
    <row r="190" hidden="1" outlineLevel="1">
      <c r="A190" s="390" t="s">
        <v>3785</v>
      </c>
      <c r="B190" s="344">
        <v>46142.0</v>
      </c>
      <c r="C190" s="133" t="str">
        <f t="shared" si="21"/>
        <v>Thu</v>
      </c>
      <c r="D190" s="383">
        <f t="shared" si="22"/>
        <v>1</v>
      </c>
      <c r="E190" s="147" t="s">
        <v>129</v>
      </c>
      <c r="F190" s="137" t="s">
        <v>129</v>
      </c>
      <c r="G190" s="137" t="s">
        <v>129</v>
      </c>
      <c r="H190" s="137" t="s">
        <v>129</v>
      </c>
      <c r="I190" s="137" t="s">
        <v>129</v>
      </c>
      <c r="J190" s="137" t="s">
        <v>129</v>
      </c>
      <c r="K190" s="137" t="s">
        <v>129</v>
      </c>
      <c r="L190" s="137" t="s">
        <v>129</v>
      </c>
      <c r="M190" s="141"/>
      <c r="N190" s="147"/>
    </row>
    <row r="191" hidden="1" outlineLevel="1">
      <c r="A191" s="391" t="s">
        <v>3786</v>
      </c>
      <c r="B191" s="344">
        <v>46142.0</v>
      </c>
      <c r="C191" s="133" t="str">
        <f t="shared" si="21"/>
        <v>Thu</v>
      </c>
      <c r="D191" s="381">
        <f t="shared" si="22"/>
        <v>1</v>
      </c>
      <c r="E191" s="382" t="s">
        <v>129</v>
      </c>
      <c r="F191" s="137" t="s">
        <v>129</v>
      </c>
      <c r="G191" s="137" t="s">
        <v>129</v>
      </c>
      <c r="H191" s="137" t="s">
        <v>129</v>
      </c>
      <c r="I191" s="137" t="s">
        <v>129</v>
      </c>
      <c r="J191" s="137" t="s">
        <v>129</v>
      </c>
      <c r="K191" s="137" t="s">
        <v>129</v>
      </c>
      <c r="L191" s="137" t="s">
        <v>129</v>
      </c>
      <c r="M191" s="141"/>
      <c r="N191" s="147"/>
    </row>
    <row r="192" hidden="1" outlineLevel="1">
      <c r="A192" s="391" t="s">
        <v>3789</v>
      </c>
      <c r="B192" s="344">
        <v>46142.0</v>
      </c>
      <c r="C192" s="133" t="str">
        <f t="shared" si="21"/>
        <v>Thu</v>
      </c>
      <c r="D192" s="383">
        <f t="shared" si="22"/>
        <v>1</v>
      </c>
      <c r="E192" s="147" t="s">
        <v>129</v>
      </c>
      <c r="F192" s="137" t="s">
        <v>129</v>
      </c>
      <c r="G192" s="137" t="s">
        <v>129</v>
      </c>
      <c r="H192" s="137" t="s">
        <v>129</v>
      </c>
      <c r="I192" s="137" t="s">
        <v>129</v>
      </c>
      <c r="J192" s="137" t="s">
        <v>129</v>
      </c>
      <c r="K192" s="137" t="s">
        <v>129</v>
      </c>
      <c r="L192" s="137" t="s">
        <v>129</v>
      </c>
      <c r="M192" s="141"/>
      <c r="N192" s="147"/>
    </row>
    <row r="193" hidden="1" outlineLevel="1">
      <c r="A193" s="394" t="s">
        <v>3791</v>
      </c>
      <c r="B193" s="344">
        <v>46145.0</v>
      </c>
      <c r="C193" s="133" t="str">
        <f t="shared" si="21"/>
        <v>Sun</v>
      </c>
      <c r="D193" s="381">
        <f t="shared" si="22"/>
        <v>1</v>
      </c>
      <c r="E193" s="382" t="s">
        <v>129</v>
      </c>
      <c r="F193" s="137" t="s">
        <v>129</v>
      </c>
      <c r="G193" s="137" t="s">
        <v>129</v>
      </c>
      <c r="H193" s="137" t="s">
        <v>129</v>
      </c>
      <c r="I193" s="137" t="s">
        <v>129</v>
      </c>
      <c r="J193" s="137" t="s">
        <v>129</v>
      </c>
      <c r="K193" s="137" t="s">
        <v>129</v>
      </c>
      <c r="L193" s="137" t="s">
        <v>129</v>
      </c>
      <c r="M193" s="141"/>
      <c r="N193" s="143"/>
    </row>
    <row r="194" hidden="1" outlineLevel="1">
      <c r="A194" s="393" t="s">
        <v>3793</v>
      </c>
      <c r="B194" s="344">
        <v>46145.0</v>
      </c>
      <c r="C194" s="133" t="str">
        <f t="shared" si="21"/>
        <v>Sun</v>
      </c>
      <c r="D194" s="383">
        <f t="shared" si="22"/>
        <v>1</v>
      </c>
      <c r="E194" s="147" t="s">
        <v>129</v>
      </c>
      <c r="F194" s="137" t="s">
        <v>129</v>
      </c>
      <c r="G194" s="137" t="s">
        <v>129</v>
      </c>
      <c r="H194" s="137" t="s">
        <v>129</v>
      </c>
      <c r="I194" s="137" t="s">
        <v>129</v>
      </c>
      <c r="J194" s="137" t="s">
        <v>129</v>
      </c>
      <c r="K194" s="137" t="s">
        <v>129</v>
      </c>
      <c r="L194" s="137" t="s">
        <v>129</v>
      </c>
      <c r="M194" s="141"/>
      <c r="N194" s="143"/>
    </row>
    <row r="195" ht="15.0" hidden="1" customHeight="1" outlineLevel="1">
      <c r="A195" s="394" t="s">
        <v>3796</v>
      </c>
      <c r="B195" s="344">
        <v>46145.0</v>
      </c>
      <c r="C195" s="133" t="str">
        <f t="shared" si="21"/>
        <v>Sun</v>
      </c>
      <c r="D195" s="381">
        <f t="shared" si="22"/>
        <v>1</v>
      </c>
      <c r="E195" s="382" t="s">
        <v>129</v>
      </c>
      <c r="F195" s="137" t="s">
        <v>129</v>
      </c>
      <c r="G195" s="137" t="s">
        <v>129</v>
      </c>
      <c r="H195" s="137" t="s">
        <v>129</v>
      </c>
      <c r="I195" s="137" t="s">
        <v>129</v>
      </c>
      <c r="J195" s="137" t="s">
        <v>129</v>
      </c>
      <c r="K195" s="137" t="s">
        <v>129</v>
      </c>
      <c r="L195" s="137" t="s">
        <v>129</v>
      </c>
      <c r="M195" s="141"/>
      <c r="N195" s="147"/>
    </row>
    <row r="196" hidden="1" outlineLevel="1">
      <c r="B196" s="189"/>
      <c r="C196" s="191" t="s">
        <v>194</v>
      </c>
      <c r="D196" s="204">
        <f>AVERAGE(D181:D195)</f>
        <v>1</v>
      </c>
      <c r="E196" s="384"/>
      <c r="L196" s="191" t="s">
        <v>194</v>
      </c>
      <c r="M196" s="204">
        <f>SUM(M181:M195)/75*0.1</f>
        <v>0</v>
      </c>
    </row>
    <row r="197" hidden="1" collapsed="1">
      <c r="A197" s="206" t="s">
        <v>1006</v>
      </c>
      <c r="B197" s="207"/>
      <c r="C197" s="207"/>
      <c r="D197" s="385"/>
      <c r="E197" s="109"/>
      <c r="F197" s="109"/>
      <c r="G197" s="110"/>
      <c r="H197" s="110"/>
      <c r="I197" s="110"/>
      <c r="J197" s="110"/>
      <c r="K197" s="110"/>
      <c r="L197" s="110"/>
      <c r="M197" s="111"/>
      <c r="N197" s="113"/>
    </row>
    <row r="198" hidden="1" outlineLevel="1">
      <c r="A198" s="373" t="s">
        <v>98</v>
      </c>
      <c r="B198" s="115" t="s">
        <v>100</v>
      </c>
      <c r="C198" s="115" t="s">
        <v>102</v>
      </c>
      <c r="D198" s="119" t="s">
        <v>103</v>
      </c>
      <c r="E198" s="275" t="s">
        <v>269</v>
      </c>
      <c r="F198" s="275" t="s">
        <v>272</v>
      </c>
      <c r="G198" s="276" t="s">
        <v>328</v>
      </c>
      <c r="H198" s="121" t="s">
        <v>107</v>
      </c>
      <c r="I198" s="121" t="s">
        <v>108</v>
      </c>
      <c r="J198" s="276" t="s">
        <v>329</v>
      </c>
      <c r="K198" s="121" t="s">
        <v>111</v>
      </c>
      <c r="L198" s="276" t="s">
        <v>274</v>
      </c>
      <c r="M198" s="115" t="s">
        <v>114</v>
      </c>
      <c r="N198" s="119" t="s">
        <v>115</v>
      </c>
    </row>
    <row r="199" hidden="1" outlineLevel="1">
      <c r="A199" s="391" t="s">
        <v>3800</v>
      </c>
      <c r="B199" s="344">
        <v>46146.0</v>
      </c>
      <c r="C199" s="133" t="str">
        <f t="shared" ref="C199:C213" si="23">IF(B199="", "", TEXT(B199, "ddd"))</f>
        <v>Mon</v>
      </c>
      <c r="D199" s="381">
        <f t="shared" ref="D199:D213" si="24">IF(E199="Yes",0.05,0)
+IF(F199="Yes",0.1,0)
+IF(G199="Yes",0.15,0)
+IF(H199="Yes",0.15,0)
+IF(I199="Yes",0.05,0)
+IF(J199="Yes",0.05,0)
+IF(K199="Yes",0.15,0)
+IF(L199="Yes",0.3,0)
</f>
        <v>1</v>
      </c>
      <c r="E199" s="382" t="s">
        <v>129</v>
      </c>
      <c r="F199" s="137" t="s">
        <v>129</v>
      </c>
      <c r="G199" s="137" t="s">
        <v>129</v>
      </c>
      <c r="H199" s="137" t="s">
        <v>129</v>
      </c>
      <c r="I199" s="137" t="s">
        <v>129</v>
      </c>
      <c r="J199" s="137" t="s">
        <v>129</v>
      </c>
      <c r="K199" s="137" t="s">
        <v>129</v>
      </c>
      <c r="L199" s="137" t="s">
        <v>129</v>
      </c>
      <c r="M199" s="141"/>
      <c r="N199" s="143"/>
    </row>
    <row r="200" hidden="1" outlineLevel="1">
      <c r="A200" s="391" t="s">
        <v>3803</v>
      </c>
      <c r="B200" s="344">
        <v>46146.0</v>
      </c>
      <c r="C200" s="133" t="str">
        <f t="shared" si="23"/>
        <v>Mon</v>
      </c>
      <c r="D200" s="383">
        <f t="shared" si="24"/>
        <v>1</v>
      </c>
      <c r="E200" s="147" t="s">
        <v>129</v>
      </c>
      <c r="F200" s="137" t="s">
        <v>129</v>
      </c>
      <c r="G200" s="137" t="s">
        <v>129</v>
      </c>
      <c r="H200" s="137" t="s">
        <v>129</v>
      </c>
      <c r="I200" s="137" t="s">
        <v>129</v>
      </c>
      <c r="J200" s="137" t="s">
        <v>129</v>
      </c>
      <c r="K200" s="137" t="s">
        <v>129</v>
      </c>
      <c r="L200" s="137" t="s">
        <v>129</v>
      </c>
      <c r="M200" s="141"/>
      <c r="N200" s="147"/>
    </row>
    <row r="201" hidden="1" outlineLevel="1">
      <c r="A201" s="390" t="s">
        <v>3805</v>
      </c>
      <c r="B201" s="344">
        <v>46146.0</v>
      </c>
      <c r="C201" s="133" t="str">
        <f t="shared" si="23"/>
        <v>Mon</v>
      </c>
      <c r="D201" s="381">
        <f t="shared" si="24"/>
        <v>1</v>
      </c>
      <c r="E201" s="382" t="s">
        <v>129</v>
      </c>
      <c r="F201" s="137" t="s">
        <v>129</v>
      </c>
      <c r="G201" s="137" t="s">
        <v>129</v>
      </c>
      <c r="H201" s="137" t="s">
        <v>129</v>
      </c>
      <c r="I201" s="137" t="s">
        <v>129</v>
      </c>
      <c r="J201" s="137" t="s">
        <v>129</v>
      </c>
      <c r="K201" s="137" t="s">
        <v>129</v>
      </c>
      <c r="L201" s="137" t="s">
        <v>129</v>
      </c>
      <c r="M201" s="141"/>
      <c r="N201" s="147"/>
    </row>
    <row r="202" hidden="1" outlineLevel="1">
      <c r="A202" s="391" t="s">
        <v>3807</v>
      </c>
      <c r="B202" s="344">
        <v>46147.0</v>
      </c>
      <c r="C202" s="133" t="str">
        <f t="shared" si="23"/>
        <v>Tue</v>
      </c>
      <c r="D202" s="383">
        <f t="shared" si="24"/>
        <v>1</v>
      </c>
      <c r="E202" s="147" t="s">
        <v>129</v>
      </c>
      <c r="F202" s="137" t="s">
        <v>129</v>
      </c>
      <c r="G202" s="137" t="s">
        <v>129</v>
      </c>
      <c r="H202" s="137" t="s">
        <v>129</v>
      </c>
      <c r="I202" s="137" t="s">
        <v>129</v>
      </c>
      <c r="J202" s="137" t="s">
        <v>129</v>
      </c>
      <c r="K202" s="137" t="s">
        <v>129</v>
      </c>
      <c r="L202" s="137" t="s">
        <v>129</v>
      </c>
      <c r="M202" s="141"/>
      <c r="N202" s="143"/>
    </row>
    <row r="203" hidden="1" outlineLevel="1">
      <c r="A203" s="390" t="s">
        <v>3809</v>
      </c>
      <c r="B203" s="344">
        <v>46147.0</v>
      </c>
      <c r="C203" s="133" t="str">
        <f t="shared" si="23"/>
        <v>Tue</v>
      </c>
      <c r="D203" s="381">
        <f t="shared" si="24"/>
        <v>1</v>
      </c>
      <c r="E203" s="382" t="s">
        <v>129</v>
      </c>
      <c r="F203" s="137" t="s">
        <v>129</v>
      </c>
      <c r="G203" s="137" t="s">
        <v>129</v>
      </c>
      <c r="H203" s="137" t="s">
        <v>129</v>
      </c>
      <c r="I203" s="137" t="s">
        <v>129</v>
      </c>
      <c r="J203" s="137" t="s">
        <v>129</v>
      </c>
      <c r="K203" s="137" t="s">
        <v>129</v>
      </c>
      <c r="L203" s="137" t="s">
        <v>129</v>
      </c>
      <c r="M203" s="141"/>
      <c r="N203" s="143"/>
    </row>
    <row r="204" hidden="1" outlineLevel="1">
      <c r="A204" s="391" t="s">
        <v>3819</v>
      </c>
      <c r="B204" s="344">
        <v>46147.0</v>
      </c>
      <c r="C204" s="133" t="str">
        <f t="shared" si="23"/>
        <v>Tue</v>
      </c>
      <c r="D204" s="383">
        <f t="shared" si="24"/>
        <v>1</v>
      </c>
      <c r="E204" s="147" t="s">
        <v>129</v>
      </c>
      <c r="F204" s="137" t="s">
        <v>129</v>
      </c>
      <c r="G204" s="137" t="s">
        <v>129</v>
      </c>
      <c r="H204" s="137" t="s">
        <v>129</v>
      </c>
      <c r="I204" s="137" t="s">
        <v>129</v>
      </c>
      <c r="J204" s="137" t="s">
        <v>129</v>
      </c>
      <c r="K204" s="137" t="s">
        <v>129</v>
      </c>
      <c r="L204" s="137" t="s">
        <v>129</v>
      </c>
      <c r="M204" s="141"/>
      <c r="N204" s="143"/>
    </row>
    <row r="205" hidden="1" outlineLevel="1">
      <c r="A205" s="390" t="s">
        <v>3837</v>
      </c>
      <c r="B205" s="344">
        <v>46148.0</v>
      </c>
      <c r="C205" s="133" t="str">
        <f t="shared" si="23"/>
        <v>Wed</v>
      </c>
      <c r="D205" s="381">
        <f t="shared" si="24"/>
        <v>1</v>
      </c>
      <c r="E205" s="382" t="s">
        <v>129</v>
      </c>
      <c r="F205" s="137" t="s">
        <v>129</v>
      </c>
      <c r="G205" s="137" t="s">
        <v>129</v>
      </c>
      <c r="H205" s="137" t="s">
        <v>129</v>
      </c>
      <c r="I205" s="137" t="s">
        <v>129</v>
      </c>
      <c r="J205" s="137" t="s">
        <v>129</v>
      </c>
      <c r="K205" s="137" t="s">
        <v>129</v>
      </c>
      <c r="L205" s="137" t="s">
        <v>129</v>
      </c>
      <c r="M205" s="141"/>
      <c r="N205" s="143"/>
    </row>
    <row r="206" hidden="1" outlineLevel="1">
      <c r="A206" s="390" t="s">
        <v>3855</v>
      </c>
      <c r="B206" s="344">
        <v>46148.0</v>
      </c>
      <c r="C206" s="133" t="str">
        <f t="shared" si="23"/>
        <v>Wed</v>
      </c>
      <c r="D206" s="383">
        <f t="shared" si="24"/>
        <v>1</v>
      </c>
      <c r="E206" s="147" t="s">
        <v>129</v>
      </c>
      <c r="F206" s="137" t="s">
        <v>129</v>
      </c>
      <c r="G206" s="137" t="s">
        <v>129</v>
      </c>
      <c r="H206" s="137" t="s">
        <v>129</v>
      </c>
      <c r="I206" s="137" t="s">
        <v>129</v>
      </c>
      <c r="J206" s="137" t="s">
        <v>129</v>
      </c>
      <c r="K206" s="137" t="s">
        <v>129</v>
      </c>
      <c r="L206" s="137" t="s">
        <v>129</v>
      </c>
      <c r="M206" s="141"/>
      <c r="N206" s="147"/>
    </row>
    <row r="207" hidden="1" outlineLevel="1">
      <c r="A207" s="391" t="s">
        <v>3857</v>
      </c>
      <c r="B207" s="344">
        <v>46148.0</v>
      </c>
      <c r="C207" s="133" t="str">
        <f t="shared" si="23"/>
        <v>Wed</v>
      </c>
      <c r="D207" s="381">
        <f t="shared" si="24"/>
        <v>1</v>
      </c>
      <c r="E207" s="382" t="s">
        <v>129</v>
      </c>
      <c r="F207" s="137" t="s">
        <v>129</v>
      </c>
      <c r="G207" s="137" t="s">
        <v>129</v>
      </c>
      <c r="H207" s="137" t="s">
        <v>129</v>
      </c>
      <c r="I207" s="137" t="s">
        <v>129</v>
      </c>
      <c r="J207" s="137" t="s">
        <v>129</v>
      </c>
      <c r="K207" s="137" t="s">
        <v>129</v>
      </c>
      <c r="L207" s="137" t="s">
        <v>129</v>
      </c>
      <c r="M207" s="141"/>
      <c r="N207" s="143"/>
    </row>
    <row r="208" hidden="1" outlineLevel="1">
      <c r="A208" s="390" t="s">
        <v>3858</v>
      </c>
      <c r="B208" s="344">
        <v>46149.0</v>
      </c>
      <c r="C208" s="133" t="str">
        <f t="shared" si="23"/>
        <v>Thu</v>
      </c>
      <c r="D208" s="383">
        <f t="shared" si="24"/>
        <v>1</v>
      </c>
      <c r="E208" s="147" t="s">
        <v>129</v>
      </c>
      <c r="F208" s="137" t="s">
        <v>129</v>
      </c>
      <c r="G208" s="137" t="s">
        <v>129</v>
      </c>
      <c r="H208" s="137" t="s">
        <v>129</v>
      </c>
      <c r="I208" s="137" t="s">
        <v>129</v>
      </c>
      <c r="J208" s="137" t="s">
        <v>129</v>
      </c>
      <c r="K208" s="137" t="s">
        <v>129</v>
      </c>
      <c r="L208" s="137" t="s">
        <v>129</v>
      </c>
      <c r="M208" s="141"/>
      <c r="N208" s="147"/>
    </row>
    <row r="209" hidden="1" outlineLevel="1">
      <c r="A209" s="390" t="s">
        <v>3859</v>
      </c>
      <c r="B209" s="344">
        <v>46149.0</v>
      </c>
      <c r="C209" s="133" t="str">
        <f t="shared" si="23"/>
        <v>Thu</v>
      </c>
      <c r="D209" s="381">
        <f t="shared" si="24"/>
        <v>1</v>
      </c>
      <c r="E209" s="382" t="s">
        <v>129</v>
      </c>
      <c r="F209" s="137" t="s">
        <v>129</v>
      </c>
      <c r="G209" s="137" t="s">
        <v>129</v>
      </c>
      <c r="H209" s="137" t="s">
        <v>129</v>
      </c>
      <c r="I209" s="137" t="s">
        <v>129</v>
      </c>
      <c r="J209" s="137" t="s">
        <v>129</v>
      </c>
      <c r="K209" s="137" t="s">
        <v>129</v>
      </c>
      <c r="L209" s="137" t="s">
        <v>129</v>
      </c>
      <c r="M209" s="141"/>
      <c r="N209" s="147"/>
    </row>
    <row r="210" hidden="1" outlineLevel="1">
      <c r="A210" s="391" t="s">
        <v>3860</v>
      </c>
      <c r="B210" s="344">
        <v>46149.0</v>
      </c>
      <c r="C210" s="133" t="str">
        <f t="shared" si="23"/>
        <v>Thu</v>
      </c>
      <c r="D210" s="383">
        <f t="shared" si="24"/>
        <v>1</v>
      </c>
      <c r="E210" s="147" t="s">
        <v>129</v>
      </c>
      <c r="F210" s="137" t="s">
        <v>129</v>
      </c>
      <c r="G210" s="137" t="s">
        <v>129</v>
      </c>
      <c r="H210" s="137" t="s">
        <v>129</v>
      </c>
      <c r="I210" s="137" t="s">
        <v>129</v>
      </c>
      <c r="J210" s="137" t="s">
        <v>129</v>
      </c>
      <c r="K210" s="137" t="s">
        <v>129</v>
      </c>
      <c r="L210" s="137" t="s">
        <v>129</v>
      </c>
      <c r="M210" s="141"/>
      <c r="N210" s="147"/>
    </row>
    <row r="211" hidden="1" outlineLevel="1">
      <c r="A211" s="391" t="s">
        <v>3862</v>
      </c>
      <c r="B211" s="344">
        <v>46150.0</v>
      </c>
      <c r="C211" s="133" t="str">
        <f t="shared" si="23"/>
        <v>Fri</v>
      </c>
      <c r="D211" s="381">
        <f t="shared" si="24"/>
        <v>1</v>
      </c>
      <c r="E211" s="382" t="s">
        <v>129</v>
      </c>
      <c r="F211" s="137" t="s">
        <v>129</v>
      </c>
      <c r="G211" s="137" t="s">
        <v>129</v>
      </c>
      <c r="H211" s="137" t="s">
        <v>129</v>
      </c>
      <c r="I211" s="137" t="s">
        <v>129</v>
      </c>
      <c r="J211" s="137" t="s">
        <v>129</v>
      </c>
      <c r="K211" s="137" t="s">
        <v>129</v>
      </c>
      <c r="L211" s="137" t="s">
        <v>129</v>
      </c>
      <c r="M211" s="141"/>
      <c r="N211" s="143"/>
    </row>
    <row r="212" hidden="1" outlineLevel="1">
      <c r="A212" s="390" t="s">
        <v>3863</v>
      </c>
      <c r="B212" s="344">
        <v>46150.0</v>
      </c>
      <c r="C212" s="133" t="str">
        <f t="shared" si="23"/>
        <v>Fri</v>
      </c>
      <c r="D212" s="383">
        <f t="shared" si="24"/>
        <v>1</v>
      </c>
      <c r="E212" s="147" t="s">
        <v>129</v>
      </c>
      <c r="F212" s="137" t="s">
        <v>129</v>
      </c>
      <c r="G212" s="137" t="s">
        <v>129</v>
      </c>
      <c r="H212" s="137" t="s">
        <v>129</v>
      </c>
      <c r="I212" s="137" t="s">
        <v>129</v>
      </c>
      <c r="J212" s="137" t="s">
        <v>129</v>
      </c>
      <c r="K212" s="137" t="s">
        <v>129</v>
      </c>
      <c r="L212" s="137" t="s">
        <v>129</v>
      </c>
      <c r="M212" s="141"/>
      <c r="N212" s="143"/>
    </row>
    <row r="213" ht="15.0" hidden="1" customHeight="1" outlineLevel="1">
      <c r="A213" s="390" t="s">
        <v>3866</v>
      </c>
      <c r="B213" s="344">
        <v>46150.0</v>
      </c>
      <c r="C213" s="133" t="str">
        <f t="shared" si="23"/>
        <v>Fri</v>
      </c>
      <c r="D213" s="381">
        <f t="shared" si="24"/>
        <v>1</v>
      </c>
      <c r="E213" s="382" t="s">
        <v>129</v>
      </c>
      <c r="F213" s="137" t="s">
        <v>129</v>
      </c>
      <c r="G213" s="137" t="s">
        <v>129</v>
      </c>
      <c r="H213" s="137" t="s">
        <v>129</v>
      </c>
      <c r="I213" s="137" t="s">
        <v>129</v>
      </c>
      <c r="J213" s="137" t="s">
        <v>129</v>
      </c>
      <c r="K213" s="137" t="s">
        <v>129</v>
      </c>
      <c r="L213" s="137" t="s">
        <v>129</v>
      </c>
      <c r="M213" s="141"/>
      <c r="N213" s="147"/>
    </row>
    <row r="214" hidden="1" outlineLevel="1">
      <c r="B214" s="189"/>
      <c r="C214" s="191" t="s">
        <v>194</v>
      </c>
      <c r="D214" s="204">
        <f>AVERAGE(D199:D213)</f>
        <v>1</v>
      </c>
      <c r="E214" s="384"/>
      <c r="L214" s="191" t="s">
        <v>194</v>
      </c>
      <c r="M214" s="204">
        <f>SUM(M199:M213)/75*0.1</f>
        <v>0</v>
      </c>
    </row>
    <row r="215" hidden="1" collapsed="1">
      <c r="A215" s="206" t="s">
        <v>1036</v>
      </c>
      <c r="B215" s="207"/>
      <c r="C215" s="207"/>
      <c r="D215" s="385"/>
      <c r="E215" s="109"/>
      <c r="F215" s="109"/>
      <c r="G215" s="110"/>
      <c r="H215" s="110"/>
      <c r="I215" s="110"/>
      <c r="J215" s="110"/>
      <c r="K215" s="110"/>
      <c r="L215" s="110"/>
      <c r="M215" s="111"/>
      <c r="N215" s="113"/>
    </row>
    <row r="216" hidden="1" outlineLevel="1">
      <c r="A216" s="373" t="s">
        <v>98</v>
      </c>
      <c r="B216" s="115" t="s">
        <v>100</v>
      </c>
      <c r="C216" s="115" t="s">
        <v>102</v>
      </c>
      <c r="D216" s="119" t="s">
        <v>103</v>
      </c>
      <c r="E216" s="275" t="s">
        <v>269</v>
      </c>
      <c r="F216" s="275" t="s">
        <v>272</v>
      </c>
      <c r="G216" s="276" t="s">
        <v>328</v>
      </c>
      <c r="H216" s="121" t="s">
        <v>107</v>
      </c>
      <c r="I216" s="121" t="s">
        <v>108</v>
      </c>
      <c r="J216" s="276" t="s">
        <v>329</v>
      </c>
      <c r="K216" s="121" t="s">
        <v>111</v>
      </c>
      <c r="L216" s="276" t="s">
        <v>274</v>
      </c>
      <c r="M216" s="115" t="s">
        <v>114</v>
      </c>
      <c r="N216" s="119" t="s">
        <v>115</v>
      </c>
    </row>
    <row r="217" hidden="1" outlineLevel="1">
      <c r="A217" s="391" t="s">
        <v>3869</v>
      </c>
      <c r="B217" s="344">
        <v>46153.0</v>
      </c>
      <c r="C217" s="133" t="str">
        <f t="shared" ref="C217:C231" si="25">IF(B217="", "", TEXT(B217, "ddd"))</f>
        <v>Mon</v>
      </c>
      <c r="D217" s="381">
        <f t="shared" ref="D217:D231" si="26">IF(E217="Yes",0.05,0)
+IF(F217="Yes",0.1,0)
+IF(G217="Yes",0.15,0)
+IF(H217="Yes",0.15,0)
+IF(I217="Yes",0.05,0)
+IF(J217="Yes",0.05,0)
+IF(K217="Yes",0.15,0)
+IF(L217="Yes",0.3,0)
</f>
        <v>1</v>
      </c>
      <c r="E217" s="382" t="s">
        <v>129</v>
      </c>
      <c r="F217" s="137" t="s">
        <v>129</v>
      </c>
      <c r="G217" s="137" t="s">
        <v>129</v>
      </c>
      <c r="H217" s="137" t="s">
        <v>129</v>
      </c>
      <c r="I217" s="137" t="s">
        <v>129</v>
      </c>
      <c r="J217" s="137" t="s">
        <v>129</v>
      </c>
      <c r="K217" s="137" t="s">
        <v>129</v>
      </c>
      <c r="L217" s="137" t="s">
        <v>129</v>
      </c>
      <c r="M217" s="141"/>
      <c r="N217" s="143"/>
    </row>
    <row r="218" hidden="1" outlineLevel="1">
      <c r="A218" s="391" t="s">
        <v>3873</v>
      </c>
      <c r="B218" s="344">
        <v>46153.0</v>
      </c>
      <c r="C218" s="133" t="str">
        <f t="shared" si="25"/>
        <v>Mon</v>
      </c>
      <c r="D218" s="383">
        <f t="shared" si="26"/>
        <v>1</v>
      </c>
      <c r="E218" s="147" t="s">
        <v>129</v>
      </c>
      <c r="F218" s="137" t="s">
        <v>129</v>
      </c>
      <c r="G218" s="137" t="s">
        <v>129</v>
      </c>
      <c r="H218" s="137" t="s">
        <v>129</v>
      </c>
      <c r="I218" s="137" t="s">
        <v>129</v>
      </c>
      <c r="J218" s="137" t="s">
        <v>129</v>
      </c>
      <c r="K218" s="137" t="s">
        <v>129</v>
      </c>
      <c r="L218" s="137" t="s">
        <v>129</v>
      </c>
      <c r="M218" s="141"/>
      <c r="N218" s="147"/>
    </row>
    <row r="219" hidden="1" outlineLevel="1">
      <c r="A219" s="390" t="s">
        <v>3876</v>
      </c>
      <c r="B219" s="344">
        <v>46153.0</v>
      </c>
      <c r="C219" s="133" t="str">
        <f t="shared" si="25"/>
        <v>Mon</v>
      </c>
      <c r="D219" s="381">
        <f t="shared" si="26"/>
        <v>1</v>
      </c>
      <c r="E219" s="382" t="s">
        <v>129</v>
      </c>
      <c r="F219" s="137" t="s">
        <v>129</v>
      </c>
      <c r="G219" s="137" t="s">
        <v>129</v>
      </c>
      <c r="H219" s="137" t="s">
        <v>129</v>
      </c>
      <c r="I219" s="137" t="s">
        <v>129</v>
      </c>
      <c r="J219" s="137" t="s">
        <v>129</v>
      </c>
      <c r="K219" s="137" t="s">
        <v>129</v>
      </c>
      <c r="L219" s="137" t="s">
        <v>129</v>
      </c>
      <c r="M219" s="141"/>
      <c r="N219" s="147"/>
    </row>
    <row r="220" hidden="1" outlineLevel="1">
      <c r="A220" s="390" t="s">
        <v>3878</v>
      </c>
      <c r="B220" s="344">
        <v>46154.0</v>
      </c>
      <c r="C220" s="133" t="str">
        <f t="shared" si="25"/>
        <v>Tue</v>
      </c>
      <c r="D220" s="383">
        <f t="shared" si="26"/>
        <v>1</v>
      </c>
      <c r="E220" s="147" t="s">
        <v>129</v>
      </c>
      <c r="F220" s="137" t="s">
        <v>129</v>
      </c>
      <c r="G220" s="137" t="s">
        <v>129</v>
      </c>
      <c r="H220" s="137" t="s">
        <v>129</v>
      </c>
      <c r="I220" s="137" t="s">
        <v>129</v>
      </c>
      <c r="J220" s="137" t="s">
        <v>129</v>
      </c>
      <c r="K220" s="137" t="s">
        <v>129</v>
      </c>
      <c r="L220" s="137" t="s">
        <v>129</v>
      </c>
      <c r="M220" s="141"/>
      <c r="N220" s="143"/>
    </row>
    <row r="221" hidden="1" outlineLevel="1">
      <c r="A221" s="390" t="s">
        <v>3880</v>
      </c>
      <c r="B221" s="344">
        <v>46154.0</v>
      </c>
      <c r="C221" s="133" t="str">
        <f t="shared" si="25"/>
        <v>Tue</v>
      </c>
      <c r="D221" s="381">
        <f t="shared" si="26"/>
        <v>1</v>
      </c>
      <c r="E221" s="382" t="s">
        <v>129</v>
      </c>
      <c r="F221" s="137" t="s">
        <v>129</v>
      </c>
      <c r="G221" s="137" t="s">
        <v>129</v>
      </c>
      <c r="H221" s="137" t="s">
        <v>129</v>
      </c>
      <c r="I221" s="137" t="s">
        <v>129</v>
      </c>
      <c r="J221" s="137" t="s">
        <v>129</v>
      </c>
      <c r="K221" s="137" t="s">
        <v>129</v>
      </c>
      <c r="L221" s="137" t="s">
        <v>129</v>
      </c>
      <c r="M221" s="141"/>
      <c r="N221" s="143"/>
    </row>
    <row r="222" hidden="1" outlineLevel="1">
      <c r="A222" s="391" t="s">
        <v>3883</v>
      </c>
      <c r="B222" s="344">
        <v>46154.0</v>
      </c>
      <c r="C222" s="133" t="str">
        <f t="shared" si="25"/>
        <v>Tue</v>
      </c>
      <c r="D222" s="383">
        <f t="shared" si="26"/>
        <v>1</v>
      </c>
      <c r="E222" s="147" t="s">
        <v>129</v>
      </c>
      <c r="F222" s="137" t="s">
        <v>129</v>
      </c>
      <c r="G222" s="137" t="s">
        <v>129</v>
      </c>
      <c r="H222" s="137" t="s">
        <v>129</v>
      </c>
      <c r="I222" s="137" t="s">
        <v>129</v>
      </c>
      <c r="J222" s="137" t="s">
        <v>129</v>
      </c>
      <c r="K222" s="137" t="s">
        <v>129</v>
      </c>
      <c r="L222" s="137" t="s">
        <v>129</v>
      </c>
      <c r="M222" s="141"/>
      <c r="N222" s="143"/>
    </row>
    <row r="223" hidden="1" outlineLevel="1">
      <c r="A223" s="391" t="s">
        <v>3885</v>
      </c>
      <c r="B223" s="344">
        <v>46155.0</v>
      </c>
      <c r="C223" s="133" t="str">
        <f t="shared" si="25"/>
        <v>Wed</v>
      </c>
      <c r="D223" s="381">
        <f t="shared" si="26"/>
        <v>1</v>
      </c>
      <c r="E223" s="382" t="s">
        <v>129</v>
      </c>
      <c r="F223" s="137" t="s">
        <v>129</v>
      </c>
      <c r="G223" s="137" t="s">
        <v>129</v>
      </c>
      <c r="H223" s="137" t="s">
        <v>129</v>
      </c>
      <c r="I223" s="137" t="s">
        <v>129</v>
      </c>
      <c r="J223" s="137" t="s">
        <v>129</v>
      </c>
      <c r="K223" s="137" t="s">
        <v>129</v>
      </c>
      <c r="L223" s="137" t="s">
        <v>129</v>
      </c>
      <c r="M223" s="141"/>
      <c r="N223" s="143"/>
    </row>
    <row r="224" hidden="1" outlineLevel="1">
      <c r="A224" s="391" t="s">
        <v>3888</v>
      </c>
      <c r="B224" s="344">
        <v>46155.0</v>
      </c>
      <c r="C224" s="133" t="str">
        <f t="shared" si="25"/>
        <v>Wed</v>
      </c>
      <c r="D224" s="383">
        <f t="shared" si="26"/>
        <v>1</v>
      </c>
      <c r="E224" s="147" t="s">
        <v>129</v>
      </c>
      <c r="F224" s="137" t="s">
        <v>129</v>
      </c>
      <c r="G224" s="137" t="s">
        <v>129</v>
      </c>
      <c r="H224" s="137" t="s">
        <v>129</v>
      </c>
      <c r="I224" s="137" t="s">
        <v>129</v>
      </c>
      <c r="J224" s="137" t="s">
        <v>129</v>
      </c>
      <c r="K224" s="137" t="s">
        <v>129</v>
      </c>
      <c r="L224" s="137" t="s">
        <v>129</v>
      </c>
      <c r="M224" s="141"/>
      <c r="N224" s="147"/>
    </row>
    <row r="225" hidden="1" outlineLevel="1">
      <c r="A225" s="391" t="s">
        <v>3890</v>
      </c>
      <c r="B225" s="344">
        <v>46155.0</v>
      </c>
      <c r="C225" s="133" t="str">
        <f t="shared" si="25"/>
        <v>Wed</v>
      </c>
      <c r="D225" s="381">
        <f t="shared" si="26"/>
        <v>1</v>
      </c>
      <c r="E225" s="382" t="s">
        <v>129</v>
      </c>
      <c r="F225" s="137" t="s">
        <v>129</v>
      </c>
      <c r="G225" s="137" t="s">
        <v>129</v>
      </c>
      <c r="H225" s="137" t="s">
        <v>129</v>
      </c>
      <c r="I225" s="137" t="s">
        <v>129</v>
      </c>
      <c r="J225" s="137" t="s">
        <v>129</v>
      </c>
      <c r="K225" s="137" t="s">
        <v>129</v>
      </c>
      <c r="L225" s="137" t="s">
        <v>129</v>
      </c>
      <c r="M225" s="141"/>
      <c r="N225" s="143"/>
    </row>
    <row r="226" hidden="1" outlineLevel="1">
      <c r="A226" s="391" t="s">
        <v>3893</v>
      </c>
      <c r="B226" s="344">
        <v>46156.0</v>
      </c>
      <c r="C226" s="133" t="str">
        <f t="shared" si="25"/>
        <v>Thu</v>
      </c>
      <c r="D226" s="383">
        <f t="shared" si="26"/>
        <v>1</v>
      </c>
      <c r="E226" s="147" t="s">
        <v>129</v>
      </c>
      <c r="F226" s="137" t="s">
        <v>129</v>
      </c>
      <c r="G226" s="137" t="s">
        <v>129</v>
      </c>
      <c r="H226" s="137" t="s">
        <v>129</v>
      </c>
      <c r="I226" s="137" t="s">
        <v>129</v>
      </c>
      <c r="J226" s="137" t="s">
        <v>129</v>
      </c>
      <c r="K226" s="137" t="s">
        <v>129</v>
      </c>
      <c r="L226" s="137" t="s">
        <v>129</v>
      </c>
      <c r="M226" s="141"/>
      <c r="N226" s="147"/>
    </row>
    <row r="227" hidden="1" outlineLevel="1">
      <c r="A227" s="390" t="s">
        <v>3894</v>
      </c>
      <c r="B227" s="344">
        <v>46156.0</v>
      </c>
      <c r="C227" s="133" t="str">
        <f t="shared" si="25"/>
        <v>Thu</v>
      </c>
      <c r="D227" s="381">
        <f t="shared" si="26"/>
        <v>1</v>
      </c>
      <c r="E227" s="382" t="s">
        <v>129</v>
      </c>
      <c r="F227" s="137" t="s">
        <v>129</v>
      </c>
      <c r="G227" s="137" t="s">
        <v>129</v>
      </c>
      <c r="H227" s="137" t="s">
        <v>129</v>
      </c>
      <c r="I227" s="137" t="s">
        <v>129</v>
      </c>
      <c r="J227" s="137" t="s">
        <v>129</v>
      </c>
      <c r="K227" s="137" t="s">
        <v>129</v>
      </c>
      <c r="L227" s="137" t="s">
        <v>129</v>
      </c>
      <c r="M227" s="141"/>
      <c r="N227" s="147"/>
    </row>
    <row r="228" hidden="1" outlineLevel="1">
      <c r="A228" s="391" t="s">
        <v>3897</v>
      </c>
      <c r="B228" s="344">
        <v>46156.0</v>
      </c>
      <c r="C228" s="133" t="str">
        <f t="shared" si="25"/>
        <v>Thu</v>
      </c>
      <c r="D228" s="383">
        <f t="shared" si="26"/>
        <v>1</v>
      </c>
      <c r="E228" s="147" t="s">
        <v>129</v>
      </c>
      <c r="F228" s="137" t="s">
        <v>129</v>
      </c>
      <c r="G228" s="137" t="s">
        <v>129</v>
      </c>
      <c r="H228" s="137" t="s">
        <v>129</v>
      </c>
      <c r="I228" s="137" t="s">
        <v>129</v>
      </c>
      <c r="J228" s="137" t="s">
        <v>129</v>
      </c>
      <c r="K228" s="137" t="s">
        <v>129</v>
      </c>
      <c r="L228" s="137" t="s">
        <v>129</v>
      </c>
      <c r="M228" s="141"/>
      <c r="N228" s="147"/>
    </row>
    <row r="229" hidden="1" outlineLevel="1">
      <c r="A229" s="390" t="s">
        <v>3899</v>
      </c>
      <c r="B229" s="344">
        <v>46157.0</v>
      </c>
      <c r="C229" s="133" t="str">
        <f t="shared" si="25"/>
        <v>Fri</v>
      </c>
      <c r="D229" s="381">
        <f t="shared" si="26"/>
        <v>1</v>
      </c>
      <c r="E229" s="382" t="s">
        <v>129</v>
      </c>
      <c r="F229" s="137" t="s">
        <v>129</v>
      </c>
      <c r="G229" s="137" t="s">
        <v>129</v>
      </c>
      <c r="H229" s="137" t="s">
        <v>129</v>
      </c>
      <c r="I229" s="137" t="s">
        <v>129</v>
      </c>
      <c r="J229" s="137" t="s">
        <v>129</v>
      </c>
      <c r="K229" s="137" t="s">
        <v>129</v>
      </c>
      <c r="L229" s="137" t="s">
        <v>129</v>
      </c>
      <c r="M229" s="141"/>
      <c r="N229" s="143"/>
    </row>
    <row r="230" hidden="1" outlineLevel="1">
      <c r="A230" s="390" t="s">
        <v>3901</v>
      </c>
      <c r="B230" s="344">
        <v>46157.0</v>
      </c>
      <c r="C230" s="133" t="str">
        <f t="shared" si="25"/>
        <v>Fri</v>
      </c>
      <c r="D230" s="383">
        <f t="shared" si="26"/>
        <v>1</v>
      </c>
      <c r="E230" s="147" t="s">
        <v>129</v>
      </c>
      <c r="F230" s="137" t="s">
        <v>129</v>
      </c>
      <c r="G230" s="137" t="s">
        <v>129</v>
      </c>
      <c r="H230" s="137" t="s">
        <v>129</v>
      </c>
      <c r="I230" s="137" t="s">
        <v>129</v>
      </c>
      <c r="J230" s="137" t="s">
        <v>129</v>
      </c>
      <c r="K230" s="137" t="s">
        <v>129</v>
      </c>
      <c r="L230" s="137" t="s">
        <v>129</v>
      </c>
      <c r="M230" s="141"/>
      <c r="N230" s="143"/>
    </row>
    <row r="231" ht="15.0" hidden="1" customHeight="1" outlineLevel="1">
      <c r="A231" s="391" t="s">
        <v>3903</v>
      </c>
      <c r="B231" s="344">
        <v>46157.0</v>
      </c>
      <c r="C231" s="133" t="str">
        <f t="shared" si="25"/>
        <v>Fri</v>
      </c>
      <c r="D231" s="381">
        <f t="shared" si="26"/>
        <v>1</v>
      </c>
      <c r="E231" s="382" t="s">
        <v>129</v>
      </c>
      <c r="F231" s="137" t="s">
        <v>129</v>
      </c>
      <c r="G231" s="137" t="s">
        <v>129</v>
      </c>
      <c r="H231" s="137" t="s">
        <v>129</v>
      </c>
      <c r="I231" s="137" t="s">
        <v>129</v>
      </c>
      <c r="J231" s="137" t="s">
        <v>129</v>
      </c>
      <c r="K231" s="137" t="s">
        <v>129</v>
      </c>
      <c r="L231" s="137" t="s">
        <v>129</v>
      </c>
      <c r="M231" s="141"/>
      <c r="N231" s="147"/>
    </row>
    <row r="232" hidden="1" outlineLevel="1">
      <c r="B232" s="189"/>
      <c r="C232" s="191" t="s">
        <v>194</v>
      </c>
      <c r="D232" s="204">
        <f>AVERAGE(D217:D231)</f>
        <v>1</v>
      </c>
      <c r="E232" s="384"/>
      <c r="L232" s="191" t="s">
        <v>194</v>
      </c>
      <c r="M232" s="204">
        <f>SUM(M217:M231)/75*0.1</f>
        <v>0</v>
      </c>
    </row>
    <row r="233" hidden="1" collapsed="1">
      <c r="A233" s="206" t="s">
        <v>1057</v>
      </c>
      <c r="B233" s="207"/>
      <c r="C233" s="207"/>
      <c r="D233" s="385"/>
      <c r="E233" s="109"/>
      <c r="F233" s="109"/>
      <c r="G233" s="110"/>
      <c r="H233" s="110"/>
      <c r="I233" s="110"/>
      <c r="J233" s="110"/>
      <c r="K233" s="110"/>
      <c r="L233" s="110"/>
      <c r="M233" s="111"/>
      <c r="N233" s="113"/>
    </row>
    <row r="234" hidden="1" outlineLevel="1">
      <c r="A234" s="373" t="s">
        <v>98</v>
      </c>
      <c r="B234" s="115" t="s">
        <v>100</v>
      </c>
      <c r="C234" s="115" t="s">
        <v>102</v>
      </c>
      <c r="D234" s="119" t="s">
        <v>103</v>
      </c>
      <c r="E234" s="275" t="s">
        <v>269</v>
      </c>
      <c r="F234" s="275" t="s">
        <v>272</v>
      </c>
      <c r="G234" s="276" t="s">
        <v>328</v>
      </c>
      <c r="H234" s="121" t="s">
        <v>107</v>
      </c>
      <c r="I234" s="121" t="s">
        <v>108</v>
      </c>
      <c r="J234" s="276" t="s">
        <v>329</v>
      </c>
      <c r="K234" s="121" t="s">
        <v>111</v>
      </c>
      <c r="L234" s="276" t="s">
        <v>274</v>
      </c>
      <c r="M234" s="115" t="s">
        <v>114</v>
      </c>
      <c r="N234" s="119" t="s">
        <v>115</v>
      </c>
    </row>
    <row r="235" hidden="1" outlineLevel="1">
      <c r="A235" s="393" t="s">
        <v>3905</v>
      </c>
      <c r="B235" s="344">
        <v>46161.0</v>
      </c>
      <c r="C235" s="133" t="str">
        <f t="shared" ref="C235:C249" si="27">IF(B235="", "", TEXT(B235, "ddd"))</f>
        <v>Tue</v>
      </c>
      <c r="D235" s="381">
        <f t="shared" ref="D235:D249" si="28">IF(E235="Yes",0.05,0)
+IF(F235="Yes",0.1,0)
+IF(G235="Yes",0.15,0)
+IF(H235="Yes",0.15,0)
+IF(I235="Yes",0.05,0)
+IF(J235="Yes",0.05,0)
+IF(K235="Yes",0.15,0)
+IF(L235="Yes",0.3,0)
</f>
        <v>1</v>
      </c>
      <c r="E235" s="382" t="s">
        <v>129</v>
      </c>
      <c r="F235" s="137" t="s">
        <v>129</v>
      </c>
      <c r="G235" s="137" t="s">
        <v>129</v>
      </c>
      <c r="H235" s="137" t="s">
        <v>129</v>
      </c>
      <c r="I235" s="137" t="s">
        <v>129</v>
      </c>
      <c r="J235" s="137" t="s">
        <v>129</v>
      </c>
      <c r="K235" s="137" t="s">
        <v>129</v>
      </c>
      <c r="L235" s="137" t="s">
        <v>129</v>
      </c>
      <c r="M235" s="141"/>
      <c r="N235" s="143"/>
    </row>
    <row r="236" hidden="1" outlineLevel="1">
      <c r="A236" s="394" t="s">
        <v>3906</v>
      </c>
      <c r="B236" s="344">
        <v>46161.0</v>
      </c>
      <c r="C236" s="133" t="str">
        <f t="shared" si="27"/>
        <v>Tue</v>
      </c>
      <c r="D236" s="383">
        <f t="shared" si="28"/>
        <v>1</v>
      </c>
      <c r="E236" s="147" t="s">
        <v>129</v>
      </c>
      <c r="F236" s="137" t="s">
        <v>129</v>
      </c>
      <c r="G236" s="137" t="s">
        <v>129</v>
      </c>
      <c r="H236" s="137" t="s">
        <v>129</v>
      </c>
      <c r="I236" s="137" t="s">
        <v>129</v>
      </c>
      <c r="J236" s="137" t="s">
        <v>129</v>
      </c>
      <c r="K236" s="137" t="s">
        <v>129</v>
      </c>
      <c r="L236" s="137" t="s">
        <v>129</v>
      </c>
      <c r="M236" s="141"/>
      <c r="N236" s="147"/>
    </row>
    <row r="237" hidden="1" outlineLevel="1">
      <c r="A237" s="394" t="s">
        <v>3908</v>
      </c>
      <c r="B237" s="344">
        <v>46161.0</v>
      </c>
      <c r="C237" s="133" t="str">
        <f t="shared" si="27"/>
        <v>Tue</v>
      </c>
      <c r="D237" s="381">
        <f t="shared" si="28"/>
        <v>1</v>
      </c>
      <c r="E237" s="382" t="s">
        <v>129</v>
      </c>
      <c r="F237" s="137" t="s">
        <v>129</v>
      </c>
      <c r="G237" s="137" t="s">
        <v>129</v>
      </c>
      <c r="H237" s="137" t="s">
        <v>129</v>
      </c>
      <c r="I237" s="137" t="s">
        <v>129</v>
      </c>
      <c r="J237" s="137" t="s">
        <v>129</v>
      </c>
      <c r="K237" s="137" t="s">
        <v>129</v>
      </c>
      <c r="L237" s="137" t="s">
        <v>129</v>
      </c>
      <c r="M237" s="141"/>
      <c r="N237" s="147"/>
    </row>
    <row r="238" hidden="1" outlineLevel="1">
      <c r="A238" s="393" t="s">
        <v>3911</v>
      </c>
      <c r="B238" s="344">
        <v>46161.0</v>
      </c>
      <c r="C238" s="133" t="str">
        <f t="shared" si="27"/>
        <v>Tue</v>
      </c>
      <c r="D238" s="383">
        <f t="shared" si="28"/>
        <v>1</v>
      </c>
      <c r="E238" s="147" t="s">
        <v>129</v>
      </c>
      <c r="F238" s="137" t="s">
        <v>129</v>
      </c>
      <c r="G238" s="137" t="s">
        <v>129</v>
      </c>
      <c r="H238" s="137" t="s">
        <v>129</v>
      </c>
      <c r="I238" s="137" t="s">
        <v>129</v>
      </c>
      <c r="J238" s="137" t="s">
        <v>129</v>
      </c>
      <c r="K238" s="137" t="s">
        <v>129</v>
      </c>
      <c r="L238" s="137" t="s">
        <v>129</v>
      </c>
      <c r="M238" s="141"/>
      <c r="N238" s="143"/>
    </row>
    <row r="239" hidden="1" outlineLevel="1">
      <c r="A239" s="394" t="s">
        <v>3912</v>
      </c>
      <c r="B239" s="344">
        <v>46161.0</v>
      </c>
      <c r="C239" s="133" t="str">
        <f t="shared" si="27"/>
        <v>Tue</v>
      </c>
      <c r="D239" s="381">
        <f t="shared" si="28"/>
        <v>1</v>
      </c>
      <c r="E239" s="382" t="s">
        <v>129</v>
      </c>
      <c r="F239" s="137" t="s">
        <v>129</v>
      </c>
      <c r="G239" s="137" t="s">
        <v>129</v>
      </c>
      <c r="H239" s="137" t="s">
        <v>129</v>
      </c>
      <c r="I239" s="137" t="s">
        <v>129</v>
      </c>
      <c r="J239" s="137" t="s">
        <v>129</v>
      </c>
      <c r="K239" s="137" t="s">
        <v>129</v>
      </c>
      <c r="L239" s="137" t="s">
        <v>129</v>
      </c>
      <c r="M239" s="141"/>
      <c r="N239" s="143"/>
    </row>
    <row r="240" hidden="1" outlineLevel="1">
      <c r="A240" s="393" t="s">
        <v>3914</v>
      </c>
      <c r="B240" s="344">
        <v>46161.0</v>
      </c>
      <c r="C240" s="133" t="str">
        <f t="shared" si="27"/>
        <v>Tue</v>
      </c>
      <c r="D240" s="383">
        <f t="shared" si="28"/>
        <v>1</v>
      </c>
      <c r="E240" s="147" t="s">
        <v>129</v>
      </c>
      <c r="F240" s="137" t="s">
        <v>129</v>
      </c>
      <c r="G240" s="137" t="s">
        <v>129</v>
      </c>
      <c r="H240" s="137" t="s">
        <v>129</v>
      </c>
      <c r="I240" s="137" t="s">
        <v>129</v>
      </c>
      <c r="J240" s="137" t="s">
        <v>129</v>
      </c>
      <c r="K240" s="137" t="s">
        <v>129</v>
      </c>
      <c r="L240" s="137" t="s">
        <v>129</v>
      </c>
      <c r="M240" s="141"/>
      <c r="N240" s="143"/>
    </row>
    <row r="241" hidden="1" outlineLevel="1">
      <c r="A241" s="303" t="s">
        <v>3916</v>
      </c>
      <c r="B241" s="344">
        <v>46163.0</v>
      </c>
      <c r="C241" s="133" t="str">
        <f t="shared" si="27"/>
        <v>Thu</v>
      </c>
      <c r="D241" s="381">
        <f t="shared" si="28"/>
        <v>1</v>
      </c>
      <c r="E241" s="382" t="s">
        <v>129</v>
      </c>
      <c r="F241" s="137" t="s">
        <v>129</v>
      </c>
      <c r="G241" s="137" t="s">
        <v>129</v>
      </c>
      <c r="H241" s="137" t="s">
        <v>129</v>
      </c>
      <c r="I241" s="137" t="s">
        <v>129</v>
      </c>
      <c r="J241" s="137" t="s">
        <v>129</v>
      </c>
      <c r="K241" s="137" t="s">
        <v>129</v>
      </c>
      <c r="L241" s="137" t="s">
        <v>129</v>
      </c>
      <c r="M241" s="141"/>
      <c r="N241" s="143"/>
    </row>
    <row r="242" hidden="1" outlineLevel="1">
      <c r="A242" s="303" t="s">
        <v>3918</v>
      </c>
      <c r="B242" s="344">
        <v>46163.0</v>
      </c>
      <c r="C242" s="133" t="str">
        <f t="shared" si="27"/>
        <v>Thu</v>
      </c>
      <c r="D242" s="383">
        <f t="shared" si="28"/>
        <v>1</v>
      </c>
      <c r="E242" s="147" t="s">
        <v>129</v>
      </c>
      <c r="F242" s="137" t="s">
        <v>129</v>
      </c>
      <c r="G242" s="137" t="s">
        <v>129</v>
      </c>
      <c r="H242" s="137" t="s">
        <v>129</v>
      </c>
      <c r="I242" s="137" t="s">
        <v>129</v>
      </c>
      <c r="J242" s="137" t="s">
        <v>129</v>
      </c>
      <c r="K242" s="137" t="s">
        <v>129</v>
      </c>
      <c r="L242" s="137" t="s">
        <v>129</v>
      </c>
      <c r="M242" s="141"/>
      <c r="N242" s="147"/>
    </row>
    <row r="243" hidden="1" outlineLevel="1">
      <c r="A243" s="303" t="s">
        <v>3919</v>
      </c>
      <c r="B243" s="344">
        <v>46163.0</v>
      </c>
      <c r="C243" s="133" t="str">
        <f t="shared" si="27"/>
        <v>Thu</v>
      </c>
      <c r="D243" s="381">
        <f t="shared" si="28"/>
        <v>1</v>
      </c>
      <c r="E243" s="382" t="s">
        <v>129</v>
      </c>
      <c r="F243" s="137" t="s">
        <v>129</v>
      </c>
      <c r="G243" s="137" t="s">
        <v>129</v>
      </c>
      <c r="H243" s="137" t="s">
        <v>129</v>
      </c>
      <c r="I243" s="137" t="s">
        <v>129</v>
      </c>
      <c r="J243" s="137" t="s">
        <v>129</v>
      </c>
      <c r="K243" s="137" t="s">
        <v>129</v>
      </c>
      <c r="L243" s="137" t="s">
        <v>129</v>
      </c>
      <c r="M243" s="141"/>
      <c r="N243" s="143"/>
    </row>
    <row r="244" hidden="1" outlineLevel="1">
      <c r="A244" s="303" t="s">
        <v>3922</v>
      </c>
      <c r="B244" s="344">
        <v>46164.0</v>
      </c>
      <c r="C244" s="133" t="str">
        <f t="shared" si="27"/>
        <v>Fri</v>
      </c>
      <c r="D244" s="383">
        <f t="shared" si="28"/>
        <v>1</v>
      </c>
      <c r="E244" s="147" t="s">
        <v>129</v>
      </c>
      <c r="F244" s="137" t="s">
        <v>129</v>
      </c>
      <c r="G244" s="137" t="s">
        <v>129</v>
      </c>
      <c r="H244" s="137" t="s">
        <v>129</v>
      </c>
      <c r="I244" s="137" t="s">
        <v>129</v>
      </c>
      <c r="J244" s="137" t="s">
        <v>129</v>
      </c>
      <c r="K244" s="137" t="s">
        <v>129</v>
      </c>
      <c r="L244" s="137" t="s">
        <v>129</v>
      </c>
      <c r="M244" s="141"/>
      <c r="N244" s="147"/>
    </row>
    <row r="245" hidden="1" outlineLevel="1">
      <c r="A245" s="303" t="s">
        <v>3924</v>
      </c>
      <c r="B245" s="344">
        <v>46164.0</v>
      </c>
      <c r="C245" s="133" t="str">
        <f t="shared" si="27"/>
        <v>Fri</v>
      </c>
      <c r="D245" s="381">
        <f t="shared" si="28"/>
        <v>1</v>
      </c>
      <c r="E245" s="382" t="s">
        <v>129</v>
      </c>
      <c r="F245" s="137" t="s">
        <v>129</v>
      </c>
      <c r="G245" s="137" t="s">
        <v>129</v>
      </c>
      <c r="H245" s="137" t="s">
        <v>129</v>
      </c>
      <c r="I245" s="137" t="s">
        <v>129</v>
      </c>
      <c r="J245" s="137" t="s">
        <v>129</v>
      </c>
      <c r="K245" s="137" t="s">
        <v>129</v>
      </c>
      <c r="L245" s="137" t="s">
        <v>129</v>
      </c>
      <c r="M245" s="141"/>
      <c r="N245" s="147"/>
    </row>
    <row r="246" hidden="1" outlineLevel="1">
      <c r="A246" s="303" t="s">
        <v>3926</v>
      </c>
      <c r="B246" s="344">
        <v>46164.0</v>
      </c>
      <c r="C246" s="133" t="str">
        <f t="shared" si="27"/>
        <v>Fri</v>
      </c>
      <c r="D246" s="383">
        <f t="shared" si="28"/>
        <v>1</v>
      </c>
      <c r="E246" s="147" t="s">
        <v>129</v>
      </c>
      <c r="F246" s="137" t="s">
        <v>129</v>
      </c>
      <c r="G246" s="137" t="s">
        <v>129</v>
      </c>
      <c r="H246" s="137" t="s">
        <v>129</v>
      </c>
      <c r="I246" s="137" t="s">
        <v>129</v>
      </c>
      <c r="J246" s="137" t="s">
        <v>129</v>
      </c>
      <c r="K246" s="137" t="s">
        <v>129</v>
      </c>
      <c r="L246" s="137" t="s">
        <v>129</v>
      </c>
      <c r="M246" s="141"/>
      <c r="N246" s="147"/>
    </row>
    <row r="247" hidden="1" outlineLevel="1">
      <c r="A247" s="303" t="s">
        <v>3927</v>
      </c>
      <c r="B247" s="344">
        <v>46165.0</v>
      </c>
      <c r="C247" s="133" t="str">
        <f t="shared" si="27"/>
        <v>Sat</v>
      </c>
      <c r="D247" s="381">
        <f t="shared" si="28"/>
        <v>1</v>
      </c>
      <c r="E247" s="382" t="s">
        <v>129</v>
      </c>
      <c r="F247" s="137" t="s">
        <v>129</v>
      </c>
      <c r="G247" s="137" t="s">
        <v>129</v>
      </c>
      <c r="H247" s="137" t="s">
        <v>129</v>
      </c>
      <c r="I247" s="137" t="s">
        <v>129</v>
      </c>
      <c r="J247" s="137" t="s">
        <v>129</v>
      </c>
      <c r="K247" s="137" t="s">
        <v>129</v>
      </c>
      <c r="L247" s="137" t="s">
        <v>129</v>
      </c>
      <c r="M247" s="141"/>
      <c r="N247" s="143"/>
    </row>
    <row r="248" hidden="1" outlineLevel="1">
      <c r="A248" s="303" t="s">
        <v>3929</v>
      </c>
      <c r="B248" s="344">
        <v>46165.0</v>
      </c>
      <c r="C248" s="133" t="str">
        <f t="shared" si="27"/>
        <v>Sat</v>
      </c>
      <c r="D248" s="383">
        <f t="shared" si="28"/>
        <v>1</v>
      </c>
      <c r="E248" s="147" t="s">
        <v>129</v>
      </c>
      <c r="F248" s="137" t="s">
        <v>129</v>
      </c>
      <c r="G248" s="137" t="s">
        <v>129</v>
      </c>
      <c r="H248" s="137" t="s">
        <v>129</v>
      </c>
      <c r="I248" s="137" t="s">
        <v>129</v>
      </c>
      <c r="J248" s="137" t="s">
        <v>129</v>
      </c>
      <c r="K248" s="137" t="s">
        <v>129</v>
      </c>
      <c r="L248" s="137" t="s">
        <v>129</v>
      </c>
      <c r="M248" s="141"/>
      <c r="N248" s="143"/>
    </row>
    <row r="249" ht="15.0" hidden="1" customHeight="1" outlineLevel="1">
      <c r="A249" s="303" t="s">
        <v>3931</v>
      </c>
      <c r="B249" s="344">
        <v>46165.0</v>
      </c>
      <c r="C249" s="133" t="str">
        <f t="shared" si="27"/>
        <v>Sat</v>
      </c>
      <c r="D249" s="381">
        <f t="shared" si="28"/>
        <v>1</v>
      </c>
      <c r="E249" s="382" t="s">
        <v>129</v>
      </c>
      <c r="F249" s="137" t="s">
        <v>129</v>
      </c>
      <c r="G249" s="137" t="s">
        <v>129</v>
      </c>
      <c r="H249" s="137" t="s">
        <v>129</v>
      </c>
      <c r="I249" s="137" t="s">
        <v>129</v>
      </c>
      <c r="J249" s="137" t="s">
        <v>129</v>
      </c>
      <c r="K249" s="137" t="s">
        <v>129</v>
      </c>
      <c r="L249" s="137" t="s">
        <v>129</v>
      </c>
      <c r="M249" s="141"/>
      <c r="N249" s="147"/>
    </row>
    <row r="250" hidden="1" outlineLevel="1">
      <c r="B250" s="189"/>
      <c r="C250" s="191" t="s">
        <v>194</v>
      </c>
      <c r="D250" s="204">
        <f>AVERAGE(D235:D249)</f>
        <v>1</v>
      </c>
      <c r="E250" s="384"/>
      <c r="L250" s="191" t="s">
        <v>194</v>
      </c>
      <c r="M250" s="204">
        <f>SUM(M235:M249)/75*0.1</f>
        <v>0</v>
      </c>
    </row>
    <row r="251" hidden="1" collapsed="1">
      <c r="A251" s="206" t="s">
        <v>1084</v>
      </c>
      <c r="B251" s="207"/>
      <c r="C251" s="207"/>
      <c r="D251" s="385"/>
      <c r="E251" s="109"/>
      <c r="F251" s="109"/>
      <c r="G251" s="110"/>
      <c r="H251" s="110"/>
      <c r="I251" s="110"/>
      <c r="J251" s="110"/>
      <c r="K251" s="110"/>
      <c r="L251" s="110"/>
      <c r="M251" s="111"/>
      <c r="N251" s="113"/>
    </row>
    <row r="252" hidden="1" outlineLevel="1">
      <c r="A252" s="373" t="s">
        <v>98</v>
      </c>
      <c r="B252" s="115" t="s">
        <v>100</v>
      </c>
      <c r="C252" s="115" t="s">
        <v>102</v>
      </c>
      <c r="D252" s="119" t="s">
        <v>103</v>
      </c>
      <c r="E252" s="275" t="s">
        <v>269</v>
      </c>
      <c r="F252" s="275" t="s">
        <v>272</v>
      </c>
      <c r="G252" s="276" t="s">
        <v>328</v>
      </c>
      <c r="H252" s="121" t="s">
        <v>107</v>
      </c>
      <c r="I252" s="121" t="s">
        <v>108</v>
      </c>
      <c r="J252" s="276" t="s">
        <v>329</v>
      </c>
      <c r="K252" s="121" t="s">
        <v>111</v>
      </c>
      <c r="L252" s="276" t="s">
        <v>274</v>
      </c>
      <c r="M252" s="115" t="s">
        <v>114</v>
      </c>
      <c r="N252" s="119" t="s">
        <v>115</v>
      </c>
    </row>
    <row r="253" hidden="1" outlineLevel="1">
      <c r="A253" s="303" t="s">
        <v>3935</v>
      </c>
      <c r="B253" s="344">
        <v>46168.0</v>
      </c>
      <c r="C253" s="133" t="str">
        <f t="shared" ref="C253:C267" si="29">IF(B253="", "", TEXT(B253, "ddd"))</f>
        <v>Tue</v>
      </c>
      <c r="D253" s="381">
        <f t="shared" ref="D253:D267" si="30">IF(E253="Yes",0.05,0)
+IF(F253="Yes",0.1,0)
+IF(G253="Yes",0.15,0)
+IF(H253="Yes",0.15,0)
+IF(I253="Yes",0.05,0)
+IF(J253="Yes",0.05,0)
+IF(K253="Yes",0.15,0)
+IF(L253="Yes",0.3,0)
</f>
        <v>1</v>
      </c>
      <c r="E253" s="382" t="s">
        <v>129</v>
      </c>
      <c r="F253" s="137" t="s">
        <v>129</v>
      </c>
      <c r="G253" s="137" t="s">
        <v>129</v>
      </c>
      <c r="H253" s="137" t="s">
        <v>129</v>
      </c>
      <c r="I253" s="137" t="s">
        <v>129</v>
      </c>
      <c r="J253" s="137" t="s">
        <v>129</v>
      </c>
      <c r="K253" s="137" t="s">
        <v>129</v>
      </c>
      <c r="L253" s="137" t="s">
        <v>129</v>
      </c>
      <c r="M253" s="141"/>
      <c r="N253" s="143"/>
    </row>
    <row r="254" hidden="1" outlineLevel="1">
      <c r="A254" s="303" t="s">
        <v>3941</v>
      </c>
      <c r="B254" s="344">
        <v>46168.0</v>
      </c>
      <c r="C254" s="133" t="str">
        <f t="shared" si="29"/>
        <v>Tue</v>
      </c>
      <c r="D254" s="383">
        <f t="shared" si="30"/>
        <v>1</v>
      </c>
      <c r="E254" s="147" t="s">
        <v>129</v>
      </c>
      <c r="F254" s="137" t="s">
        <v>129</v>
      </c>
      <c r="G254" s="137" t="s">
        <v>129</v>
      </c>
      <c r="H254" s="137" t="s">
        <v>129</v>
      </c>
      <c r="I254" s="137" t="s">
        <v>129</v>
      </c>
      <c r="J254" s="137" t="s">
        <v>129</v>
      </c>
      <c r="K254" s="137" t="s">
        <v>129</v>
      </c>
      <c r="L254" s="137" t="s">
        <v>129</v>
      </c>
      <c r="M254" s="141"/>
      <c r="N254" s="147"/>
    </row>
    <row r="255" hidden="1" outlineLevel="1">
      <c r="A255" s="303" t="s">
        <v>3943</v>
      </c>
      <c r="B255" s="344">
        <v>46168.0</v>
      </c>
      <c r="C255" s="133" t="str">
        <f t="shared" si="29"/>
        <v>Tue</v>
      </c>
      <c r="D255" s="381">
        <f t="shared" si="30"/>
        <v>1</v>
      </c>
      <c r="E255" s="382" t="s">
        <v>129</v>
      </c>
      <c r="F255" s="137" t="s">
        <v>129</v>
      </c>
      <c r="G255" s="137" t="s">
        <v>129</v>
      </c>
      <c r="H255" s="137" t="s">
        <v>129</v>
      </c>
      <c r="I255" s="137" t="s">
        <v>129</v>
      </c>
      <c r="J255" s="137" t="s">
        <v>129</v>
      </c>
      <c r="K255" s="137" t="s">
        <v>129</v>
      </c>
      <c r="L255" s="137" t="s">
        <v>129</v>
      </c>
      <c r="M255" s="141"/>
      <c r="N255" s="147"/>
    </row>
    <row r="256" hidden="1" outlineLevel="1">
      <c r="A256" s="303" t="s">
        <v>3946</v>
      </c>
      <c r="B256" s="344">
        <v>46169.0</v>
      </c>
      <c r="C256" s="133" t="str">
        <f t="shared" si="29"/>
        <v>Wed</v>
      </c>
      <c r="D256" s="383">
        <f t="shared" si="30"/>
        <v>1</v>
      </c>
      <c r="E256" s="147" t="s">
        <v>129</v>
      </c>
      <c r="F256" s="137" t="s">
        <v>129</v>
      </c>
      <c r="G256" s="137" t="s">
        <v>129</v>
      </c>
      <c r="H256" s="137" t="s">
        <v>129</v>
      </c>
      <c r="I256" s="137" t="s">
        <v>129</v>
      </c>
      <c r="J256" s="137" t="s">
        <v>129</v>
      </c>
      <c r="K256" s="137" t="s">
        <v>129</v>
      </c>
      <c r="L256" s="137" t="s">
        <v>129</v>
      </c>
      <c r="M256" s="141"/>
      <c r="N256" s="143"/>
    </row>
    <row r="257" hidden="1" outlineLevel="1">
      <c r="A257" s="303" t="s">
        <v>3949</v>
      </c>
      <c r="B257" s="344">
        <v>46169.0</v>
      </c>
      <c r="C257" s="133" t="str">
        <f t="shared" si="29"/>
        <v>Wed</v>
      </c>
      <c r="D257" s="381">
        <f t="shared" si="30"/>
        <v>1</v>
      </c>
      <c r="E257" s="382" t="s">
        <v>129</v>
      </c>
      <c r="F257" s="137" t="s">
        <v>129</v>
      </c>
      <c r="G257" s="137" t="s">
        <v>129</v>
      </c>
      <c r="H257" s="137" t="s">
        <v>129</v>
      </c>
      <c r="I257" s="137" t="s">
        <v>129</v>
      </c>
      <c r="J257" s="137" t="s">
        <v>129</v>
      </c>
      <c r="K257" s="137" t="s">
        <v>129</v>
      </c>
      <c r="L257" s="137" t="s">
        <v>129</v>
      </c>
      <c r="M257" s="141"/>
      <c r="N257" s="143"/>
    </row>
    <row r="258" hidden="1" outlineLevel="1">
      <c r="A258" s="303" t="s">
        <v>3951</v>
      </c>
      <c r="B258" s="344">
        <v>46169.0</v>
      </c>
      <c r="C258" s="133" t="str">
        <f t="shared" si="29"/>
        <v>Wed</v>
      </c>
      <c r="D258" s="383">
        <f t="shared" si="30"/>
        <v>1</v>
      </c>
      <c r="E258" s="147" t="s">
        <v>129</v>
      </c>
      <c r="F258" s="137" t="s">
        <v>129</v>
      </c>
      <c r="G258" s="137" t="s">
        <v>129</v>
      </c>
      <c r="H258" s="137" t="s">
        <v>129</v>
      </c>
      <c r="I258" s="137" t="s">
        <v>129</v>
      </c>
      <c r="J258" s="137" t="s">
        <v>129</v>
      </c>
      <c r="K258" s="137" t="s">
        <v>129</v>
      </c>
      <c r="L258" s="137" t="s">
        <v>129</v>
      </c>
      <c r="M258" s="141"/>
      <c r="N258" s="143"/>
    </row>
    <row r="259" hidden="1" outlineLevel="1">
      <c r="A259" s="303" t="s">
        <v>3952</v>
      </c>
      <c r="B259" s="344">
        <v>46170.0</v>
      </c>
      <c r="C259" s="133" t="str">
        <f t="shared" si="29"/>
        <v>Thu</v>
      </c>
      <c r="D259" s="381">
        <f t="shared" si="30"/>
        <v>1</v>
      </c>
      <c r="E259" s="382" t="s">
        <v>129</v>
      </c>
      <c r="F259" s="137" t="s">
        <v>129</v>
      </c>
      <c r="G259" s="137" t="s">
        <v>129</v>
      </c>
      <c r="H259" s="137" t="s">
        <v>129</v>
      </c>
      <c r="I259" s="137" t="s">
        <v>129</v>
      </c>
      <c r="J259" s="137" t="s">
        <v>129</v>
      </c>
      <c r="K259" s="137" t="s">
        <v>129</v>
      </c>
      <c r="L259" s="137" t="s">
        <v>129</v>
      </c>
      <c r="M259" s="141"/>
      <c r="N259" s="143"/>
    </row>
    <row r="260" hidden="1" outlineLevel="1">
      <c r="A260" s="303" t="s">
        <v>3954</v>
      </c>
      <c r="B260" s="344">
        <v>46170.0</v>
      </c>
      <c r="C260" s="133" t="str">
        <f t="shared" si="29"/>
        <v>Thu</v>
      </c>
      <c r="D260" s="383">
        <f t="shared" si="30"/>
        <v>1</v>
      </c>
      <c r="E260" s="147" t="s">
        <v>129</v>
      </c>
      <c r="F260" s="137" t="s">
        <v>129</v>
      </c>
      <c r="G260" s="137" t="s">
        <v>129</v>
      </c>
      <c r="H260" s="137" t="s">
        <v>129</v>
      </c>
      <c r="I260" s="137" t="s">
        <v>129</v>
      </c>
      <c r="J260" s="137" t="s">
        <v>129</v>
      </c>
      <c r="K260" s="137" t="s">
        <v>129</v>
      </c>
      <c r="L260" s="137" t="s">
        <v>129</v>
      </c>
      <c r="M260" s="141"/>
      <c r="N260" s="147"/>
    </row>
    <row r="261" hidden="1" outlineLevel="1">
      <c r="A261" s="303" t="s">
        <v>3956</v>
      </c>
      <c r="B261" s="344">
        <v>46170.0</v>
      </c>
      <c r="C261" s="133" t="str">
        <f t="shared" si="29"/>
        <v>Thu</v>
      </c>
      <c r="D261" s="381">
        <f t="shared" si="30"/>
        <v>1</v>
      </c>
      <c r="E261" s="382" t="s">
        <v>129</v>
      </c>
      <c r="F261" s="137" t="s">
        <v>129</v>
      </c>
      <c r="G261" s="137" t="s">
        <v>129</v>
      </c>
      <c r="H261" s="137" t="s">
        <v>129</v>
      </c>
      <c r="I261" s="137" t="s">
        <v>129</v>
      </c>
      <c r="J261" s="137" t="s">
        <v>129</v>
      </c>
      <c r="K261" s="137" t="s">
        <v>129</v>
      </c>
      <c r="L261" s="137" t="s">
        <v>129</v>
      </c>
      <c r="M261" s="141"/>
      <c r="N261" s="143"/>
    </row>
    <row r="262" hidden="1" outlineLevel="1">
      <c r="A262" s="303" t="s">
        <v>3958</v>
      </c>
      <c r="B262" s="344">
        <v>46171.0</v>
      </c>
      <c r="C262" s="133" t="str">
        <f t="shared" si="29"/>
        <v>Fri</v>
      </c>
      <c r="D262" s="383">
        <f t="shared" si="30"/>
        <v>1</v>
      </c>
      <c r="E262" s="147" t="s">
        <v>129</v>
      </c>
      <c r="F262" s="137" t="s">
        <v>129</v>
      </c>
      <c r="G262" s="137" t="s">
        <v>129</v>
      </c>
      <c r="H262" s="137" t="s">
        <v>129</v>
      </c>
      <c r="I262" s="137" t="s">
        <v>129</v>
      </c>
      <c r="J262" s="137" t="s">
        <v>129</v>
      </c>
      <c r="K262" s="137" t="s">
        <v>129</v>
      </c>
      <c r="L262" s="137" t="s">
        <v>129</v>
      </c>
      <c r="M262" s="141"/>
      <c r="N262" s="147"/>
    </row>
    <row r="263" hidden="1" outlineLevel="1">
      <c r="A263" s="303" t="s">
        <v>3960</v>
      </c>
      <c r="B263" s="344">
        <v>46171.0</v>
      </c>
      <c r="C263" s="133" t="str">
        <f t="shared" si="29"/>
        <v>Fri</v>
      </c>
      <c r="D263" s="381">
        <f t="shared" si="30"/>
        <v>1</v>
      </c>
      <c r="E263" s="382" t="s">
        <v>129</v>
      </c>
      <c r="F263" s="137" t="s">
        <v>129</v>
      </c>
      <c r="G263" s="137" t="s">
        <v>129</v>
      </c>
      <c r="H263" s="137" t="s">
        <v>129</v>
      </c>
      <c r="I263" s="137" t="s">
        <v>129</v>
      </c>
      <c r="J263" s="137" t="s">
        <v>129</v>
      </c>
      <c r="K263" s="137" t="s">
        <v>129</v>
      </c>
      <c r="L263" s="137" t="s">
        <v>129</v>
      </c>
      <c r="M263" s="141"/>
      <c r="N263" s="147"/>
    </row>
    <row r="264" hidden="1" outlineLevel="1">
      <c r="A264" s="303" t="s">
        <v>3961</v>
      </c>
      <c r="B264" s="344">
        <v>46171.0</v>
      </c>
      <c r="C264" s="133" t="str">
        <f t="shared" si="29"/>
        <v>Fri</v>
      </c>
      <c r="D264" s="383">
        <f t="shared" si="30"/>
        <v>1</v>
      </c>
      <c r="E264" s="147" t="s">
        <v>129</v>
      </c>
      <c r="F264" s="137" t="s">
        <v>129</v>
      </c>
      <c r="G264" s="137" t="s">
        <v>129</v>
      </c>
      <c r="H264" s="137" t="s">
        <v>129</v>
      </c>
      <c r="I264" s="137" t="s">
        <v>129</v>
      </c>
      <c r="J264" s="137" t="s">
        <v>129</v>
      </c>
      <c r="K264" s="137" t="s">
        <v>129</v>
      </c>
      <c r="L264" s="137" t="s">
        <v>129</v>
      </c>
      <c r="M264" s="141"/>
      <c r="N264" s="147"/>
    </row>
    <row r="265" hidden="1" outlineLevel="1">
      <c r="A265" s="303" t="s">
        <v>3964</v>
      </c>
      <c r="B265" s="344">
        <v>46172.0</v>
      </c>
      <c r="C265" s="133" t="str">
        <f t="shared" si="29"/>
        <v>Sat</v>
      </c>
      <c r="D265" s="381">
        <f t="shared" si="30"/>
        <v>1</v>
      </c>
      <c r="E265" s="382" t="s">
        <v>129</v>
      </c>
      <c r="F265" s="137" t="s">
        <v>129</v>
      </c>
      <c r="G265" s="137" t="s">
        <v>129</v>
      </c>
      <c r="H265" s="137" t="s">
        <v>129</v>
      </c>
      <c r="I265" s="137" t="s">
        <v>129</v>
      </c>
      <c r="J265" s="137" t="s">
        <v>129</v>
      </c>
      <c r="K265" s="137" t="s">
        <v>129</v>
      </c>
      <c r="L265" s="137" t="s">
        <v>129</v>
      </c>
      <c r="M265" s="141"/>
      <c r="N265" s="143"/>
    </row>
    <row r="266" hidden="1" outlineLevel="1">
      <c r="A266" s="303" t="s">
        <v>3966</v>
      </c>
      <c r="B266" s="344">
        <v>46172.0</v>
      </c>
      <c r="C266" s="133" t="str">
        <f t="shared" si="29"/>
        <v>Sat</v>
      </c>
      <c r="D266" s="383">
        <f t="shared" si="30"/>
        <v>1</v>
      </c>
      <c r="E266" s="147" t="s">
        <v>129</v>
      </c>
      <c r="F266" s="137" t="s">
        <v>129</v>
      </c>
      <c r="G266" s="137" t="s">
        <v>129</v>
      </c>
      <c r="H266" s="137" t="s">
        <v>129</v>
      </c>
      <c r="I266" s="137" t="s">
        <v>129</v>
      </c>
      <c r="J266" s="137" t="s">
        <v>129</v>
      </c>
      <c r="K266" s="137" t="s">
        <v>129</v>
      </c>
      <c r="L266" s="137" t="s">
        <v>129</v>
      </c>
      <c r="M266" s="141"/>
      <c r="N266" s="143"/>
    </row>
    <row r="267" ht="15.0" hidden="1" customHeight="1" outlineLevel="1">
      <c r="A267" s="303" t="s">
        <v>3969</v>
      </c>
      <c r="B267" s="344">
        <v>46172.0</v>
      </c>
      <c r="C267" s="133" t="str">
        <f t="shared" si="29"/>
        <v>Sat</v>
      </c>
      <c r="D267" s="381">
        <f t="shared" si="30"/>
        <v>1</v>
      </c>
      <c r="E267" s="382" t="s">
        <v>129</v>
      </c>
      <c r="F267" s="137" t="s">
        <v>129</v>
      </c>
      <c r="G267" s="137" t="s">
        <v>129</v>
      </c>
      <c r="H267" s="137" t="s">
        <v>129</v>
      </c>
      <c r="I267" s="137" t="s">
        <v>129</v>
      </c>
      <c r="J267" s="137" t="s">
        <v>129</v>
      </c>
      <c r="K267" s="137" t="s">
        <v>129</v>
      </c>
      <c r="L267" s="137" t="s">
        <v>129</v>
      </c>
      <c r="M267" s="141"/>
      <c r="N267" s="147"/>
    </row>
    <row r="268" hidden="1" outlineLevel="1">
      <c r="B268" s="189"/>
      <c r="C268" s="191" t="s">
        <v>194</v>
      </c>
      <c r="D268" s="204">
        <f>AVERAGE(D253:D267)</f>
        <v>1</v>
      </c>
      <c r="E268" s="384"/>
      <c r="L268" s="191" t="s">
        <v>194</v>
      </c>
      <c r="M268" s="204">
        <f>SUM(M253:M267)/75*0.1</f>
        <v>0</v>
      </c>
    </row>
    <row r="269" hidden="1" collapsed="1">
      <c r="A269" s="206" t="s">
        <v>1109</v>
      </c>
      <c r="B269" s="207"/>
      <c r="C269" s="207"/>
      <c r="D269" s="385"/>
      <c r="E269" s="109"/>
      <c r="F269" s="109"/>
      <c r="G269" s="110"/>
      <c r="H269" s="110"/>
      <c r="I269" s="110"/>
      <c r="J269" s="110"/>
      <c r="K269" s="110"/>
      <c r="L269" s="110"/>
      <c r="M269" s="111"/>
      <c r="N269" s="113"/>
    </row>
    <row r="270" hidden="1" outlineLevel="1">
      <c r="A270" s="373" t="s">
        <v>98</v>
      </c>
      <c r="B270" s="115" t="s">
        <v>100</v>
      </c>
      <c r="C270" s="115" t="s">
        <v>102</v>
      </c>
      <c r="D270" s="119" t="s">
        <v>103</v>
      </c>
      <c r="E270" s="275" t="s">
        <v>269</v>
      </c>
      <c r="F270" s="275" t="s">
        <v>272</v>
      </c>
      <c r="G270" s="276" t="s">
        <v>328</v>
      </c>
      <c r="H270" s="121" t="s">
        <v>107</v>
      </c>
      <c r="I270" s="121" t="s">
        <v>108</v>
      </c>
      <c r="J270" s="276" t="s">
        <v>329</v>
      </c>
      <c r="K270" s="121" t="s">
        <v>111</v>
      </c>
      <c r="L270" s="276" t="s">
        <v>274</v>
      </c>
      <c r="M270" s="115" t="s">
        <v>114</v>
      </c>
      <c r="N270" s="119" t="s">
        <v>115</v>
      </c>
    </row>
    <row r="271" hidden="1" outlineLevel="1">
      <c r="A271" s="303" t="s">
        <v>3976</v>
      </c>
      <c r="B271" s="344">
        <v>46175.0</v>
      </c>
      <c r="C271" s="133" t="str">
        <f t="shared" ref="C271:C285" si="31">IF(B271="", "", TEXT(B271, "ddd"))</f>
        <v>Tue</v>
      </c>
      <c r="D271" s="381">
        <f t="shared" ref="D271:D285" si="32">IF(E271="Yes",0.05,0)
+IF(F271="Yes",0.1,0)
+IF(G271="Yes",0.15,0)
+IF(H271="Yes",0.15,0)
+IF(I271="Yes",0.05,0)
+IF(J271="Yes",0.05,0)
+IF(K271="Yes",0.15,0)
+IF(L271="Yes",0.3,0)
</f>
        <v>1</v>
      </c>
      <c r="E271" s="382" t="s">
        <v>129</v>
      </c>
      <c r="F271" s="137" t="s">
        <v>129</v>
      </c>
      <c r="G271" s="137" t="s">
        <v>129</v>
      </c>
      <c r="H271" s="137" t="s">
        <v>129</v>
      </c>
      <c r="I271" s="137" t="s">
        <v>129</v>
      </c>
      <c r="J271" s="137" t="s">
        <v>129</v>
      </c>
      <c r="K271" s="137" t="s">
        <v>129</v>
      </c>
      <c r="L271" s="137" t="s">
        <v>129</v>
      </c>
      <c r="M271" s="141"/>
      <c r="N271" s="143"/>
    </row>
    <row r="272" hidden="1" outlineLevel="1">
      <c r="A272" s="255" t="s">
        <v>3979</v>
      </c>
      <c r="B272" s="344">
        <v>46175.0</v>
      </c>
      <c r="C272" s="133" t="str">
        <f t="shared" si="31"/>
        <v>Tue</v>
      </c>
      <c r="D272" s="383">
        <f t="shared" si="32"/>
        <v>1</v>
      </c>
      <c r="E272" s="147" t="s">
        <v>129</v>
      </c>
      <c r="F272" s="137" t="s">
        <v>129</v>
      </c>
      <c r="G272" s="137" t="s">
        <v>129</v>
      </c>
      <c r="H272" s="137" t="s">
        <v>129</v>
      </c>
      <c r="I272" s="137" t="s">
        <v>129</v>
      </c>
      <c r="J272" s="137" t="s">
        <v>129</v>
      </c>
      <c r="K272" s="137" t="s">
        <v>129</v>
      </c>
      <c r="L272" s="137" t="s">
        <v>129</v>
      </c>
      <c r="M272" s="141"/>
      <c r="N272" s="147"/>
    </row>
    <row r="273" hidden="1" outlineLevel="1">
      <c r="A273" s="255" t="s">
        <v>3981</v>
      </c>
      <c r="B273" s="344">
        <v>46175.0</v>
      </c>
      <c r="C273" s="133" t="str">
        <f t="shared" si="31"/>
        <v>Tue</v>
      </c>
      <c r="D273" s="381">
        <f t="shared" si="32"/>
        <v>1</v>
      </c>
      <c r="E273" s="382" t="s">
        <v>129</v>
      </c>
      <c r="F273" s="137" t="s">
        <v>129</v>
      </c>
      <c r="G273" s="137" t="s">
        <v>129</v>
      </c>
      <c r="H273" s="137" t="s">
        <v>129</v>
      </c>
      <c r="I273" s="137" t="s">
        <v>129</v>
      </c>
      <c r="J273" s="137" t="s">
        <v>129</v>
      </c>
      <c r="K273" s="137" t="s">
        <v>129</v>
      </c>
      <c r="L273" s="137" t="s">
        <v>129</v>
      </c>
      <c r="M273" s="141"/>
      <c r="N273" s="147"/>
    </row>
    <row r="274" hidden="1" outlineLevel="1">
      <c r="A274" s="255" t="s">
        <v>3983</v>
      </c>
      <c r="B274" s="344">
        <v>46176.0</v>
      </c>
      <c r="C274" s="133" t="str">
        <f t="shared" si="31"/>
        <v>Wed</v>
      </c>
      <c r="D274" s="383">
        <f t="shared" si="32"/>
        <v>1</v>
      </c>
      <c r="E274" s="147" t="s">
        <v>129</v>
      </c>
      <c r="F274" s="137" t="s">
        <v>129</v>
      </c>
      <c r="G274" s="137" t="s">
        <v>129</v>
      </c>
      <c r="H274" s="137" t="s">
        <v>129</v>
      </c>
      <c r="I274" s="137" t="s">
        <v>129</v>
      </c>
      <c r="J274" s="137" t="s">
        <v>129</v>
      </c>
      <c r="K274" s="137" t="s">
        <v>129</v>
      </c>
      <c r="L274" s="137" t="s">
        <v>129</v>
      </c>
      <c r="M274" s="141"/>
      <c r="N274" s="143"/>
    </row>
    <row r="275" hidden="1" outlineLevel="1">
      <c r="A275" s="255" t="s">
        <v>3986</v>
      </c>
      <c r="B275" s="344">
        <v>46176.0</v>
      </c>
      <c r="C275" s="133" t="str">
        <f t="shared" si="31"/>
        <v>Wed</v>
      </c>
      <c r="D275" s="381">
        <f t="shared" si="32"/>
        <v>1</v>
      </c>
      <c r="E275" s="382" t="s">
        <v>129</v>
      </c>
      <c r="F275" s="137" t="s">
        <v>129</v>
      </c>
      <c r="G275" s="137" t="s">
        <v>129</v>
      </c>
      <c r="H275" s="137" t="s">
        <v>129</v>
      </c>
      <c r="I275" s="137" t="s">
        <v>129</v>
      </c>
      <c r="J275" s="137" t="s">
        <v>129</v>
      </c>
      <c r="K275" s="137" t="s">
        <v>129</v>
      </c>
      <c r="L275" s="137" t="s">
        <v>129</v>
      </c>
      <c r="M275" s="141"/>
      <c r="N275" s="143"/>
    </row>
    <row r="276" hidden="1" outlineLevel="1">
      <c r="A276" s="255" t="s">
        <v>3989</v>
      </c>
      <c r="B276" s="344">
        <v>46176.0</v>
      </c>
      <c r="C276" s="133" t="str">
        <f t="shared" si="31"/>
        <v>Wed</v>
      </c>
      <c r="D276" s="383">
        <f t="shared" si="32"/>
        <v>1</v>
      </c>
      <c r="E276" s="147" t="s">
        <v>129</v>
      </c>
      <c r="F276" s="137" t="s">
        <v>129</v>
      </c>
      <c r="G276" s="137" t="s">
        <v>129</v>
      </c>
      <c r="H276" s="137" t="s">
        <v>129</v>
      </c>
      <c r="I276" s="137" t="s">
        <v>129</v>
      </c>
      <c r="J276" s="137" t="s">
        <v>129</v>
      </c>
      <c r="K276" s="137" t="s">
        <v>129</v>
      </c>
      <c r="L276" s="137" t="s">
        <v>129</v>
      </c>
      <c r="M276" s="141"/>
      <c r="N276" s="143"/>
    </row>
    <row r="277" hidden="1" outlineLevel="1">
      <c r="A277" s="255" t="s">
        <v>3991</v>
      </c>
      <c r="B277" s="344">
        <v>46177.0</v>
      </c>
      <c r="C277" s="133" t="str">
        <f t="shared" si="31"/>
        <v>Thu</v>
      </c>
      <c r="D277" s="381">
        <f t="shared" si="32"/>
        <v>1</v>
      </c>
      <c r="E277" s="382" t="s">
        <v>129</v>
      </c>
      <c r="F277" s="137" t="s">
        <v>129</v>
      </c>
      <c r="G277" s="137" t="s">
        <v>129</v>
      </c>
      <c r="H277" s="137" t="s">
        <v>129</v>
      </c>
      <c r="I277" s="137" t="s">
        <v>129</v>
      </c>
      <c r="J277" s="137" t="s">
        <v>129</v>
      </c>
      <c r="K277" s="137" t="s">
        <v>129</v>
      </c>
      <c r="L277" s="137" t="s">
        <v>129</v>
      </c>
      <c r="M277" s="141"/>
      <c r="N277" s="143"/>
    </row>
    <row r="278" hidden="1" outlineLevel="1">
      <c r="A278" s="255" t="s">
        <v>3993</v>
      </c>
      <c r="B278" s="344">
        <v>46177.0</v>
      </c>
      <c r="C278" s="133" t="str">
        <f t="shared" si="31"/>
        <v>Thu</v>
      </c>
      <c r="D278" s="383">
        <f t="shared" si="32"/>
        <v>1</v>
      </c>
      <c r="E278" s="147" t="s">
        <v>129</v>
      </c>
      <c r="F278" s="137" t="s">
        <v>129</v>
      </c>
      <c r="G278" s="137" t="s">
        <v>129</v>
      </c>
      <c r="H278" s="137" t="s">
        <v>129</v>
      </c>
      <c r="I278" s="137" t="s">
        <v>129</v>
      </c>
      <c r="J278" s="137" t="s">
        <v>129</v>
      </c>
      <c r="K278" s="137" t="s">
        <v>129</v>
      </c>
      <c r="L278" s="137" t="s">
        <v>129</v>
      </c>
      <c r="M278" s="141"/>
      <c r="N278" s="147"/>
    </row>
    <row r="279" hidden="1" outlineLevel="1">
      <c r="A279" s="255" t="s">
        <v>3994</v>
      </c>
      <c r="B279" s="344">
        <v>46177.0</v>
      </c>
      <c r="C279" s="133" t="str">
        <f t="shared" si="31"/>
        <v>Thu</v>
      </c>
      <c r="D279" s="381">
        <f t="shared" si="32"/>
        <v>1</v>
      </c>
      <c r="E279" s="382" t="s">
        <v>129</v>
      </c>
      <c r="F279" s="137" t="s">
        <v>129</v>
      </c>
      <c r="G279" s="137" t="s">
        <v>129</v>
      </c>
      <c r="H279" s="137" t="s">
        <v>129</v>
      </c>
      <c r="I279" s="137" t="s">
        <v>129</v>
      </c>
      <c r="J279" s="137" t="s">
        <v>129</v>
      </c>
      <c r="K279" s="137" t="s">
        <v>129</v>
      </c>
      <c r="L279" s="137" t="s">
        <v>129</v>
      </c>
      <c r="M279" s="141"/>
      <c r="N279" s="143"/>
    </row>
    <row r="280" hidden="1" outlineLevel="1">
      <c r="A280" s="255" t="s">
        <v>3996</v>
      </c>
      <c r="B280" s="344">
        <v>46178.0</v>
      </c>
      <c r="C280" s="133" t="str">
        <f t="shared" si="31"/>
        <v>Fri</v>
      </c>
      <c r="D280" s="383">
        <f t="shared" si="32"/>
        <v>1</v>
      </c>
      <c r="E280" s="147" t="s">
        <v>129</v>
      </c>
      <c r="F280" s="137" t="s">
        <v>129</v>
      </c>
      <c r="G280" s="137" t="s">
        <v>129</v>
      </c>
      <c r="H280" s="137" t="s">
        <v>129</v>
      </c>
      <c r="I280" s="137" t="s">
        <v>129</v>
      </c>
      <c r="J280" s="137" t="s">
        <v>129</v>
      </c>
      <c r="K280" s="137" t="s">
        <v>129</v>
      </c>
      <c r="L280" s="137" t="s">
        <v>129</v>
      </c>
      <c r="M280" s="141"/>
      <c r="N280" s="147"/>
    </row>
    <row r="281" hidden="1" outlineLevel="1">
      <c r="A281" s="255" t="s">
        <v>3998</v>
      </c>
      <c r="B281" s="344">
        <v>46178.0</v>
      </c>
      <c r="C281" s="133" t="str">
        <f t="shared" si="31"/>
        <v>Fri</v>
      </c>
      <c r="D281" s="381">
        <f t="shared" si="32"/>
        <v>1</v>
      </c>
      <c r="E281" s="382" t="s">
        <v>129</v>
      </c>
      <c r="F281" s="137" t="s">
        <v>129</v>
      </c>
      <c r="G281" s="137" t="s">
        <v>129</v>
      </c>
      <c r="H281" s="137" t="s">
        <v>129</v>
      </c>
      <c r="I281" s="137" t="s">
        <v>129</v>
      </c>
      <c r="J281" s="137" t="s">
        <v>129</v>
      </c>
      <c r="K281" s="137" t="s">
        <v>129</v>
      </c>
      <c r="L281" s="137" t="s">
        <v>129</v>
      </c>
      <c r="M281" s="141"/>
      <c r="N281" s="147"/>
    </row>
    <row r="282" hidden="1" outlineLevel="1">
      <c r="A282" s="255" t="s">
        <v>4000</v>
      </c>
      <c r="B282" s="344">
        <v>46178.0</v>
      </c>
      <c r="C282" s="133" t="str">
        <f t="shared" si="31"/>
        <v>Fri</v>
      </c>
      <c r="D282" s="383">
        <f t="shared" si="32"/>
        <v>1</v>
      </c>
      <c r="E282" s="147" t="s">
        <v>129</v>
      </c>
      <c r="F282" s="137" t="s">
        <v>129</v>
      </c>
      <c r="G282" s="137" t="s">
        <v>129</v>
      </c>
      <c r="H282" s="137" t="s">
        <v>129</v>
      </c>
      <c r="I282" s="137" t="s">
        <v>129</v>
      </c>
      <c r="J282" s="137" t="s">
        <v>129</v>
      </c>
      <c r="K282" s="137" t="s">
        <v>129</v>
      </c>
      <c r="L282" s="137" t="s">
        <v>129</v>
      </c>
      <c r="M282" s="141"/>
      <c r="N282" s="147"/>
    </row>
    <row r="283" hidden="1" outlineLevel="1">
      <c r="A283" s="255" t="s">
        <v>4002</v>
      </c>
      <c r="B283" s="344">
        <v>46179.0</v>
      </c>
      <c r="C283" s="133" t="str">
        <f t="shared" si="31"/>
        <v>Sat</v>
      </c>
      <c r="D283" s="381">
        <f t="shared" si="32"/>
        <v>1</v>
      </c>
      <c r="E283" s="382" t="s">
        <v>129</v>
      </c>
      <c r="F283" s="137" t="s">
        <v>129</v>
      </c>
      <c r="G283" s="137" t="s">
        <v>129</v>
      </c>
      <c r="H283" s="137" t="s">
        <v>129</v>
      </c>
      <c r="I283" s="137" t="s">
        <v>129</v>
      </c>
      <c r="J283" s="137" t="s">
        <v>129</v>
      </c>
      <c r="K283" s="137" t="s">
        <v>129</v>
      </c>
      <c r="L283" s="137" t="s">
        <v>129</v>
      </c>
      <c r="M283" s="141"/>
      <c r="N283" s="143"/>
    </row>
    <row r="284" hidden="1" outlineLevel="1">
      <c r="A284" s="255" t="s">
        <v>4004</v>
      </c>
      <c r="B284" s="344">
        <v>46179.0</v>
      </c>
      <c r="C284" s="133" t="str">
        <f t="shared" si="31"/>
        <v>Sat</v>
      </c>
      <c r="D284" s="383">
        <f t="shared" si="32"/>
        <v>1</v>
      </c>
      <c r="E284" s="147" t="s">
        <v>129</v>
      </c>
      <c r="F284" s="137" t="s">
        <v>129</v>
      </c>
      <c r="G284" s="137" t="s">
        <v>129</v>
      </c>
      <c r="H284" s="137" t="s">
        <v>129</v>
      </c>
      <c r="I284" s="137" t="s">
        <v>129</v>
      </c>
      <c r="J284" s="137" t="s">
        <v>129</v>
      </c>
      <c r="K284" s="137" t="s">
        <v>129</v>
      </c>
      <c r="L284" s="137" t="s">
        <v>129</v>
      </c>
      <c r="M284" s="141"/>
      <c r="N284" s="143"/>
    </row>
    <row r="285" ht="15.0" hidden="1" customHeight="1" outlineLevel="1">
      <c r="A285" s="255" t="s">
        <v>4006</v>
      </c>
      <c r="B285" s="344">
        <v>46179.0</v>
      </c>
      <c r="C285" s="133" t="str">
        <f t="shared" si="31"/>
        <v>Sat</v>
      </c>
      <c r="D285" s="381">
        <f t="shared" si="32"/>
        <v>1</v>
      </c>
      <c r="E285" s="382" t="s">
        <v>129</v>
      </c>
      <c r="F285" s="137" t="s">
        <v>129</v>
      </c>
      <c r="G285" s="137" t="s">
        <v>129</v>
      </c>
      <c r="H285" s="137" t="s">
        <v>129</v>
      </c>
      <c r="I285" s="137" t="s">
        <v>129</v>
      </c>
      <c r="J285" s="137" t="s">
        <v>129</v>
      </c>
      <c r="K285" s="137" t="s">
        <v>129</v>
      </c>
      <c r="L285" s="137" t="s">
        <v>129</v>
      </c>
      <c r="M285" s="141"/>
      <c r="N285" s="147"/>
    </row>
    <row r="286" hidden="1" outlineLevel="1">
      <c r="B286" s="189"/>
      <c r="C286" s="191" t="s">
        <v>194</v>
      </c>
      <c r="D286" s="204">
        <f>AVERAGE(D271:D285)</f>
        <v>1</v>
      </c>
      <c r="E286" s="384"/>
      <c r="L286" s="191" t="s">
        <v>194</v>
      </c>
      <c r="M286" s="204">
        <f>SUM(M271:M285)/75*0.1</f>
        <v>0</v>
      </c>
    </row>
    <row r="287" hidden="1" collapsed="1">
      <c r="A287" s="206" t="s">
        <v>1138</v>
      </c>
      <c r="B287" s="207"/>
      <c r="C287" s="207"/>
      <c r="D287" s="385"/>
      <c r="E287" s="109"/>
      <c r="F287" s="109"/>
      <c r="G287" s="110"/>
      <c r="H287" s="110"/>
      <c r="I287" s="110"/>
      <c r="J287" s="110"/>
      <c r="K287" s="110"/>
      <c r="L287" s="110"/>
      <c r="M287" s="111"/>
      <c r="N287" s="113"/>
    </row>
    <row r="288" hidden="1" outlineLevel="1">
      <c r="A288" s="373" t="s">
        <v>98</v>
      </c>
      <c r="B288" s="115" t="s">
        <v>100</v>
      </c>
      <c r="C288" s="115" t="s">
        <v>102</v>
      </c>
      <c r="D288" s="119" t="s">
        <v>103</v>
      </c>
      <c r="E288" s="275" t="s">
        <v>269</v>
      </c>
      <c r="F288" s="275" t="s">
        <v>272</v>
      </c>
      <c r="G288" s="276" t="s">
        <v>328</v>
      </c>
      <c r="H288" s="121" t="s">
        <v>107</v>
      </c>
      <c r="I288" s="121" t="s">
        <v>108</v>
      </c>
      <c r="J288" s="276" t="s">
        <v>329</v>
      </c>
      <c r="K288" s="121" t="s">
        <v>111</v>
      </c>
      <c r="L288" s="276" t="s">
        <v>274</v>
      </c>
      <c r="M288" s="115" t="s">
        <v>114</v>
      </c>
      <c r="N288" s="119" t="s">
        <v>115</v>
      </c>
    </row>
    <row r="289" hidden="1" outlineLevel="1">
      <c r="A289" s="303" t="s">
        <v>4010</v>
      </c>
      <c r="B289" s="344">
        <v>46182.0</v>
      </c>
      <c r="C289" s="133" t="str">
        <f t="shared" ref="C289:C303" si="33">IF(B289="", "", TEXT(B289, "ddd"))</f>
        <v>Tue</v>
      </c>
      <c r="D289" s="381">
        <f t="shared" ref="D289:D303" si="34">IF(E289="Yes",0.05,0)
+IF(F289="Yes",0.1,0)
+IF(G289="Yes",0.15,0)
+IF(H289="Yes",0.15,0)
+IF(I289="Yes",0.05,0)
+IF(J289="Yes",0.05,0)
+IF(K289="Yes",0.15,0)
+IF(L289="Yes",0.3,0)
</f>
        <v>1</v>
      </c>
      <c r="E289" s="382" t="s">
        <v>129</v>
      </c>
      <c r="F289" s="137" t="s">
        <v>129</v>
      </c>
      <c r="G289" s="137" t="s">
        <v>129</v>
      </c>
      <c r="H289" s="137" t="s">
        <v>129</v>
      </c>
      <c r="I289" s="137" t="s">
        <v>129</v>
      </c>
      <c r="J289" s="137" t="s">
        <v>129</v>
      </c>
      <c r="K289" s="137" t="s">
        <v>129</v>
      </c>
      <c r="L289" s="137" t="s">
        <v>129</v>
      </c>
      <c r="M289" s="141"/>
      <c r="N289" s="143"/>
    </row>
    <row r="290" hidden="1" outlineLevel="1">
      <c r="A290" s="303" t="s">
        <v>4013</v>
      </c>
      <c r="B290" s="344">
        <v>46182.0</v>
      </c>
      <c r="C290" s="133" t="str">
        <f t="shared" si="33"/>
        <v>Tue</v>
      </c>
      <c r="D290" s="383">
        <f t="shared" si="34"/>
        <v>1</v>
      </c>
      <c r="E290" s="147" t="s">
        <v>129</v>
      </c>
      <c r="F290" s="137" t="s">
        <v>129</v>
      </c>
      <c r="G290" s="137" t="s">
        <v>129</v>
      </c>
      <c r="H290" s="137" t="s">
        <v>129</v>
      </c>
      <c r="I290" s="137" t="s">
        <v>129</v>
      </c>
      <c r="J290" s="137" t="s">
        <v>129</v>
      </c>
      <c r="K290" s="137" t="s">
        <v>129</v>
      </c>
      <c r="L290" s="137" t="s">
        <v>129</v>
      </c>
      <c r="M290" s="141"/>
      <c r="N290" s="147"/>
    </row>
    <row r="291" hidden="1" outlineLevel="1">
      <c r="A291" s="303" t="s">
        <v>4015</v>
      </c>
      <c r="B291" s="344">
        <v>46182.0</v>
      </c>
      <c r="C291" s="133" t="str">
        <f t="shared" si="33"/>
        <v>Tue</v>
      </c>
      <c r="D291" s="381">
        <f t="shared" si="34"/>
        <v>1</v>
      </c>
      <c r="E291" s="382" t="s">
        <v>129</v>
      </c>
      <c r="F291" s="137" t="s">
        <v>129</v>
      </c>
      <c r="G291" s="137" t="s">
        <v>129</v>
      </c>
      <c r="H291" s="137" t="s">
        <v>129</v>
      </c>
      <c r="I291" s="137" t="s">
        <v>129</v>
      </c>
      <c r="J291" s="137" t="s">
        <v>129</v>
      </c>
      <c r="K291" s="137" t="s">
        <v>129</v>
      </c>
      <c r="L291" s="137" t="s">
        <v>129</v>
      </c>
      <c r="M291" s="141"/>
      <c r="N291" s="147"/>
    </row>
    <row r="292" hidden="1" outlineLevel="1">
      <c r="A292" s="255" t="s">
        <v>4017</v>
      </c>
      <c r="B292" s="344">
        <v>46183.0</v>
      </c>
      <c r="C292" s="133" t="str">
        <f t="shared" si="33"/>
        <v>Wed</v>
      </c>
      <c r="D292" s="383">
        <f t="shared" si="34"/>
        <v>1</v>
      </c>
      <c r="E292" s="147" t="s">
        <v>129</v>
      </c>
      <c r="F292" s="137" t="s">
        <v>129</v>
      </c>
      <c r="G292" s="137" t="s">
        <v>129</v>
      </c>
      <c r="H292" s="137" t="s">
        <v>129</v>
      </c>
      <c r="I292" s="137" t="s">
        <v>129</v>
      </c>
      <c r="J292" s="137" t="s">
        <v>129</v>
      </c>
      <c r="K292" s="137" t="s">
        <v>129</v>
      </c>
      <c r="L292" s="137" t="s">
        <v>129</v>
      </c>
      <c r="M292" s="141"/>
      <c r="N292" s="143"/>
    </row>
    <row r="293" hidden="1" outlineLevel="1">
      <c r="A293" s="255" t="s">
        <v>4019</v>
      </c>
      <c r="B293" s="344">
        <v>46183.0</v>
      </c>
      <c r="C293" s="133" t="str">
        <f t="shared" si="33"/>
        <v>Wed</v>
      </c>
      <c r="D293" s="381">
        <f t="shared" si="34"/>
        <v>1</v>
      </c>
      <c r="E293" s="382" t="s">
        <v>129</v>
      </c>
      <c r="F293" s="137" t="s">
        <v>129</v>
      </c>
      <c r="G293" s="137" t="s">
        <v>129</v>
      </c>
      <c r="H293" s="137" t="s">
        <v>129</v>
      </c>
      <c r="I293" s="137" t="s">
        <v>129</v>
      </c>
      <c r="J293" s="137" t="s">
        <v>129</v>
      </c>
      <c r="K293" s="137" t="s">
        <v>129</v>
      </c>
      <c r="L293" s="137" t="s">
        <v>129</v>
      </c>
      <c r="M293" s="141"/>
      <c r="N293" s="143"/>
    </row>
    <row r="294" hidden="1" outlineLevel="1">
      <c r="A294" s="255" t="s">
        <v>4022</v>
      </c>
      <c r="B294" s="344">
        <v>46183.0</v>
      </c>
      <c r="C294" s="133" t="str">
        <f t="shared" si="33"/>
        <v>Wed</v>
      </c>
      <c r="D294" s="383">
        <f t="shared" si="34"/>
        <v>1</v>
      </c>
      <c r="E294" s="147" t="s">
        <v>129</v>
      </c>
      <c r="F294" s="137" t="s">
        <v>129</v>
      </c>
      <c r="G294" s="137" t="s">
        <v>129</v>
      </c>
      <c r="H294" s="137" t="s">
        <v>129</v>
      </c>
      <c r="I294" s="137" t="s">
        <v>129</v>
      </c>
      <c r="J294" s="137" t="s">
        <v>129</v>
      </c>
      <c r="K294" s="137" t="s">
        <v>129</v>
      </c>
      <c r="L294" s="137" t="s">
        <v>129</v>
      </c>
      <c r="M294" s="141"/>
      <c r="N294" s="143"/>
    </row>
    <row r="295" hidden="1" outlineLevel="1">
      <c r="A295" s="255" t="s">
        <v>4023</v>
      </c>
      <c r="B295" s="344">
        <v>46184.0</v>
      </c>
      <c r="C295" s="133" t="str">
        <f t="shared" si="33"/>
        <v>Thu</v>
      </c>
      <c r="D295" s="381">
        <f t="shared" si="34"/>
        <v>1</v>
      </c>
      <c r="E295" s="382" t="s">
        <v>129</v>
      </c>
      <c r="F295" s="137" t="s">
        <v>129</v>
      </c>
      <c r="G295" s="137" t="s">
        <v>129</v>
      </c>
      <c r="H295" s="137" t="s">
        <v>129</v>
      </c>
      <c r="I295" s="137" t="s">
        <v>129</v>
      </c>
      <c r="J295" s="137" t="s">
        <v>129</v>
      </c>
      <c r="K295" s="137" t="s">
        <v>129</v>
      </c>
      <c r="L295" s="137" t="s">
        <v>129</v>
      </c>
      <c r="M295" s="141"/>
      <c r="N295" s="143"/>
    </row>
    <row r="296" hidden="1" outlineLevel="1">
      <c r="A296" s="255" t="s">
        <v>4025</v>
      </c>
      <c r="B296" s="344">
        <v>46184.0</v>
      </c>
      <c r="C296" s="133" t="str">
        <f t="shared" si="33"/>
        <v>Thu</v>
      </c>
      <c r="D296" s="383">
        <f t="shared" si="34"/>
        <v>1</v>
      </c>
      <c r="E296" s="147" t="s">
        <v>129</v>
      </c>
      <c r="F296" s="137" t="s">
        <v>129</v>
      </c>
      <c r="G296" s="137" t="s">
        <v>129</v>
      </c>
      <c r="H296" s="137" t="s">
        <v>129</v>
      </c>
      <c r="I296" s="137" t="s">
        <v>129</v>
      </c>
      <c r="J296" s="137" t="s">
        <v>129</v>
      </c>
      <c r="K296" s="137" t="s">
        <v>129</v>
      </c>
      <c r="L296" s="137" t="s">
        <v>129</v>
      </c>
      <c r="M296" s="141"/>
      <c r="N296" s="147"/>
    </row>
    <row r="297" hidden="1" outlineLevel="1">
      <c r="A297" s="255" t="s">
        <v>4027</v>
      </c>
      <c r="B297" s="344">
        <v>46184.0</v>
      </c>
      <c r="C297" s="133" t="str">
        <f t="shared" si="33"/>
        <v>Thu</v>
      </c>
      <c r="D297" s="381">
        <f t="shared" si="34"/>
        <v>1</v>
      </c>
      <c r="E297" s="382" t="s">
        <v>129</v>
      </c>
      <c r="F297" s="137" t="s">
        <v>129</v>
      </c>
      <c r="G297" s="137" t="s">
        <v>129</v>
      </c>
      <c r="H297" s="137" t="s">
        <v>129</v>
      </c>
      <c r="I297" s="137" t="s">
        <v>129</v>
      </c>
      <c r="J297" s="137" t="s">
        <v>129</v>
      </c>
      <c r="K297" s="137" t="s">
        <v>129</v>
      </c>
      <c r="L297" s="137" t="s">
        <v>129</v>
      </c>
      <c r="M297" s="141"/>
      <c r="N297" s="143"/>
    </row>
    <row r="298" hidden="1" outlineLevel="1">
      <c r="A298" s="255" t="s">
        <v>4030</v>
      </c>
      <c r="B298" s="344">
        <v>46186.0</v>
      </c>
      <c r="C298" s="133" t="str">
        <f t="shared" si="33"/>
        <v>Sat</v>
      </c>
      <c r="D298" s="383">
        <f t="shared" si="34"/>
        <v>1</v>
      </c>
      <c r="E298" s="147" t="s">
        <v>129</v>
      </c>
      <c r="F298" s="137" t="s">
        <v>129</v>
      </c>
      <c r="G298" s="137" t="s">
        <v>129</v>
      </c>
      <c r="H298" s="137" t="s">
        <v>129</v>
      </c>
      <c r="I298" s="137" t="s">
        <v>129</v>
      </c>
      <c r="J298" s="137" t="s">
        <v>129</v>
      </c>
      <c r="K298" s="137" t="s">
        <v>129</v>
      </c>
      <c r="L298" s="137" t="s">
        <v>129</v>
      </c>
      <c r="M298" s="141"/>
      <c r="N298" s="147"/>
    </row>
    <row r="299" hidden="1" outlineLevel="1">
      <c r="A299" s="255" t="s">
        <v>4033</v>
      </c>
      <c r="B299" s="344">
        <v>46186.0</v>
      </c>
      <c r="C299" s="133" t="str">
        <f t="shared" si="33"/>
        <v>Sat</v>
      </c>
      <c r="D299" s="381">
        <f t="shared" si="34"/>
        <v>1</v>
      </c>
      <c r="E299" s="382" t="s">
        <v>129</v>
      </c>
      <c r="F299" s="137" t="s">
        <v>129</v>
      </c>
      <c r="G299" s="137" t="s">
        <v>129</v>
      </c>
      <c r="H299" s="137" t="s">
        <v>129</v>
      </c>
      <c r="I299" s="137" t="s">
        <v>129</v>
      </c>
      <c r="J299" s="137" t="s">
        <v>129</v>
      </c>
      <c r="K299" s="137" t="s">
        <v>129</v>
      </c>
      <c r="L299" s="137" t="s">
        <v>129</v>
      </c>
      <c r="M299" s="141"/>
      <c r="N299" s="147"/>
    </row>
    <row r="300" hidden="1" outlineLevel="1">
      <c r="A300" s="255" t="s">
        <v>4034</v>
      </c>
      <c r="B300" s="344">
        <v>46186.0</v>
      </c>
      <c r="C300" s="133" t="str">
        <f t="shared" si="33"/>
        <v>Sat</v>
      </c>
      <c r="D300" s="383">
        <f t="shared" si="34"/>
        <v>1</v>
      </c>
      <c r="E300" s="147" t="s">
        <v>129</v>
      </c>
      <c r="F300" s="137" t="s">
        <v>129</v>
      </c>
      <c r="G300" s="137" t="s">
        <v>129</v>
      </c>
      <c r="H300" s="137" t="s">
        <v>129</v>
      </c>
      <c r="I300" s="137" t="s">
        <v>129</v>
      </c>
      <c r="J300" s="137" t="s">
        <v>129</v>
      </c>
      <c r="K300" s="137" t="s">
        <v>129</v>
      </c>
      <c r="L300" s="137" t="s">
        <v>129</v>
      </c>
      <c r="M300" s="141"/>
      <c r="N300" s="147"/>
    </row>
    <row r="301" hidden="1" outlineLevel="1">
      <c r="A301" s="255" t="s">
        <v>4036</v>
      </c>
      <c r="B301" s="344">
        <v>46187.0</v>
      </c>
      <c r="C301" s="133" t="str">
        <f t="shared" si="33"/>
        <v>Sun</v>
      </c>
      <c r="D301" s="381">
        <f t="shared" si="34"/>
        <v>1</v>
      </c>
      <c r="E301" s="382" t="s">
        <v>129</v>
      </c>
      <c r="F301" s="137" t="s">
        <v>129</v>
      </c>
      <c r="G301" s="137" t="s">
        <v>129</v>
      </c>
      <c r="H301" s="137" t="s">
        <v>129</v>
      </c>
      <c r="I301" s="137" t="s">
        <v>129</v>
      </c>
      <c r="J301" s="137" t="s">
        <v>129</v>
      </c>
      <c r="K301" s="137" t="s">
        <v>129</v>
      </c>
      <c r="L301" s="137" t="s">
        <v>129</v>
      </c>
      <c r="M301" s="141"/>
      <c r="N301" s="143"/>
    </row>
    <row r="302" hidden="1" outlineLevel="1">
      <c r="A302" s="255" t="s">
        <v>4038</v>
      </c>
      <c r="B302" s="344">
        <v>46187.0</v>
      </c>
      <c r="C302" s="133" t="str">
        <f t="shared" si="33"/>
        <v>Sun</v>
      </c>
      <c r="D302" s="383">
        <f t="shared" si="34"/>
        <v>1</v>
      </c>
      <c r="E302" s="147" t="s">
        <v>129</v>
      </c>
      <c r="F302" s="137" t="s">
        <v>129</v>
      </c>
      <c r="G302" s="137" t="s">
        <v>129</v>
      </c>
      <c r="H302" s="137" t="s">
        <v>129</v>
      </c>
      <c r="I302" s="137" t="s">
        <v>129</v>
      </c>
      <c r="J302" s="137" t="s">
        <v>129</v>
      </c>
      <c r="K302" s="137" t="s">
        <v>129</v>
      </c>
      <c r="L302" s="137" t="s">
        <v>129</v>
      </c>
      <c r="M302" s="141"/>
      <c r="N302" s="143"/>
    </row>
    <row r="303" ht="15.0" hidden="1" customHeight="1" outlineLevel="1">
      <c r="A303" s="255" t="s">
        <v>4039</v>
      </c>
      <c r="B303" s="344">
        <v>46187.0</v>
      </c>
      <c r="C303" s="133" t="str">
        <f t="shared" si="33"/>
        <v>Sun</v>
      </c>
      <c r="D303" s="381">
        <f t="shared" si="34"/>
        <v>1</v>
      </c>
      <c r="E303" s="382" t="s">
        <v>129</v>
      </c>
      <c r="F303" s="137" t="s">
        <v>129</v>
      </c>
      <c r="G303" s="137" t="s">
        <v>129</v>
      </c>
      <c r="H303" s="137" t="s">
        <v>129</v>
      </c>
      <c r="I303" s="137" t="s">
        <v>129</v>
      </c>
      <c r="J303" s="137" t="s">
        <v>129</v>
      </c>
      <c r="K303" s="137" t="s">
        <v>129</v>
      </c>
      <c r="L303" s="137" t="s">
        <v>129</v>
      </c>
      <c r="M303" s="141"/>
      <c r="N303" s="147"/>
    </row>
    <row r="304" hidden="1" outlineLevel="1">
      <c r="B304" s="189"/>
      <c r="C304" s="191" t="s">
        <v>194</v>
      </c>
      <c r="D304" s="204">
        <f>AVERAGE(D289:D303)</f>
        <v>1</v>
      </c>
      <c r="E304" s="384"/>
      <c r="L304" s="191" t="s">
        <v>194</v>
      </c>
      <c r="M304" s="204">
        <f>SUM(M289:M303)/75*0.1</f>
        <v>0</v>
      </c>
    </row>
    <row r="305" hidden="1" collapsed="1">
      <c r="A305" s="206" t="s">
        <v>1161</v>
      </c>
      <c r="B305" s="207"/>
      <c r="C305" s="207"/>
      <c r="D305" s="385"/>
      <c r="E305" s="109"/>
      <c r="F305" s="109"/>
      <c r="G305" s="110"/>
      <c r="H305" s="110"/>
      <c r="I305" s="110"/>
      <c r="J305" s="110"/>
      <c r="K305" s="110"/>
      <c r="L305" s="110"/>
      <c r="M305" s="111"/>
      <c r="N305" s="113"/>
    </row>
    <row r="306" hidden="1" outlineLevel="1">
      <c r="A306" s="373" t="s">
        <v>98</v>
      </c>
      <c r="B306" s="115" t="s">
        <v>100</v>
      </c>
      <c r="C306" s="115" t="s">
        <v>102</v>
      </c>
      <c r="D306" s="119" t="s">
        <v>103</v>
      </c>
      <c r="E306" s="275" t="s">
        <v>269</v>
      </c>
      <c r="F306" s="275" t="s">
        <v>272</v>
      </c>
      <c r="G306" s="276" t="s">
        <v>328</v>
      </c>
      <c r="H306" s="121" t="s">
        <v>107</v>
      </c>
      <c r="I306" s="121" t="s">
        <v>108</v>
      </c>
      <c r="J306" s="276" t="s">
        <v>329</v>
      </c>
      <c r="K306" s="121" t="s">
        <v>111</v>
      </c>
      <c r="L306" s="276" t="s">
        <v>274</v>
      </c>
      <c r="M306" s="115" t="s">
        <v>114</v>
      </c>
      <c r="N306" s="119" t="s">
        <v>115</v>
      </c>
    </row>
    <row r="307" hidden="1" outlineLevel="1">
      <c r="A307" s="412" t="s">
        <v>1162</v>
      </c>
      <c r="B307" s="344"/>
      <c r="C307" s="133" t="str">
        <f t="shared" ref="C307:C321" si="35">IF(B307="", "", TEXT(B307, "ddd"))</f>
        <v/>
      </c>
      <c r="D307" s="381">
        <f t="shared" ref="D307:D321" si="36">IF(E307="Yes",0.05,0)
+IF(F307="Yes",0.1,0)
+IF(G307="Yes",0.15,0)
+IF(H307="Yes",0.15,0)
+IF(I307="Yes",0.05,0)
+IF(J307="Yes",0.05,0)
+IF(K307="Yes",0.15,0)
+IF(L307="Yes",0.3,0)
</f>
        <v>1</v>
      </c>
      <c r="E307" s="382" t="s">
        <v>129</v>
      </c>
      <c r="F307" s="137" t="s">
        <v>129</v>
      </c>
      <c r="G307" s="137" t="s">
        <v>129</v>
      </c>
      <c r="H307" s="137" t="s">
        <v>129</v>
      </c>
      <c r="I307" s="137" t="s">
        <v>129</v>
      </c>
      <c r="J307" s="137" t="s">
        <v>129</v>
      </c>
      <c r="K307" s="137" t="s">
        <v>129</v>
      </c>
      <c r="L307" s="137" t="s">
        <v>129</v>
      </c>
      <c r="M307" s="141"/>
      <c r="N307" s="143"/>
    </row>
    <row r="308" hidden="1" outlineLevel="1">
      <c r="A308" s="412" t="s">
        <v>1162</v>
      </c>
      <c r="B308" s="344"/>
      <c r="C308" s="133" t="str">
        <f t="shared" si="35"/>
        <v/>
      </c>
      <c r="D308" s="383">
        <f t="shared" si="36"/>
        <v>1</v>
      </c>
      <c r="E308" s="147" t="s">
        <v>129</v>
      </c>
      <c r="F308" s="137" t="s">
        <v>129</v>
      </c>
      <c r="G308" s="137" t="s">
        <v>129</v>
      </c>
      <c r="H308" s="137" t="s">
        <v>129</v>
      </c>
      <c r="I308" s="137" t="s">
        <v>129</v>
      </c>
      <c r="J308" s="137" t="s">
        <v>129</v>
      </c>
      <c r="K308" s="137" t="s">
        <v>129</v>
      </c>
      <c r="L308" s="137" t="s">
        <v>129</v>
      </c>
      <c r="M308" s="141"/>
      <c r="N308" s="147"/>
    </row>
    <row r="309" hidden="1" outlineLevel="1">
      <c r="A309" s="412" t="s">
        <v>1162</v>
      </c>
      <c r="B309" s="344"/>
      <c r="C309" s="133" t="str">
        <f t="shared" si="35"/>
        <v/>
      </c>
      <c r="D309" s="381">
        <f t="shared" si="36"/>
        <v>1</v>
      </c>
      <c r="E309" s="382" t="s">
        <v>129</v>
      </c>
      <c r="F309" s="137" t="s">
        <v>129</v>
      </c>
      <c r="G309" s="137" t="s">
        <v>129</v>
      </c>
      <c r="H309" s="137" t="s">
        <v>129</v>
      </c>
      <c r="I309" s="137" t="s">
        <v>129</v>
      </c>
      <c r="J309" s="137" t="s">
        <v>129</v>
      </c>
      <c r="K309" s="137" t="s">
        <v>129</v>
      </c>
      <c r="L309" s="137" t="s">
        <v>129</v>
      </c>
      <c r="M309" s="141"/>
      <c r="N309" s="147"/>
    </row>
    <row r="310" hidden="1" outlineLevel="1">
      <c r="A310" s="412" t="s">
        <v>1162</v>
      </c>
      <c r="B310" s="344"/>
      <c r="C310" s="133" t="str">
        <f t="shared" si="35"/>
        <v/>
      </c>
      <c r="D310" s="383">
        <f t="shared" si="36"/>
        <v>1</v>
      </c>
      <c r="E310" s="147" t="s">
        <v>129</v>
      </c>
      <c r="F310" s="137" t="s">
        <v>129</v>
      </c>
      <c r="G310" s="137" t="s">
        <v>129</v>
      </c>
      <c r="H310" s="137" t="s">
        <v>129</v>
      </c>
      <c r="I310" s="137" t="s">
        <v>129</v>
      </c>
      <c r="J310" s="137" t="s">
        <v>129</v>
      </c>
      <c r="K310" s="137" t="s">
        <v>129</v>
      </c>
      <c r="L310" s="137" t="s">
        <v>129</v>
      </c>
      <c r="M310" s="141"/>
      <c r="N310" s="143"/>
    </row>
    <row r="311" hidden="1" outlineLevel="1">
      <c r="A311" s="412" t="s">
        <v>1162</v>
      </c>
      <c r="B311" s="344"/>
      <c r="C311" s="133" t="str">
        <f t="shared" si="35"/>
        <v/>
      </c>
      <c r="D311" s="381">
        <f t="shared" si="36"/>
        <v>1</v>
      </c>
      <c r="E311" s="382" t="s">
        <v>129</v>
      </c>
      <c r="F311" s="137" t="s">
        <v>129</v>
      </c>
      <c r="G311" s="137" t="s">
        <v>129</v>
      </c>
      <c r="H311" s="137" t="s">
        <v>129</v>
      </c>
      <c r="I311" s="137" t="s">
        <v>129</v>
      </c>
      <c r="J311" s="137" t="s">
        <v>129</v>
      </c>
      <c r="K311" s="137" t="s">
        <v>129</v>
      </c>
      <c r="L311" s="137" t="s">
        <v>129</v>
      </c>
      <c r="M311" s="141"/>
      <c r="N311" s="143"/>
    </row>
    <row r="312" hidden="1" outlineLevel="1">
      <c r="A312" s="412" t="s">
        <v>1162</v>
      </c>
      <c r="B312" s="344"/>
      <c r="C312" s="133" t="str">
        <f t="shared" si="35"/>
        <v/>
      </c>
      <c r="D312" s="383">
        <f t="shared" si="36"/>
        <v>1</v>
      </c>
      <c r="E312" s="147" t="s">
        <v>129</v>
      </c>
      <c r="F312" s="137" t="s">
        <v>129</v>
      </c>
      <c r="G312" s="137" t="s">
        <v>129</v>
      </c>
      <c r="H312" s="137" t="s">
        <v>129</v>
      </c>
      <c r="I312" s="137" t="s">
        <v>129</v>
      </c>
      <c r="J312" s="137" t="s">
        <v>129</v>
      </c>
      <c r="K312" s="137" t="s">
        <v>129</v>
      </c>
      <c r="L312" s="137" t="s">
        <v>129</v>
      </c>
      <c r="M312" s="141"/>
      <c r="N312" s="143"/>
    </row>
    <row r="313" hidden="1" outlineLevel="1">
      <c r="A313" s="412" t="s">
        <v>1162</v>
      </c>
      <c r="B313" s="344"/>
      <c r="C313" s="133" t="str">
        <f t="shared" si="35"/>
        <v/>
      </c>
      <c r="D313" s="381">
        <f t="shared" si="36"/>
        <v>1</v>
      </c>
      <c r="E313" s="382" t="s">
        <v>129</v>
      </c>
      <c r="F313" s="137" t="s">
        <v>129</v>
      </c>
      <c r="G313" s="137" t="s">
        <v>129</v>
      </c>
      <c r="H313" s="137" t="s">
        <v>129</v>
      </c>
      <c r="I313" s="137" t="s">
        <v>129</v>
      </c>
      <c r="J313" s="137" t="s">
        <v>129</v>
      </c>
      <c r="K313" s="137" t="s">
        <v>129</v>
      </c>
      <c r="L313" s="137" t="s">
        <v>129</v>
      </c>
      <c r="M313" s="141"/>
      <c r="N313" s="143"/>
    </row>
    <row r="314" hidden="1" outlineLevel="1">
      <c r="A314" s="412" t="s">
        <v>1162</v>
      </c>
      <c r="B314" s="344"/>
      <c r="C314" s="133" t="str">
        <f t="shared" si="35"/>
        <v/>
      </c>
      <c r="D314" s="383">
        <f t="shared" si="36"/>
        <v>1</v>
      </c>
      <c r="E314" s="147" t="s">
        <v>129</v>
      </c>
      <c r="F314" s="137" t="s">
        <v>129</v>
      </c>
      <c r="G314" s="137" t="s">
        <v>129</v>
      </c>
      <c r="H314" s="137" t="s">
        <v>129</v>
      </c>
      <c r="I314" s="137" t="s">
        <v>129</v>
      </c>
      <c r="J314" s="137" t="s">
        <v>129</v>
      </c>
      <c r="K314" s="137" t="s">
        <v>129</v>
      </c>
      <c r="L314" s="137" t="s">
        <v>129</v>
      </c>
      <c r="M314" s="141"/>
      <c r="N314" s="147"/>
    </row>
    <row r="315" hidden="1" outlineLevel="1">
      <c r="A315" s="412" t="s">
        <v>1162</v>
      </c>
      <c r="B315" s="344"/>
      <c r="C315" s="133" t="str">
        <f t="shared" si="35"/>
        <v/>
      </c>
      <c r="D315" s="381">
        <f t="shared" si="36"/>
        <v>1</v>
      </c>
      <c r="E315" s="382" t="s">
        <v>129</v>
      </c>
      <c r="F315" s="137" t="s">
        <v>129</v>
      </c>
      <c r="G315" s="137" t="s">
        <v>129</v>
      </c>
      <c r="H315" s="137" t="s">
        <v>129</v>
      </c>
      <c r="I315" s="137" t="s">
        <v>129</v>
      </c>
      <c r="J315" s="137" t="s">
        <v>129</v>
      </c>
      <c r="K315" s="137" t="s">
        <v>129</v>
      </c>
      <c r="L315" s="137" t="s">
        <v>129</v>
      </c>
      <c r="M315" s="141"/>
      <c r="N315" s="143"/>
    </row>
    <row r="316" hidden="1" outlineLevel="1">
      <c r="A316" s="412" t="s">
        <v>1162</v>
      </c>
      <c r="B316" s="344"/>
      <c r="C316" s="133" t="str">
        <f t="shared" si="35"/>
        <v/>
      </c>
      <c r="D316" s="383">
        <f t="shared" si="36"/>
        <v>1</v>
      </c>
      <c r="E316" s="147" t="s">
        <v>129</v>
      </c>
      <c r="F316" s="137" t="s">
        <v>129</v>
      </c>
      <c r="G316" s="137" t="s">
        <v>129</v>
      </c>
      <c r="H316" s="137" t="s">
        <v>129</v>
      </c>
      <c r="I316" s="137" t="s">
        <v>129</v>
      </c>
      <c r="J316" s="137" t="s">
        <v>129</v>
      </c>
      <c r="K316" s="137" t="s">
        <v>129</v>
      </c>
      <c r="L316" s="137" t="s">
        <v>129</v>
      </c>
      <c r="M316" s="141"/>
      <c r="N316" s="147"/>
    </row>
    <row r="317" hidden="1" outlineLevel="1">
      <c r="A317" s="412" t="s">
        <v>1162</v>
      </c>
      <c r="B317" s="344"/>
      <c r="C317" s="133" t="str">
        <f t="shared" si="35"/>
        <v/>
      </c>
      <c r="D317" s="381">
        <f t="shared" si="36"/>
        <v>1</v>
      </c>
      <c r="E317" s="382" t="s">
        <v>129</v>
      </c>
      <c r="F317" s="137" t="s">
        <v>129</v>
      </c>
      <c r="G317" s="137" t="s">
        <v>129</v>
      </c>
      <c r="H317" s="137" t="s">
        <v>129</v>
      </c>
      <c r="I317" s="137" t="s">
        <v>129</v>
      </c>
      <c r="J317" s="137" t="s">
        <v>129</v>
      </c>
      <c r="K317" s="137" t="s">
        <v>129</v>
      </c>
      <c r="L317" s="137" t="s">
        <v>129</v>
      </c>
      <c r="M317" s="141"/>
      <c r="N317" s="147"/>
    </row>
    <row r="318" hidden="1" outlineLevel="1">
      <c r="A318" s="412" t="s">
        <v>1162</v>
      </c>
      <c r="B318" s="344"/>
      <c r="C318" s="133" t="str">
        <f t="shared" si="35"/>
        <v/>
      </c>
      <c r="D318" s="383">
        <f t="shared" si="36"/>
        <v>1</v>
      </c>
      <c r="E318" s="147" t="s">
        <v>129</v>
      </c>
      <c r="F318" s="137" t="s">
        <v>129</v>
      </c>
      <c r="G318" s="137" t="s">
        <v>129</v>
      </c>
      <c r="H318" s="137" t="s">
        <v>129</v>
      </c>
      <c r="I318" s="137" t="s">
        <v>129</v>
      </c>
      <c r="J318" s="137" t="s">
        <v>129</v>
      </c>
      <c r="K318" s="137" t="s">
        <v>129</v>
      </c>
      <c r="L318" s="137" t="s">
        <v>129</v>
      </c>
      <c r="M318" s="141"/>
      <c r="N318" s="147"/>
    </row>
    <row r="319" hidden="1" outlineLevel="1">
      <c r="A319" s="412" t="s">
        <v>1162</v>
      </c>
      <c r="B319" s="344"/>
      <c r="C319" s="133" t="str">
        <f t="shared" si="35"/>
        <v/>
      </c>
      <c r="D319" s="381">
        <f t="shared" si="36"/>
        <v>1</v>
      </c>
      <c r="E319" s="382" t="s">
        <v>129</v>
      </c>
      <c r="F319" s="137" t="s">
        <v>129</v>
      </c>
      <c r="G319" s="137" t="s">
        <v>129</v>
      </c>
      <c r="H319" s="137" t="s">
        <v>129</v>
      </c>
      <c r="I319" s="137" t="s">
        <v>129</v>
      </c>
      <c r="J319" s="137" t="s">
        <v>129</v>
      </c>
      <c r="K319" s="137" t="s">
        <v>129</v>
      </c>
      <c r="L319" s="137" t="s">
        <v>129</v>
      </c>
      <c r="M319" s="141"/>
      <c r="N319" s="143"/>
    </row>
    <row r="320" hidden="1" outlineLevel="1">
      <c r="A320" s="412" t="s">
        <v>1162</v>
      </c>
      <c r="B320" s="344"/>
      <c r="C320" s="133" t="str">
        <f t="shared" si="35"/>
        <v/>
      </c>
      <c r="D320" s="383">
        <f t="shared" si="36"/>
        <v>1</v>
      </c>
      <c r="E320" s="147" t="s">
        <v>129</v>
      </c>
      <c r="F320" s="137" t="s">
        <v>129</v>
      </c>
      <c r="G320" s="137" t="s">
        <v>129</v>
      </c>
      <c r="H320" s="137" t="s">
        <v>129</v>
      </c>
      <c r="I320" s="137" t="s">
        <v>129</v>
      </c>
      <c r="J320" s="137" t="s">
        <v>129</v>
      </c>
      <c r="K320" s="137" t="s">
        <v>129</v>
      </c>
      <c r="L320" s="137" t="s">
        <v>129</v>
      </c>
      <c r="M320" s="141"/>
      <c r="N320" s="143"/>
    </row>
    <row r="321" ht="15.0" hidden="1" customHeight="1" outlineLevel="1">
      <c r="A321" s="412" t="s">
        <v>1162</v>
      </c>
      <c r="B321" s="344"/>
      <c r="C321" s="133" t="str">
        <f t="shared" si="35"/>
        <v/>
      </c>
      <c r="D321" s="381">
        <f t="shared" si="36"/>
        <v>1</v>
      </c>
      <c r="E321" s="382" t="s">
        <v>129</v>
      </c>
      <c r="F321" s="137" t="s">
        <v>129</v>
      </c>
      <c r="G321" s="137" t="s">
        <v>129</v>
      </c>
      <c r="H321" s="137" t="s">
        <v>129</v>
      </c>
      <c r="I321" s="137" t="s">
        <v>129</v>
      </c>
      <c r="J321" s="137" t="s">
        <v>129</v>
      </c>
      <c r="K321" s="137" t="s">
        <v>129</v>
      </c>
      <c r="L321" s="137" t="s">
        <v>129</v>
      </c>
      <c r="M321" s="141"/>
      <c r="N321" s="147"/>
    </row>
    <row r="322" hidden="1" outlineLevel="1">
      <c r="B322" s="189"/>
      <c r="C322" s="191" t="s">
        <v>194</v>
      </c>
      <c r="D322" s="204">
        <f>AVERAGE(D307:D321)</f>
        <v>1</v>
      </c>
      <c r="E322" s="384"/>
      <c r="L322" s="191" t="s">
        <v>194</v>
      </c>
      <c r="M322" s="204">
        <f>SUM(M307:M321)/75*0.1</f>
        <v>0</v>
      </c>
    </row>
    <row r="323" hidden="1" collapsed="1">
      <c r="A323" s="206" t="s">
        <v>1169</v>
      </c>
      <c r="B323" s="207"/>
      <c r="C323" s="207"/>
      <c r="D323" s="385"/>
      <c r="E323" s="109"/>
      <c r="F323" s="109"/>
      <c r="G323" s="110"/>
      <c r="H323" s="110"/>
      <c r="I323" s="110"/>
      <c r="J323" s="110"/>
      <c r="K323" s="110"/>
      <c r="L323" s="110"/>
      <c r="M323" s="111"/>
      <c r="N323" s="113"/>
    </row>
    <row r="324" hidden="1" outlineLevel="1">
      <c r="A324" s="373" t="s">
        <v>98</v>
      </c>
      <c r="B324" s="115" t="s">
        <v>100</v>
      </c>
      <c r="C324" s="115" t="s">
        <v>102</v>
      </c>
      <c r="D324" s="119" t="s">
        <v>103</v>
      </c>
      <c r="E324" s="275" t="s">
        <v>269</v>
      </c>
      <c r="F324" s="275" t="s">
        <v>272</v>
      </c>
      <c r="G324" s="276" t="s">
        <v>328</v>
      </c>
      <c r="H324" s="121" t="s">
        <v>107</v>
      </c>
      <c r="I324" s="121" t="s">
        <v>108</v>
      </c>
      <c r="J324" s="276" t="s">
        <v>329</v>
      </c>
      <c r="K324" s="121" t="s">
        <v>111</v>
      </c>
      <c r="L324" s="276" t="s">
        <v>274</v>
      </c>
      <c r="M324" s="115" t="s">
        <v>114</v>
      </c>
      <c r="N324" s="119" t="s">
        <v>115</v>
      </c>
    </row>
    <row r="325" hidden="1" outlineLevel="1">
      <c r="A325" s="255" t="s">
        <v>4045</v>
      </c>
      <c r="B325" s="344">
        <v>46195.0</v>
      </c>
      <c r="C325" s="133" t="str">
        <f t="shared" ref="C325:C339" si="37">IF(B325="", "", TEXT(B325, "ddd"))</f>
        <v>Mon</v>
      </c>
      <c r="D325" s="381">
        <f t="shared" ref="D325:D339" si="38">IF(E325="Yes",0.05,0)
+IF(F325="Yes",0.1,0)
+IF(G325="Yes",0.15,0)
+IF(H325="Yes",0.15,0)
+IF(I325="Yes",0.05,0)
+IF(J325="Yes",0.05,0)
+IF(K325="Yes",0.15,0)
+IF(L325="Yes",0.3,0)
</f>
        <v>1</v>
      </c>
      <c r="E325" s="382" t="s">
        <v>129</v>
      </c>
      <c r="F325" s="137" t="s">
        <v>129</v>
      </c>
      <c r="G325" s="137" t="s">
        <v>129</v>
      </c>
      <c r="H325" s="137" t="s">
        <v>129</v>
      </c>
      <c r="I325" s="137" t="s">
        <v>129</v>
      </c>
      <c r="J325" s="137" t="s">
        <v>129</v>
      </c>
      <c r="K325" s="137" t="s">
        <v>129</v>
      </c>
      <c r="L325" s="137" t="s">
        <v>129</v>
      </c>
      <c r="M325" s="141"/>
      <c r="N325" s="143"/>
    </row>
    <row r="326" hidden="1" outlineLevel="1">
      <c r="A326" s="255" t="s">
        <v>4047</v>
      </c>
      <c r="B326" s="344">
        <v>46195.0</v>
      </c>
      <c r="C326" s="133" t="str">
        <f t="shared" si="37"/>
        <v>Mon</v>
      </c>
      <c r="D326" s="383">
        <f t="shared" si="38"/>
        <v>1</v>
      </c>
      <c r="E326" s="147" t="s">
        <v>129</v>
      </c>
      <c r="F326" s="137" t="s">
        <v>129</v>
      </c>
      <c r="G326" s="137" t="s">
        <v>129</v>
      </c>
      <c r="H326" s="137" t="s">
        <v>129</v>
      </c>
      <c r="I326" s="137" t="s">
        <v>129</v>
      </c>
      <c r="J326" s="137" t="s">
        <v>129</v>
      </c>
      <c r="K326" s="137" t="s">
        <v>129</v>
      </c>
      <c r="L326" s="137" t="s">
        <v>129</v>
      </c>
      <c r="M326" s="141"/>
      <c r="N326" s="147"/>
    </row>
    <row r="327" hidden="1" outlineLevel="1">
      <c r="A327" s="255" t="s">
        <v>4049</v>
      </c>
      <c r="B327" s="344">
        <v>46195.0</v>
      </c>
      <c r="C327" s="133" t="str">
        <f t="shared" si="37"/>
        <v>Mon</v>
      </c>
      <c r="D327" s="381">
        <f t="shared" si="38"/>
        <v>1</v>
      </c>
      <c r="E327" s="382" t="s">
        <v>129</v>
      </c>
      <c r="F327" s="137" t="s">
        <v>129</v>
      </c>
      <c r="G327" s="137" t="s">
        <v>129</v>
      </c>
      <c r="H327" s="137" t="s">
        <v>129</v>
      </c>
      <c r="I327" s="137" t="s">
        <v>129</v>
      </c>
      <c r="J327" s="137" t="s">
        <v>129</v>
      </c>
      <c r="K327" s="137" t="s">
        <v>129</v>
      </c>
      <c r="L327" s="137" t="s">
        <v>129</v>
      </c>
      <c r="M327" s="141"/>
      <c r="N327" s="147"/>
    </row>
    <row r="328" hidden="1" outlineLevel="1">
      <c r="A328" s="255" t="s">
        <v>4051</v>
      </c>
      <c r="B328" s="344">
        <v>46198.0</v>
      </c>
      <c r="C328" s="133" t="str">
        <f t="shared" si="37"/>
        <v>Thu</v>
      </c>
      <c r="D328" s="383">
        <f t="shared" si="38"/>
        <v>1</v>
      </c>
      <c r="E328" s="147" t="s">
        <v>129</v>
      </c>
      <c r="F328" s="137" t="s">
        <v>129</v>
      </c>
      <c r="G328" s="137" t="s">
        <v>129</v>
      </c>
      <c r="H328" s="137" t="s">
        <v>129</v>
      </c>
      <c r="I328" s="137" t="s">
        <v>129</v>
      </c>
      <c r="J328" s="137" t="s">
        <v>129</v>
      </c>
      <c r="K328" s="137" t="s">
        <v>129</v>
      </c>
      <c r="L328" s="137" t="s">
        <v>129</v>
      </c>
      <c r="M328" s="141"/>
      <c r="N328" s="143"/>
    </row>
    <row r="329" hidden="1" outlineLevel="1">
      <c r="A329" s="255" t="s">
        <v>4052</v>
      </c>
      <c r="B329" s="344">
        <v>46198.0</v>
      </c>
      <c r="C329" s="133" t="str">
        <f t="shared" si="37"/>
        <v>Thu</v>
      </c>
      <c r="D329" s="381">
        <f t="shared" si="38"/>
        <v>1</v>
      </c>
      <c r="E329" s="382" t="s">
        <v>129</v>
      </c>
      <c r="F329" s="137" t="s">
        <v>129</v>
      </c>
      <c r="G329" s="137" t="s">
        <v>129</v>
      </c>
      <c r="H329" s="137" t="s">
        <v>129</v>
      </c>
      <c r="I329" s="137" t="s">
        <v>129</v>
      </c>
      <c r="J329" s="137" t="s">
        <v>129</v>
      </c>
      <c r="K329" s="137" t="s">
        <v>129</v>
      </c>
      <c r="L329" s="137" t="s">
        <v>129</v>
      </c>
      <c r="M329" s="141"/>
      <c r="N329" s="143"/>
    </row>
    <row r="330" hidden="1" outlineLevel="1">
      <c r="A330" s="255" t="s">
        <v>4054</v>
      </c>
      <c r="B330" s="344">
        <v>46198.0</v>
      </c>
      <c r="C330" s="133" t="str">
        <f t="shared" si="37"/>
        <v>Thu</v>
      </c>
      <c r="D330" s="383">
        <f t="shared" si="38"/>
        <v>1</v>
      </c>
      <c r="E330" s="147" t="s">
        <v>129</v>
      </c>
      <c r="F330" s="137" t="s">
        <v>129</v>
      </c>
      <c r="G330" s="137" t="s">
        <v>129</v>
      </c>
      <c r="H330" s="137" t="s">
        <v>129</v>
      </c>
      <c r="I330" s="137" t="s">
        <v>129</v>
      </c>
      <c r="J330" s="137" t="s">
        <v>129</v>
      </c>
      <c r="K330" s="137" t="s">
        <v>129</v>
      </c>
      <c r="L330" s="137" t="s">
        <v>129</v>
      </c>
      <c r="M330" s="141"/>
      <c r="N330" s="143"/>
    </row>
    <row r="331" hidden="1" outlineLevel="1">
      <c r="A331" s="255" t="s">
        <v>4056</v>
      </c>
      <c r="B331" s="344">
        <v>46199.0</v>
      </c>
      <c r="C331" s="133" t="str">
        <f t="shared" si="37"/>
        <v>Fri</v>
      </c>
      <c r="D331" s="381">
        <f t="shared" si="38"/>
        <v>1</v>
      </c>
      <c r="E331" s="382" t="s">
        <v>129</v>
      </c>
      <c r="F331" s="137" t="s">
        <v>129</v>
      </c>
      <c r="G331" s="137" t="s">
        <v>129</v>
      </c>
      <c r="H331" s="137" t="s">
        <v>129</v>
      </c>
      <c r="I331" s="137" t="s">
        <v>129</v>
      </c>
      <c r="J331" s="137" t="s">
        <v>129</v>
      </c>
      <c r="K331" s="137" t="s">
        <v>129</v>
      </c>
      <c r="L331" s="137" t="s">
        <v>129</v>
      </c>
      <c r="M331" s="141"/>
      <c r="N331" s="143"/>
    </row>
    <row r="332" hidden="1" outlineLevel="1">
      <c r="A332" s="255" t="s">
        <v>4057</v>
      </c>
      <c r="B332" s="344">
        <v>46199.0</v>
      </c>
      <c r="C332" s="133" t="str">
        <f t="shared" si="37"/>
        <v>Fri</v>
      </c>
      <c r="D332" s="383">
        <f t="shared" si="38"/>
        <v>1</v>
      </c>
      <c r="E332" s="147" t="s">
        <v>129</v>
      </c>
      <c r="F332" s="137" t="s">
        <v>129</v>
      </c>
      <c r="G332" s="137" t="s">
        <v>129</v>
      </c>
      <c r="H332" s="137" t="s">
        <v>129</v>
      </c>
      <c r="I332" s="137" t="s">
        <v>129</v>
      </c>
      <c r="J332" s="137" t="s">
        <v>129</v>
      </c>
      <c r="K332" s="137" t="s">
        <v>129</v>
      </c>
      <c r="L332" s="137" t="s">
        <v>129</v>
      </c>
      <c r="M332" s="141"/>
      <c r="N332" s="147"/>
    </row>
    <row r="333" hidden="1" outlineLevel="1">
      <c r="A333" s="255" t="s">
        <v>4058</v>
      </c>
      <c r="B333" s="344">
        <v>46199.0</v>
      </c>
      <c r="C333" s="133" t="str">
        <f t="shared" si="37"/>
        <v>Fri</v>
      </c>
      <c r="D333" s="381">
        <f t="shared" si="38"/>
        <v>1</v>
      </c>
      <c r="E333" s="382" t="s">
        <v>129</v>
      </c>
      <c r="F333" s="137" t="s">
        <v>129</v>
      </c>
      <c r="G333" s="137" t="s">
        <v>129</v>
      </c>
      <c r="H333" s="137" t="s">
        <v>129</v>
      </c>
      <c r="I333" s="137" t="s">
        <v>129</v>
      </c>
      <c r="J333" s="137" t="s">
        <v>129</v>
      </c>
      <c r="K333" s="137" t="s">
        <v>129</v>
      </c>
      <c r="L333" s="137" t="s">
        <v>129</v>
      </c>
      <c r="M333" s="141"/>
      <c r="N333" s="143"/>
    </row>
    <row r="334" hidden="1" outlineLevel="1">
      <c r="A334" s="255" t="s">
        <v>4059</v>
      </c>
      <c r="B334" s="344">
        <v>46200.0</v>
      </c>
      <c r="C334" s="133" t="str">
        <f t="shared" si="37"/>
        <v>Sat</v>
      </c>
      <c r="D334" s="383">
        <f t="shared" si="38"/>
        <v>1</v>
      </c>
      <c r="E334" s="147" t="s">
        <v>129</v>
      </c>
      <c r="F334" s="137" t="s">
        <v>129</v>
      </c>
      <c r="G334" s="137" t="s">
        <v>129</v>
      </c>
      <c r="H334" s="137" t="s">
        <v>129</v>
      </c>
      <c r="I334" s="137" t="s">
        <v>129</v>
      </c>
      <c r="J334" s="137" t="s">
        <v>129</v>
      </c>
      <c r="K334" s="137" t="s">
        <v>129</v>
      </c>
      <c r="L334" s="137" t="s">
        <v>129</v>
      </c>
      <c r="M334" s="141"/>
      <c r="N334" s="147"/>
    </row>
    <row r="335" hidden="1" outlineLevel="1">
      <c r="A335" s="255" t="s">
        <v>4060</v>
      </c>
      <c r="B335" s="344">
        <v>46200.0</v>
      </c>
      <c r="C335" s="133" t="str">
        <f t="shared" si="37"/>
        <v>Sat</v>
      </c>
      <c r="D335" s="381">
        <f t="shared" si="38"/>
        <v>1</v>
      </c>
      <c r="E335" s="382" t="s">
        <v>129</v>
      </c>
      <c r="F335" s="137" t="s">
        <v>129</v>
      </c>
      <c r="G335" s="137" t="s">
        <v>129</v>
      </c>
      <c r="H335" s="137" t="s">
        <v>129</v>
      </c>
      <c r="I335" s="137" t="s">
        <v>129</v>
      </c>
      <c r="J335" s="137" t="s">
        <v>129</v>
      </c>
      <c r="K335" s="137" t="s">
        <v>129</v>
      </c>
      <c r="L335" s="137" t="s">
        <v>129</v>
      </c>
      <c r="M335" s="141"/>
      <c r="N335" s="147"/>
    </row>
    <row r="336" hidden="1" outlineLevel="1">
      <c r="A336" s="255" t="s">
        <v>4061</v>
      </c>
      <c r="B336" s="344">
        <v>46200.0</v>
      </c>
      <c r="C336" s="133" t="str">
        <f t="shared" si="37"/>
        <v>Sat</v>
      </c>
      <c r="D336" s="383">
        <f t="shared" si="38"/>
        <v>1</v>
      </c>
      <c r="E336" s="147" t="s">
        <v>129</v>
      </c>
      <c r="F336" s="137" t="s">
        <v>129</v>
      </c>
      <c r="G336" s="137" t="s">
        <v>129</v>
      </c>
      <c r="H336" s="137" t="s">
        <v>129</v>
      </c>
      <c r="I336" s="137" t="s">
        <v>129</v>
      </c>
      <c r="J336" s="137" t="s">
        <v>129</v>
      </c>
      <c r="K336" s="137" t="s">
        <v>129</v>
      </c>
      <c r="L336" s="137" t="s">
        <v>129</v>
      </c>
      <c r="M336" s="141"/>
      <c r="N336" s="147"/>
    </row>
    <row r="337" hidden="1" outlineLevel="1">
      <c r="A337" s="303" t="s">
        <v>4063</v>
      </c>
      <c r="B337" s="344"/>
      <c r="C337" s="133" t="str">
        <f t="shared" si="37"/>
        <v/>
      </c>
      <c r="D337" s="381">
        <f t="shared" si="38"/>
        <v>1</v>
      </c>
      <c r="E337" s="382" t="s">
        <v>129</v>
      </c>
      <c r="F337" s="137" t="s">
        <v>129</v>
      </c>
      <c r="G337" s="137" t="s">
        <v>129</v>
      </c>
      <c r="H337" s="137" t="s">
        <v>129</v>
      </c>
      <c r="I337" s="137" t="s">
        <v>129</v>
      </c>
      <c r="J337" s="137" t="s">
        <v>129</v>
      </c>
      <c r="K337" s="137" t="s">
        <v>129</v>
      </c>
      <c r="L337" s="137" t="s">
        <v>129</v>
      </c>
      <c r="M337" s="141"/>
      <c r="N337" s="143"/>
    </row>
    <row r="338" hidden="1" outlineLevel="1">
      <c r="A338" s="303" t="s">
        <v>4064</v>
      </c>
      <c r="B338" s="344"/>
      <c r="C338" s="133" t="str">
        <f t="shared" si="37"/>
        <v/>
      </c>
      <c r="D338" s="383">
        <f t="shared" si="38"/>
        <v>1</v>
      </c>
      <c r="E338" s="147" t="s">
        <v>129</v>
      </c>
      <c r="F338" s="137" t="s">
        <v>129</v>
      </c>
      <c r="G338" s="137" t="s">
        <v>129</v>
      </c>
      <c r="H338" s="137" t="s">
        <v>129</v>
      </c>
      <c r="I338" s="137" t="s">
        <v>129</v>
      </c>
      <c r="J338" s="137" t="s">
        <v>129</v>
      </c>
      <c r="K338" s="137" t="s">
        <v>129</v>
      </c>
      <c r="L338" s="137" t="s">
        <v>129</v>
      </c>
      <c r="M338" s="141"/>
      <c r="N338" s="143"/>
    </row>
    <row r="339" ht="15.0" hidden="1" customHeight="1" outlineLevel="1">
      <c r="A339" s="303" t="s">
        <v>4066</v>
      </c>
      <c r="B339" s="344"/>
      <c r="C339" s="133" t="str">
        <f t="shared" si="37"/>
        <v/>
      </c>
      <c r="D339" s="381">
        <f t="shared" si="38"/>
        <v>1</v>
      </c>
      <c r="E339" s="382" t="s">
        <v>129</v>
      </c>
      <c r="F339" s="137" t="s">
        <v>129</v>
      </c>
      <c r="G339" s="137" t="s">
        <v>129</v>
      </c>
      <c r="H339" s="137" t="s">
        <v>129</v>
      </c>
      <c r="I339" s="137" t="s">
        <v>129</v>
      </c>
      <c r="J339" s="137" t="s">
        <v>129</v>
      </c>
      <c r="K339" s="137" t="s">
        <v>129</v>
      </c>
      <c r="L339" s="137" t="s">
        <v>129</v>
      </c>
      <c r="M339" s="141"/>
      <c r="N339" s="147"/>
    </row>
    <row r="340" hidden="1" outlineLevel="1">
      <c r="B340" s="189"/>
      <c r="C340" s="191" t="s">
        <v>194</v>
      </c>
      <c r="D340" s="204">
        <f>AVERAGE(D325:D339)</f>
        <v>1</v>
      </c>
      <c r="E340" s="384"/>
      <c r="L340" s="191" t="s">
        <v>194</v>
      </c>
      <c r="M340" s="204">
        <f>SUM(M325:M339)/75*0.1</f>
        <v>0</v>
      </c>
    </row>
    <row r="341" hidden="1" collapsed="1">
      <c r="A341" s="206" t="s">
        <v>1194</v>
      </c>
      <c r="B341" s="207"/>
      <c r="C341" s="207"/>
      <c r="D341" s="385"/>
      <c r="E341" s="109"/>
      <c r="F341" s="109"/>
      <c r="G341" s="110"/>
      <c r="H341" s="110"/>
      <c r="I341" s="110"/>
      <c r="J341" s="110"/>
      <c r="K341" s="110"/>
      <c r="L341" s="110"/>
      <c r="M341" s="111"/>
      <c r="N341" s="113"/>
    </row>
    <row r="342" hidden="1" outlineLevel="1">
      <c r="A342" s="373" t="s">
        <v>98</v>
      </c>
      <c r="B342" s="115" t="s">
        <v>100</v>
      </c>
      <c r="C342" s="115" t="s">
        <v>102</v>
      </c>
      <c r="D342" s="119" t="s">
        <v>103</v>
      </c>
      <c r="E342" s="275" t="s">
        <v>269</v>
      </c>
      <c r="F342" s="275" t="s">
        <v>272</v>
      </c>
      <c r="G342" s="276" t="s">
        <v>328</v>
      </c>
      <c r="H342" s="121" t="s">
        <v>107</v>
      </c>
      <c r="I342" s="121" t="s">
        <v>108</v>
      </c>
      <c r="J342" s="276" t="s">
        <v>329</v>
      </c>
      <c r="K342" s="121" t="s">
        <v>111</v>
      </c>
      <c r="L342" s="276" t="s">
        <v>274</v>
      </c>
      <c r="M342" s="115" t="s">
        <v>114</v>
      </c>
      <c r="N342" s="119" t="s">
        <v>115</v>
      </c>
    </row>
    <row r="343" hidden="1" outlineLevel="1">
      <c r="A343" s="303" t="s">
        <v>4068</v>
      </c>
      <c r="B343" s="344">
        <v>46202.0</v>
      </c>
      <c r="C343" s="133" t="str">
        <f t="shared" ref="C343:C357" si="39">IF(B343="", "", TEXT(B343, "ddd"))</f>
        <v>Mon</v>
      </c>
      <c r="D343" s="381">
        <f t="shared" ref="D343:D357" si="40">IF(E343="Yes",0.05,0)
+IF(F343="Yes",0.1,0)
+IF(G343="Yes",0.15,0)
+IF(H343="Yes",0.15,0)
+IF(I343="Yes",0.05,0)
+IF(J343="Yes",0.05,0)
+IF(K343="Yes",0.15,0)
+IF(L343="Yes",0.3,0)
</f>
        <v>1</v>
      </c>
      <c r="E343" s="382" t="s">
        <v>129</v>
      </c>
      <c r="F343" s="137" t="s">
        <v>129</v>
      </c>
      <c r="G343" s="137" t="s">
        <v>129</v>
      </c>
      <c r="H343" s="137" t="s">
        <v>129</v>
      </c>
      <c r="I343" s="137" t="s">
        <v>129</v>
      </c>
      <c r="J343" s="137" t="s">
        <v>129</v>
      </c>
      <c r="K343" s="137" t="s">
        <v>129</v>
      </c>
      <c r="L343" s="137" t="s">
        <v>129</v>
      </c>
      <c r="M343" s="141"/>
      <c r="N343" s="143"/>
    </row>
    <row r="344" hidden="1" outlineLevel="1">
      <c r="A344" s="303" t="s">
        <v>4070</v>
      </c>
      <c r="B344" s="344">
        <v>46202.0</v>
      </c>
      <c r="C344" s="133" t="str">
        <f t="shared" si="39"/>
        <v>Mon</v>
      </c>
      <c r="D344" s="383">
        <f t="shared" si="40"/>
        <v>1</v>
      </c>
      <c r="E344" s="147" t="s">
        <v>129</v>
      </c>
      <c r="F344" s="137" t="s">
        <v>129</v>
      </c>
      <c r="G344" s="137" t="s">
        <v>129</v>
      </c>
      <c r="H344" s="137" t="s">
        <v>129</v>
      </c>
      <c r="I344" s="137" t="s">
        <v>129</v>
      </c>
      <c r="J344" s="137" t="s">
        <v>129</v>
      </c>
      <c r="K344" s="137" t="s">
        <v>129</v>
      </c>
      <c r="L344" s="137" t="s">
        <v>129</v>
      </c>
      <c r="M344" s="141"/>
      <c r="N344" s="147"/>
    </row>
    <row r="345" hidden="1" outlineLevel="1">
      <c r="A345" s="303" t="s">
        <v>4071</v>
      </c>
      <c r="B345" s="344">
        <v>46202.0</v>
      </c>
      <c r="C345" s="133" t="str">
        <f t="shared" si="39"/>
        <v>Mon</v>
      </c>
      <c r="D345" s="381">
        <f t="shared" si="40"/>
        <v>1</v>
      </c>
      <c r="E345" s="382" t="s">
        <v>129</v>
      </c>
      <c r="F345" s="137" t="s">
        <v>129</v>
      </c>
      <c r="G345" s="137" t="s">
        <v>129</v>
      </c>
      <c r="H345" s="137" t="s">
        <v>129</v>
      </c>
      <c r="I345" s="137" t="s">
        <v>129</v>
      </c>
      <c r="J345" s="137" t="s">
        <v>129</v>
      </c>
      <c r="K345" s="137" t="s">
        <v>129</v>
      </c>
      <c r="L345" s="137" t="s">
        <v>129</v>
      </c>
      <c r="M345" s="141"/>
      <c r="N345" s="147"/>
    </row>
    <row r="346" hidden="1" outlineLevel="1">
      <c r="A346" s="303" t="s">
        <v>4072</v>
      </c>
      <c r="B346" s="344">
        <v>46205.0</v>
      </c>
      <c r="C346" s="133" t="str">
        <f t="shared" si="39"/>
        <v>Thu</v>
      </c>
      <c r="D346" s="383">
        <f t="shared" si="40"/>
        <v>1</v>
      </c>
      <c r="E346" s="147" t="s">
        <v>129</v>
      </c>
      <c r="F346" s="137" t="s">
        <v>129</v>
      </c>
      <c r="G346" s="137" t="s">
        <v>129</v>
      </c>
      <c r="H346" s="137" t="s">
        <v>129</v>
      </c>
      <c r="I346" s="137" t="s">
        <v>129</v>
      </c>
      <c r="J346" s="137" t="s">
        <v>129</v>
      </c>
      <c r="K346" s="137" t="s">
        <v>129</v>
      </c>
      <c r="L346" s="137" t="s">
        <v>129</v>
      </c>
      <c r="M346" s="141"/>
      <c r="N346" s="143"/>
    </row>
    <row r="347" hidden="1" outlineLevel="1">
      <c r="A347" s="303" t="s">
        <v>4074</v>
      </c>
      <c r="B347" s="344">
        <v>46205.0</v>
      </c>
      <c r="C347" s="133" t="str">
        <f t="shared" si="39"/>
        <v>Thu</v>
      </c>
      <c r="D347" s="381">
        <f t="shared" si="40"/>
        <v>1</v>
      </c>
      <c r="E347" s="382" t="s">
        <v>129</v>
      </c>
      <c r="F347" s="137" t="s">
        <v>129</v>
      </c>
      <c r="G347" s="137" t="s">
        <v>129</v>
      </c>
      <c r="H347" s="137" t="s">
        <v>129</v>
      </c>
      <c r="I347" s="137" t="s">
        <v>129</v>
      </c>
      <c r="J347" s="137" t="s">
        <v>129</v>
      </c>
      <c r="K347" s="137" t="s">
        <v>129</v>
      </c>
      <c r="L347" s="137" t="s">
        <v>129</v>
      </c>
      <c r="M347" s="141"/>
      <c r="N347" s="143"/>
    </row>
    <row r="348" hidden="1" outlineLevel="1">
      <c r="A348" s="303" t="s">
        <v>4076</v>
      </c>
      <c r="B348" s="344">
        <v>46205.0</v>
      </c>
      <c r="C348" s="133" t="str">
        <f t="shared" si="39"/>
        <v>Thu</v>
      </c>
      <c r="D348" s="383">
        <f t="shared" si="40"/>
        <v>1</v>
      </c>
      <c r="E348" s="147" t="s">
        <v>129</v>
      </c>
      <c r="F348" s="137" t="s">
        <v>129</v>
      </c>
      <c r="G348" s="137" t="s">
        <v>129</v>
      </c>
      <c r="H348" s="137" t="s">
        <v>129</v>
      </c>
      <c r="I348" s="137" t="s">
        <v>129</v>
      </c>
      <c r="J348" s="137" t="s">
        <v>129</v>
      </c>
      <c r="K348" s="137" t="s">
        <v>129</v>
      </c>
      <c r="L348" s="137" t="s">
        <v>129</v>
      </c>
      <c r="M348" s="141"/>
      <c r="N348" s="143"/>
    </row>
    <row r="349" hidden="1" outlineLevel="1">
      <c r="A349" s="303" t="s">
        <v>4078</v>
      </c>
      <c r="B349" s="344">
        <v>46206.0</v>
      </c>
      <c r="C349" s="133" t="str">
        <f t="shared" si="39"/>
        <v>Fri</v>
      </c>
      <c r="D349" s="381">
        <f t="shared" si="40"/>
        <v>1</v>
      </c>
      <c r="E349" s="382" t="s">
        <v>129</v>
      </c>
      <c r="F349" s="137" t="s">
        <v>129</v>
      </c>
      <c r="G349" s="137" t="s">
        <v>129</v>
      </c>
      <c r="H349" s="137" t="s">
        <v>129</v>
      </c>
      <c r="I349" s="137" t="s">
        <v>129</v>
      </c>
      <c r="J349" s="137" t="s">
        <v>129</v>
      </c>
      <c r="K349" s="137" t="s">
        <v>129</v>
      </c>
      <c r="L349" s="137" t="s">
        <v>129</v>
      </c>
      <c r="M349" s="141"/>
      <c r="N349" s="143"/>
    </row>
    <row r="350" hidden="1" outlineLevel="1">
      <c r="A350" s="303" t="s">
        <v>4079</v>
      </c>
      <c r="B350" s="344">
        <v>46206.0</v>
      </c>
      <c r="C350" s="133" t="str">
        <f t="shared" si="39"/>
        <v>Fri</v>
      </c>
      <c r="D350" s="383">
        <f t="shared" si="40"/>
        <v>1</v>
      </c>
      <c r="E350" s="147" t="s">
        <v>129</v>
      </c>
      <c r="F350" s="137" t="s">
        <v>129</v>
      </c>
      <c r="G350" s="137" t="s">
        <v>129</v>
      </c>
      <c r="H350" s="137" t="s">
        <v>129</v>
      </c>
      <c r="I350" s="137" t="s">
        <v>129</v>
      </c>
      <c r="J350" s="137" t="s">
        <v>129</v>
      </c>
      <c r="K350" s="137" t="s">
        <v>129</v>
      </c>
      <c r="L350" s="137" t="s">
        <v>129</v>
      </c>
      <c r="M350" s="141"/>
      <c r="N350" s="147"/>
    </row>
    <row r="351" hidden="1" outlineLevel="1">
      <c r="A351" s="303" t="s">
        <v>4082</v>
      </c>
      <c r="B351" s="344">
        <v>46206.0</v>
      </c>
      <c r="C351" s="133" t="str">
        <f t="shared" si="39"/>
        <v>Fri</v>
      </c>
      <c r="D351" s="381">
        <f t="shared" si="40"/>
        <v>1</v>
      </c>
      <c r="E351" s="382" t="s">
        <v>129</v>
      </c>
      <c r="F351" s="137" t="s">
        <v>129</v>
      </c>
      <c r="G351" s="137" t="s">
        <v>129</v>
      </c>
      <c r="H351" s="137" t="s">
        <v>129</v>
      </c>
      <c r="I351" s="137" t="s">
        <v>129</v>
      </c>
      <c r="J351" s="137" t="s">
        <v>129</v>
      </c>
      <c r="K351" s="137" t="s">
        <v>129</v>
      </c>
      <c r="L351" s="137" t="s">
        <v>129</v>
      </c>
      <c r="M351" s="141"/>
      <c r="N351" s="143"/>
    </row>
    <row r="352" hidden="1" outlineLevel="1">
      <c r="A352" s="303" t="s">
        <v>4084</v>
      </c>
      <c r="B352" s="344">
        <v>46207.0</v>
      </c>
      <c r="C352" s="133" t="str">
        <f t="shared" si="39"/>
        <v>Sat</v>
      </c>
      <c r="D352" s="383">
        <f t="shared" si="40"/>
        <v>1</v>
      </c>
      <c r="E352" s="147" t="s">
        <v>129</v>
      </c>
      <c r="F352" s="137" t="s">
        <v>129</v>
      </c>
      <c r="G352" s="137" t="s">
        <v>129</v>
      </c>
      <c r="H352" s="137" t="s">
        <v>129</v>
      </c>
      <c r="I352" s="137" t="s">
        <v>129</v>
      </c>
      <c r="J352" s="137" t="s">
        <v>129</v>
      </c>
      <c r="K352" s="137" t="s">
        <v>129</v>
      </c>
      <c r="L352" s="137" t="s">
        <v>129</v>
      </c>
      <c r="M352" s="141"/>
      <c r="N352" s="147"/>
    </row>
    <row r="353" hidden="1" outlineLevel="1">
      <c r="A353" s="303" t="s">
        <v>4086</v>
      </c>
      <c r="B353" s="344">
        <v>46207.0</v>
      </c>
      <c r="C353" s="133" t="str">
        <f t="shared" si="39"/>
        <v>Sat</v>
      </c>
      <c r="D353" s="381">
        <f t="shared" si="40"/>
        <v>1</v>
      </c>
      <c r="E353" s="382" t="s">
        <v>129</v>
      </c>
      <c r="F353" s="137" t="s">
        <v>129</v>
      </c>
      <c r="G353" s="137" t="s">
        <v>129</v>
      </c>
      <c r="H353" s="137" t="s">
        <v>129</v>
      </c>
      <c r="I353" s="137" t="s">
        <v>129</v>
      </c>
      <c r="J353" s="137" t="s">
        <v>129</v>
      </c>
      <c r="K353" s="137" t="s">
        <v>129</v>
      </c>
      <c r="L353" s="137" t="s">
        <v>129</v>
      </c>
      <c r="M353" s="141"/>
      <c r="N353" s="147"/>
    </row>
    <row r="354" hidden="1" outlineLevel="1">
      <c r="A354" s="303" t="s">
        <v>4087</v>
      </c>
      <c r="B354" s="344">
        <v>46207.0</v>
      </c>
      <c r="C354" s="133" t="str">
        <f t="shared" si="39"/>
        <v>Sat</v>
      </c>
      <c r="D354" s="383">
        <f t="shared" si="40"/>
        <v>1</v>
      </c>
      <c r="E354" s="147" t="s">
        <v>129</v>
      </c>
      <c r="F354" s="137" t="s">
        <v>129</v>
      </c>
      <c r="G354" s="137" t="s">
        <v>129</v>
      </c>
      <c r="H354" s="137" t="s">
        <v>129</v>
      </c>
      <c r="I354" s="137" t="s">
        <v>129</v>
      </c>
      <c r="J354" s="137" t="s">
        <v>129</v>
      </c>
      <c r="K354" s="137" t="s">
        <v>129</v>
      </c>
      <c r="L354" s="137" t="s">
        <v>129</v>
      </c>
      <c r="M354" s="141"/>
      <c r="N354" s="147"/>
    </row>
    <row r="355" hidden="1" outlineLevel="1">
      <c r="A355" s="303" t="s">
        <v>4088</v>
      </c>
      <c r="B355" s="344">
        <v>46208.0</v>
      </c>
      <c r="C355" s="133" t="str">
        <f t="shared" si="39"/>
        <v>Sun</v>
      </c>
      <c r="D355" s="381">
        <f t="shared" si="40"/>
        <v>1</v>
      </c>
      <c r="E355" s="382" t="s">
        <v>129</v>
      </c>
      <c r="F355" s="137" t="s">
        <v>129</v>
      </c>
      <c r="G355" s="137" t="s">
        <v>129</v>
      </c>
      <c r="H355" s="137" t="s">
        <v>129</v>
      </c>
      <c r="I355" s="137" t="s">
        <v>129</v>
      </c>
      <c r="J355" s="137" t="s">
        <v>129</v>
      </c>
      <c r="K355" s="137" t="s">
        <v>129</v>
      </c>
      <c r="L355" s="137" t="s">
        <v>129</v>
      </c>
      <c r="M355" s="141"/>
      <c r="N355" s="143"/>
    </row>
    <row r="356" hidden="1" outlineLevel="1">
      <c r="A356" s="303" t="s">
        <v>4089</v>
      </c>
      <c r="B356" s="344">
        <v>46208.0</v>
      </c>
      <c r="C356" s="133" t="str">
        <f t="shared" si="39"/>
        <v>Sun</v>
      </c>
      <c r="D356" s="383">
        <f t="shared" si="40"/>
        <v>1</v>
      </c>
      <c r="E356" s="147" t="s">
        <v>129</v>
      </c>
      <c r="F356" s="137" t="s">
        <v>129</v>
      </c>
      <c r="G356" s="137" t="s">
        <v>129</v>
      </c>
      <c r="H356" s="137" t="s">
        <v>129</v>
      </c>
      <c r="I356" s="137" t="s">
        <v>129</v>
      </c>
      <c r="J356" s="137" t="s">
        <v>129</v>
      </c>
      <c r="K356" s="137" t="s">
        <v>129</v>
      </c>
      <c r="L356" s="137" t="s">
        <v>129</v>
      </c>
      <c r="M356" s="141"/>
      <c r="N356" s="143"/>
    </row>
    <row r="357" ht="15.0" hidden="1" customHeight="1" outlineLevel="1">
      <c r="A357" s="303" t="s">
        <v>4090</v>
      </c>
      <c r="B357" s="344">
        <v>46208.0</v>
      </c>
      <c r="C357" s="133" t="str">
        <f t="shared" si="39"/>
        <v>Sun</v>
      </c>
      <c r="D357" s="381">
        <f t="shared" si="40"/>
        <v>1</v>
      </c>
      <c r="E357" s="382" t="s">
        <v>129</v>
      </c>
      <c r="F357" s="137" t="s">
        <v>129</v>
      </c>
      <c r="G357" s="137" t="s">
        <v>129</v>
      </c>
      <c r="H357" s="137" t="s">
        <v>129</v>
      </c>
      <c r="I357" s="137" t="s">
        <v>129</v>
      </c>
      <c r="J357" s="137" t="s">
        <v>129</v>
      </c>
      <c r="K357" s="137" t="s">
        <v>129</v>
      </c>
      <c r="L357" s="137" t="s">
        <v>129</v>
      </c>
      <c r="M357" s="141"/>
      <c r="N357" s="147"/>
    </row>
    <row r="358" hidden="1" outlineLevel="1">
      <c r="B358" s="189"/>
      <c r="C358" s="191" t="s">
        <v>194</v>
      </c>
      <c r="D358" s="204">
        <f>AVERAGE(D343:D357)</f>
        <v>1</v>
      </c>
      <c r="E358" s="384"/>
      <c r="L358" s="191" t="s">
        <v>194</v>
      </c>
      <c r="M358" s="204">
        <f>SUM(M343:M357)/75*0.1</f>
        <v>0</v>
      </c>
    </row>
    <row r="359" hidden="1" collapsed="1">
      <c r="A359" s="206" t="s">
        <v>1220</v>
      </c>
      <c r="B359" s="207"/>
      <c r="C359" s="207"/>
      <c r="D359" s="385"/>
      <c r="E359" s="109"/>
      <c r="F359" s="109"/>
      <c r="G359" s="110"/>
      <c r="H359" s="110"/>
      <c r="I359" s="110"/>
      <c r="J359" s="110"/>
      <c r="K359" s="110"/>
      <c r="L359" s="110"/>
      <c r="M359" s="111"/>
      <c r="N359" s="113"/>
    </row>
    <row r="360" hidden="1" outlineLevel="1">
      <c r="A360" s="373" t="s">
        <v>98</v>
      </c>
      <c r="B360" s="115" t="s">
        <v>100</v>
      </c>
      <c r="C360" s="115" t="s">
        <v>102</v>
      </c>
      <c r="D360" s="119" t="s">
        <v>103</v>
      </c>
      <c r="E360" s="275" t="s">
        <v>269</v>
      </c>
      <c r="F360" s="275" t="s">
        <v>272</v>
      </c>
      <c r="G360" s="276" t="s">
        <v>328</v>
      </c>
      <c r="H360" s="121" t="s">
        <v>107</v>
      </c>
      <c r="I360" s="121" t="s">
        <v>108</v>
      </c>
      <c r="J360" s="276" t="s">
        <v>329</v>
      </c>
      <c r="K360" s="121" t="s">
        <v>111</v>
      </c>
      <c r="L360" s="276" t="s">
        <v>274</v>
      </c>
      <c r="M360" s="115" t="s">
        <v>114</v>
      </c>
      <c r="N360" s="119" t="s">
        <v>115</v>
      </c>
    </row>
    <row r="361" hidden="1" outlineLevel="1">
      <c r="A361" s="255" t="s">
        <v>4091</v>
      </c>
      <c r="B361" s="344">
        <v>46209.0</v>
      </c>
      <c r="C361" s="133" t="str">
        <f t="shared" ref="C361:C375" si="41">IF(B361="", "", TEXT(B361, "ddd"))</f>
        <v>Mon</v>
      </c>
      <c r="D361" s="381">
        <f t="shared" ref="D361:D375" si="42">IF(E361="Yes",0.05,0)
+IF(F361="Yes",0.1,0)
+IF(G361="Yes",0.15,0)
+IF(H361="Yes",0.15,0)
+IF(I361="Yes",0.05,0)
+IF(J361="Yes",0.05,0)
+IF(K361="Yes",0.15,0)
+IF(L361="Yes",0.3,0)
</f>
        <v>1</v>
      </c>
      <c r="E361" s="382" t="s">
        <v>129</v>
      </c>
      <c r="F361" s="137" t="s">
        <v>129</v>
      </c>
      <c r="G361" s="137" t="s">
        <v>129</v>
      </c>
      <c r="H361" s="137" t="s">
        <v>129</v>
      </c>
      <c r="I361" s="137" t="s">
        <v>129</v>
      </c>
      <c r="J361" s="137" t="s">
        <v>129</v>
      </c>
      <c r="K361" s="137" t="s">
        <v>129</v>
      </c>
      <c r="L361" s="137" t="s">
        <v>129</v>
      </c>
      <c r="M361" s="141"/>
      <c r="N361" s="143"/>
    </row>
    <row r="362" hidden="1" outlineLevel="1">
      <c r="A362" s="255" t="s">
        <v>4092</v>
      </c>
      <c r="B362" s="344">
        <v>46209.0</v>
      </c>
      <c r="C362" s="133" t="str">
        <f t="shared" si="41"/>
        <v>Mon</v>
      </c>
      <c r="D362" s="383">
        <f t="shared" si="42"/>
        <v>1</v>
      </c>
      <c r="E362" s="147" t="s">
        <v>129</v>
      </c>
      <c r="F362" s="137" t="s">
        <v>129</v>
      </c>
      <c r="G362" s="137" t="s">
        <v>129</v>
      </c>
      <c r="H362" s="137" t="s">
        <v>129</v>
      </c>
      <c r="I362" s="137" t="s">
        <v>129</v>
      </c>
      <c r="J362" s="137" t="s">
        <v>129</v>
      </c>
      <c r="K362" s="137" t="s">
        <v>129</v>
      </c>
      <c r="L362" s="137" t="s">
        <v>129</v>
      </c>
      <c r="M362" s="141"/>
      <c r="N362" s="147"/>
    </row>
    <row r="363" hidden="1" outlineLevel="1">
      <c r="A363" s="255" t="s">
        <v>4094</v>
      </c>
      <c r="B363" s="344">
        <v>46209.0</v>
      </c>
      <c r="C363" s="133" t="str">
        <f t="shared" si="41"/>
        <v>Mon</v>
      </c>
      <c r="D363" s="381">
        <f t="shared" si="42"/>
        <v>1</v>
      </c>
      <c r="E363" s="382" t="s">
        <v>129</v>
      </c>
      <c r="F363" s="137" t="s">
        <v>129</v>
      </c>
      <c r="G363" s="137" t="s">
        <v>129</v>
      </c>
      <c r="H363" s="137" t="s">
        <v>129</v>
      </c>
      <c r="I363" s="137" t="s">
        <v>129</v>
      </c>
      <c r="J363" s="137" t="s">
        <v>129</v>
      </c>
      <c r="K363" s="137" t="s">
        <v>129</v>
      </c>
      <c r="L363" s="137" t="s">
        <v>129</v>
      </c>
      <c r="M363" s="141"/>
      <c r="N363" s="147"/>
    </row>
    <row r="364" hidden="1" outlineLevel="1">
      <c r="A364" s="255" t="s">
        <v>4095</v>
      </c>
      <c r="B364" s="344">
        <v>46212.0</v>
      </c>
      <c r="C364" s="133" t="str">
        <f t="shared" si="41"/>
        <v>Thu</v>
      </c>
      <c r="D364" s="383">
        <f t="shared" si="42"/>
        <v>1</v>
      </c>
      <c r="E364" s="147" t="s">
        <v>129</v>
      </c>
      <c r="F364" s="137" t="s">
        <v>129</v>
      </c>
      <c r="G364" s="137" t="s">
        <v>129</v>
      </c>
      <c r="H364" s="137" t="s">
        <v>129</v>
      </c>
      <c r="I364" s="137" t="s">
        <v>129</v>
      </c>
      <c r="J364" s="137" t="s">
        <v>129</v>
      </c>
      <c r="K364" s="137" t="s">
        <v>129</v>
      </c>
      <c r="L364" s="137" t="s">
        <v>129</v>
      </c>
      <c r="M364" s="141"/>
      <c r="N364" s="143"/>
    </row>
    <row r="365" hidden="1" outlineLevel="1">
      <c r="A365" s="255" t="s">
        <v>4097</v>
      </c>
      <c r="B365" s="344">
        <v>46212.0</v>
      </c>
      <c r="C365" s="133" t="str">
        <f t="shared" si="41"/>
        <v>Thu</v>
      </c>
      <c r="D365" s="381">
        <f t="shared" si="42"/>
        <v>1</v>
      </c>
      <c r="E365" s="382" t="s">
        <v>129</v>
      </c>
      <c r="F365" s="137" t="s">
        <v>129</v>
      </c>
      <c r="G365" s="137" t="s">
        <v>129</v>
      </c>
      <c r="H365" s="137" t="s">
        <v>129</v>
      </c>
      <c r="I365" s="137" t="s">
        <v>129</v>
      </c>
      <c r="J365" s="137" t="s">
        <v>129</v>
      </c>
      <c r="K365" s="137" t="s">
        <v>129</v>
      </c>
      <c r="L365" s="137" t="s">
        <v>129</v>
      </c>
      <c r="M365" s="141"/>
      <c r="N365" s="143"/>
    </row>
    <row r="366" hidden="1" outlineLevel="1">
      <c r="A366" s="255" t="s">
        <v>4099</v>
      </c>
      <c r="B366" s="344">
        <v>46212.0</v>
      </c>
      <c r="C366" s="133" t="str">
        <f t="shared" si="41"/>
        <v>Thu</v>
      </c>
      <c r="D366" s="383">
        <f t="shared" si="42"/>
        <v>1</v>
      </c>
      <c r="E366" s="147" t="s">
        <v>129</v>
      </c>
      <c r="F366" s="137" t="s">
        <v>129</v>
      </c>
      <c r="G366" s="137" t="s">
        <v>129</v>
      </c>
      <c r="H366" s="137" t="s">
        <v>129</v>
      </c>
      <c r="I366" s="137" t="s">
        <v>129</v>
      </c>
      <c r="J366" s="137" t="s">
        <v>129</v>
      </c>
      <c r="K366" s="137" t="s">
        <v>129</v>
      </c>
      <c r="L366" s="137" t="s">
        <v>129</v>
      </c>
      <c r="M366" s="141"/>
      <c r="N366" s="143"/>
    </row>
    <row r="367" hidden="1" outlineLevel="1">
      <c r="A367" s="255" t="s">
        <v>4100</v>
      </c>
      <c r="B367" s="344">
        <v>46213.0</v>
      </c>
      <c r="C367" s="133" t="str">
        <f t="shared" si="41"/>
        <v>Fri</v>
      </c>
      <c r="D367" s="381">
        <f t="shared" si="42"/>
        <v>1</v>
      </c>
      <c r="E367" s="382" t="s">
        <v>129</v>
      </c>
      <c r="F367" s="137" t="s">
        <v>129</v>
      </c>
      <c r="G367" s="137" t="s">
        <v>129</v>
      </c>
      <c r="H367" s="137" t="s">
        <v>129</v>
      </c>
      <c r="I367" s="137" t="s">
        <v>129</v>
      </c>
      <c r="J367" s="137" t="s">
        <v>129</v>
      </c>
      <c r="K367" s="137" t="s">
        <v>129</v>
      </c>
      <c r="L367" s="137" t="s">
        <v>129</v>
      </c>
      <c r="M367" s="141"/>
      <c r="N367" s="143"/>
    </row>
    <row r="368" hidden="1" outlineLevel="1">
      <c r="A368" s="255" t="s">
        <v>4101</v>
      </c>
      <c r="B368" s="344">
        <v>46213.0</v>
      </c>
      <c r="C368" s="133" t="str">
        <f t="shared" si="41"/>
        <v>Fri</v>
      </c>
      <c r="D368" s="383">
        <f t="shared" si="42"/>
        <v>1</v>
      </c>
      <c r="E368" s="147" t="s">
        <v>129</v>
      </c>
      <c r="F368" s="137" t="s">
        <v>129</v>
      </c>
      <c r="G368" s="137" t="s">
        <v>129</v>
      </c>
      <c r="H368" s="137" t="s">
        <v>129</v>
      </c>
      <c r="I368" s="137" t="s">
        <v>129</v>
      </c>
      <c r="J368" s="137" t="s">
        <v>129</v>
      </c>
      <c r="K368" s="137" t="s">
        <v>129</v>
      </c>
      <c r="L368" s="137" t="s">
        <v>129</v>
      </c>
      <c r="M368" s="141"/>
      <c r="N368" s="147"/>
    </row>
    <row r="369" hidden="1" outlineLevel="1">
      <c r="A369" s="255" t="s">
        <v>4103</v>
      </c>
      <c r="B369" s="344">
        <v>46213.0</v>
      </c>
      <c r="C369" s="133" t="str">
        <f t="shared" si="41"/>
        <v>Fri</v>
      </c>
      <c r="D369" s="381">
        <f t="shared" si="42"/>
        <v>1</v>
      </c>
      <c r="E369" s="382" t="s">
        <v>129</v>
      </c>
      <c r="F369" s="137" t="s">
        <v>129</v>
      </c>
      <c r="G369" s="137" t="s">
        <v>129</v>
      </c>
      <c r="H369" s="137" t="s">
        <v>129</v>
      </c>
      <c r="I369" s="137" t="s">
        <v>129</v>
      </c>
      <c r="J369" s="137" t="s">
        <v>129</v>
      </c>
      <c r="K369" s="137" t="s">
        <v>129</v>
      </c>
      <c r="L369" s="137" t="s">
        <v>129</v>
      </c>
      <c r="M369" s="141"/>
      <c r="N369" s="143"/>
    </row>
    <row r="370" hidden="1" outlineLevel="1">
      <c r="A370" s="303" t="s">
        <v>4105</v>
      </c>
      <c r="B370" s="344">
        <v>46214.0</v>
      </c>
      <c r="C370" s="133" t="str">
        <f t="shared" si="41"/>
        <v>Sat</v>
      </c>
      <c r="D370" s="383">
        <f t="shared" si="42"/>
        <v>1</v>
      </c>
      <c r="E370" s="147" t="s">
        <v>129</v>
      </c>
      <c r="F370" s="137" t="s">
        <v>129</v>
      </c>
      <c r="G370" s="137" t="s">
        <v>129</v>
      </c>
      <c r="H370" s="137" t="s">
        <v>129</v>
      </c>
      <c r="I370" s="137" t="s">
        <v>129</v>
      </c>
      <c r="J370" s="137" t="s">
        <v>129</v>
      </c>
      <c r="K370" s="137" t="s">
        <v>129</v>
      </c>
      <c r="L370" s="137" t="s">
        <v>129</v>
      </c>
      <c r="M370" s="141"/>
      <c r="N370" s="147"/>
    </row>
    <row r="371" hidden="1" outlineLevel="1">
      <c r="A371" s="303" t="s">
        <v>4107</v>
      </c>
      <c r="B371" s="344">
        <v>46214.0</v>
      </c>
      <c r="C371" s="133" t="str">
        <f t="shared" si="41"/>
        <v>Sat</v>
      </c>
      <c r="D371" s="381">
        <f t="shared" si="42"/>
        <v>1</v>
      </c>
      <c r="E371" s="382" t="s">
        <v>129</v>
      </c>
      <c r="F371" s="137" t="s">
        <v>129</v>
      </c>
      <c r="G371" s="137" t="s">
        <v>129</v>
      </c>
      <c r="H371" s="137" t="s">
        <v>129</v>
      </c>
      <c r="I371" s="137" t="s">
        <v>129</v>
      </c>
      <c r="J371" s="137" t="s">
        <v>129</v>
      </c>
      <c r="K371" s="137" t="s">
        <v>129</v>
      </c>
      <c r="L371" s="137" t="s">
        <v>129</v>
      </c>
      <c r="M371" s="141"/>
      <c r="N371" s="147"/>
    </row>
    <row r="372" hidden="1" outlineLevel="1">
      <c r="A372" s="303" t="s">
        <v>4109</v>
      </c>
      <c r="B372" s="344">
        <v>46214.0</v>
      </c>
      <c r="C372" s="133" t="str">
        <f t="shared" si="41"/>
        <v>Sat</v>
      </c>
      <c r="D372" s="383">
        <f t="shared" si="42"/>
        <v>1</v>
      </c>
      <c r="E372" s="147" t="s">
        <v>129</v>
      </c>
      <c r="F372" s="137" t="s">
        <v>129</v>
      </c>
      <c r="G372" s="137" t="s">
        <v>129</v>
      </c>
      <c r="H372" s="137" t="s">
        <v>129</v>
      </c>
      <c r="I372" s="137" t="s">
        <v>129</v>
      </c>
      <c r="J372" s="137" t="s">
        <v>129</v>
      </c>
      <c r="K372" s="137" t="s">
        <v>129</v>
      </c>
      <c r="L372" s="137" t="s">
        <v>129</v>
      </c>
      <c r="M372" s="141"/>
      <c r="N372" s="147"/>
    </row>
    <row r="373" hidden="1" outlineLevel="1">
      <c r="A373" s="255"/>
      <c r="B373" s="344">
        <v>46215.0</v>
      </c>
      <c r="C373" s="133" t="str">
        <f t="shared" si="41"/>
        <v>Sun</v>
      </c>
      <c r="D373" s="381">
        <f t="shared" si="42"/>
        <v>1</v>
      </c>
      <c r="E373" s="382" t="s">
        <v>129</v>
      </c>
      <c r="F373" s="137" t="s">
        <v>129</v>
      </c>
      <c r="G373" s="137" t="s">
        <v>129</v>
      </c>
      <c r="H373" s="137" t="s">
        <v>129</v>
      </c>
      <c r="I373" s="137" t="s">
        <v>129</v>
      </c>
      <c r="J373" s="137" t="s">
        <v>129</v>
      </c>
      <c r="K373" s="137" t="s">
        <v>129</v>
      </c>
      <c r="L373" s="137" t="s">
        <v>129</v>
      </c>
      <c r="M373" s="141"/>
      <c r="N373" s="143"/>
    </row>
    <row r="374" hidden="1" outlineLevel="1">
      <c r="A374" s="255"/>
      <c r="B374" s="344">
        <v>46215.0</v>
      </c>
      <c r="C374" s="133" t="str">
        <f t="shared" si="41"/>
        <v>Sun</v>
      </c>
      <c r="D374" s="383">
        <f t="shared" si="42"/>
        <v>1</v>
      </c>
      <c r="E374" s="147" t="s">
        <v>129</v>
      </c>
      <c r="F374" s="137" t="s">
        <v>129</v>
      </c>
      <c r="G374" s="137" t="s">
        <v>129</v>
      </c>
      <c r="H374" s="137" t="s">
        <v>129</v>
      </c>
      <c r="I374" s="137" t="s">
        <v>129</v>
      </c>
      <c r="J374" s="137" t="s">
        <v>129</v>
      </c>
      <c r="K374" s="137" t="s">
        <v>129</v>
      </c>
      <c r="L374" s="137" t="s">
        <v>129</v>
      </c>
      <c r="M374" s="141"/>
      <c r="N374" s="143"/>
    </row>
    <row r="375" ht="15.0" hidden="1" customHeight="1" outlineLevel="1">
      <c r="A375" s="255"/>
      <c r="B375" s="344">
        <v>46215.0</v>
      </c>
      <c r="C375" s="133" t="str">
        <f t="shared" si="41"/>
        <v>Sun</v>
      </c>
      <c r="D375" s="381">
        <f t="shared" si="42"/>
        <v>1</v>
      </c>
      <c r="E375" s="382" t="s">
        <v>129</v>
      </c>
      <c r="F375" s="137" t="s">
        <v>129</v>
      </c>
      <c r="G375" s="137" t="s">
        <v>129</v>
      </c>
      <c r="H375" s="137" t="s">
        <v>129</v>
      </c>
      <c r="I375" s="137" t="s">
        <v>129</v>
      </c>
      <c r="J375" s="137" t="s">
        <v>129</v>
      </c>
      <c r="K375" s="137" t="s">
        <v>129</v>
      </c>
      <c r="L375" s="137" t="s">
        <v>129</v>
      </c>
      <c r="M375" s="141"/>
      <c r="N375" s="147"/>
    </row>
    <row r="376" hidden="1" outlineLevel="1">
      <c r="B376" s="189"/>
      <c r="C376" s="191" t="s">
        <v>194</v>
      </c>
      <c r="D376" s="204">
        <f>AVERAGE(D361:D375)</f>
        <v>1</v>
      </c>
      <c r="E376" s="384"/>
      <c r="L376" s="191" t="s">
        <v>194</v>
      </c>
      <c r="M376" s="204">
        <f>SUM(M361:M375)/75*0.1</f>
        <v>0</v>
      </c>
    </row>
    <row r="377" hidden="1" collapsed="1">
      <c r="A377" s="206" t="s">
        <v>1246</v>
      </c>
      <c r="B377" s="207"/>
      <c r="C377" s="207"/>
      <c r="D377" s="385"/>
      <c r="E377" s="109"/>
      <c r="F377" s="109"/>
      <c r="G377" s="110"/>
      <c r="H377" s="110"/>
      <c r="I377" s="110"/>
      <c r="J377" s="110"/>
      <c r="K377" s="110"/>
      <c r="L377" s="110"/>
      <c r="M377" s="111"/>
      <c r="N377" s="113"/>
    </row>
    <row r="378" hidden="1" outlineLevel="1">
      <c r="A378" s="373" t="s">
        <v>98</v>
      </c>
      <c r="B378" s="115" t="s">
        <v>100</v>
      </c>
      <c r="C378" s="115" t="s">
        <v>102</v>
      </c>
      <c r="D378" s="119" t="s">
        <v>103</v>
      </c>
      <c r="E378" s="275" t="s">
        <v>269</v>
      </c>
      <c r="F378" s="275" t="s">
        <v>272</v>
      </c>
      <c r="G378" s="276" t="s">
        <v>328</v>
      </c>
      <c r="H378" s="121" t="s">
        <v>107</v>
      </c>
      <c r="I378" s="121" t="s">
        <v>108</v>
      </c>
      <c r="J378" s="276" t="s">
        <v>329</v>
      </c>
      <c r="K378" s="121" t="s">
        <v>111</v>
      </c>
      <c r="L378" s="276" t="s">
        <v>274</v>
      </c>
      <c r="M378" s="115" t="s">
        <v>114</v>
      </c>
      <c r="N378" s="119" t="s">
        <v>115</v>
      </c>
    </row>
    <row r="379" hidden="1" outlineLevel="1">
      <c r="A379" s="255" t="s">
        <v>4115</v>
      </c>
      <c r="B379" s="344">
        <v>46216.0</v>
      </c>
      <c r="C379" s="133" t="str">
        <f t="shared" ref="C379:C393" si="43">IF(B379="", "", TEXT(B379, "ddd"))</f>
        <v>Mon</v>
      </c>
      <c r="D379" s="381">
        <f t="shared" ref="D379:D393" si="44">IF(E379="Yes",0.05,0)
+IF(F379="Yes",0.1,0)
+IF(G379="Yes",0.15,0)
+IF(H379="Yes",0.15,0)
+IF(I379="Yes",0.05,0)
+IF(J379="Yes",0.05,0)
+IF(K379="Yes",0.15,0)
+IF(L379="Yes",0.3,0)
</f>
        <v>1</v>
      </c>
      <c r="E379" s="382" t="s">
        <v>129</v>
      </c>
      <c r="F379" s="137" t="s">
        <v>129</v>
      </c>
      <c r="G379" s="137" t="s">
        <v>129</v>
      </c>
      <c r="H379" s="137" t="s">
        <v>129</v>
      </c>
      <c r="I379" s="137" t="s">
        <v>129</v>
      </c>
      <c r="J379" s="137" t="s">
        <v>129</v>
      </c>
      <c r="K379" s="137" t="s">
        <v>129</v>
      </c>
      <c r="L379" s="137" t="s">
        <v>129</v>
      </c>
      <c r="M379" s="141"/>
      <c r="N379" s="143"/>
    </row>
    <row r="380" hidden="1" outlineLevel="1">
      <c r="A380" s="255" t="s">
        <v>4118</v>
      </c>
      <c r="B380" s="344">
        <v>46216.0</v>
      </c>
      <c r="C380" s="133" t="str">
        <f t="shared" si="43"/>
        <v>Mon</v>
      </c>
      <c r="D380" s="383">
        <f t="shared" si="44"/>
        <v>1</v>
      </c>
      <c r="E380" s="147" t="s">
        <v>129</v>
      </c>
      <c r="F380" s="137" t="s">
        <v>129</v>
      </c>
      <c r="G380" s="137" t="s">
        <v>129</v>
      </c>
      <c r="H380" s="137" t="s">
        <v>129</v>
      </c>
      <c r="I380" s="137" t="s">
        <v>129</v>
      </c>
      <c r="J380" s="137" t="s">
        <v>129</v>
      </c>
      <c r="K380" s="137" t="s">
        <v>129</v>
      </c>
      <c r="L380" s="137" t="s">
        <v>129</v>
      </c>
      <c r="M380" s="141"/>
      <c r="N380" s="147"/>
    </row>
    <row r="381" hidden="1" outlineLevel="1">
      <c r="A381" s="255" t="s">
        <v>4120</v>
      </c>
      <c r="B381" s="344">
        <v>46216.0</v>
      </c>
      <c r="C381" s="133" t="str">
        <f t="shared" si="43"/>
        <v>Mon</v>
      </c>
      <c r="D381" s="381">
        <f t="shared" si="44"/>
        <v>1</v>
      </c>
      <c r="E381" s="382" t="s">
        <v>129</v>
      </c>
      <c r="F381" s="137" t="s">
        <v>129</v>
      </c>
      <c r="G381" s="137" t="s">
        <v>129</v>
      </c>
      <c r="H381" s="137" t="s">
        <v>129</v>
      </c>
      <c r="I381" s="137" t="s">
        <v>129</v>
      </c>
      <c r="J381" s="137" t="s">
        <v>129</v>
      </c>
      <c r="K381" s="137" t="s">
        <v>129</v>
      </c>
      <c r="L381" s="137" t="s">
        <v>129</v>
      </c>
      <c r="M381" s="141"/>
      <c r="N381" s="147"/>
    </row>
    <row r="382" hidden="1" outlineLevel="1">
      <c r="A382" s="255" t="s">
        <v>4121</v>
      </c>
      <c r="B382" s="344">
        <v>46219.0</v>
      </c>
      <c r="C382" s="133" t="str">
        <f t="shared" si="43"/>
        <v>Thu</v>
      </c>
      <c r="D382" s="383">
        <f t="shared" si="44"/>
        <v>1</v>
      </c>
      <c r="E382" s="147" t="s">
        <v>129</v>
      </c>
      <c r="F382" s="137" t="s">
        <v>129</v>
      </c>
      <c r="G382" s="137" t="s">
        <v>129</v>
      </c>
      <c r="H382" s="137" t="s">
        <v>129</v>
      </c>
      <c r="I382" s="137" t="s">
        <v>129</v>
      </c>
      <c r="J382" s="137" t="s">
        <v>129</v>
      </c>
      <c r="K382" s="137" t="s">
        <v>129</v>
      </c>
      <c r="L382" s="137" t="s">
        <v>129</v>
      </c>
      <c r="M382" s="141"/>
      <c r="N382" s="143"/>
    </row>
    <row r="383" hidden="1" outlineLevel="1">
      <c r="A383" s="255" t="s">
        <v>4122</v>
      </c>
      <c r="B383" s="344">
        <v>46219.0</v>
      </c>
      <c r="C383" s="133" t="str">
        <f t="shared" si="43"/>
        <v>Thu</v>
      </c>
      <c r="D383" s="381">
        <f t="shared" si="44"/>
        <v>1</v>
      </c>
      <c r="E383" s="382" t="s">
        <v>129</v>
      </c>
      <c r="F383" s="137" t="s">
        <v>129</v>
      </c>
      <c r="G383" s="137" t="s">
        <v>129</v>
      </c>
      <c r="H383" s="137" t="s">
        <v>129</v>
      </c>
      <c r="I383" s="137" t="s">
        <v>129</v>
      </c>
      <c r="J383" s="137" t="s">
        <v>129</v>
      </c>
      <c r="K383" s="137" t="s">
        <v>129</v>
      </c>
      <c r="L383" s="137" t="s">
        <v>129</v>
      </c>
      <c r="M383" s="141"/>
      <c r="N383" s="143"/>
    </row>
    <row r="384" hidden="1" outlineLevel="1">
      <c r="A384" s="255" t="s">
        <v>4124</v>
      </c>
      <c r="B384" s="344">
        <v>46219.0</v>
      </c>
      <c r="C384" s="133" t="str">
        <f t="shared" si="43"/>
        <v>Thu</v>
      </c>
      <c r="D384" s="383">
        <f t="shared" si="44"/>
        <v>1</v>
      </c>
      <c r="E384" s="147" t="s">
        <v>129</v>
      </c>
      <c r="F384" s="137" t="s">
        <v>129</v>
      </c>
      <c r="G384" s="137" t="s">
        <v>129</v>
      </c>
      <c r="H384" s="137" t="s">
        <v>129</v>
      </c>
      <c r="I384" s="137" t="s">
        <v>129</v>
      </c>
      <c r="J384" s="137" t="s">
        <v>129</v>
      </c>
      <c r="K384" s="137" t="s">
        <v>129</v>
      </c>
      <c r="L384" s="137" t="s">
        <v>129</v>
      </c>
      <c r="M384" s="141"/>
      <c r="N384" s="143"/>
    </row>
    <row r="385" hidden="1" outlineLevel="1">
      <c r="A385" s="303" t="s">
        <v>4125</v>
      </c>
      <c r="B385" s="344">
        <v>46220.0</v>
      </c>
      <c r="C385" s="133" t="str">
        <f t="shared" si="43"/>
        <v>Fri</v>
      </c>
      <c r="D385" s="381">
        <f t="shared" si="44"/>
        <v>1</v>
      </c>
      <c r="E385" s="382" t="s">
        <v>129</v>
      </c>
      <c r="F385" s="137" t="s">
        <v>129</v>
      </c>
      <c r="G385" s="137" t="s">
        <v>129</v>
      </c>
      <c r="H385" s="137" t="s">
        <v>129</v>
      </c>
      <c r="I385" s="137" t="s">
        <v>129</v>
      </c>
      <c r="J385" s="137" t="s">
        <v>129</v>
      </c>
      <c r="K385" s="137" t="s">
        <v>129</v>
      </c>
      <c r="L385" s="137" t="s">
        <v>129</v>
      </c>
      <c r="M385" s="141"/>
      <c r="N385" s="143"/>
    </row>
    <row r="386" hidden="1" outlineLevel="1">
      <c r="A386" s="303" t="s">
        <v>4127</v>
      </c>
      <c r="B386" s="344">
        <v>46220.0</v>
      </c>
      <c r="C386" s="133" t="str">
        <f t="shared" si="43"/>
        <v>Fri</v>
      </c>
      <c r="D386" s="383">
        <f t="shared" si="44"/>
        <v>1</v>
      </c>
      <c r="E386" s="147" t="s">
        <v>129</v>
      </c>
      <c r="F386" s="137" t="s">
        <v>129</v>
      </c>
      <c r="G386" s="137" t="s">
        <v>129</v>
      </c>
      <c r="H386" s="137" t="s">
        <v>129</v>
      </c>
      <c r="I386" s="137" t="s">
        <v>129</v>
      </c>
      <c r="J386" s="137" t="s">
        <v>129</v>
      </c>
      <c r="K386" s="137" t="s">
        <v>129</v>
      </c>
      <c r="L386" s="137" t="s">
        <v>129</v>
      </c>
      <c r="M386" s="141"/>
      <c r="N386" s="147"/>
    </row>
    <row r="387" hidden="1" outlineLevel="1">
      <c r="A387" s="303" t="s">
        <v>4129</v>
      </c>
      <c r="B387" s="344">
        <v>46220.0</v>
      </c>
      <c r="C387" s="133" t="str">
        <f t="shared" si="43"/>
        <v>Fri</v>
      </c>
      <c r="D387" s="381">
        <f t="shared" si="44"/>
        <v>1</v>
      </c>
      <c r="E387" s="382" t="s">
        <v>129</v>
      </c>
      <c r="F387" s="137" t="s">
        <v>129</v>
      </c>
      <c r="G387" s="137" t="s">
        <v>129</v>
      </c>
      <c r="H387" s="137" t="s">
        <v>129</v>
      </c>
      <c r="I387" s="137" t="s">
        <v>129</v>
      </c>
      <c r="J387" s="137" t="s">
        <v>129</v>
      </c>
      <c r="K387" s="137" t="s">
        <v>129</v>
      </c>
      <c r="L387" s="137" t="s">
        <v>129</v>
      </c>
      <c r="M387" s="141"/>
      <c r="N387" s="143"/>
    </row>
    <row r="388" hidden="1" outlineLevel="1">
      <c r="A388" s="303" t="s">
        <v>4131</v>
      </c>
      <c r="B388" s="344">
        <v>46221.0</v>
      </c>
      <c r="C388" s="133" t="str">
        <f t="shared" si="43"/>
        <v>Sat</v>
      </c>
      <c r="D388" s="383">
        <f t="shared" si="44"/>
        <v>1</v>
      </c>
      <c r="E388" s="147" t="s">
        <v>129</v>
      </c>
      <c r="F388" s="137" t="s">
        <v>129</v>
      </c>
      <c r="G388" s="137" t="s">
        <v>129</v>
      </c>
      <c r="H388" s="137" t="s">
        <v>129</v>
      </c>
      <c r="I388" s="137" t="s">
        <v>129</v>
      </c>
      <c r="J388" s="137" t="s">
        <v>129</v>
      </c>
      <c r="K388" s="137" t="s">
        <v>129</v>
      </c>
      <c r="L388" s="137" t="s">
        <v>129</v>
      </c>
      <c r="M388" s="141"/>
      <c r="N388" s="147"/>
    </row>
    <row r="389" hidden="1" outlineLevel="1">
      <c r="A389" s="303" t="s">
        <v>4132</v>
      </c>
      <c r="B389" s="344">
        <v>46221.0</v>
      </c>
      <c r="C389" s="133" t="str">
        <f t="shared" si="43"/>
        <v>Sat</v>
      </c>
      <c r="D389" s="381">
        <f t="shared" si="44"/>
        <v>1</v>
      </c>
      <c r="E389" s="382" t="s">
        <v>129</v>
      </c>
      <c r="F389" s="137" t="s">
        <v>129</v>
      </c>
      <c r="G389" s="137" t="s">
        <v>129</v>
      </c>
      <c r="H389" s="137" t="s">
        <v>129</v>
      </c>
      <c r="I389" s="137" t="s">
        <v>129</v>
      </c>
      <c r="J389" s="137" t="s">
        <v>129</v>
      </c>
      <c r="K389" s="137" t="s">
        <v>129</v>
      </c>
      <c r="L389" s="137" t="s">
        <v>129</v>
      </c>
      <c r="M389" s="141"/>
      <c r="N389" s="147"/>
    </row>
    <row r="390" hidden="1" outlineLevel="1">
      <c r="A390" s="303" t="s">
        <v>4133</v>
      </c>
      <c r="B390" s="344">
        <v>46221.0</v>
      </c>
      <c r="C390" s="133" t="str">
        <f t="shared" si="43"/>
        <v>Sat</v>
      </c>
      <c r="D390" s="383">
        <f t="shared" si="44"/>
        <v>1</v>
      </c>
      <c r="E390" s="147" t="s">
        <v>129</v>
      </c>
      <c r="F390" s="137" t="s">
        <v>129</v>
      </c>
      <c r="G390" s="137" t="s">
        <v>129</v>
      </c>
      <c r="H390" s="137" t="s">
        <v>129</v>
      </c>
      <c r="I390" s="137" t="s">
        <v>129</v>
      </c>
      <c r="J390" s="137" t="s">
        <v>129</v>
      </c>
      <c r="K390" s="137" t="s">
        <v>129</v>
      </c>
      <c r="L390" s="137" t="s">
        <v>129</v>
      </c>
      <c r="M390" s="141"/>
      <c r="N390" s="147"/>
    </row>
    <row r="391" hidden="1" outlineLevel="1">
      <c r="A391" s="255"/>
      <c r="B391" s="344"/>
      <c r="C391" s="133" t="str">
        <f t="shared" si="43"/>
        <v/>
      </c>
      <c r="D391" s="381">
        <f t="shared" si="44"/>
        <v>0</v>
      </c>
      <c r="E391" s="382"/>
      <c r="F391" s="137"/>
      <c r="G391" s="137"/>
      <c r="H391" s="137"/>
      <c r="I391" s="137"/>
      <c r="J391" s="137"/>
      <c r="K391" s="137"/>
      <c r="L391" s="137"/>
      <c r="M391" s="141"/>
      <c r="N391" s="143"/>
    </row>
    <row r="392" hidden="1" outlineLevel="1">
      <c r="A392" s="255"/>
      <c r="B392" s="344"/>
      <c r="C392" s="133" t="str">
        <f t="shared" si="43"/>
        <v/>
      </c>
      <c r="D392" s="383">
        <f t="shared" si="44"/>
        <v>0</v>
      </c>
      <c r="E392" s="147"/>
      <c r="F392" s="137"/>
      <c r="G392" s="137"/>
      <c r="H392" s="137"/>
      <c r="I392" s="137"/>
      <c r="J392" s="137"/>
      <c r="K392" s="137"/>
      <c r="L392" s="137"/>
      <c r="M392" s="141"/>
      <c r="N392" s="143"/>
    </row>
    <row r="393" ht="15.0" hidden="1" customHeight="1" outlineLevel="1">
      <c r="A393" s="255"/>
      <c r="B393" s="344"/>
      <c r="C393" s="133" t="str">
        <f t="shared" si="43"/>
        <v/>
      </c>
      <c r="D393" s="381">
        <f t="shared" si="44"/>
        <v>0</v>
      </c>
      <c r="E393" s="382"/>
      <c r="F393" s="137"/>
      <c r="G393" s="137"/>
      <c r="H393" s="137"/>
      <c r="I393" s="137"/>
      <c r="J393" s="137"/>
      <c r="K393" s="137"/>
      <c r="L393" s="137"/>
      <c r="M393" s="141"/>
      <c r="N393" s="147"/>
    </row>
    <row r="394" hidden="1" outlineLevel="1">
      <c r="B394" s="189"/>
      <c r="C394" s="191" t="s">
        <v>194</v>
      </c>
      <c r="D394" s="204">
        <f>AVERAGE(D379:D393)</f>
        <v>0.8</v>
      </c>
      <c r="E394" s="384"/>
      <c r="L394" s="191" t="s">
        <v>194</v>
      </c>
      <c r="M394" s="204">
        <f>SUM(M379:M393)/75*0.1</f>
        <v>0</v>
      </c>
    </row>
    <row r="395" hidden="1" collapsed="1">
      <c r="A395" s="206" t="s">
        <v>1270</v>
      </c>
      <c r="B395" s="207"/>
      <c r="C395" s="207"/>
      <c r="D395" s="385"/>
      <c r="E395" s="109"/>
      <c r="F395" s="109"/>
      <c r="G395" s="110"/>
      <c r="H395" s="110"/>
      <c r="I395" s="110"/>
      <c r="J395" s="110"/>
      <c r="K395" s="110"/>
      <c r="L395" s="110"/>
      <c r="M395" s="111"/>
      <c r="N395" s="113"/>
    </row>
    <row r="396" hidden="1" outlineLevel="1">
      <c r="A396" s="373" t="s">
        <v>98</v>
      </c>
      <c r="B396" s="115" t="s">
        <v>100</v>
      </c>
      <c r="C396" s="115" t="s">
        <v>102</v>
      </c>
      <c r="D396" s="119" t="s">
        <v>103</v>
      </c>
      <c r="E396" s="275" t="s">
        <v>269</v>
      </c>
      <c r="F396" s="275" t="s">
        <v>272</v>
      </c>
      <c r="G396" s="276" t="s">
        <v>328</v>
      </c>
      <c r="H396" s="121" t="s">
        <v>107</v>
      </c>
      <c r="I396" s="121" t="s">
        <v>108</v>
      </c>
      <c r="J396" s="276" t="s">
        <v>329</v>
      </c>
      <c r="K396" s="121" t="s">
        <v>111</v>
      </c>
      <c r="L396" s="276" t="s">
        <v>274</v>
      </c>
      <c r="M396" s="115" t="s">
        <v>114</v>
      </c>
      <c r="N396" s="119" t="s">
        <v>115</v>
      </c>
    </row>
    <row r="397" hidden="1" outlineLevel="1">
      <c r="A397" s="303" t="s">
        <v>4137</v>
      </c>
      <c r="B397" s="344">
        <v>46223.0</v>
      </c>
      <c r="C397" s="133" t="str">
        <f t="shared" ref="C397:C411" si="45">IF(B397="", "", TEXT(B397, "ddd"))</f>
        <v>Mon</v>
      </c>
      <c r="D397" s="381">
        <f t="shared" ref="D397:D411" si="46">IF(E397="Yes",0.05,0)
+IF(F397="Yes",0.1,0)
+IF(G397="Yes",0.15,0)
+IF(H397="Yes",0.15,0)
+IF(I397="Yes",0.05,0)
+IF(J397="Yes",0.05,0)
+IF(K397="Yes",0.15,0)
+IF(L397="Yes",0.3,0)
</f>
        <v>1</v>
      </c>
      <c r="E397" s="382" t="s">
        <v>129</v>
      </c>
      <c r="F397" s="137" t="s">
        <v>129</v>
      </c>
      <c r="G397" s="137" t="s">
        <v>129</v>
      </c>
      <c r="H397" s="137" t="s">
        <v>129</v>
      </c>
      <c r="I397" s="137" t="s">
        <v>129</v>
      </c>
      <c r="J397" s="137" t="s">
        <v>129</v>
      </c>
      <c r="K397" s="137" t="s">
        <v>129</v>
      </c>
      <c r="L397" s="137" t="s">
        <v>129</v>
      </c>
      <c r="M397" s="141"/>
      <c r="N397" s="143"/>
    </row>
    <row r="398" hidden="1" outlineLevel="1">
      <c r="A398" s="255" t="s">
        <v>4141</v>
      </c>
      <c r="B398" s="344">
        <v>46223.0</v>
      </c>
      <c r="C398" s="133" t="str">
        <f t="shared" si="45"/>
        <v>Mon</v>
      </c>
      <c r="D398" s="383">
        <f t="shared" si="46"/>
        <v>1</v>
      </c>
      <c r="E398" s="147" t="s">
        <v>129</v>
      </c>
      <c r="F398" s="137" t="s">
        <v>129</v>
      </c>
      <c r="G398" s="137" t="s">
        <v>129</v>
      </c>
      <c r="H398" s="137" t="s">
        <v>129</v>
      </c>
      <c r="I398" s="137" t="s">
        <v>129</v>
      </c>
      <c r="J398" s="137" t="s">
        <v>129</v>
      </c>
      <c r="K398" s="137" t="s">
        <v>129</v>
      </c>
      <c r="L398" s="137" t="s">
        <v>129</v>
      </c>
      <c r="M398" s="141"/>
      <c r="N398" s="147"/>
    </row>
    <row r="399" hidden="1" outlineLevel="1">
      <c r="A399" s="255" t="s">
        <v>4143</v>
      </c>
      <c r="B399" s="344">
        <v>46223.0</v>
      </c>
      <c r="C399" s="133" t="str">
        <f t="shared" si="45"/>
        <v>Mon</v>
      </c>
      <c r="D399" s="381">
        <f t="shared" si="46"/>
        <v>1</v>
      </c>
      <c r="E399" s="382" t="s">
        <v>129</v>
      </c>
      <c r="F399" s="137" t="s">
        <v>129</v>
      </c>
      <c r="G399" s="137" t="s">
        <v>129</v>
      </c>
      <c r="H399" s="137" t="s">
        <v>129</v>
      </c>
      <c r="I399" s="137" t="s">
        <v>129</v>
      </c>
      <c r="J399" s="137" t="s">
        <v>129</v>
      </c>
      <c r="K399" s="137" t="s">
        <v>129</v>
      </c>
      <c r="L399" s="137" t="s">
        <v>129</v>
      </c>
      <c r="M399" s="141"/>
      <c r="N399" s="147"/>
    </row>
    <row r="400" hidden="1" outlineLevel="1">
      <c r="A400" s="255" t="s">
        <v>4145</v>
      </c>
      <c r="B400" s="344">
        <v>46226.0</v>
      </c>
      <c r="C400" s="133" t="str">
        <f t="shared" si="45"/>
        <v>Thu</v>
      </c>
      <c r="D400" s="383">
        <f t="shared" si="46"/>
        <v>1</v>
      </c>
      <c r="E400" s="147" t="s">
        <v>129</v>
      </c>
      <c r="F400" s="137" t="s">
        <v>129</v>
      </c>
      <c r="G400" s="137" t="s">
        <v>129</v>
      </c>
      <c r="H400" s="137" t="s">
        <v>129</v>
      </c>
      <c r="I400" s="137" t="s">
        <v>129</v>
      </c>
      <c r="J400" s="137" t="s">
        <v>129</v>
      </c>
      <c r="K400" s="137" t="s">
        <v>129</v>
      </c>
      <c r="L400" s="137" t="s">
        <v>129</v>
      </c>
      <c r="M400" s="141"/>
      <c r="N400" s="143"/>
    </row>
    <row r="401" hidden="1" outlineLevel="1">
      <c r="A401" s="255" t="s">
        <v>4146</v>
      </c>
      <c r="B401" s="344">
        <v>46226.0</v>
      </c>
      <c r="C401" s="133" t="str">
        <f t="shared" si="45"/>
        <v>Thu</v>
      </c>
      <c r="D401" s="381">
        <f t="shared" si="46"/>
        <v>1</v>
      </c>
      <c r="E401" s="382" t="s">
        <v>129</v>
      </c>
      <c r="F401" s="137" t="s">
        <v>129</v>
      </c>
      <c r="G401" s="137" t="s">
        <v>129</v>
      </c>
      <c r="H401" s="137" t="s">
        <v>129</v>
      </c>
      <c r="I401" s="137" t="s">
        <v>129</v>
      </c>
      <c r="J401" s="137" t="s">
        <v>129</v>
      </c>
      <c r="K401" s="137" t="s">
        <v>129</v>
      </c>
      <c r="L401" s="137" t="s">
        <v>129</v>
      </c>
      <c r="M401" s="141"/>
      <c r="N401" s="143"/>
    </row>
    <row r="402" hidden="1" outlineLevel="1">
      <c r="A402" s="255" t="s">
        <v>4147</v>
      </c>
      <c r="B402" s="344">
        <v>46226.0</v>
      </c>
      <c r="C402" s="133" t="str">
        <f t="shared" si="45"/>
        <v>Thu</v>
      </c>
      <c r="D402" s="383">
        <f t="shared" si="46"/>
        <v>1</v>
      </c>
      <c r="E402" s="147" t="s">
        <v>129</v>
      </c>
      <c r="F402" s="137" t="s">
        <v>129</v>
      </c>
      <c r="G402" s="137" t="s">
        <v>129</v>
      </c>
      <c r="H402" s="137" t="s">
        <v>129</v>
      </c>
      <c r="I402" s="137" t="s">
        <v>129</v>
      </c>
      <c r="J402" s="137" t="s">
        <v>129</v>
      </c>
      <c r="K402" s="137" t="s">
        <v>129</v>
      </c>
      <c r="L402" s="137" t="s">
        <v>129</v>
      </c>
      <c r="M402" s="141"/>
      <c r="N402" s="143"/>
    </row>
    <row r="403" hidden="1" outlineLevel="1">
      <c r="A403" s="255" t="s">
        <v>4148</v>
      </c>
      <c r="B403" s="344">
        <v>46227.0</v>
      </c>
      <c r="C403" s="133" t="str">
        <f t="shared" si="45"/>
        <v>Fri</v>
      </c>
      <c r="D403" s="381">
        <f t="shared" si="46"/>
        <v>1</v>
      </c>
      <c r="E403" s="382" t="s">
        <v>129</v>
      </c>
      <c r="F403" s="137" t="s">
        <v>129</v>
      </c>
      <c r="G403" s="137" t="s">
        <v>129</v>
      </c>
      <c r="H403" s="137" t="s">
        <v>129</v>
      </c>
      <c r="I403" s="137" t="s">
        <v>129</v>
      </c>
      <c r="J403" s="137" t="s">
        <v>129</v>
      </c>
      <c r="K403" s="137" t="s">
        <v>129</v>
      </c>
      <c r="L403" s="137" t="s">
        <v>129</v>
      </c>
      <c r="M403" s="141"/>
      <c r="N403" s="143"/>
    </row>
    <row r="404" hidden="1" outlineLevel="1">
      <c r="A404" s="255" t="s">
        <v>4149</v>
      </c>
      <c r="B404" s="344">
        <v>46227.0</v>
      </c>
      <c r="C404" s="133" t="str">
        <f t="shared" si="45"/>
        <v>Fri</v>
      </c>
      <c r="D404" s="383">
        <f t="shared" si="46"/>
        <v>1</v>
      </c>
      <c r="E404" s="147" t="s">
        <v>129</v>
      </c>
      <c r="F404" s="137" t="s">
        <v>129</v>
      </c>
      <c r="G404" s="137" t="s">
        <v>129</v>
      </c>
      <c r="H404" s="137" t="s">
        <v>129</v>
      </c>
      <c r="I404" s="137" t="s">
        <v>129</v>
      </c>
      <c r="J404" s="137" t="s">
        <v>129</v>
      </c>
      <c r="K404" s="137" t="s">
        <v>129</v>
      </c>
      <c r="L404" s="137" t="s">
        <v>129</v>
      </c>
      <c r="M404" s="141"/>
      <c r="N404" s="147"/>
    </row>
    <row r="405" hidden="1" outlineLevel="1">
      <c r="A405" s="255" t="s">
        <v>4150</v>
      </c>
      <c r="B405" s="344">
        <v>46227.0</v>
      </c>
      <c r="C405" s="133" t="str">
        <f t="shared" si="45"/>
        <v>Fri</v>
      </c>
      <c r="D405" s="381">
        <f t="shared" si="46"/>
        <v>1</v>
      </c>
      <c r="E405" s="382" t="s">
        <v>129</v>
      </c>
      <c r="F405" s="137" t="s">
        <v>129</v>
      </c>
      <c r="G405" s="137" t="s">
        <v>129</v>
      </c>
      <c r="H405" s="137" t="s">
        <v>129</v>
      </c>
      <c r="I405" s="137" t="s">
        <v>129</v>
      </c>
      <c r="J405" s="137" t="s">
        <v>129</v>
      </c>
      <c r="K405" s="137" t="s">
        <v>129</v>
      </c>
      <c r="L405" s="137" t="s">
        <v>129</v>
      </c>
      <c r="M405" s="141"/>
      <c r="N405" s="143"/>
    </row>
    <row r="406" hidden="1" outlineLevel="1">
      <c r="A406" s="255" t="s">
        <v>4152</v>
      </c>
      <c r="B406" s="344">
        <v>46228.0</v>
      </c>
      <c r="C406" s="133" t="str">
        <f t="shared" si="45"/>
        <v>Sat</v>
      </c>
      <c r="D406" s="383">
        <f t="shared" si="46"/>
        <v>0</v>
      </c>
      <c r="E406" s="147"/>
      <c r="F406" s="137"/>
      <c r="G406" s="137"/>
      <c r="H406" s="137"/>
      <c r="I406" s="137"/>
      <c r="J406" s="137"/>
      <c r="K406" s="137"/>
      <c r="L406" s="137"/>
      <c r="M406" s="141"/>
      <c r="N406" s="147"/>
    </row>
    <row r="407" hidden="1" outlineLevel="1">
      <c r="A407" s="255" t="s">
        <v>4153</v>
      </c>
      <c r="B407" s="344">
        <v>46228.0</v>
      </c>
      <c r="C407" s="133" t="str">
        <f t="shared" si="45"/>
        <v>Sat</v>
      </c>
      <c r="D407" s="381">
        <f t="shared" si="46"/>
        <v>0</v>
      </c>
      <c r="E407" s="382"/>
      <c r="F407" s="137"/>
      <c r="G407" s="137"/>
      <c r="H407" s="137"/>
      <c r="I407" s="137"/>
      <c r="J407" s="137"/>
      <c r="K407" s="137"/>
      <c r="L407" s="137"/>
      <c r="M407" s="141"/>
      <c r="N407" s="147"/>
    </row>
    <row r="408" hidden="1" outlineLevel="1">
      <c r="A408" s="255" t="s">
        <v>4156</v>
      </c>
      <c r="B408" s="344">
        <v>46228.0</v>
      </c>
      <c r="C408" s="133" t="str">
        <f t="shared" si="45"/>
        <v>Sat</v>
      </c>
      <c r="D408" s="383">
        <f t="shared" si="46"/>
        <v>0</v>
      </c>
      <c r="E408" s="147"/>
      <c r="F408" s="137"/>
      <c r="G408" s="137"/>
      <c r="H408" s="137"/>
      <c r="I408" s="137"/>
      <c r="J408" s="137"/>
      <c r="K408" s="137"/>
      <c r="L408" s="137"/>
      <c r="M408" s="141"/>
      <c r="N408" s="147"/>
    </row>
    <row r="409" hidden="1" outlineLevel="1">
      <c r="A409" s="255" t="s">
        <v>4157</v>
      </c>
      <c r="B409" s="344">
        <v>46229.0</v>
      </c>
      <c r="C409" s="133" t="str">
        <f t="shared" si="45"/>
        <v>Sun</v>
      </c>
      <c r="D409" s="381">
        <f t="shared" si="46"/>
        <v>0</v>
      </c>
      <c r="E409" s="382"/>
      <c r="F409" s="137"/>
      <c r="G409" s="137"/>
      <c r="H409" s="137"/>
      <c r="I409" s="137"/>
      <c r="J409" s="137"/>
      <c r="K409" s="137"/>
      <c r="L409" s="137"/>
      <c r="M409" s="141"/>
      <c r="N409" s="143"/>
    </row>
    <row r="410" hidden="1" outlineLevel="1">
      <c r="A410" s="255" t="s">
        <v>4159</v>
      </c>
      <c r="B410" s="344">
        <v>46229.0</v>
      </c>
      <c r="C410" s="133" t="str">
        <f t="shared" si="45"/>
        <v>Sun</v>
      </c>
      <c r="D410" s="383">
        <f t="shared" si="46"/>
        <v>0</v>
      </c>
      <c r="E410" s="147"/>
      <c r="F410" s="137"/>
      <c r="G410" s="137"/>
      <c r="H410" s="137"/>
      <c r="I410" s="137"/>
      <c r="J410" s="137"/>
      <c r="K410" s="137"/>
      <c r="L410" s="137"/>
      <c r="M410" s="141"/>
      <c r="N410" s="143"/>
    </row>
    <row r="411" ht="15.0" hidden="1" customHeight="1" outlineLevel="1">
      <c r="A411" s="255" t="s">
        <v>4160</v>
      </c>
      <c r="B411" s="344">
        <v>46229.0</v>
      </c>
      <c r="C411" s="133" t="str">
        <f t="shared" si="45"/>
        <v>Sun</v>
      </c>
      <c r="D411" s="381">
        <f t="shared" si="46"/>
        <v>0</v>
      </c>
      <c r="E411" s="382"/>
      <c r="F411" s="137"/>
      <c r="G411" s="137"/>
      <c r="H411" s="137"/>
      <c r="I411" s="137"/>
      <c r="J411" s="137"/>
      <c r="K411" s="137"/>
      <c r="L411" s="137"/>
      <c r="M411" s="141"/>
      <c r="N411" s="147"/>
    </row>
    <row r="412" hidden="1" outlineLevel="1">
      <c r="B412" s="189"/>
      <c r="C412" s="191" t="s">
        <v>194</v>
      </c>
      <c r="D412" s="204">
        <f>AVERAGE(D397:D411)</f>
        <v>0.6</v>
      </c>
      <c r="E412" s="384"/>
      <c r="L412" s="191" t="s">
        <v>194</v>
      </c>
      <c r="M412" s="204">
        <f>SUM(M397:M411)/75*0.1</f>
        <v>0</v>
      </c>
    </row>
    <row r="413" collapsed="1">
      <c r="A413" s="206" t="s">
        <v>1294</v>
      </c>
      <c r="B413" s="207"/>
      <c r="C413" s="207"/>
      <c r="D413" s="385"/>
      <c r="E413" s="109"/>
      <c r="F413" s="109"/>
      <c r="G413" s="110"/>
      <c r="H413" s="110"/>
      <c r="I413" s="110"/>
      <c r="J413" s="110"/>
      <c r="K413" s="110"/>
      <c r="L413" s="110"/>
      <c r="M413" s="111"/>
      <c r="N413" s="113"/>
    </row>
    <row r="414" hidden="1" outlineLevel="1">
      <c r="A414" s="373" t="s">
        <v>98</v>
      </c>
      <c r="B414" s="115" t="s">
        <v>100</v>
      </c>
      <c r="C414" s="115" t="s">
        <v>102</v>
      </c>
      <c r="D414" s="119" t="s">
        <v>103</v>
      </c>
      <c r="E414" s="275" t="s">
        <v>269</v>
      </c>
      <c r="F414" s="275" t="s">
        <v>272</v>
      </c>
      <c r="G414" s="276" t="s">
        <v>328</v>
      </c>
      <c r="H414" s="121" t="s">
        <v>107</v>
      </c>
      <c r="I414" s="121" t="s">
        <v>108</v>
      </c>
      <c r="J414" s="276" t="s">
        <v>329</v>
      </c>
      <c r="K414" s="121" t="s">
        <v>111</v>
      </c>
      <c r="L414" s="276" t="s">
        <v>274</v>
      </c>
      <c r="M414" s="115" t="s">
        <v>114</v>
      </c>
      <c r="N414" s="119" t="s">
        <v>115</v>
      </c>
    </row>
    <row r="415" hidden="1" outlineLevel="1">
      <c r="A415" s="255" t="s">
        <v>4164</v>
      </c>
      <c r="B415" s="420">
        <v>46230.0</v>
      </c>
      <c r="C415" s="133" t="str">
        <f t="shared" ref="C415:C429" si="47">IF(B415="", "", TEXT(B415, "ddd"))</f>
        <v>Mon</v>
      </c>
      <c r="D415" s="381">
        <f t="shared" ref="D415:D429" si="48">IF(E415="Yes",0.05,0)
+IF(F415="Yes",0.1,0)
+IF(G415="Yes",0.15,0)
+IF(H415="Yes",0.15,0)
+IF(I415="Yes",0.05,0)
+IF(J415="Yes",0.05,0)
+IF(K415="Yes",0.15,0)
+IF(L415="Yes",0.3,0)
</f>
        <v>1</v>
      </c>
      <c r="E415" s="382" t="s">
        <v>129</v>
      </c>
      <c r="F415" s="137" t="s">
        <v>129</v>
      </c>
      <c r="G415" s="137" t="s">
        <v>129</v>
      </c>
      <c r="H415" s="137" t="s">
        <v>129</v>
      </c>
      <c r="I415" s="137" t="s">
        <v>129</v>
      </c>
      <c r="J415" s="137" t="s">
        <v>129</v>
      </c>
      <c r="K415" s="137" t="s">
        <v>129</v>
      </c>
      <c r="L415" s="137" t="s">
        <v>129</v>
      </c>
      <c r="M415" s="141"/>
      <c r="N415" s="143"/>
    </row>
    <row r="416" hidden="1" outlineLevel="1">
      <c r="A416" s="255" t="s">
        <v>4166</v>
      </c>
      <c r="B416" s="420">
        <v>46230.0</v>
      </c>
      <c r="C416" s="133" t="str">
        <f t="shared" si="47"/>
        <v>Mon</v>
      </c>
      <c r="D416" s="383">
        <f t="shared" si="48"/>
        <v>1</v>
      </c>
      <c r="E416" s="147" t="s">
        <v>129</v>
      </c>
      <c r="F416" s="137" t="s">
        <v>129</v>
      </c>
      <c r="G416" s="137" t="s">
        <v>129</v>
      </c>
      <c r="H416" s="137" t="s">
        <v>129</v>
      </c>
      <c r="I416" s="137" t="s">
        <v>129</v>
      </c>
      <c r="J416" s="137" t="s">
        <v>129</v>
      </c>
      <c r="K416" s="137" t="s">
        <v>129</v>
      </c>
      <c r="L416" s="137" t="s">
        <v>129</v>
      </c>
      <c r="M416" s="141"/>
      <c r="N416" s="147"/>
    </row>
    <row r="417" hidden="1" outlineLevel="1">
      <c r="A417" s="255" t="s">
        <v>4168</v>
      </c>
      <c r="B417" s="420">
        <v>46230.0</v>
      </c>
      <c r="C417" s="133" t="str">
        <f t="shared" si="47"/>
        <v>Mon</v>
      </c>
      <c r="D417" s="381">
        <f t="shared" si="48"/>
        <v>1</v>
      </c>
      <c r="E417" s="382" t="s">
        <v>129</v>
      </c>
      <c r="F417" s="137" t="s">
        <v>129</v>
      </c>
      <c r="G417" s="137" t="s">
        <v>129</v>
      </c>
      <c r="H417" s="137" t="s">
        <v>129</v>
      </c>
      <c r="I417" s="137" t="s">
        <v>129</v>
      </c>
      <c r="J417" s="137" t="s">
        <v>129</v>
      </c>
      <c r="K417" s="137" t="s">
        <v>129</v>
      </c>
      <c r="L417" s="137" t="s">
        <v>129</v>
      </c>
      <c r="M417" s="141"/>
      <c r="N417" s="147"/>
    </row>
    <row r="418" hidden="1" outlineLevel="1">
      <c r="A418" s="255" t="s">
        <v>4169</v>
      </c>
      <c r="B418" s="420">
        <v>46233.0</v>
      </c>
      <c r="C418" s="133" t="str">
        <f t="shared" si="47"/>
        <v>Thu</v>
      </c>
      <c r="D418" s="383">
        <f t="shared" si="48"/>
        <v>0</v>
      </c>
      <c r="E418" s="147"/>
      <c r="F418" s="137"/>
      <c r="G418" s="137"/>
      <c r="H418" s="137"/>
      <c r="I418" s="137"/>
      <c r="J418" s="137"/>
      <c r="K418" s="137"/>
      <c r="L418" s="137"/>
      <c r="M418" s="141"/>
      <c r="N418" s="143"/>
    </row>
    <row r="419" hidden="1" outlineLevel="1">
      <c r="A419" s="255" t="s">
        <v>4171</v>
      </c>
      <c r="B419" s="420">
        <v>46233.0</v>
      </c>
      <c r="C419" s="133" t="str">
        <f t="shared" si="47"/>
        <v>Thu</v>
      </c>
      <c r="D419" s="381">
        <f t="shared" si="48"/>
        <v>0</v>
      </c>
      <c r="E419" s="382"/>
      <c r="F419" s="137"/>
      <c r="G419" s="137"/>
      <c r="H419" s="137"/>
      <c r="I419" s="137"/>
      <c r="J419" s="137"/>
      <c r="K419" s="137"/>
      <c r="L419" s="137"/>
      <c r="M419" s="141"/>
      <c r="N419" s="143"/>
    </row>
    <row r="420" hidden="1" outlineLevel="1">
      <c r="A420" s="255" t="s">
        <v>4173</v>
      </c>
      <c r="B420" s="420">
        <v>46233.0</v>
      </c>
      <c r="C420" s="133" t="str">
        <f t="shared" si="47"/>
        <v>Thu</v>
      </c>
      <c r="D420" s="383">
        <f t="shared" si="48"/>
        <v>0</v>
      </c>
      <c r="E420" s="147"/>
      <c r="F420" s="137"/>
      <c r="G420" s="137"/>
      <c r="H420" s="137"/>
      <c r="I420" s="137"/>
      <c r="J420" s="137"/>
      <c r="K420" s="137"/>
      <c r="L420" s="137"/>
      <c r="M420" s="141"/>
      <c r="N420" s="143"/>
    </row>
    <row r="421" hidden="1" outlineLevel="1">
      <c r="A421" s="255" t="s">
        <v>4175</v>
      </c>
      <c r="B421" s="420">
        <v>46234.0</v>
      </c>
      <c r="C421" s="133" t="str">
        <f t="shared" si="47"/>
        <v>Fri</v>
      </c>
      <c r="D421" s="381">
        <f t="shared" si="48"/>
        <v>0</v>
      </c>
      <c r="E421" s="382"/>
      <c r="F421" s="137"/>
      <c r="G421" s="137"/>
      <c r="H421" s="137"/>
      <c r="I421" s="137"/>
      <c r="J421" s="137"/>
      <c r="K421" s="137"/>
      <c r="L421" s="137"/>
      <c r="M421" s="141"/>
      <c r="N421" s="143"/>
    </row>
    <row r="422" hidden="1" outlineLevel="1">
      <c r="A422" s="255" t="s">
        <v>4176</v>
      </c>
      <c r="B422" s="420">
        <v>46234.0</v>
      </c>
      <c r="C422" s="133" t="str">
        <f t="shared" si="47"/>
        <v>Fri</v>
      </c>
      <c r="D422" s="383">
        <f t="shared" si="48"/>
        <v>0</v>
      </c>
      <c r="E422" s="147"/>
      <c r="F422" s="137"/>
      <c r="G422" s="137"/>
      <c r="H422" s="137"/>
      <c r="I422" s="137"/>
      <c r="J422" s="137"/>
      <c r="K422" s="137"/>
      <c r="L422" s="137"/>
      <c r="M422" s="141"/>
      <c r="N422" s="147"/>
    </row>
    <row r="423" hidden="1" outlineLevel="1">
      <c r="A423" s="255" t="s">
        <v>4177</v>
      </c>
      <c r="B423" s="420">
        <v>46234.0</v>
      </c>
      <c r="C423" s="133" t="str">
        <f t="shared" si="47"/>
        <v>Fri</v>
      </c>
      <c r="D423" s="381">
        <f t="shared" si="48"/>
        <v>0</v>
      </c>
      <c r="E423" s="382"/>
      <c r="F423" s="137"/>
      <c r="G423" s="137"/>
      <c r="H423" s="137"/>
      <c r="I423" s="137"/>
      <c r="J423" s="137"/>
      <c r="K423" s="137"/>
      <c r="L423" s="137"/>
      <c r="M423" s="141"/>
      <c r="N423" s="143"/>
    </row>
    <row r="424" hidden="1" outlineLevel="1">
      <c r="A424" s="303" t="s">
        <v>4178</v>
      </c>
      <c r="B424" s="420">
        <v>46235.0</v>
      </c>
      <c r="C424" s="133" t="str">
        <f t="shared" si="47"/>
        <v>Sat</v>
      </c>
      <c r="D424" s="383">
        <f t="shared" si="48"/>
        <v>0</v>
      </c>
      <c r="E424" s="147"/>
      <c r="F424" s="137"/>
      <c r="G424" s="137"/>
      <c r="H424" s="137"/>
      <c r="I424" s="137"/>
      <c r="J424" s="137"/>
      <c r="K424" s="137"/>
      <c r="L424" s="137"/>
      <c r="M424" s="141"/>
      <c r="N424" s="147"/>
    </row>
    <row r="425" hidden="1" outlineLevel="1">
      <c r="A425" s="303" t="s">
        <v>4180</v>
      </c>
      <c r="B425" s="420">
        <v>46235.0</v>
      </c>
      <c r="C425" s="133" t="str">
        <f t="shared" si="47"/>
        <v>Sat</v>
      </c>
      <c r="D425" s="381">
        <f t="shared" si="48"/>
        <v>0</v>
      </c>
      <c r="E425" s="382"/>
      <c r="F425" s="137"/>
      <c r="G425" s="137"/>
      <c r="H425" s="137"/>
      <c r="I425" s="137"/>
      <c r="J425" s="137"/>
      <c r="K425" s="137"/>
      <c r="L425" s="137"/>
      <c r="M425" s="141"/>
      <c r="N425" s="147"/>
    </row>
    <row r="426" hidden="1" outlineLevel="1">
      <c r="A426" s="303" t="s">
        <v>4182</v>
      </c>
      <c r="B426" s="420">
        <v>46235.0</v>
      </c>
      <c r="C426" s="133" t="str">
        <f t="shared" si="47"/>
        <v>Sat</v>
      </c>
      <c r="D426" s="383">
        <f t="shared" si="48"/>
        <v>0</v>
      </c>
      <c r="E426" s="147"/>
      <c r="F426" s="137"/>
      <c r="G426" s="137"/>
      <c r="H426" s="137"/>
      <c r="I426" s="137"/>
      <c r="J426" s="137"/>
      <c r="K426" s="137"/>
      <c r="L426" s="137"/>
      <c r="M426" s="141"/>
      <c r="N426" s="147"/>
    </row>
    <row r="427" hidden="1" outlineLevel="1">
      <c r="A427" s="303" t="s">
        <v>4184</v>
      </c>
      <c r="B427" s="418"/>
      <c r="C427" s="133" t="str">
        <f t="shared" si="47"/>
        <v/>
      </c>
      <c r="D427" s="381">
        <f t="shared" si="48"/>
        <v>0</v>
      </c>
      <c r="E427" s="382"/>
      <c r="F427" s="137"/>
      <c r="G427" s="137"/>
      <c r="H427" s="137"/>
      <c r="I427" s="137"/>
      <c r="J427" s="137"/>
      <c r="K427" s="137"/>
      <c r="L427" s="137"/>
      <c r="M427" s="141"/>
      <c r="N427" s="143"/>
    </row>
    <row r="428" hidden="1" outlineLevel="1">
      <c r="A428" s="303" t="s">
        <v>4185</v>
      </c>
      <c r="B428" s="418"/>
      <c r="C428" s="133" t="str">
        <f t="shared" si="47"/>
        <v/>
      </c>
      <c r="D428" s="383">
        <f t="shared" si="48"/>
        <v>0</v>
      </c>
      <c r="E428" s="147"/>
      <c r="F428" s="137"/>
      <c r="G428" s="137"/>
      <c r="H428" s="137"/>
      <c r="I428" s="137"/>
      <c r="J428" s="137"/>
      <c r="K428" s="137"/>
      <c r="L428" s="137"/>
      <c r="M428" s="141"/>
      <c r="N428" s="143"/>
    </row>
    <row r="429" ht="15.0" hidden="1" customHeight="1" outlineLevel="1">
      <c r="A429" s="303" t="s">
        <v>4187</v>
      </c>
      <c r="B429" s="418"/>
      <c r="C429" s="133" t="str">
        <f t="shared" si="47"/>
        <v/>
      </c>
      <c r="D429" s="381">
        <f t="shared" si="48"/>
        <v>0</v>
      </c>
      <c r="E429" s="382"/>
      <c r="F429" s="137"/>
      <c r="G429" s="137"/>
      <c r="H429" s="137"/>
      <c r="I429" s="137"/>
      <c r="J429" s="137"/>
      <c r="K429" s="137"/>
      <c r="L429" s="137"/>
      <c r="M429" s="141"/>
      <c r="N429" s="147"/>
    </row>
    <row r="430" hidden="1" outlineLevel="1">
      <c r="B430" s="189"/>
      <c r="C430" s="191" t="s">
        <v>194</v>
      </c>
      <c r="D430" s="204">
        <f>AVERAGE(D415:D429)</f>
        <v>0.2</v>
      </c>
      <c r="E430" s="384"/>
      <c r="L430" s="191" t="s">
        <v>194</v>
      </c>
      <c r="M430" s="204">
        <f>SUM(M415:M429)/75*0.1</f>
        <v>0</v>
      </c>
    </row>
    <row r="431">
      <c r="A431" s="206" t="s">
        <v>1318</v>
      </c>
      <c r="B431" s="207"/>
      <c r="C431" s="207"/>
      <c r="D431" s="385"/>
      <c r="E431" s="109"/>
      <c r="F431" s="109"/>
      <c r="G431" s="110"/>
      <c r="H431" s="110"/>
      <c r="I431" s="110"/>
      <c r="J431" s="110"/>
      <c r="K431" s="110"/>
      <c r="L431" s="110"/>
      <c r="M431" s="111"/>
      <c r="N431" s="113"/>
    </row>
    <row r="432" outlineLevel="1">
      <c r="A432" s="373" t="s">
        <v>98</v>
      </c>
      <c r="B432" s="115" t="s">
        <v>100</v>
      </c>
      <c r="C432" s="115" t="s">
        <v>102</v>
      </c>
      <c r="D432" s="119" t="s">
        <v>103</v>
      </c>
      <c r="E432" s="275" t="s">
        <v>269</v>
      </c>
      <c r="F432" s="275" t="s">
        <v>272</v>
      </c>
      <c r="G432" s="276" t="s">
        <v>328</v>
      </c>
      <c r="H432" s="121" t="s">
        <v>107</v>
      </c>
      <c r="I432" s="121" t="s">
        <v>108</v>
      </c>
      <c r="J432" s="276" t="s">
        <v>329</v>
      </c>
      <c r="K432" s="121" t="s">
        <v>111</v>
      </c>
      <c r="L432" s="276" t="s">
        <v>274</v>
      </c>
      <c r="M432" s="115" t="s">
        <v>114</v>
      </c>
      <c r="N432" s="119" t="s">
        <v>115</v>
      </c>
    </row>
    <row r="433" outlineLevel="1">
      <c r="A433" s="255" t="s">
        <v>4189</v>
      </c>
      <c r="B433" s="420">
        <v>46237.0</v>
      </c>
      <c r="C433" s="133" t="str">
        <f t="shared" ref="C433:C447" si="49">IF(B433="", "", TEXT(B433, "ddd"))</f>
        <v>Mon</v>
      </c>
      <c r="D433" s="381">
        <f t="shared" ref="D433:D447" si="50">IF(E433="Yes",0.05,0)
+IF(F433="Yes",0.1,0)
+IF(G433="Yes",0.15,0)
+IF(H433="Yes",0.15,0)
+IF(I433="Yes",0.05,0)
+IF(J433="Yes",0.05,0)
+IF(K433="Yes",0.15,0)
+IF(L433="Yes",0.3,0)
</f>
        <v>1</v>
      </c>
      <c r="E433" s="382" t="s">
        <v>129</v>
      </c>
      <c r="F433" s="137" t="s">
        <v>129</v>
      </c>
      <c r="G433" s="137" t="s">
        <v>129</v>
      </c>
      <c r="H433" s="137" t="s">
        <v>129</v>
      </c>
      <c r="I433" s="137" t="s">
        <v>129</v>
      </c>
      <c r="J433" s="137" t="s">
        <v>129</v>
      </c>
      <c r="K433" s="137" t="s">
        <v>129</v>
      </c>
      <c r="L433" s="137" t="s">
        <v>129</v>
      </c>
      <c r="M433" s="141"/>
      <c r="N433" s="143"/>
    </row>
    <row r="434" outlineLevel="1">
      <c r="A434" s="255" t="s">
        <v>4192</v>
      </c>
      <c r="B434" s="420">
        <v>46237.0</v>
      </c>
      <c r="C434" s="133" t="str">
        <f t="shared" si="49"/>
        <v>Mon</v>
      </c>
      <c r="D434" s="383">
        <f t="shared" si="50"/>
        <v>1</v>
      </c>
      <c r="E434" s="147" t="s">
        <v>129</v>
      </c>
      <c r="F434" s="137" t="s">
        <v>129</v>
      </c>
      <c r="G434" s="137" t="s">
        <v>129</v>
      </c>
      <c r="H434" s="137" t="s">
        <v>129</v>
      </c>
      <c r="I434" s="137" t="s">
        <v>129</v>
      </c>
      <c r="J434" s="137" t="s">
        <v>129</v>
      </c>
      <c r="K434" s="137" t="s">
        <v>129</v>
      </c>
      <c r="L434" s="137" t="s">
        <v>129</v>
      </c>
      <c r="M434" s="141"/>
      <c r="N434" s="147"/>
    </row>
    <row r="435" outlineLevel="1">
      <c r="A435" s="255" t="s">
        <v>4194</v>
      </c>
      <c r="B435" s="420">
        <v>46237.0</v>
      </c>
      <c r="C435" s="133" t="str">
        <f t="shared" si="49"/>
        <v>Mon</v>
      </c>
      <c r="D435" s="381">
        <f t="shared" si="50"/>
        <v>1</v>
      </c>
      <c r="E435" s="382" t="s">
        <v>129</v>
      </c>
      <c r="F435" s="137" t="s">
        <v>129</v>
      </c>
      <c r="G435" s="137" t="s">
        <v>129</v>
      </c>
      <c r="H435" s="137" t="s">
        <v>129</v>
      </c>
      <c r="I435" s="137" t="s">
        <v>129</v>
      </c>
      <c r="J435" s="137" t="s">
        <v>129</v>
      </c>
      <c r="K435" s="137" t="s">
        <v>129</v>
      </c>
      <c r="L435" s="137" t="s">
        <v>129</v>
      </c>
      <c r="M435" s="141"/>
      <c r="N435" s="147"/>
    </row>
    <row r="436" outlineLevel="1">
      <c r="A436" s="255" t="s">
        <v>4196</v>
      </c>
      <c r="B436" s="420">
        <v>46238.0</v>
      </c>
      <c r="C436" s="133" t="str">
        <f t="shared" si="49"/>
        <v>Tue</v>
      </c>
      <c r="D436" s="383">
        <f t="shared" si="50"/>
        <v>1</v>
      </c>
      <c r="E436" s="147" t="s">
        <v>129</v>
      </c>
      <c r="F436" s="137" t="s">
        <v>129</v>
      </c>
      <c r="G436" s="137" t="s">
        <v>129</v>
      </c>
      <c r="H436" s="137" t="s">
        <v>129</v>
      </c>
      <c r="I436" s="137" t="s">
        <v>129</v>
      </c>
      <c r="J436" s="137" t="s">
        <v>129</v>
      </c>
      <c r="K436" s="137" t="s">
        <v>129</v>
      </c>
      <c r="L436" s="137" t="s">
        <v>129</v>
      </c>
      <c r="M436" s="141"/>
      <c r="N436" s="147"/>
    </row>
    <row r="437" outlineLevel="1">
      <c r="A437" s="255" t="s">
        <v>4198</v>
      </c>
      <c r="B437" s="420">
        <v>46238.0</v>
      </c>
      <c r="C437" s="133" t="str">
        <f t="shared" si="49"/>
        <v>Tue</v>
      </c>
      <c r="D437" s="381">
        <f t="shared" si="50"/>
        <v>1</v>
      </c>
      <c r="E437" s="382" t="s">
        <v>129</v>
      </c>
      <c r="F437" s="137" t="s">
        <v>129</v>
      </c>
      <c r="G437" s="137" t="s">
        <v>129</v>
      </c>
      <c r="H437" s="137" t="s">
        <v>129</v>
      </c>
      <c r="I437" s="137" t="s">
        <v>129</v>
      </c>
      <c r="J437" s="137" t="s">
        <v>129</v>
      </c>
      <c r="K437" s="137" t="s">
        <v>129</v>
      </c>
      <c r="L437" s="137" t="s">
        <v>129</v>
      </c>
      <c r="M437" s="141"/>
      <c r="N437" s="147"/>
    </row>
    <row r="438" outlineLevel="1">
      <c r="A438" s="255" t="s">
        <v>4202</v>
      </c>
      <c r="B438" s="420">
        <v>46238.0</v>
      </c>
      <c r="C438" s="133" t="str">
        <f t="shared" si="49"/>
        <v>Tue</v>
      </c>
      <c r="D438" s="383">
        <f t="shared" si="50"/>
        <v>1</v>
      </c>
      <c r="E438" s="147" t="s">
        <v>129</v>
      </c>
      <c r="F438" s="137" t="s">
        <v>129</v>
      </c>
      <c r="G438" s="137" t="s">
        <v>129</v>
      </c>
      <c r="H438" s="137" t="s">
        <v>129</v>
      </c>
      <c r="I438" s="137" t="s">
        <v>129</v>
      </c>
      <c r="J438" s="137" t="s">
        <v>129</v>
      </c>
      <c r="K438" s="137" t="s">
        <v>129</v>
      </c>
      <c r="L438" s="137" t="s">
        <v>129</v>
      </c>
      <c r="M438" s="141"/>
      <c r="N438" s="147"/>
    </row>
    <row r="439" outlineLevel="1">
      <c r="A439" s="255" t="s">
        <v>4204</v>
      </c>
      <c r="B439" s="420">
        <v>46240.0</v>
      </c>
      <c r="C439" s="133" t="str">
        <f t="shared" si="49"/>
        <v>Thu</v>
      </c>
      <c r="D439" s="381">
        <f t="shared" si="50"/>
        <v>0</v>
      </c>
      <c r="E439" s="382"/>
      <c r="F439" s="137"/>
      <c r="G439" s="137"/>
      <c r="H439" s="137"/>
      <c r="I439" s="137"/>
      <c r="J439" s="137"/>
      <c r="K439" s="137"/>
      <c r="L439" s="137"/>
      <c r="M439" s="141"/>
      <c r="N439" s="143"/>
    </row>
    <row r="440" outlineLevel="1">
      <c r="A440" s="255" t="s">
        <v>4206</v>
      </c>
      <c r="B440" s="420">
        <v>46240.0</v>
      </c>
      <c r="C440" s="133" t="str">
        <f t="shared" si="49"/>
        <v>Thu</v>
      </c>
      <c r="D440" s="383">
        <f t="shared" si="50"/>
        <v>0</v>
      </c>
      <c r="E440" s="147"/>
      <c r="F440" s="137"/>
      <c r="G440" s="137"/>
      <c r="H440" s="137"/>
      <c r="I440" s="137"/>
      <c r="J440" s="137"/>
      <c r="K440" s="137"/>
      <c r="L440" s="137"/>
      <c r="M440" s="141"/>
      <c r="N440" s="147"/>
    </row>
    <row r="441" outlineLevel="1">
      <c r="A441" s="255" t="s">
        <v>4207</v>
      </c>
      <c r="B441" s="420">
        <v>46240.0</v>
      </c>
      <c r="C441" s="133" t="str">
        <f t="shared" si="49"/>
        <v>Thu</v>
      </c>
      <c r="D441" s="381">
        <f t="shared" si="50"/>
        <v>0</v>
      </c>
      <c r="E441" s="382"/>
      <c r="F441" s="137"/>
      <c r="G441" s="137"/>
      <c r="H441" s="137"/>
      <c r="I441" s="137"/>
      <c r="J441" s="137"/>
      <c r="K441" s="137"/>
      <c r="L441" s="137"/>
      <c r="M441" s="141"/>
      <c r="N441" s="143"/>
    </row>
    <row r="442" outlineLevel="1">
      <c r="A442" s="255" t="s">
        <v>4208</v>
      </c>
      <c r="B442" s="420">
        <v>46241.0</v>
      </c>
      <c r="C442" s="133" t="str">
        <f t="shared" si="49"/>
        <v>Fri</v>
      </c>
      <c r="D442" s="383">
        <f t="shared" si="50"/>
        <v>0</v>
      </c>
      <c r="E442" s="147"/>
      <c r="F442" s="137"/>
      <c r="G442" s="137"/>
      <c r="H442" s="137"/>
      <c r="I442" s="137"/>
      <c r="J442" s="137"/>
      <c r="K442" s="137"/>
      <c r="L442" s="137"/>
      <c r="M442" s="141"/>
      <c r="N442" s="147"/>
    </row>
    <row r="443" outlineLevel="1">
      <c r="A443" s="255" t="s">
        <v>4209</v>
      </c>
      <c r="B443" s="420">
        <v>46241.0</v>
      </c>
      <c r="C443" s="133" t="str">
        <f t="shared" si="49"/>
        <v>Fri</v>
      </c>
      <c r="D443" s="381">
        <f t="shared" si="50"/>
        <v>0</v>
      </c>
      <c r="E443" s="382"/>
      <c r="F443" s="137"/>
      <c r="G443" s="137"/>
      <c r="H443" s="137"/>
      <c r="I443" s="137"/>
      <c r="J443" s="137"/>
      <c r="K443" s="137"/>
      <c r="L443" s="137"/>
      <c r="M443" s="141"/>
      <c r="N443" s="147"/>
    </row>
    <row r="444" outlineLevel="1">
      <c r="A444" s="255" t="s">
        <v>4211</v>
      </c>
      <c r="B444" s="420">
        <v>46241.0</v>
      </c>
      <c r="C444" s="133" t="str">
        <f t="shared" si="49"/>
        <v>Fri</v>
      </c>
      <c r="D444" s="383">
        <f t="shared" si="50"/>
        <v>0</v>
      </c>
      <c r="E444" s="147"/>
      <c r="F444" s="137"/>
      <c r="G444" s="137"/>
      <c r="H444" s="137"/>
      <c r="I444" s="137"/>
      <c r="J444" s="137"/>
      <c r="K444" s="137"/>
      <c r="L444" s="137"/>
      <c r="M444" s="141"/>
      <c r="N444" s="147"/>
    </row>
    <row r="445" outlineLevel="1">
      <c r="A445" s="255"/>
      <c r="B445" s="420"/>
      <c r="C445" s="133" t="str">
        <f t="shared" si="49"/>
        <v/>
      </c>
      <c r="D445" s="381">
        <f t="shared" si="50"/>
        <v>0</v>
      </c>
      <c r="E445" s="382"/>
      <c r="F445" s="137"/>
      <c r="G445" s="137"/>
      <c r="H445" s="137"/>
      <c r="I445" s="137"/>
      <c r="J445" s="137"/>
      <c r="K445" s="137"/>
      <c r="L445" s="137"/>
      <c r="M445" s="141"/>
      <c r="N445" s="143"/>
    </row>
    <row r="446" outlineLevel="1">
      <c r="A446" s="255"/>
      <c r="B446" s="420"/>
      <c r="C446" s="133" t="str">
        <f t="shared" si="49"/>
        <v/>
      </c>
      <c r="D446" s="383">
        <f t="shared" si="50"/>
        <v>0</v>
      </c>
      <c r="E446" s="147"/>
      <c r="F446" s="137"/>
      <c r="G446" s="137"/>
      <c r="H446" s="137"/>
      <c r="I446" s="137"/>
      <c r="J446" s="137"/>
      <c r="K446" s="137"/>
      <c r="L446" s="137"/>
      <c r="M446" s="141"/>
      <c r="N446" s="143"/>
    </row>
    <row r="447" ht="15.0" customHeight="1" outlineLevel="1">
      <c r="A447" s="255"/>
      <c r="B447" s="420"/>
      <c r="C447" s="133" t="str">
        <f t="shared" si="49"/>
        <v/>
      </c>
      <c r="D447" s="381">
        <f t="shared" si="50"/>
        <v>0</v>
      </c>
      <c r="E447" s="382"/>
      <c r="F447" s="137"/>
      <c r="G447" s="137"/>
      <c r="H447" s="137"/>
      <c r="I447" s="137"/>
      <c r="J447" s="137"/>
      <c r="K447" s="137"/>
      <c r="L447" s="137"/>
      <c r="M447" s="141"/>
      <c r="N447" s="147"/>
    </row>
    <row r="448" outlineLevel="1">
      <c r="B448" s="189"/>
      <c r="C448" s="191" t="s">
        <v>194</v>
      </c>
      <c r="D448" s="204">
        <f>AVERAGE(D433:D447)</f>
        <v>0.4</v>
      </c>
      <c r="E448" s="384"/>
      <c r="L448" s="191" t="s">
        <v>194</v>
      </c>
      <c r="M448" s="204">
        <f>SUM(M433:M447)/75*0.1</f>
        <v>0</v>
      </c>
    </row>
  </sheetData>
  <mergeCells count="23">
    <mergeCell ref="A35:D35"/>
    <mergeCell ref="A53:D53"/>
    <mergeCell ref="A71:D71"/>
    <mergeCell ref="A89:D89"/>
    <mergeCell ref="A107:D107"/>
    <mergeCell ref="A125:D125"/>
    <mergeCell ref="A143:D143"/>
    <mergeCell ref="A161:D161"/>
    <mergeCell ref="A179:D179"/>
    <mergeCell ref="A197:D197"/>
    <mergeCell ref="A215:D215"/>
    <mergeCell ref="A233:D233"/>
    <mergeCell ref="A251:D251"/>
    <mergeCell ref="A269:D269"/>
    <mergeCell ref="A413:D413"/>
    <mergeCell ref="A431:D431"/>
    <mergeCell ref="A287:D287"/>
    <mergeCell ref="A305:D305"/>
    <mergeCell ref="A323:D323"/>
    <mergeCell ref="A341:D341"/>
    <mergeCell ref="A359:D359"/>
    <mergeCell ref="A377:D377"/>
    <mergeCell ref="A395:D395"/>
  </mergeCells>
  <conditionalFormatting sqref="A1:N52 A55:A57 B55:B69 C55:D57 E55:L69 C67:C69 A73:A75 B73:B87 C73:D75 E73:L87 C85:C87 A89:N106 A109:A111 B109:B123 C109:D111 E109:L123 C121:C123 A125:N142 A145:A147 B145:B159 C145:D147 E145:L159 C157:C159 A161:N178 A181:A183 B181:B195 C181:D183 E181:L195 A193:A195 C193:D195 A199:A201 B199:B213 C199:D201 E199:L213 A211:A213 C211:D213 A217:A219 B217:B231 C217:D219 E217:L231 A229:A231 C229:D231 A235:A237 B235:B249 C235:D237 E235:L249 A247:A249 C247:D249 A253:A255 B253:B267 C253:D255 E253:L267 A265:A267 C265:D267 A271:A273 B271:B285 C271:C273 D271:D279 E271:L285 A283:A285 C283:D285 A289:A291 B289:B303 C289:D291 E289:L303 A301:A303 C301:D303 A305:N322 A325:B339 C325:D327 E325:L339 C337:D339 A343:B357 C343:D345 E343:L357 C355:D357 A359:N376 A379:B393 C379:D381 E379:L393 C391:D393 A395:N412 A415:B429 C415:D417 E415:L429 C427:D429 A433:B447 C433:D435 E433:L447 C445:D447">
    <cfRule type="cellIs" dxfId="7" priority="1" operator="equal">
      <formula>"LWOP"</formula>
    </cfRule>
  </conditionalFormatting>
  <conditionalFormatting sqref="A35:D35 A53:D53 A71:D71 A89:D89 A107:D107 A125:D125 A143:D143 A161:D161 A179:D179 A197:D197 A215:D215 A233:D233 A251:D251 A269:D269 A287:D287 A305:D305 A323:D323 A341:D341 A359:D359 A377:D377 A395:D395 A413:D413 A431:D431">
    <cfRule type="cellIs" dxfId="8" priority="2" operator="equal">
      <formula>"OFF"</formula>
    </cfRule>
  </conditionalFormatting>
  <conditionalFormatting sqref="A35:D35 A53:D53 A71:D71 A89:D89 A107:D107 A125:D125 A143:D143 A161:D161 A179:D179 A197:D197 A215:D215 A233:D233 A251:D251 A269:D269 A287:D287 A305:D305 A323:D323 A341:D341 A359:D359 A377:D377 A395:D395 A413:D413 A431:D431">
    <cfRule type="cellIs" dxfId="9" priority="3" operator="equal">
      <formula>"A"</formula>
    </cfRule>
  </conditionalFormatting>
  <conditionalFormatting sqref="A35:D35 A53:D53 A71:D71 A89:D89 A107:D107 A125:D125 A143:D143 A161:D161 A179:D179 A197:D197 A215:D215 A233:D233 A251:D251 A269:D269 A287:D287 A305:D305 A323:D323 A341:D341 A359:D359 A377:D377 A395:D395 A413:D413 A431:D431">
    <cfRule type="cellIs" dxfId="10" priority="4" operator="equal">
      <formula>"LWOP"</formula>
    </cfRule>
  </conditionalFormatting>
  <conditionalFormatting sqref="A1:N448">
    <cfRule type="cellIs" dxfId="6" priority="5" operator="equal">
      <formula>"Absent"</formula>
    </cfRule>
  </conditionalFormatting>
  <dataValidations>
    <dataValidation type="list" allowBlank="1" showErrorMessage="1" sqref="E2:L16 E19:L33 E37:L51 E55:L69 E73:L87 E91:L105 E109:L123 E127:L141 E145:L159 E163:L177 E181:L195 E199:L213 E217:L231 E235:L249 E253:L267 E271:L285 E289:L303 E307:L321 E325:L339 E343:L357 E361:L375 E379:L393 E397:L411 E415:L429 E433:L447">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7"/>
    <hyperlink r:id="rId32" ref="A38"/>
    <hyperlink r:id="rId33" ref="A39"/>
    <hyperlink r:id="rId34" ref="A40"/>
    <hyperlink r:id="rId35" ref="A41"/>
    <hyperlink r:id="rId36" ref="A42"/>
    <hyperlink r:id="rId37" ref="A43"/>
    <hyperlink r:id="rId38" ref="A44"/>
    <hyperlink r:id="rId39" ref="A45"/>
    <hyperlink r:id="rId40" ref="A46"/>
    <hyperlink r:id="rId41" ref="A47"/>
    <hyperlink r:id="rId42" ref="A48"/>
    <hyperlink r:id="rId43" ref="A49"/>
    <hyperlink r:id="rId44" ref="A50"/>
    <hyperlink r:id="rId45" ref="A51"/>
    <hyperlink r:id="rId46" ref="A55"/>
    <hyperlink r:id="rId47" ref="A56"/>
    <hyperlink r:id="rId48" ref="A57"/>
    <hyperlink r:id="rId49" ref="A58"/>
    <hyperlink r:id="rId50" ref="A59"/>
    <hyperlink r:id="rId51" ref="A60"/>
    <hyperlink r:id="rId52" ref="A61"/>
    <hyperlink r:id="rId53" ref="A62"/>
    <hyperlink r:id="rId54" ref="A63"/>
    <hyperlink r:id="rId55" ref="A64"/>
    <hyperlink r:id="rId56" ref="A65"/>
    <hyperlink r:id="rId57" ref="A66"/>
    <hyperlink r:id="rId58" ref="A67"/>
    <hyperlink r:id="rId59" ref="A68"/>
    <hyperlink r:id="rId60" ref="A69"/>
    <hyperlink r:id="rId61" ref="A73"/>
    <hyperlink r:id="rId62" ref="A74"/>
    <hyperlink r:id="rId63" ref="A75"/>
    <hyperlink r:id="rId64" ref="A76"/>
    <hyperlink r:id="rId65" ref="A77"/>
    <hyperlink r:id="rId66" ref="A78"/>
    <hyperlink r:id="rId67" ref="A79"/>
    <hyperlink r:id="rId68" ref="A80"/>
    <hyperlink r:id="rId69" ref="A81"/>
    <hyperlink r:id="rId70" ref="A82"/>
    <hyperlink r:id="rId71" ref="A83"/>
    <hyperlink r:id="rId72" ref="A84"/>
    <hyperlink r:id="rId73" ref="A85"/>
    <hyperlink r:id="rId74" ref="A86"/>
    <hyperlink r:id="rId75" ref="A87"/>
    <hyperlink r:id="rId76" ref="A91"/>
    <hyperlink r:id="rId77" ref="A92"/>
    <hyperlink r:id="rId78" ref="A93"/>
    <hyperlink r:id="rId79" ref="A94"/>
    <hyperlink r:id="rId80" ref="A95"/>
    <hyperlink r:id="rId81" ref="A96"/>
    <hyperlink r:id="rId82" ref="A97"/>
    <hyperlink r:id="rId83" ref="A98"/>
    <hyperlink r:id="rId84" ref="A99"/>
    <hyperlink r:id="rId85" ref="A100"/>
    <hyperlink r:id="rId86" ref="A101"/>
    <hyperlink r:id="rId87" ref="A102"/>
    <hyperlink r:id="rId88" ref="A103"/>
    <hyperlink r:id="rId89" ref="A104"/>
    <hyperlink r:id="rId90" ref="A105"/>
    <hyperlink r:id="rId91" ref="A109"/>
    <hyperlink r:id="rId92" ref="A110"/>
    <hyperlink r:id="rId93" ref="A111"/>
    <hyperlink r:id="rId94" ref="A112"/>
    <hyperlink r:id="rId95" ref="A113"/>
    <hyperlink r:id="rId96" ref="A114"/>
    <hyperlink r:id="rId97" ref="A115"/>
    <hyperlink r:id="rId98" ref="A116"/>
    <hyperlink r:id="rId99" ref="A117"/>
    <hyperlink r:id="rId100" ref="A118"/>
    <hyperlink r:id="rId101" ref="A119"/>
    <hyperlink r:id="rId102" ref="A120"/>
    <hyperlink r:id="rId103" ref="A121"/>
    <hyperlink r:id="rId104" ref="A122"/>
    <hyperlink r:id="rId105" ref="A123"/>
    <hyperlink r:id="rId106" ref="A127"/>
    <hyperlink r:id="rId107" ref="A128"/>
    <hyperlink r:id="rId108" ref="A129"/>
    <hyperlink r:id="rId109" ref="A130"/>
    <hyperlink r:id="rId110" ref="A131"/>
    <hyperlink r:id="rId111" ref="A132"/>
    <hyperlink r:id="rId112" ref="A133"/>
    <hyperlink r:id="rId113" ref="A134"/>
    <hyperlink r:id="rId114" ref="A135"/>
    <hyperlink r:id="rId115" ref="A136"/>
    <hyperlink r:id="rId116" ref="A137"/>
    <hyperlink r:id="rId117" ref="A138"/>
    <hyperlink r:id="rId118" ref="A139"/>
    <hyperlink r:id="rId119" ref="A140"/>
    <hyperlink r:id="rId120" ref="A141"/>
    <hyperlink r:id="rId121" ref="A145"/>
    <hyperlink r:id="rId122" ref="A146"/>
    <hyperlink r:id="rId123" ref="A147"/>
    <hyperlink r:id="rId124" ref="A148"/>
    <hyperlink r:id="rId125" ref="A149"/>
    <hyperlink r:id="rId126" ref="A150"/>
    <hyperlink r:id="rId127" ref="A151"/>
    <hyperlink r:id="rId128" ref="A152"/>
    <hyperlink r:id="rId129" ref="A153"/>
    <hyperlink r:id="rId130" ref="A154"/>
    <hyperlink r:id="rId131" ref="A155"/>
    <hyperlink r:id="rId132" ref="A156"/>
    <hyperlink r:id="rId133" ref="A157"/>
    <hyperlink r:id="rId134" ref="A158"/>
    <hyperlink r:id="rId135" ref="A159"/>
    <hyperlink r:id="rId136" ref="A166"/>
    <hyperlink r:id="rId137" ref="A167"/>
    <hyperlink r:id="rId138" ref="A168"/>
    <hyperlink r:id="rId139" ref="A169"/>
    <hyperlink r:id="rId140" ref="A170"/>
    <hyperlink r:id="rId141" ref="A171"/>
    <hyperlink r:id="rId142" ref="A172"/>
    <hyperlink r:id="rId143" ref="A173"/>
    <hyperlink r:id="rId144" ref="A174"/>
    <hyperlink r:id="rId145" ref="A175"/>
    <hyperlink r:id="rId146" ref="A176"/>
    <hyperlink r:id="rId147" ref="A177"/>
    <hyperlink r:id="rId148" ref="A181"/>
    <hyperlink r:id="rId149" ref="A182"/>
    <hyperlink r:id="rId150" ref="A183"/>
    <hyperlink r:id="rId151" ref="A184"/>
    <hyperlink r:id="rId152" ref="A185"/>
    <hyperlink r:id="rId153" ref="A186"/>
    <hyperlink r:id="rId154" ref="A187"/>
    <hyperlink r:id="rId155" ref="A188"/>
    <hyperlink r:id="rId156" ref="A189"/>
    <hyperlink r:id="rId157" ref="A190"/>
    <hyperlink r:id="rId158" ref="A191"/>
    <hyperlink r:id="rId159" ref="A192"/>
    <hyperlink r:id="rId160" ref="A193"/>
    <hyperlink r:id="rId161" ref="A194"/>
    <hyperlink r:id="rId162" ref="A195"/>
    <hyperlink r:id="rId163" ref="A199"/>
    <hyperlink r:id="rId164" ref="A200"/>
    <hyperlink r:id="rId165" ref="A201"/>
    <hyperlink r:id="rId166" ref="A202"/>
    <hyperlink r:id="rId167" ref="A203"/>
    <hyperlink r:id="rId168" ref="A204"/>
    <hyperlink r:id="rId169" ref="A205"/>
    <hyperlink r:id="rId170" ref="A206"/>
    <hyperlink r:id="rId171" ref="A207"/>
    <hyperlink r:id="rId172" ref="A208"/>
    <hyperlink r:id="rId173" ref="A209"/>
    <hyperlink r:id="rId174" ref="A210"/>
    <hyperlink r:id="rId175" ref="A211"/>
    <hyperlink r:id="rId176" ref="A212"/>
    <hyperlink r:id="rId177" ref="A213"/>
    <hyperlink r:id="rId178" ref="A217"/>
    <hyperlink r:id="rId179" ref="A218"/>
    <hyperlink r:id="rId180" ref="A219"/>
    <hyperlink r:id="rId181" ref="A220"/>
    <hyperlink r:id="rId182" ref="A221"/>
    <hyperlink r:id="rId183" ref="A222"/>
    <hyperlink r:id="rId184" ref="A223"/>
    <hyperlink r:id="rId185" ref="A224"/>
    <hyperlink r:id="rId186" ref="A225"/>
    <hyperlink r:id="rId187" ref="A226"/>
    <hyperlink r:id="rId188" ref="A227"/>
    <hyperlink r:id="rId189" ref="A228"/>
    <hyperlink r:id="rId190" ref="A229"/>
    <hyperlink r:id="rId191" ref="A230"/>
    <hyperlink r:id="rId192" ref="A231"/>
    <hyperlink r:id="rId193" ref="A235"/>
    <hyperlink r:id="rId194" ref="A236"/>
    <hyperlink r:id="rId195" ref="A237"/>
    <hyperlink r:id="rId196" ref="A238"/>
    <hyperlink r:id="rId197" ref="A239"/>
    <hyperlink r:id="rId198" ref="A240"/>
    <hyperlink r:id="rId199" ref="A241"/>
    <hyperlink r:id="rId200" ref="A242"/>
    <hyperlink r:id="rId201" ref="A243"/>
    <hyperlink r:id="rId202" ref="A244"/>
    <hyperlink r:id="rId203" ref="A245"/>
    <hyperlink r:id="rId204" ref="A246"/>
    <hyperlink r:id="rId205" ref="A247"/>
    <hyperlink r:id="rId206" ref="A248"/>
    <hyperlink r:id="rId207" ref="A249"/>
    <hyperlink r:id="rId208" ref="A253"/>
    <hyperlink r:id="rId209" ref="A254"/>
    <hyperlink r:id="rId210" ref="A255"/>
    <hyperlink r:id="rId211" ref="A256"/>
    <hyperlink r:id="rId212" ref="A257"/>
    <hyperlink r:id="rId213" ref="A258"/>
    <hyperlink r:id="rId214" ref="A259"/>
    <hyperlink r:id="rId215" ref="A260"/>
    <hyperlink r:id="rId216" ref="A261"/>
    <hyperlink r:id="rId217" ref="A262"/>
    <hyperlink r:id="rId218" ref="A263"/>
    <hyperlink r:id="rId219" ref="A264"/>
    <hyperlink r:id="rId220" ref="A265"/>
    <hyperlink r:id="rId221" ref="A266"/>
    <hyperlink r:id="rId222" ref="A267"/>
    <hyperlink r:id="rId223" ref="A271"/>
    <hyperlink r:id="rId224" ref="A272"/>
    <hyperlink r:id="rId225" ref="A273"/>
    <hyperlink r:id="rId226" ref="A274"/>
    <hyperlink r:id="rId227" ref="A275"/>
    <hyperlink r:id="rId228" ref="A276"/>
    <hyperlink r:id="rId229" ref="A277"/>
    <hyperlink r:id="rId230" ref="A278"/>
    <hyperlink r:id="rId231" ref="A279"/>
    <hyperlink r:id="rId232" ref="A280"/>
    <hyperlink r:id="rId233" ref="A281"/>
    <hyperlink r:id="rId234" ref="A282"/>
    <hyperlink r:id="rId235" ref="A283"/>
    <hyperlink r:id="rId236" ref="A284"/>
    <hyperlink r:id="rId237" ref="A285"/>
    <hyperlink r:id="rId238" ref="A289"/>
    <hyperlink r:id="rId239" ref="A290"/>
    <hyperlink r:id="rId240" ref="A291"/>
    <hyperlink r:id="rId241" ref="A292"/>
    <hyperlink r:id="rId242" ref="A293"/>
    <hyperlink r:id="rId243" ref="A294"/>
    <hyperlink r:id="rId244" ref="A295"/>
    <hyperlink r:id="rId245" ref="A296"/>
    <hyperlink r:id="rId246" ref="A297"/>
    <hyperlink r:id="rId247" ref="A298"/>
    <hyperlink r:id="rId248" ref="A299"/>
    <hyperlink r:id="rId249" ref="A300"/>
    <hyperlink r:id="rId250" ref="A301"/>
    <hyperlink r:id="rId251" ref="A302"/>
    <hyperlink r:id="rId252" ref="A303"/>
    <hyperlink r:id="rId253" ref="A325"/>
    <hyperlink r:id="rId254" ref="A326"/>
    <hyperlink r:id="rId255" ref="A327"/>
    <hyperlink r:id="rId256" ref="A328"/>
    <hyperlink r:id="rId257" ref="A329"/>
    <hyperlink r:id="rId258" ref="A330"/>
    <hyperlink r:id="rId259" ref="A331"/>
    <hyperlink r:id="rId260" ref="A332"/>
    <hyperlink r:id="rId261" ref="A333"/>
    <hyperlink r:id="rId262" ref="A334"/>
    <hyperlink r:id="rId263" ref="A335"/>
    <hyperlink r:id="rId264" ref="A336"/>
    <hyperlink r:id="rId265" ref="A337"/>
    <hyperlink r:id="rId266" ref="A338"/>
    <hyperlink r:id="rId267" ref="A339"/>
    <hyperlink r:id="rId268" ref="A343"/>
    <hyperlink r:id="rId269" ref="A344"/>
    <hyperlink r:id="rId270" ref="A345"/>
    <hyperlink r:id="rId271" ref="A346"/>
    <hyperlink r:id="rId272" ref="A347"/>
    <hyperlink r:id="rId273" ref="A348"/>
    <hyperlink r:id="rId274" ref="A349"/>
    <hyperlink r:id="rId275" ref="A350"/>
    <hyperlink r:id="rId276" ref="A351"/>
    <hyperlink r:id="rId277" ref="A352"/>
    <hyperlink r:id="rId278" ref="A353"/>
    <hyperlink r:id="rId279" ref="A354"/>
    <hyperlink r:id="rId280" ref="A355"/>
    <hyperlink r:id="rId281" ref="A356"/>
    <hyperlink r:id="rId282" ref="A357"/>
    <hyperlink r:id="rId283" ref="A361"/>
    <hyperlink r:id="rId284" ref="A362"/>
    <hyperlink r:id="rId285" ref="A363"/>
    <hyperlink r:id="rId286" ref="A364"/>
    <hyperlink r:id="rId287" ref="A365"/>
    <hyperlink r:id="rId288" ref="A366"/>
    <hyperlink r:id="rId289" ref="A367"/>
    <hyperlink r:id="rId290" ref="A368"/>
    <hyperlink r:id="rId291" ref="A369"/>
    <hyperlink r:id="rId292" ref="A370"/>
    <hyperlink r:id="rId293" ref="A371"/>
    <hyperlink r:id="rId294" ref="A372"/>
    <hyperlink r:id="rId295" ref="A379"/>
    <hyperlink r:id="rId296" ref="A380"/>
    <hyperlink r:id="rId297" ref="A381"/>
    <hyperlink r:id="rId298" ref="A382"/>
    <hyperlink r:id="rId299" ref="A383"/>
    <hyperlink r:id="rId300" ref="A384"/>
    <hyperlink r:id="rId301" ref="A385"/>
    <hyperlink r:id="rId302" ref="A386"/>
    <hyperlink r:id="rId303" ref="A387"/>
    <hyperlink r:id="rId304" ref="A388"/>
    <hyperlink r:id="rId305" ref="A389"/>
    <hyperlink r:id="rId306" ref="A390"/>
    <hyperlink r:id="rId307" ref="A397"/>
    <hyperlink r:id="rId308" ref="A398"/>
    <hyperlink r:id="rId309" ref="A399"/>
    <hyperlink r:id="rId310" ref="A400"/>
    <hyperlink r:id="rId311" ref="A401"/>
    <hyperlink r:id="rId312" ref="A402"/>
    <hyperlink r:id="rId313" ref="A403"/>
    <hyperlink r:id="rId314" ref="A404"/>
    <hyperlink r:id="rId315" ref="A405"/>
    <hyperlink r:id="rId316" ref="A406"/>
    <hyperlink r:id="rId317" ref="A407"/>
    <hyperlink r:id="rId318" ref="A408"/>
    <hyperlink r:id="rId319" ref="A409"/>
    <hyperlink r:id="rId320" ref="A410"/>
    <hyperlink r:id="rId321" ref="A411"/>
    <hyperlink r:id="rId322" ref="A415"/>
    <hyperlink r:id="rId323" ref="A416"/>
    <hyperlink r:id="rId324" ref="A417"/>
    <hyperlink r:id="rId325" ref="A418"/>
    <hyperlink r:id="rId326" ref="A419"/>
    <hyperlink r:id="rId327" ref="A420"/>
    <hyperlink r:id="rId328" ref="A421"/>
    <hyperlink r:id="rId329" ref="A422"/>
    <hyperlink r:id="rId330" ref="A423"/>
    <hyperlink r:id="rId331" ref="A424"/>
    <hyperlink r:id="rId332" ref="A425"/>
    <hyperlink r:id="rId333" ref="A426"/>
    <hyperlink r:id="rId334" ref="A427"/>
    <hyperlink r:id="rId335" ref="A428"/>
    <hyperlink r:id="rId336" ref="A429"/>
    <hyperlink r:id="rId337" ref="A433"/>
    <hyperlink r:id="rId338" ref="A434"/>
    <hyperlink r:id="rId339" ref="A435"/>
    <hyperlink r:id="rId340" ref="A436"/>
    <hyperlink r:id="rId341" ref="A437"/>
    <hyperlink r:id="rId342" ref="A438"/>
    <hyperlink r:id="rId343" ref="A439"/>
    <hyperlink r:id="rId344" ref="A440"/>
    <hyperlink r:id="rId345" ref="A441"/>
    <hyperlink r:id="rId346" ref="A442"/>
    <hyperlink r:id="rId347" ref="A443"/>
    <hyperlink r:id="rId348" ref="A444"/>
  </hyperlinks>
  <drawing r:id="rId349"/>
  <tableParts count="2">
    <tablePart r:id="rId352"/>
    <tablePart r:id="rId35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18.75"/>
    <col customWidth="1" hidden="1" min="2" max="2" width="18.38" outlineLevel="1"/>
    <col customWidth="1" hidden="1" min="3" max="4" width="19.38" outlineLevel="1"/>
    <col customWidth="1" hidden="1" min="5" max="5" width="19.25" outlineLevel="1"/>
    <col collapsed="1" min="6" max="6" width="12.63"/>
    <col customWidth="1" hidden="1" min="7" max="7" width="11.13" outlineLevel="1"/>
    <col customWidth="1" hidden="1" min="8" max="8" width="12.13" outlineLevel="1"/>
    <col hidden="1" min="9" max="10" width="12.63" outlineLevel="1"/>
    <col collapsed="1" min="11" max="11" width="12.63"/>
    <col hidden="1" min="12" max="15" width="12.63" outlineLevel="1"/>
    <col collapsed="1" min="16" max="16" width="12.63"/>
    <col customWidth="1" hidden="1" min="17" max="17" width="13.0" outlineLevel="1"/>
    <col customWidth="1" hidden="1" min="18" max="18" width="13.75" outlineLevel="1"/>
    <col customWidth="1" hidden="1" min="19" max="20" width="14.75" outlineLevel="1"/>
    <col customWidth="1" hidden="1" min="21" max="21" width="13.25" outlineLevel="1"/>
    <col collapsed="1" min="22" max="22" width="12.63"/>
    <col customWidth="1" hidden="1" min="23" max="23" width="13.0" outlineLevel="1"/>
    <col customWidth="1" hidden="1" min="24" max="24" width="13.75" outlineLevel="1"/>
    <col customWidth="1" hidden="1" min="25" max="26" width="14.75" outlineLevel="1"/>
    <col collapsed="1" min="27" max="27" width="12.63"/>
    <col hidden="1" min="28" max="28" width="12.63" outlineLevel="1"/>
    <col customWidth="1" hidden="1" min="29" max="29" width="14.0" outlineLevel="1"/>
    <col customWidth="1" hidden="1" min="30" max="31" width="14.88" outlineLevel="1"/>
    <col collapsed="1" min="32" max="32" width="12.63"/>
    <col customWidth="1" min="33" max="33" width="13.0" outlineLevel="1"/>
    <col customWidth="1" min="34" max="34" width="14.0" outlineLevel="1"/>
    <col customWidth="1" min="35" max="37" width="14.88" outlineLevel="1"/>
  </cols>
  <sheetData>
    <row r="1">
      <c r="A1" s="497" t="s">
        <v>1992</v>
      </c>
      <c r="B1" s="498" t="s">
        <v>3810</v>
      </c>
      <c r="C1" s="499" t="s">
        <v>3811</v>
      </c>
      <c r="D1" s="499" t="s">
        <v>3812</v>
      </c>
      <c r="E1" s="499" t="s">
        <v>3813</v>
      </c>
      <c r="F1" s="500" t="s">
        <v>3814</v>
      </c>
      <c r="G1" s="498" t="s">
        <v>3815</v>
      </c>
      <c r="H1" s="498" t="s">
        <v>3816</v>
      </c>
      <c r="I1" s="498" t="s">
        <v>3817</v>
      </c>
      <c r="J1" s="498" t="s">
        <v>3818</v>
      </c>
      <c r="K1" s="500" t="s">
        <v>3820</v>
      </c>
      <c r="L1" s="498" t="s">
        <v>3821</v>
      </c>
      <c r="M1" s="498" t="s">
        <v>3822</v>
      </c>
      <c r="N1" s="498" t="s">
        <v>3823</v>
      </c>
      <c r="O1" s="498" t="s">
        <v>3824</v>
      </c>
      <c r="P1" s="500" t="s">
        <v>3825</v>
      </c>
      <c r="Q1" s="498" t="s">
        <v>3826</v>
      </c>
      <c r="R1" s="498" t="s">
        <v>3827</v>
      </c>
      <c r="S1" s="498" t="s">
        <v>3829</v>
      </c>
      <c r="T1" s="498" t="s">
        <v>3830</v>
      </c>
      <c r="U1" s="498" t="s">
        <v>3832</v>
      </c>
      <c r="V1" s="500" t="s">
        <v>3833</v>
      </c>
      <c r="W1" s="498" t="s">
        <v>3834</v>
      </c>
      <c r="X1" s="498" t="s">
        <v>3835</v>
      </c>
      <c r="Y1" s="498" t="s">
        <v>3836</v>
      </c>
      <c r="Z1" s="498" t="s">
        <v>3838</v>
      </c>
      <c r="AA1" s="500" t="s">
        <v>3839</v>
      </c>
      <c r="AB1" s="501" t="s">
        <v>3840</v>
      </c>
      <c r="AC1" s="501" t="s">
        <v>3841</v>
      </c>
      <c r="AD1" s="501" t="s">
        <v>3842</v>
      </c>
      <c r="AE1" s="501" t="s">
        <v>3843</v>
      </c>
      <c r="AF1" s="502" t="s">
        <v>3844</v>
      </c>
      <c r="AG1" s="501" t="s">
        <v>3846</v>
      </c>
      <c r="AH1" s="501" t="s">
        <v>3847</v>
      </c>
      <c r="AI1" s="501" t="s">
        <v>3848</v>
      </c>
      <c r="AJ1" s="501" t="s">
        <v>3849</v>
      </c>
      <c r="AK1" s="501" t="s">
        <v>3850</v>
      </c>
      <c r="AL1" s="503" t="s">
        <v>3851</v>
      </c>
    </row>
    <row r="2">
      <c r="A2" s="504" t="s">
        <v>92</v>
      </c>
      <c r="B2" s="505">
        <v>0.96</v>
      </c>
      <c r="C2" s="506">
        <v>0.98</v>
      </c>
      <c r="D2" s="506">
        <v>0.9</v>
      </c>
      <c r="E2" s="506">
        <v>1.0914</v>
      </c>
      <c r="F2" s="507">
        <f t="shared" ref="F2:F7" si="1">AVERAGE(B2:E2)</f>
        <v>0.98285</v>
      </c>
      <c r="G2" s="508">
        <v>1.062</v>
      </c>
      <c r="H2" s="509">
        <v>0.8991</v>
      </c>
      <c r="I2" s="509">
        <v>1.0451</v>
      </c>
      <c r="J2" s="510">
        <v>1.031</v>
      </c>
      <c r="K2" s="511">
        <f t="shared" ref="K2:K7" si="2">IFerror(AVERAGE(G2:J2),"")</f>
        <v>1.0093</v>
      </c>
      <c r="L2" s="508">
        <v>0.9886</v>
      </c>
      <c r="M2" s="509">
        <v>1.0447</v>
      </c>
      <c r="N2" s="509">
        <v>1.0808</v>
      </c>
      <c r="O2" s="510">
        <v>1.0287</v>
      </c>
      <c r="P2" s="511">
        <f t="shared" ref="P2:P7" si="3">IFerror(AVERAGE(L2:O2),"")</f>
        <v>1.0357</v>
      </c>
      <c r="Q2" s="508">
        <v>1.0431</v>
      </c>
      <c r="R2" s="509">
        <v>0.9968</v>
      </c>
      <c r="S2" s="509">
        <v>0.9704</v>
      </c>
      <c r="T2" s="510">
        <v>1.0158</v>
      </c>
      <c r="U2" s="512">
        <v>0.947</v>
      </c>
      <c r="V2" s="513">
        <f t="shared" ref="V2:V9" si="4">IFerror(AVERAGE(Q2:U2),"")</f>
        <v>0.99462</v>
      </c>
      <c r="W2" s="508">
        <v>0.9644</v>
      </c>
      <c r="X2" s="509">
        <v>0.9593</v>
      </c>
      <c r="Y2" s="509">
        <v>0.9555</v>
      </c>
      <c r="Z2" s="510">
        <v>0.9249</v>
      </c>
      <c r="AA2" s="511">
        <f t="shared" ref="AA2:AA9" si="5">IFerror(AVERAGE(W2:Z2),"")</f>
        <v>0.951025</v>
      </c>
      <c r="AB2" s="514">
        <v>0.9506</v>
      </c>
      <c r="AC2" s="515">
        <v>0.968</v>
      </c>
      <c r="AD2" s="515">
        <v>0.971</v>
      </c>
      <c r="AE2" s="516">
        <v>0.9729</v>
      </c>
      <c r="AF2" s="517">
        <f t="shared" ref="AF2:AF9" si="6">IFerror(AVERAGE(AB2:AE2),"")</f>
        <v>0.965625</v>
      </c>
      <c r="AG2" s="518">
        <v>0.9837</v>
      </c>
      <c r="AH2" s="519">
        <v>0.9988</v>
      </c>
      <c r="AI2" s="519">
        <v>1.0064</v>
      </c>
      <c r="AJ2" s="520">
        <v>1.0361</v>
      </c>
      <c r="AK2" s="521">
        <v>1.0307</v>
      </c>
      <c r="AL2" s="522">
        <f t="shared" ref="AL2:AL9" si="7">IFerror(AVERAGE(AG2:AK2),"")</f>
        <v>1.01114</v>
      </c>
    </row>
    <row r="3">
      <c r="A3" s="523" t="s">
        <v>61</v>
      </c>
      <c r="B3" s="524">
        <v>0.9883</v>
      </c>
      <c r="C3" s="525">
        <v>0.9886</v>
      </c>
      <c r="D3" s="525">
        <v>0.9799</v>
      </c>
      <c r="E3" s="525">
        <v>1.0155</v>
      </c>
      <c r="F3" s="526">
        <f t="shared" si="1"/>
        <v>0.993075</v>
      </c>
      <c r="G3" s="527">
        <v>1.041</v>
      </c>
      <c r="H3" s="510">
        <v>1.0291</v>
      </c>
      <c r="I3" s="510">
        <v>1.0487</v>
      </c>
      <c r="J3" s="510">
        <v>0.9734</v>
      </c>
      <c r="K3" s="511">
        <f t="shared" si="2"/>
        <v>1.02305</v>
      </c>
      <c r="L3" s="527">
        <v>0.8976</v>
      </c>
      <c r="M3" s="510">
        <v>1.0271</v>
      </c>
      <c r="N3" s="510">
        <v>0.979</v>
      </c>
      <c r="O3" s="510">
        <v>0.9937</v>
      </c>
      <c r="P3" s="511">
        <f t="shared" si="3"/>
        <v>0.97435</v>
      </c>
      <c r="Q3" s="527">
        <v>0.9317</v>
      </c>
      <c r="R3" s="510">
        <v>0.9652</v>
      </c>
      <c r="S3" s="510">
        <v>0.9501</v>
      </c>
      <c r="T3" s="510">
        <v>0.9448</v>
      </c>
      <c r="U3" s="512">
        <v>0.9895</v>
      </c>
      <c r="V3" s="511">
        <f t="shared" si="4"/>
        <v>0.95626</v>
      </c>
      <c r="W3" s="528">
        <v>1.0224</v>
      </c>
      <c r="X3" s="510">
        <v>0.9768</v>
      </c>
      <c r="Y3" s="510">
        <v>0.9606</v>
      </c>
      <c r="Z3" s="510">
        <v>0.9698</v>
      </c>
      <c r="AA3" s="511">
        <f t="shared" si="5"/>
        <v>0.9824</v>
      </c>
      <c r="AB3" s="529">
        <v>0.8546</v>
      </c>
      <c r="AC3" s="515">
        <v>0.8581</v>
      </c>
      <c r="AD3" s="530">
        <v>0.9625</v>
      </c>
      <c r="AE3" s="530">
        <v>0.9756</v>
      </c>
      <c r="AF3" s="531">
        <f t="shared" si="6"/>
        <v>0.9127</v>
      </c>
      <c r="AG3" s="532">
        <v>0.9818</v>
      </c>
      <c r="AH3" s="533">
        <v>0.9572</v>
      </c>
      <c r="AI3" s="534">
        <v>0.9802</v>
      </c>
      <c r="AJ3" s="534">
        <v>0.9608</v>
      </c>
      <c r="AK3" s="534">
        <v>0.9387</v>
      </c>
      <c r="AL3" s="522">
        <f t="shared" si="7"/>
        <v>0.96374</v>
      </c>
    </row>
    <row r="4">
      <c r="A4" s="504" t="s">
        <v>21</v>
      </c>
      <c r="B4" s="505">
        <v>0.7202</v>
      </c>
      <c r="C4" s="506">
        <v>0.7555</v>
      </c>
      <c r="D4" s="506">
        <v>1.0</v>
      </c>
      <c r="E4" s="506">
        <v>1.0321</v>
      </c>
      <c r="F4" s="535">
        <f t="shared" si="1"/>
        <v>0.87695</v>
      </c>
      <c r="G4" s="536">
        <v>1.0618</v>
      </c>
      <c r="H4" s="537">
        <v>1.0409</v>
      </c>
      <c r="I4" s="537">
        <v>0.9228</v>
      </c>
      <c r="J4" s="537">
        <v>0.5437</v>
      </c>
      <c r="K4" s="538">
        <f t="shared" si="2"/>
        <v>0.8923</v>
      </c>
      <c r="L4" s="527">
        <v>0.8008</v>
      </c>
      <c r="M4" s="510">
        <v>0.9706</v>
      </c>
      <c r="N4" s="510">
        <v>0.9274</v>
      </c>
      <c r="O4" s="510">
        <v>0.9144</v>
      </c>
      <c r="P4" s="538">
        <f t="shared" si="3"/>
        <v>0.9033</v>
      </c>
      <c r="Q4" s="527">
        <v>0.9046</v>
      </c>
      <c r="R4" s="510">
        <v>0.8801</v>
      </c>
      <c r="S4" s="510">
        <v>0.9238</v>
      </c>
      <c r="T4" s="510">
        <v>0.9639</v>
      </c>
      <c r="U4" s="512">
        <v>0.9682</v>
      </c>
      <c r="V4" s="511">
        <f t="shared" si="4"/>
        <v>0.92812</v>
      </c>
      <c r="W4" s="527">
        <v>0.9709</v>
      </c>
      <c r="X4" s="510">
        <v>0.8907</v>
      </c>
      <c r="Y4" s="510">
        <v>0.9642</v>
      </c>
      <c r="Z4" s="510">
        <v>0.9275</v>
      </c>
      <c r="AA4" s="511">
        <f t="shared" si="5"/>
        <v>0.938325</v>
      </c>
      <c r="AB4" s="539">
        <v>0.9589</v>
      </c>
      <c r="AC4" s="515">
        <v>0.9185</v>
      </c>
      <c r="AD4" s="516">
        <v>1.0123</v>
      </c>
      <c r="AE4" s="516">
        <v>0.9983</v>
      </c>
      <c r="AF4" s="517">
        <f t="shared" si="6"/>
        <v>0.972</v>
      </c>
      <c r="AG4" s="540">
        <v>0.8414</v>
      </c>
      <c r="AH4" s="519">
        <v>1.002</v>
      </c>
      <c r="AI4" s="521">
        <v>0.9809</v>
      </c>
      <c r="AJ4" s="521">
        <v>0.9676</v>
      </c>
      <c r="AK4" s="521">
        <v>1.0212</v>
      </c>
      <c r="AL4" s="522">
        <f t="shared" si="7"/>
        <v>0.96262</v>
      </c>
    </row>
    <row r="5">
      <c r="A5" s="523" t="s">
        <v>74</v>
      </c>
      <c r="B5" s="524">
        <v>0.74</v>
      </c>
      <c r="C5" s="525">
        <v>0.99</v>
      </c>
      <c r="D5" s="525">
        <v>0.99</v>
      </c>
      <c r="E5" s="525">
        <v>1.0984</v>
      </c>
      <c r="F5" s="507">
        <f t="shared" si="1"/>
        <v>0.9546</v>
      </c>
      <c r="G5" s="527">
        <v>1.1049</v>
      </c>
      <c r="H5" s="510">
        <v>1.0284</v>
      </c>
      <c r="I5" s="510">
        <v>0.9913</v>
      </c>
      <c r="J5" s="510">
        <v>1.08</v>
      </c>
      <c r="K5" s="511">
        <f t="shared" si="2"/>
        <v>1.05115</v>
      </c>
      <c r="L5" s="527">
        <v>1.0373</v>
      </c>
      <c r="M5" s="510">
        <v>1.0154</v>
      </c>
      <c r="N5" s="510">
        <v>0.9751</v>
      </c>
      <c r="O5" s="510">
        <v>1.0111</v>
      </c>
      <c r="P5" s="511">
        <f t="shared" si="3"/>
        <v>1.009725</v>
      </c>
      <c r="Q5" s="527">
        <v>1.0112</v>
      </c>
      <c r="R5" s="510">
        <v>0.8527</v>
      </c>
      <c r="S5" s="510">
        <v>1.002</v>
      </c>
      <c r="T5" s="510">
        <v>1.0028</v>
      </c>
      <c r="U5" s="512">
        <v>1.0119</v>
      </c>
      <c r="V5" s="511">
        <f t="shared" si="4"/>
        <v>0.97612</v>
      </c>
      <c r="W5" s="527">
        <v>0.9655</v>
      </c>
      <c r="X5" s="510">
        <v>0.9915</v>
      </c>
      <c r="Y5" s="510">
        <v>0.9462</v>
      </c>
      <c r="Z5" s="510">
        <v>0.9668</v>
      </c>
      <c r="AA5" s="511">
        <f t="shared" si="5"/>
        <v>0.9675</v>
      </c>
      <c r="AB5" s="541">
        <v>0.967</v>
      </c>
      <c r="AC5" s="530">
        <v>0.969</v>
      </c>
      <c r="AD5" s="530">
        <v>1.0207</v>
      </c>
      <c r="AE5" s="530">
        <v>0.9826</v>
      </c>
      <c r="AF5" s="542">
        <f t="shared" si="6"/>
        <v>0.984825</v>
      </c>
      <c r="AG5" s="532">
        <v>0.975</v>
      </c>
      <c r="AH5" s="534">
        <v>1.0</v>
      </c>
      <c r="AI5" s="534">
        <v>1.0118</v>
      </c>
      <c r="AJ5" s="534">
        <v>1.0178</v>
      </c>
      <c r="AK5" s="534">
        <v>1.0291</v>
      </c>
      <c r="AL5" s="522">
        <f t="shared" si="7"/>
        <v>1.00674</v>
      </c>
    </row>
    <row r="6">
      <c r="A6" s="543" t="s">
        <v>53</v>
      </c>
      <c r="B6" s="544">
        <v>0.86</v>
      </c>
      <c r="C6" s="545">
        <v>0.9597</v>
      </c>
      <c r="D6" s="545">
        <v>0.9644</v>
      </c>
      <c r="E6" s="525">
        <v>1.0984</v>
      </c>
      <c r="F6" s="507">
        <f t="shared" si="1"/>
        <v>0.970625</v>
      </c>
      <c r="G6" s="527">
        <v>1.0069</v>
      </c>
      <c r="H6" s="510">
        <v>1.085</v>
      </c>
      <c r="I6" s="510">
        <v>1.0115</v>
      </c>
      <c r="J6" s="510">
        <v>1.0592</v>
      </c>
      <c r="K6" s="511">
        <f t="shared" si="2"/>
        <v>1.04065</v>
      </c>
      <c r="L6" s="527">
        <v>1.0689</v>
      </c>
      <c r="M6" s="510">
        <v>1.0699</v>
      </c>
      <c r="N6" s="510">
        <v>1.0296</v>
      </c>
      <c r="O6" s="510">
        <v>0.9759</v>
      </c>
      <c r="P6" s="511">
        <f t="shared" si="3"/>
        <v>1.036075</v>
      </c>
      <c r="Q6" s="527">
        <v>0.9781</v>
      </c>
      <c r="R6" s="510">
        <v>1.0174</v>
      </c>
      <c r="S6" s="510">
        <v>0.8874</v>
      </c>
      <c r="T6" s="510">
        <v>0.7731</v>
      </c>
      <c r="U6" s="512">
        <v>0.9749</v>
      </c>
      <c r="V6" s="511">
        <f t="shared" si="4"/>
        <v>0.92618</v>
      </c>
      <c r="W6" s="527">
        <v>0.8805</v>
      </c>
      <c r="X6" s="510">
        <v>0.6626</v>
      </c>
      <c r="Y6" s="510">
        <v>0.9547</v>
      </c>
      <c r="Z6" s="510">
        <v>0.737</v>
      </c>
      <c r="AA6" s="538">
        <f t="shared" si="5"/>
        <v>0.8087</v>
      </c>
      <c r="AB6" s="539">
        <v>0.9508</v>
      </c>
      <c r="AC6" s="516">
        <v>0.9632</v>
      </c>
      <c r="AD6" s="516">
        <v>0.9746</v>
      </c>
      <c r="AE6" s="516">
        <v>0.9652</v>
      </c>
      <c r="AF6" s="517">
        <f t="shared" si="6"/>
        <v>0.96345</v>
      </c>
      <c r="AG6" s="540">
        <v>1.0019</v>
      </c>
      <c r="AH6" s="521">
        <v>0.9587</v>
      </c>
      <c r="AI6" s="520">
        <v>1.0279</v>
      </c>
      <c r="AJ6" s="521">
        <v>0.9273</v>
      </c>
      <c r="AK6" s="521">
        <v>0.9564</v>
      </c>
      <c r="AL6" s="522">
        <f t="shared" si="7"/>
        <v>0.97444</v>
      </c>
    </row>
    <row r="7">
      <c r="A7" s="546" t="s">
        <v>85</v>
      </c>
      <c r="B7" s="547">
        <v>0.9296</v>
      </c>
      <c r="C7" s="548">
        <v>0.72</v>
      </c>
      <c r="D7" s="548">
        <v>0.9867</v>
      </c>
      <c r="E7" s="548">
        <v>1.1153</v>
      </c>
      <c r="F7" s="507">
        <f t="shared" si="1"/>
        <v>0.9379</v>
      </c>
      <c r="G7" s="527">
        <v>1.1159</v>
      </c>
      <c r="H7" s="510">
        <v>1.0804</v>
      </c>
      <c r="I7" s="510">
        <v>1.0558</v>
      </c>
      <c r="J7" s="510">
        <v>1.0738</v>
      </c>
      <c r="K7" s="513">
        <f t="shared" si="2"/>
        <v>1.081475</v>
      </c>
      <c r="L7" s="527">
        <v>1.0726</v>
      </c>
      <c r="M7" s="510">
        <v>1.0291</v>
      </c>
      <c r="N7" s="510">
        <v>1.0379</v>
      </c>
      <c r="O7" s="510">
        <v>1.0324</v>
      </c>
      <c r="P7" s="513">
        <f t="shared" si="3"/>
        <v>1.043</v>
      </c>
      <c r="Q7" s="527">
        <v>0.9018</v>
      </c>
      <c r="R7" s="510">
        <v>0.9851</v>
      </c>
      <c r="S7" s="510">
        <v>0.9149</v>
      </c>
      <c r="T7" s="510">
        <v>0.9992</v>
      </c>
      <c r="U7" s="512">
        <v>1.0028</v>
      </c>
      <c r="V7" s="511">
        <f t="shared" si="4"/>
        <v>0.96076</v>
      </c>
      <c r="W7" s="527">
        <v>1.0053</v>
      </c>
      <c r="X7" s="549">
        <v>1.0031</v>
      </c>
      <c r="Y7" s="549">
        <v>1.012</v>
      </c>
      <c r="Z7" s="549">
        <v>1.0316</v>
      </c>
      <c r="AA7" s="550">
        <f t="shared" si="5"/>
        <v>1.013</v>
      </c>
      <c r="AB7" s="539">
        <v>0.7354</v>
      </c>
      <c r="AC7" s="551">
        <v>1.0106</v>
      </c>
      <c r="AD7" s="551">
        <v>1.0191</v>
      </c>
      <c r="AE7" s="552">
        <v>1.0005</v>
      </c>
      <c r="AF7" s="517">
        <f t="shared" si="6"/>
        <v>0.9414</v>
      </c>
      <c r="AG7" s="553">
        <v>1.0131</v>
      </c>
      <c r="AH7" s="520">
        <v>1.0114</v>
      </c>
      <c r="AI7" s="534">
        <v>1.0183</v>
      </c>
      <c r="AJ7" s="534">
        <v>1.0267</v>
      </c>
      <c r="AK7" s="534">
        <v>1.0027</v>
      </c>
      <c r="AL7" s="522">
        <f t="shared" si="7"/>
        <v>1.01444</v>
      </c>
    </row>
    <row r="8">
      <c r="A8" s="546" t="s">
        <v>7</v>
      </c>
      <c r="B8" s="554" t="s">
        <v>3887</v>
      </c>
      <c r="C8" s="554" t="s">
        <v>3887</v>
      </c>
      <c r="D8" s="554" t="s">
        <v>3887</v>
      </c>
      <c r="E8" s="554" t="s">
        <v>3887</v>
      </c>
      <c r="F8" s="555" t="s">
        <v>3887</v>
      </c>
      <c r="G8" s="556" t="s">
        <v>3887</v>
      </c>
      <c r="H8" s="510">
        <v>0.9685</v>
      </c>
      <c r="I8" s="510">
        <v>1.049</v>
      </c>
      <c r="J8" s="510">
        <v>1.0046</v>
      </c>
      <c r="K8" s="511">
        <f t="shared" ref="K8:K9" si="8">IFerror(AVERAGE(H8:J8),"")</f>
        <v>1.007366667</v>
      </c>
      <c r="L8" s="556">
        <v>93.87</v>
      </c>
      <c r="M8" s="510">
        <v>1.0257</v>
      </c>
      <c r="N8" s="510">
        <v>1.0162</v>
      </c>
      <c r="O8" s="510">
        <v>0.8332</v>
      </c>
      <c r="P8" s="511">
        <f t="shared" ref="P8:P9" si="9">IFerror(AVERAGE(M8:O8),"")</f>
        <v>0.9583666667</v>
      </c>
      <c r="Q8" s="527">
        <v>0.9786</v>
      </c>
      <c r="R8" s="510">
        <v>0.9739</v>
      </c>
      <c r="S8" s="510">
        <v>0.9497</v>
      </c>
      <c r="T8" s="510">
        <v>0.8831</v>
      </c>
      <c r="U8" s="512">
        <v>0.7603</v>
      </c>
      <c r="V8" s="538">
        <f t="shared" si="4"/>
        <v>0.90912</v>
      </c>
      <c r="W8" s="527">
        <v>0.9642</v>
      </c>
      <c r="X8" s="510">
        <v>0.8082</v>
      </c>
      <c r="Y8" s="510">
        <v>0.8929</v>
      </c>
      <c r="Z8" s="510">
        <v>0.9725</v>
      </c>
      <c r="AA8" s="511">
        <f t="shared" si="5"/>
        <v>0.90945</v>
      </c>
      <c r="AB8" s="539">
        <v>0.9747</v>
      </c>
      <c r="AC8" s="516">
        <v>0.974</v>
      </c>
      <c r="AD8" s="516">
        <v>0.7466</v>
      </c>
      <c r="AE8" s="516">
        <v>0.9944</v>
      </c>
      <c r="AF8" s="517">
        <f t="shared" si="6"/>
        <v>0.922425</v>
      </c>
      <c r="AG8" s="540">
        <v>0.8643</v>
      </c>
      <c r="AH8" s="521">
        <v>0.9659</v>
      </c>
      <c r="AI8" s="521">
        <v>0.8308</v>
      </c>
      <c r="AJ8" s="521">
        <v>1.0093</v>
      </c>
      <c r="AK8" s="521">
        <v>1.0031</v>
      </c>
      <c r="AL8" s="522">
        <f t="shared" si="7"/>
        <v>0.93468</v>
      </c>
    </row>
    <row r="9">
      <c r="A9" s="546" t="s">
        <v>3895</v>
      </c>
      <c r="B9" s="554" t="s">
        <v>3887</v>
      </c>
      <c r="C9" s="554" t="s">
        <v>3887</v>
      </c>
      <c r="D9" s="554" t="s">
        <v>3887</v>
      </c>
      <c r="E9" s="554" t="s">
        <v>3887</v>
      </c>
      <c r="F9" s="555" t="s">
        <v>3887</v>
      </c>
      <c r="G9" s="556" t="s">
        <v>3887</v>
      </c>
      <c r="H9" s="510">
        <v>0.9685</v>
      </c>
      <c r="I9" s="510">
        <v>1.049</v>
      </c>
      <c r="J9" s="510">
        <v>1.0046</v>
      </c>
      <c r="K9" s="511">
        <f t="shared" si="8"/>
        <v>1.007366667</v>
      </c>
      <c r="L9" s="556" t="s">
        <v>3887</v>
      </c>
      <c r="M9" s="510">
        <v>0.9565</v>
      </c>
      <c r="N9" s="510">
        <v>1.0605</v>
      </c>
      <c r="O9" s="510">
        <v>0.9717</v>
      </c>
      <c r="P9" s="511">
        <f t="shared" si="9"/>
        <v>0.9962333333</v>
      </c>
      <c r="Q9" s="527">
        <v>0.99</v>
      </c>
      <c r="R9" s="510">
        <v>0.9512</v>
      </c>
      <c r="S9" s="510">
        <v>0.9562</v>
      </c>
      <c r="T9" s="510">
        <v>0.9176</v>
      </c>
      <c r="U9" s="512">
        <v>0.9215</v>
      </c>
      <c r="V9" s="511">
        <f t="shared" si="4"/>
        <v>0.9473</v>
      </c>
      <c r="W9" s="527">
        <v>1.0058</v>
      </c>
      <c r="X9" s="510">
        <v>0.9176</v>
      </c>
      <c r="Y9" s="510">
        <v>0.9429</v>
      </c>
      <c r="Z9" s="510">
        <v>0.954</v>
      </c>
      <c r="AA9" s="511">
        <f t="shared" si="5"/>
        <v>0.955075</v>
      </c>
      <c r="AB9" s="541">
        <v>0.9588</v>
      </c>
      <c r="AC9" s="530">
        <v>0.9537</v>
      </c>
      <c r="AD9" s="530">
        <v>0.9194</v>
      </c>
      <c r="AE9" s="530">
        <v>0.9024</v>
      </c>
      <c r="AF9" s="517">
        <f t="shared" si="6"/>
        <v>0.933575</v>
      </c>
      <c r="AG9" s="532">
        <v>0.9524</v>
      </c>
      <c r="AH9" s="534">
        <v>0.9741</v>
      </c>
      <c r="AI9" s="534">
        <v>0.9994</v>
      </c>
      <c r="AJ9" s="534">
        <v>0.9838</v>
      </c>
      <c r="AK9" s="534">
        <v>0.9862</v>
      </c>
      <c r="AL9" s="522">
        <f t="shared" si="7"/>
        <v>0.97918</v>
      </c>
    </row>
  </sheetData>
  <conditionalFormatting sqref="A1:A9">
    <cfRule type="cellIs" dxfId="11" priority="1" operator="equal">
      <formula>"OFF"</formula>
    </cfRule>
  </conditionalFormatting>
  <conditionalFormatting sqref="A1:A9">
    <cfRule type="cellIs" dxfId="9" priority="2" operator="equal">
      <formula>"A"</formula>
    </cfRule>
  </conditionalFormatting>
  <conditionalFormatting sqref="A1:A9">
    <cfRule type="cellIs" dxfId="12" priority="3" operator="equal">
      <formula>"LWOP"</formula>
    </cfRule>
  </conditionalFormatting>
  <drawing r:id="rId1"/>
  <tableParts count="1">
    <tablePart r:id="rId3"/>
  </tableParts>
</worksheet>
</file>